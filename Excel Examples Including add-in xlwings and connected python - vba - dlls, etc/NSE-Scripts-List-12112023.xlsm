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GB Personal Data\personal\"/>
    </mc:Choice>
  </mc:AlternateContent>
  <xr:revisionPtr revIDLastSave="0" documentId="13_ncr:1_{088D9674-B607-42D8-9BA3-6398D662FE50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EQUITY_L" sheetId="1" r:id="rId1"/>
    <sheet name="cm10NOV2023bhav" sheetId="2" r:id="rId2"/>
    <sheet name="cm08NOV2019bhav" sheetId="3" r:id="rId3"/>
    <sheet name="Final" sheetId="4" r:id="rId4"/>
  </sheets>
  <functionGroups builtInGroupCount="19">
    <functionGroup name="xlwings"/>
  </functionGroups>
  <definedNames>
    <definedName name="_xlnm._FilterDatabase" localSheetId="1" hidden="1">cm10NOV2023bhav!$A$1:$P$2561</definedName>
    <definedName name="_xlpm.a" hidden="1" xlm="1">#NAME?</definedName>
    <definedName name="_xlpm.b" hidden="1" xlm="1">#NAME?</definedName>
    <definedName name="_xlpm.c" hidden="1" xlm="1">#NAME?</definedName>
    <definedName name="_xlpm.d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calculate_interest_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turn_dat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87" i="4" l="1"/>
  <c r="U1586" i="4"/>
  <c r="U1585" i="4"/>
  <c r="U1584" i="4"/>
  <c r="U1583" i="4"/>
  <c r="U1582" i="4"/>
  <c r="U1581" i="4"/>
  <c r="U1580" i="4"/>
  <c r="U1579" i="4"/>
  <c r="U1578" i="4"/>
  <c r="U1577" i="4"/>
  <c r="U1576" i="4"/>
  <c r="U1575" i="4"/>
  <c r="U1574" i="4"/>
  <c r="U1573" i="4"/>
  <c r="U1572" i="4"/>
  <c r="U1571" i="4"/>
  <c r="U1570" i="4"/>
  <c r="U1569" i="4"/>
  <c r="U1568" i="4"/>
  <c r="U1567" i="4"/>
  <c r="U1566" i="4"/>
  <c r="U1565" i="4"/>
  <c r="U1564" i="4"/>
  <c r="U1563" i="4"/>
  <c r="U1562" i="4"/>
  <c r="U1561" i="4"/>
  <c r="U1560" i="4"/>
  <c r="U1559" i="4"/>
  <c r="U1558" i="4"/>
  <c r="U1557" i="4"/>
  <c r="U1556" i="4"/>
  <c r="U1555" i="4"/>
  <c r="U1554" i="4"/>
  <c r="U1553" i="4"/>
  <c r="U1552" i="4"/>
  <c r="U1551" i="4"/>
  <c r="U1550" i="4"/>
  <c r="U1549" i="4"/>
  <c r="U1548" i="4"/>
  <c r="U1547" i="4"/>
  <c r="U1546" i="4"/>
  <c r="U1545" i="4"/>
  <c r="U1544" i="4"/>
  <c r="U1543" i="4"/>
  <c r="U1542" i="4"/>
  <c r="U1541" i="4"/>
  <c r="U1540" i="4"/>
  <c r="U1539" i="4"/>
  <c r="U1538" i="4"/>
  <c r="U1537" i="4"/>
  <c r="U1536" i="4"/>
  <c r="U1535" i="4"/>
  <c r="U1534" i="4"/>
  <c r="U1533" i="4"/>
  <c r="U1532" i="4"/>
  <c r="U1531" i="4"/>
  <c r="U1530" i="4"/>
  <c r="U1529" i="4"/>
  <c r="U1528" i="4"/>
  <c r="U1527" i="4"/>
  <c r="U1526" i="4"/>
  <c r="U1525" i="4"/>
  <c r="U1524" i="4"/>
  <c r="U1523" i="4"/>
  <c r="U1522" i="4"/>
  <c r="U1521" i="4"/>
  <c r="U1520" i="4"/>
  <c r="U1519" i="4"/>
  <c r="U1518" i="4"/>
  <c r="U1517" i="4"/>
  <c r="U1516" i="4"/>
  <c r="U1515" i="4"/>
  <c r="U1514" i="4"/>
  <c r="U1513" i="4"/>
  <c r="U1512" i="4"/>
  <c r="U1511" i="4"/>
  <c r="U1510" i="4"/>
  <c r="U1509" i="4"/>
  <c r="U1508" i="4"/>
  <c r="U1507" i="4"/>
  <c r="U1506" i="4"/>
  <c r="U1505" i="4"/>
  <c r="U1504" i="4"/>
  <c r="U1503" i="4"/>
  <c r="U1502" i="4"/>
  <c r="U1501" i="4"/>
  <c r="U1500" i="4"/>
  <c r="U1499" i="4"/>
  <c r="U1498" i="4"/>
  <c r="U1497" i="4"/>
  <c r="U1496" i="4"/>
  <c r="U1495" i="4"/>
  <c r="U1494" i="4"/>
  <c r="U1493" i="4"/>
  <c r="U1492" i="4"/>
  <c r="U1491" i="4"/>
  <c r="U1490" i="4"/>
  <c r="U1489" i="4"/>
  <c r="U1488" i="4"/>
  <c r="U1487" i="4"/>
  <c r="U1486" i="4"/>
  <c r="U1485" i="4"/>
  <c r="U1484" i="4"/>
  <c r="U1483" i="4"/>
  <c r="U1482" i="4"/>
  <c r="U1481" i="4"/>
  <c r="U1480" i="4"/>
  <c r="U1479" i="4"/>
  <c r="U1478" i="4"/>
  <c r="U1477" i="4"/>
  <c r="U1476" i="4"/>
  <c r="U1475" i="4"/>
  <c r="U1474" i="4"/>
  <c r="U1473" i="4"/>
  <c r="U1472" i="4"/>
  <c r="U1471" i="4"/>
  <c r="U1470" i="4"/>
  <c r="U1469" i="4"/>
  <c r="U1468" i="4"/>
  <c r="U1467" i="4"/>
  <c r="U1466" i="4"/>
  <c r="U1465" i="4"/>
  <c r="U1464" i="4"/>
  <c r="U1463" i="4"/>
  <c r="U1462" i="4"/>
  <c r="U1461" i="4"/>
  <c r="U1460" i="4"/>
  <c r="U1459" i="4"/>
  <c r="U1458" i="4"/>
  <c r="U1457" i="4"/>
  <c r="U1456" i="4"/>
  <c r="U1455" i="4"/>
  <c r="U1454" i="4"/>
  <c r="U1453" i="4"/>
  <c r="U1452" i="4"/>
  <c r="U1451" i="4"/>
  <c r="U1450" i="4"/>
  <c r="U1449" i="4"/>
  <c r="U1448" i="4"/>
  <c r="U1447" i="4"/>
  <c r="U1446" i="4"/>
  <c r="U1445" i="4"/>
  <c r="U1444" i="4"/>
  <c r="U1443" i="4"/>
  <c r="U1442" i="4"/>
  <c r="U1441" i="4"/>
  <c r="U1440" i="4"/>
  <c r="U1439" i="4"/>
  <c r="U1438" i="4"/>
  <c r="U1437" i="4"/>
  <c r="U1436" i="4"/>
  <c r="U1435" i="4"/>
  <c r="U1434" i="4"/>
  <c r="U1433" i="4"/>
  <c r="U1432" i="4"/>
  <c r="U1431" i="4"/>
  <c r="U1430" i="4"/>
  <c r="U1429" i="4"/>
  <c r="U1428" i="4"/>
  <c r="U1427" i="4"/>
  <c r="U1426" i="4"/>
  <c r="U1425" i="4"/>
  <c r="U1424" i="4"/>
  <c r="U1423" i="4"/>
  <c r="U1422" i="4"/>
  <c r="U1421" i="4"/>
  <c r="U1420" i="4"/>
  <c r="U1419" i="4"/>
  <c r="U1418" i="4"/>
  <c r="U1417" i="4"/>
  <c r="U1416" i="4"/>
  <c r="U1415" i="4"/>
  <c r="U1414" i="4"/>
  <c r="U1413" i="4"/>
  <c r="U1412" i="4"/>
  <c r="U1411" i="4"/>
  <c r="U1410" i="4"/>
  <c r="U1409" i="4"/>
  <c r="U1408" i="4"/>
  <c r="U1407" i="4"/>
  <c r="U1406" i="4"/>
  <c r="U1405" i="4"/>
  <c r="U1404" i="4"/>
  <c r="U1403" i="4"/>
  <c r="U1402" i="4"/>
  <c r="U1401" i="4"/>
  <c r="U1400" i="4"/>
  <c r="U1399" i="4"/>
  <c r="U1398" i="4"/>
  <c r="U1397" i="4"/>
  <c r="U1396" i="4"/>
  <c r="U1395" i="4"/>
  <c r="U1394" i="4"/>
  <c r="U1393" i="4"/>
  <c r="U1392" i="4"/>
  <c r="U1391" i="4"/>
  <c r="U1390" i="4"/>
  <c r="U1389" i="4"/>
  <c r="U1388" i="4"/>
  <c r="U1387" i="4"/>
  <c r="U1386" i="4"/>
  <c r="U1385" i="4"/>
  <c r="U1384" i="4"/>
  <c r="U1383" i="4"/>
  <c r="U1382" i="4"/>
  <c r="U1381" i="4"/>
  <c r="U1380" i="4"/>
  <c r="U1379" i="4"/>
  <c r="U1378" i="4"/>
  <c r="U1377" i="4"/>
  <c r="U1376" i="4"/>
  <c r="U1375" i="4"/>
  <c r="U1374" i="4"/>
  <c r="U1373" i="4"/>
  <c r="U1372" i="4"/>
  <c r="U1371" i="4"/>
  <c r="U1370" i="4"/>
  <c r="U1369" i="4"/>
  <c r="U1368" i="4"/>
  <c r="U1367" i="4"/>
  <c r="U1366" i="4"/>
  <c r="U1365" i="4"/>
  <c r="U1364" i="4"/>
  <c r="U1363" i="4"/>
  <c r="U1362" i="4"/>
  <c r="U1361" i="4"/>
  <c r="U1360" i="4"/>
  <c r="U1359" i="4"/>
  <c r="U1358" i="4"/>
  <c r="U1357" i="4"/>
  <c r="U1356" i="4"/>
  <c r="U1355" i="4"/>
  <c r="U1354" i="4"/>
  <c r="U1353" i="4"/>
  <c r="U1352" i="4"/>
  <c r="U1351" i="4"/>
  <c r="U1350" i="4"/>
  <c r="U1349" i="4"/>
  <c r="U1348" i="4"/>
  <c r="U1347" i="4"/>
  <c r="U1346" i="4"/>
  <c r="U1345" i="4"/>
  <c r="U1344" i="4"/>
  <c r="U1343" i="4"/>
  <c r="U1342" i="4"/>
  <c r="U1341" i="4"/>
  <c r="U1340" i="4"/>
  <c r="U1339" i="4"/>
  <c r="U1338" i="4"/>
  <c r="U1337" i="4"/>
  <c r="U1336" i="4"/>
  <c r="U1335" i="4"/>
  <c r="U1334" i="4"/>
  <c r="U1333" i="4"/>
  <c r="U1332" i="4"/>
  <c r="U1331" i="4"/>
  <c r="U1330" i="4"/>
  <c r="U1329" i="4"/>
  <c r="U1328" i="4"/>
  <c r="U1327" i="4"/>
  <c r="U1326" i="4"/>
  <c r="U1325" i="4"/>
  <c r="U1324" i="4"/>
  <c r="U1323" i="4"/>
  <c r="U1322" i="4"/>
  <c r="U1321" i="4"/>
  <c r="U1320" i="4"/>
  <c r="U1319" i="4"/>
  <c r="U1318" i="4"/>
  <c r="U1317" i="4"/>
  <c r="U1316" i="4"/>
  <c r="U1315" i="4"/>
  <c r="U1314" i="4"/>
  <c r="U1313" i="4"/>
  <c r="U1312" i="4"/>
  <c r="U1311" i="4"/>
  <c r="U1310" i="4"/>
  <c r="U1309" i="4"/>
  <c r="U1308" i="4"/>
  <c r="U1307" i="4"/>
  <c r="U1306" i="4"/>
  <c r="U1305" i="4"/>
  <c r="U1304" i="4"/>
  <c r="U1303" i="4"/>
  <c r="U1302" i="4"/>
  <c r="U1301" i="4"/>
  <c r="U1300" i="4"/>
  <c r="U1299" i="4"/>
  <c r="U1298" i="4"/>
  <c r="U1297" i="4"/>
  <c r="U1296" i="4"/>
  <c r="U1295" i="4"/>
  <c r="U1294" i="4"/>
  <c r="U1293" i="4"/>
  <c r="U1292" i="4"/>
  <c r="U1291" i="4"/>
  <c r="U1290" i="4"/>
  <c r="U1289" i="4"/>
  <c r="U1288" i="4"/>
  <c r="U1287" i="4"/>
  <c r="U1286" i="4"/>
  <c r="U1285" i="4"/>
  <c r="U1284" i="4"/>
  <c r="U1283" i="4"/>
  <c r="U1282" i="4"/>
  <c r="U1281" i="4"/>
  <c r="U1280" i="4"/>
  <c r="U1279" i="4"/>
  <c r="U1278" i="4"/>
  <c r="U1277" i="4"/>
  <c r="U1276" i="4"/>
  <c r="U1275" i="4"/>
  <c r="U1274" i="4"/>
  <c r="U1273" i="4"/>
  <c r="U1272" i="4"/>
  <c r="U1271" i="4"/>
  <c r="U1270" i="4"/>
  <c r="U1269" i="4"/>
  <c r="U1268" i="4"/>
  <c r="U1267" i="4"/>
  <c r="U1266" i="4"/>
  <c r="U1265" i="4"/>
  <c r="U1264" i="4"/>
  <c r="U1263" i="4"/>
  <c r="U1262" i="4"/>
  <c r="U1261" i="4"/>
  <c r="U1260" i="4"/>
  <c r="U1259" i="4"/>
  <c r="U1258" i="4"/>
  <c r="U1257" i="4"/>
  <c r="U1256" i="4"/>
  <c r="U1255" i="4"/>
  <c r="U1254" i="4"/>
  <c r="U1253" i="4"/>
  <c r="U1252" i="4"/>
  <c r="U1251" i="4"/>
  <c r="U1250" i="4"/>
  <c r="U1249" i="4"/>
  <c r="U1248" i="4"/>
  <c r="U1247" i="4"/>
  <c r="U1246" i="4"/>
  <c r="U1245" i="4"/>
  <c r="U1244" i="4"/>
  <c r="U1243" i="4"/>
  <c r="U1242" i="4"/>
  <c r="U1241" i="4"/>
  <c r="U1240" i="4"/>
  <c r="U1239" i="4"/>
  <c r="U1238" i="4"/>
  <c r="U1237" i="4"/>
  <c r="U1236" i="4"/>
  <c r="U1235" i="4"/>
  <c r="U1234" i="4"/>
  <c r="U1233" i="4"/>
  <c r="U1232" i="4"/>
  <c r="U1231" i="4"/>
  <c r="U1230" i="4"/>
  <c r="U1229" i="4"/>
  <c r="U1228" i="4"/>
  <c r="U1227" i="4"/>
  <c r="U1226" i="4"/>
  <c r="U1225" i="4"/>
  <c r="U1224" i="4"/>
  <c r="U1223" i="4"/>
  <c r="U1222" i="4"/>
  <c r="U1221" i="4"/>
  <c r="U1220" i="4"/>
  <c r="U1219" i="4"/>
  <c r="U1218" i="4"/>
  <c r="U1217" i="4"/>
  <c r="U1216" i="4"/>
  <c r="U1215" i="4"/>
  <c r="U1214" i="4"/>
  <c r="U1213" i="4"/>
  <c r="U1212" i="4"/>
  <c r="U1211" i="4"/>
  <c r="U1210" i="4"/>
  <c r="U1209" i="4"/>
  <c r="U1208" i="4"/>
  <c r="U1207" i="4"/>
  <c r="U1206" i="4"/>
  <c r="U1205" i="4"/>
  <c r="U1204" i="4"/>
  <c r="U1203" i="4"/>
  <c r="U1202" i="4"/>
  <c r="U1201" i="4"/>
  <c r="U1200" i="4"/>
  <c r="U1199" i="4"/>
  <c r="U1198" i="4"/>
  <c r="U1197" i="4"/>
  <c r="U1196" i="4"/>
  <c r="U1195" i="4"/>
  <c r="U1194" i="4"/>
  <c r="U1193" i="4"/>
  <c r="U1192" i="4"/>
  <c r="U1191" i="4"/>
  <c r="U1190" i="4"/>
  <c r="U1189" i="4"/>
  <c r="U1188" i="4"/>
  <c r="U1187" i="4"/>
  <c r="U1186" i="4"/>
  <c r="U1185" i="4"/>
  <c r="U1184" i="4"/>
  <c r="U1183" i="4"/>
  <c r="U1182" i="4"/>
  <c r="U1181" i="4"/>
  <c r="U1180" i="4"/>
  <c r="U1179" i="4"/>
  <c r="U1178" i="4"/>
  <c r="U1177" i="4"/>
  <c r="U1176" i="4"/>
  <c r="U1175" i="4"/>
  <c r="U1174" i="4"/>
  <c r="U1173" i="4"/>
  <c r="U1172" i="4"/>
  <c r="U1171" i="4"/>
  <c r="U1170" i="4"/>
  <c r="U1169" i="4"/>
  <c r="U1168" i="4"/>
  <c r="U1167" i="4"/>
  <c r="U1166" i="4"/>
  <c r="U1165" i="4"/>
  <c r="U1164" i="4"/>
  <c r="U1163" i="4"/>
  <c r="U1162" i="4"/>
  <c r="U1161" i="4"/>
  <c r="U1160" i="4"/>
  <c r="U1159" i="4"/>
  <c r="U1158" i="4"/>
  <c r="U1157" i="4"/>
  <c r="U1156" i="4"/>
  <c r="U1155" i="4"/>
  <c r="U1154" i="4"/>
  <c r="U1153" i="4"/>
  <c r="U1152" i="4"/>
  <c r="U1151" i="4"/>
  <c r="U1150" i="4"/>
  <c r="U1149" i="4"/>
  <c r="U1148" i="4"/>
  <c r="U1147" i="4"/>
  <c r="U1146" i="4"/>
  <c r="U1145" i="4"/>
  <c r="U1144" i="4"/>
  <c r="U1143" i="4"/>
  <c r="U1142" i="4"/>
  <c r="U1141" i="4"/>
  <c r="U1140" i="4"/>
  <c r="U1139" i="4"/>
  <c r="U1138" i="4"/>
  <c r="U1137" i="4"/>
  <c r="U1136" i="4"/>
  <c r="U1135" i="4"/>
  <c r="U1134" i="4"/>
  <c r="U1133" i="4"/>
  <c r="U1132" i="4"/>
  <c r="U1131" i="4"/>
  <c r="U1130" i="4"/>
  <c r="U1129" i="4"/>
  <c r="U1128" i="4"/>
  <c r="U1127" i="4"/>
  <c r="U1126" i="4"/>
  <c r="U1125" i="4"/>
  <c r="U1124" i="4"/>
  <c r="U1123" i="4"/>
  <c r="U1122" i="4"/>
  <c r="U1121" i="4"/>
  <c r="U1120" i="4"/>
  <c r="U1119" i="4"/>
  <c r="U1118" i="4"/>
  <c r="U1117" i="4"/>
  <c r="U1116" i="4"/>
  <c r="U1115" i="4"/>
  <c r="U1114" i="4"/>
  <c r="U1113" i="4"/>
  <c r="U1112" i="4"/>
  <c r="U1111" i="4"/>
  <c r="U1110" i="4"/>
  <c r="U1109" i="4"/>
  <c r="U1108" i="4"/>
  <c r="U1107" i="4"/>
  <c r="U1106" i="4"/>
  <c r="U1105" i="4"/>
  <c r="U1104" i="4"/>
  <c r="U1103" i="4"/>
  <c r="U1102" i="4"/>
  <c r="U1101" i="4"/>
  <c r="U1100" i="4"/>
  <c r="U1099" i="4"/>
  <c r="U1098" i="4"/>
  <c r="U1097" i="4"/>
  <c r="U1096" i="4"/>
  <c r="U1095" i="4"/>
  <c r="U1094" i="4"/>
  <c r="U1093" i="4"/>
  <c r="U1092" i="4"/>
  <c r="U1091" i="4"/>
  <c r="U1090" i="4"/>
  <c r="U1089" i="4"/>
  <c r="U1088" i="4"/>
  <c r="U1087" i="4"/>
  <c r="U1086" i="4"/>
  <c r="U1085" i="4"/>
  <c r="U1084" i="4"/>
  <c r="U1083" i="4"/>
  <c r="U1082" i="4"/>
  <c r="U1081" i="4"/>
  <c r="U1080" i="4"/>
  <c r="U1079" i="4"/>
  <c r="U1078" i="4"/>
  <c r="U1077" i="4"/>
  <c r="U1076" i="4"/>
  <c r="U1075" i="4"/>
  <c r="U1074" i="4"/>
  <c r="U1073" i="4"/>
  <c r="U1072" i="4"/>
  <c r="U1071" i="4"/>
  <c r="U1070" i="4"/>
  <c r="U1069" i="4"/>
  <c r="U1068" i="4"/>
  <c r="U1067" i="4"/>
  <c r="U1066" i="4"/>
  <c r="U1065" i="4"/>
  <c r="U1064" i="4"/>
  <c r="U1063" i="4"/>
  <c r="U1062" i="4"/>
  <c r="U1061" i="4"/>
  <c r="U1060" i="4"/>
  <c r="U1059" i="4"/>
  <c r="U1058" i="4"/>
  <c r="U1057" i="4"/>
  <c r="U1056" i="4"/>
  <c r="U1055" i="4"/>
  <c r="U1054" i="4"/>
  <c r="U1053" i="4"/>
  <c r="U1052" i="4"/>
  <c r="U1051" i="4"/>
  <c r="U1050" i="4"/>
  <c r="U1049" i="4"/>
  <c r="U1048" i="4"/>
  <c r="U1047" i="4"/>
  <c r="U1046" i="4"/>
  <c r="U1045" i="4"/>
  <c r="U1044" i="4"/>
  <c r="U1043" i="4"/>
  <c r="U1042" i="4"/>
  <c r="U1041" i="4"/>
  <c r="U1040" i="4"/>
  <c r="U1039" i="4"/>
  <c r="U1038" i="4"/>
  <c r="U1037" i="4"/>
  <c r="U1036" i="4"/>
  <c r="U1035" i="4"/>
  <c r="U1034" i="4"/>
  <c r="U1033" i="4"/>
  <c r="U1032" i="4"/>
  <c r="U1031" i="4"/>
  <c r="U1030" i="4"/>
  <c r="U1029" i="4"/>
  <c r="U1028" i="4"/>
  <c r="U1027" i="4"/>
  <c r="U1026" i="4"/>
  <c r="U1025" i="4"/>
  <c r="U1024" i="4"/>
  <c r="U1023" i="4"/>
  <c r="U1022" i="4"/>
  <c r="U1021" i="4"/>
  <c r="U1020" i="4"/>
  <c r="U1019" i="4"/>
  <c r="U1018" i="4"/>
  <c r="U1017" i="4"/>
  <c r="U1016" i="4"/>
  <c r="U1015" i="4"/>
  <c r="U1014" i="4"/>
  <c r="U1013" i="4"/>
  <c r="U1012" i="4"/>
  <c r="U1011" i="4"/>
  <c r="U1010" i="4"/>
  <c r="U1009" i="4"/>
  <c r="U1008" i="4"/>
  <c r="U1007" i="4"/>
  <c r="U1006" i="4"/>
  <c r="U1005" i="4"/>
  <c r="U1004" i="4"/>
  <c r="U1003" i="4"/>
  <c r="U1002" i="4"/>
  <c r="U1001" i="4"/>
  <c r="U1000" i="4"/>
  <c r="U999" i="4"/>
  <c r="U998" i="4"/>
  <c r="U997" i="4"/>
  <c r="U996" i="4"/>
  <c r="U995" i="4"/>
  <c r="U994" i="4"/>
  <c r="U993" i="4"/>
  <c r="U992" i="4"/>
  <c r="U991" i="4"/>
  <c r="U990" i="4"/>
  <c r="U989" i="4"/>
  <c r="U988" i="4"/>
  <c r="U987" i="4"/>
  <c r="U986" i="4"/>
  <c r="U985" i="4"/>
  <c r="U984" i="4"/>
  <c r="U983" i="4"/>
  <c r="U982" i="4"/>
  <c r="U981" i="4"/>
  <c r="U980" i="4"/>
  <c r="U979" i="4"/>
  <c r="U978" i="4"/>
  <c r="U977" i="4"/>
  <c r="U976" i="4"/>
  <c r="U975" i="4"/>
  <c r="U974" i="4"/>
  <c r="U973" i="4"/>
  <c r="U972" i="4"/>
  <c r="U971" i="4"/>
  <c r="U970" i="4"/>
  <c r="U969" i="4"/>
  <c r="U968" i="4"/>
  <c r="U967" i="4"/>
  <c r="U966" i="4"/>
  <c r="U965" i="4"/>
  <c r="U964" i="4"/>
  <c r="U963" i="4"/>
  <c r="U962" i="4"/>
  <c r="U961" i="4"/>
  <c r="U960" i="4"/>
  <c r="U959" i="4"/>
  <c r="U958" i="4"/>
  <c r="U957" i="4"/>
  <c r="U956" i="4"/>
  <c r="U955" i="4"/>
  <c r="U954" i="4"/>
  <c r="U953" i="4"/>
  <c r="U952" i="4"/>
  <c r="U951" i="4"/>
  <c r="U950" i="4"/>
  <c r="U949" i="4"/>
  <c r="U948" i="4"/>
  <c r="U947" i="4"/>
  <c r="U946" i="4"/>
  <c r="U945" i="4"/>
  <c r="U944" i="4"/>
  <c r="U943" i="4"/>
  <c r="U942" i="4"/>
  <c r="U941" i="4"/>
  <c r="U940" i="4"/>
  <c r="U939" i="4"/>
  <c r="U938" i="4"/>
  <c r="U937" i="4"/>
  <c r="U936" i="4"/>
  <c r="U935" i="4"/>
  <c r="U934" i="4"/>
  <c r="U933" i="4"/>
  <c r="U932" i="4"/>
  <c r="U931" i="4"/>
  <c r="U930" i="4"/>
  <c r="U929" i="4"/>
  <c r="U928" i="4"/>
  <c r="U927" i="4"/>
  <c r="U926" i="4"/>
  <c r="U925" i="4"/>
  <c r="U924" i="4"/>
  <c r="U923" i="4"/>
  <c r="U922" i="4"/>
  <c r="U921" i="4"/>
  <c r="U920" i="4"/>
  <c r="U919" i="4"/>
  <c r="U918" i="4"/>
  <c r="U917" i="4"/>
  <c r="U916" i="4"/>
  <c r="U915" i="4"/>
  <c r="U914" i="4"/>
  <c r="U913" i="4"/>
  <c r="U912" i="4"/>
  <c r="U911" i="4"/>
  <c r="U910" i="4"/>
  <c r="U909" i="4"/>
  <c r="U908" i="4"/>
  <c r="U907" i="4"/>
  <c r="U906" i="4"/>
  <c r="U905" i="4"/>
  <c r="U904" i="4"/>
  <c r="U903" i="4"/>
  <c r="U902" i="4"/>
  <c r="U901" i="4"/>
  <c r="U900" i="4"/>
  <c r="U899" i="4"/>
  <c r="U898" i="4"/>
  <c r="U897" i="4"/>
  <c r="U896" i="4"/>
  <c r="U895" i="4"/>
  <c r="U894" i="4"/>
  <c r="U893" i="4"/>
  <c r="U892" i="4"/>
  <c r="U891" i="4"/>
  <c r="U890" i="4"/>
  <c r="U889" i="4"/>
  <c r="U888" i="4"/>
  <c r="U887" i="4"/>
  <c r="U886" i="4"/>
  <c r="U885" i="4"/>
  <c r="U884" i="4"/>
  <c r="U883" i="4"/>
  <c r="U882" i="4"/>
  <c r="U881" i="4"/>
  <c r="U880" i="4"/>
  <c r="U879" i="4"/>
  <c r="U878" i="4"/>
  <c r="U877" i="4"/>
  <c r="U876" i="4"/>
  <c r="U875" i="4"/>
  <c r="U874" i="4"/>
  <c r="U873" i="4"/>
  <c r="U872" i="4"/>
  <c r="U871" i="4"/>
  <c r="U870" i="4"/>
  <c r="U869" i="4"/>
  <c r="U868" i="4"/>
  <c r="U867" i="4"/>
  <c r="U866" i="4"/>
  <c r="U865" i="4"/>
  <c r="U864" i="4"/>
  <c r="U863" i="4"/>
  <c r="U862" i="4"/>
  <c r="U861" i="4"/>
  <c r="U860" i="4"/>
  <c r="U859" i="4"/>
  <c r="U858" i="4"/>
  <c r="U857" i="4"/>
  <c r="U856" i="4"/>
  <c r="U855" i="4"/>
  <c r="U854" i="4"/>
  <c r="U853" i="4"/>
  <c r="U852" i="4"/>
  <c r="U851" i="4"/>
  <c r="U850" i="4"/>
  <c r="U849" i="4"/>
  <c r="U848" i="4"/>
  <c r="U847" i="4"/>
  <c r="U846" i="4"/>
  <c r="U845" i="4"/>
  <c r="U844" i="4"/>
  <c r="U843" i="4"/>
  <c r="U842" i="4"/>
  <c r="U841" i="4"/>
  <c r="U840" i="4"/>
  <c r="U839" i="4"/>
  <c r="U838" i="4"/>
  <c r="U837" i="4"/>
  <c r="U836" i="4"/>
  <c r="U835" i="4"/>
  <c r="U834" i="4"/>
  <c r="U833" i="4"/>
  <c r="U832" i="4"/>
  <c r="U831" i="4"/>
  <c r="U830" i="4"/>
  <c r="U829" i="4"/>
  <c r="U828" i="4"/>
  <c r="U827" i="4"/>
  <c r="U826" i="4"/>
  <c r="U825" i="4"/>
  <c r="U824" i="4"/>
  <c r="U823" i="4"/>
  <c r="U822" i="4"/>
  <c r="U821" i="4"/>
  <c r="U820" i="4"/>
  <c r="U819" i="4"/>
  <c r="U818" i="4"/>
  <c r="U817" i="4"/>
  <c r="U816" i="4"/>
  <c r="U815" i="4"/>
  <c r="U814" i="4"/>
  <c r="U813" i="4"/>
  <c r="U812" i="4"/>
  <c r="U811" i="4"/>
  <c r="U810" i="4"/>
  <c r="U809" i="4"/>
  <c r="U808" i="4"/>
  <c r="U807" i="4"/>
  <c r="U806" i="4"/>
  <c r="U805" i="4"/>
  <c r="U804" i="4"/>
  <c r="U803" i="4"/>
  <c r="U802" i="4"/>
  <c r="U801" i="4"/>
  <c r="U800" i="4"/>
  <c r="U799" i="4"/>
  <c r="U798" i="4"/>
  <c r="U797" i="4"/>
  <c r="U796" i="4"/>
  <c r="U795" i="4"/>
  <c r="U794" i="4"/>
  <c r="U793" i="4"/>
  <c r="U792" i="4"/>
  <c r="U791" i="4"/>
  <c r="U790" i="4"/>
  <c r="U789" i="4"/>
  <c r="U788" i="4"/>
  <c r="U787" i="4"/>
  <c r="U786" i="4"/>
  <c r="U785" i="4"/>
  <c r="U784" i="4"/>
  <c r="U783" i="4"/>
  <c r="U782" i="4"/>
  <c r="U781" i="4"/>
  <c r="U780" i="4"/>
  <c r="U779" i="4"/>
  <c r="U778" i="4"/>
  <c r="U777" i="4"/>
  <c r="U776" i="4"/>
  <c r="U775" i="4"/>
  <c r="U774" i="4"/>
  <c r="U773" i="4"/>
  <c r="U772" i="4"/>
  <c r="U771" i="4"/>
  <c r="U770" i="4"/>
  <c r="U769" i="4"/>
  <c r="U768" i="4"/>
  <c r="U767" i="4"/>
  <c r="U766" i="4"/>
  <c r="U765" i="4"/>
  <c r="U764" i="4"/>
  <c r="U763" i="4"/>
  <c r="U762" i="4"/>
  <c r="U761" i="4"/>
  <c r="U760" i="4"/>
  <c r="U759" i="4"/>
  <c r="U758" i="4"/>
  <c r="U757" i="4"/>
  <c r="U756" i="4"/>
  <c r="U755" i="4"/>
  <c r="U754" i="4"/>
  <c r="U753" i="4"/>
  <c r="U752" i="4"/>
  <c r="U751" i="4"/>
  <c r="U750" i="4"/>
  <c r="U749" i="4"/>
  <c r="U748" i="4"/>
  <c r="U747" i="4"/>
  <c r="U746" i="4"/>
  <c r="U745" i="4"/>
  <c r="U744" i="4"/>
  <c r="U743" i="4"/>
  <c r="U742" i="4"/>
  <c r="U741" i="4"/>
  <c r="U740" i="4"/>
  <c r="U739" i="4"/>
  <c r="U738" i="4"/>
  <c r="U737" i="4"/>
  <c r="U736" i="4"/>
  <c r="U735" i="4"/>
  <c r="U734" i="4"/>
  <c r="U733" i="4"/>
  <c r="U732" i="4"/>
  <c r="U731" i="4"/>
  <c r="U730" i="4"/>
  <c r="U729" i="4"/>
  <c r="U728" i="4"/>
  <c r="U727" i="4"/>
  <c r="U726" i="4"/>
  <c r="U725" i="4"/>
  <c r="U724" i="4"/>
  <c r="U723" i="4"/>
  <c r="U722" i="4"/>
  <c r="U721" i="4"/>
  <c r="U720" i="4"/>
  <c r="U719" i="4"/>
  <c r="U718" i="4"/>
  <c r="U717" i="4"/>
  <c r="U716" i="4"/>
  <c r="U715" i="4"/>
  <c r="U714" i="4"/>
  <c r="U713" i="4"/>
  <c r="U712" i="4"/>
  <c r="U711" i="4"/>
  <c r="U710" i="4"/>
  <c r="U709" i="4"/>
  <c r="U708" i="4"/>
  <c r="U707" i="4"/>
  <c r="U706" i="4"/>
  <c r="U705" i="4"/>
  <c r="U704" i="4"/>
  <c r="U703" i="4"/>
  <c r="U702" i="4"/>
  <c r="U701" i="4"/>
  <c r="U700" i="4"/>
  <c r="U699" i="4"/>
  <c r="U698" i="4"/>
  <c r="U697" i="4"/>
  <c r="U696" i="4"/>
  <c r="U695" i="4"/>
  <c r="U694" i="4"/>
  <c r="U693" i="4"/>
  <c r="U692" i="4"/>
  <c r="U691" i="4"/>
  <c r="U690" i="4"/>
  <c r="U689" i="4"/>
  <c r="U688" i="4"/>
  <c r="U687" i="4"/>
  <c r="U686" i="4"/>
  <c r="U685" i="4"/>
  <c r="U684" i="4"/>
  <c r="U683" i="4"/>
  <c r="U682" i="4"/>
  <c r="U681" i="4"/>
  <c r="U680" i="4"/>
  <c r="U679" i="4"/>
  <c r="U678" i="4"/>
  <c r="U677" i="4"/>
  <c r="U676" i="4"/>
  <c r="U675" i="4"/>
  <c r="U674" i="4"/>
  <c r="U673" i="4"/>
  <c r="U672" i="4"/>
  <c r="U671" i="4"/>
  <c r="U670" i="4"/>
  <c r="U669" i="4"/>
  <c r="U668" i="4"/>
  <c r="U667" i="4"/>
  <c r="U666" i="4"/>
  <c r="U665" i="4"/>
  <c r="U664" i="4"/>
  <c r="U663" i="4"/>
  <c r="U662" i="4"/>
  <c r="U661" i="4"/>
  <c r="U660" i="4"/>
  <c r="U659" i="4"/>
  <c r="U658" i="4"/>
  <c r="U657" i="4"/>
  <c r="U656" i="4"/>
  <c r="U655" i="4"/>
  <c r="U654" i="4"/>
  <c r="U653" i="4"/>
  <c r="U652" i="4"/>
  <c r="U651" i="4"/>
  <c r="U650" i="4"/>
  <c r="U649" i="4"/>
  <c r="U648" i="4"/>
  <c r="U647" i="4"/>
  <c r="U646" i="4"/>
  <c r="U645" i="4"/>
  <c r="U644" i="4"/>
  <c r="U643" i="4"/>
  <c r="U642" i="4"/>
  <c r="U641" i="4"/>
  <c r="U640" i="4"/>
  <c r="U639" i="4"/>
  <c r="U638" i="4"/>
  <c r="U637" i="4"/>
  <c r="U636" i="4"/>
  <c r="U635" i="4"/>
  <c r="U634" i="4"/>
  <c r="U633" i="4"/>
  <c r="U632" i="4"/>
  <c r="U631" i="4"/>
  <c r="U630" i="4"/>
  <c r="U629" i="4"/>
  <c r="U628" i="4"/>
  <c r="U627" i="4"/>
  <c r="U626" i="4"/>
  <c r="U625" i="4"/>
  <c r="U624" i="4"/>
  <c r="U623" i="4"/>
  <c r="U622" i="4"/>
  <c r="U621" i="4"/>
  <c r="U620" i="4"/>
  <c r="U619" i="4"/>
  <c r="U618" i="4"/>
  <c r="U617" i="4"/>
  <c r="U616" i="4"/>
  <c r="U615" i="4"/>
  <c r="U614" i="4"/>
  <c r="U613" i="4"/>
  <c r="U612" i="4"/>
  <c r="U611" i="4"/>
  <c r="U610" i="4"/>
  <c r="U609" i="4"/>
  <c r="U608" i="4"/>
  <c r="U607" i="4"/>
  <c r="U606" i="4"/>
  <c r="U605" i="4"/>
  <c r="U604" i="4"/>
  <c r="U603" i="4"/>
  <c r="U602" i="4"/>
  <c r="U601" i="4"/>
  <c r="U600" i="4"/>
  <c r="U599" i="4"/>
  <c r="U598" i="4"/>
  <c r="U597" i="4"/>
  <c r="U596" i="4"/>
  <c r="U595" i="4"/>
  <c r="U594" i="4"/>
  <c r="U593" i="4"/>
  <c r="U592" i="4"/>
  <c r="U591" i="4"/>
  <c r="U590" i="4"/>
  <c r="U589" i="4"/>
  <c r="U588" i="4"/>
  <c r="U587" i="4"/>
  <c r="U586" i="4"/>
  <c r="U585" i="4"/>
  <c r="U584" i="4"/>
  <c r="U583" i="4"/>
  <c r="U582" i="4"/>
  <c r="U581" i="4"/>
  <c r="U580" i="4"/>
  <c r="U579" i="4"/>
  <c r="U578" i="4"/>
  <c r="U577" i="4"/>
  <c r="U576" i="4"/>
  <c r="U575" i="4"/>
  <c r="U574" i="4"/>
  <c r="U573" i="4"/>
  <c r="U572" i="4"/>
  <c r="U571" i="4"/>
  <c r="U570" i="4"/>
  <c r="U569" i="4"/>
  <c r="U568" i="4"/>
  <c r="U567" i="4"/>
  <c r="U566" i="4"/>
  <c r="U565" i="4"/>
  <c r="U564" i="4"/>
  <c r="U563" i="4"/>
  <c r="U562" i="4"/>
  <c r="U561" i="4"/>
  <c r="U560" i="4"/>
  <c r="U559" i="4"/>
  <c r="U558" i="4"/>
  <c r="U557" i="4"/>
  <c r="U556" i="4"/>
  <c r="U555" i="4"/>
  <c r="U554" i="4"/>
  <c r="U553" i="4"/>
  <c r="U552" i="4"/>
  <c r="U551" i="4"/>
  <c r="U550" i="4"/>
  <c r="U549" i="4"/>
  <c r="U548" i="4"/>
  <c r="U547" i="4"/>
  <c r="U546" i="4"/>
  <c r="U545" i="4"/>
  <c r="U544" i="4"/>
  <c r="U543" i="4"/>
  <c r="U542" i="4"/>
  <c r="U541" i="4"/>
  <c r="U540" i="4"/>
  <c r="U539" i="4"/>
  <c r="U538" i="4"/>
  <c r="U537" i="4"/>
  <c r="U536" i="4"/>
  <c r="U535" i="4"/>
  <c r="U534" i="4"/>
  <c r="U533" i="4"/>
  <c r="U532" i="4"/>
  <c r="U531" i="4"/>
  <c r="U530" i="4"/>
  <c r="U529" i="4"/>
  <c r="U528" i="4"/>
  <c r="U527" i="4"/>
  <c r="U526" i="4"/>
  <c r="U525" i="4"/>
  <c r="U524" i="4"/>
  <c r="U523" i="4"/>
  <c r="U522" i="4"/>
  <c r="U521" i="4"/>
  <c r="U520" i="4"/>
  <c r="U519" i="4"/>
  <c r="U518" i="4"/>
  <c r="U517" i="4"/>
  <c r="U516" i="4"/>
  <c r="U515" i="4"/>
  <c r="U514" i="4"/>
  <c r="U513" i="4"/>
  <c r="U512" i="4"/>
  <c r="U511" i="4"/>
  <c r="U510" i="4"/>
  <c r="U509" i="4"/>
  <c r="U508" i="4"/>
  <c r="U507" i="4"/>
  <c r="U506" i="4"/>
  <c r="U505" i="4"/>
  <c r="U504" i="4"/>
  <c r="U503" i="4"/>
  <c r="U502" i="4"/>
  <c r="U501" i="4"/>
  <c r="U500" i="4"/>
  <c r="U499" i="4"/>
  <c r="U498" i="4"/>
  <c r="U497" i="4"/>
  <c r="U496" i="4"/>
  <c r="U495" i="4"/>
  <c r="U494" i="4"/>
  <c r="U493" i="4"/>
  <c r="U492" i="4"/>
  <c r="U491" i="4"/>
  <c r="U490" i="4"/>
  <c r="U489" i="4"/>
  <c r="U488" i="4"/>
  <c r="U487" i="4"/>
  <c r="U486" i="4"/>
  <c r="U485" i="4"/>
  <c r="U484" i="4"/>
  <c r="U483" i="4"/>
  <c r="U482" i="4"/>
  <c r="U481" i="4"/>
  <c r="U480" i="4"/>
  <c r="U479" i="4"/>
  <c r="U478" i="4"/>
  <c r="U477" i="4"/>
  <c r="U476" i="4"/>
  <c r="U475" i="4"/>
  <c r="U474" i="4"/>
  <c r="U473" i="4"/>
  <c r="U472" i="4"/>
  <c r="U471" i="4"/>
  <c r="U470" i="4"/>
  <c r="U469" i="4"/>
  <c r="U468" i="4"/>
  <c r="U467" i="4"/>
  <c r="U466" i="4"/>
  <c r="U465" i="4"/>
  <c r="U464" i="4"/>
  <c r="U463" i="4"/>
  <c r="U462" i="4"/>
  <c r="U461" i="4"/>
  <c r="U460" i="4"/>
  <c r="U459" i="4"/>
  <c r="U458" i="4"/>
  <c r="U457" i="4"/>
  <c r="U456" i="4"/>
  <c r="U455" i="4"/>
  <c r="U454" i="4"/>
  <c r="U453" i="4"/>
  <c r="U452" i="4"/>
  <c r="U451" i="4"/>
  <c r="U450" i="4"/>
  <c r="U449" i="4"/>
  <c r="U448" i="4"/>
  <c r="U447" i="4"/>
  <c r="U446" i="4"/>
  <c r="U445" i="4"/>
  <c r="U444" i="4"/>
  <c r="U443" i="4"/>
  <c r="U442" i="4"/>
  <c r="U441" i="4"/>
  <c r="U440" i="4"/>
  <c r="U439" i="4"/>
  <c r="U438" i="4"/>
  <c r="U437" i="4"/>
  <c r="U436" i="4"/>
  <c r="U435" i="4"/>
  <c r="U434" i="4"/>
  <c r="U433" i="4"/>
  <c r="U432" i="4"/>
  <c r="U431" i="4"/>
  <c r="U430" i="4"/>
  <c r="U429" i="4"/>
  <c r="U428" i="4"/>
  <c r="U427" i="4"/>
  <c r="U426" i="4"/>
  <c r="U425" i="4"/>
  <c r="U424" i="4"/>
  <c r="U423" i="4"/>
  <c r="U422" i="4"/>
  <c r="U421" i="4"/>
  <c r="U420" i="4"/>
  <c r="U419" i="4"/>
  <c r="U418" i="4"/>
  <c r="U417" i="4"/>
  <c r="U416" i="4"/>
  <c r="U415" i="4"/>
  <c r="U414" i="4"/>
  <c r="U413" i="4"/>
  <c r="U412" i="4"/>
  <c r="U411" i="4"/>
  <c r="U410" i="4"/>
  <c r="U409" i="4"/>
  <c r="U408" i="4"/>
  <c r="U407" i="4"/>
  <c r="U406" i="4"/>
  <c r="U405" i="4"/>
  <c r="U404" i="4"/>
  <c r="U403" i="4"/>
  <c r="U402" i="4"/>
  <c r="U401" i="4"/>
  <c r="U400" i="4"/>
  <c r="U399" i="4"/>
  <c r="U398" i="4"/>
  <c r="U397" i="4"/>
  <c r="U396" i="4"/>
  <c r="U395" i="4"/>
  <c r="U394" i="4"/>
  <c r="U393" i="4"/>
  <c r="U392" i="4"/>
  <c r="U391" i="4"/>
  <c r="U390" i="4"/>
  <c r="U389" i="4"/>
  <c r="U388" i="4"/>
  <c r="U387" i="4"/>
  <c r="U386" i="4"/>
  <c r="U385" i="4"/>
  <c r="U384" i="4"/>
  <c r="U383" i="4"/>
  <c r="U382" i="4"/>
  <c r="U381" i="4"/>
  <c r="U380" i="4"/>
  <c r="U379" i="4"/>
  <c r="U378" i="4"/>
  <c r="U377" i="4"/>
  <c r="U376" i="4"/>
  <c r="U375" i="4"/>
  <c r="U374" i="4"/>
  <c r="U373" i="4"/>
  <c r="U372" i="4"/>
  <c r="U371" i="4"/>
  <c r="U370" i="4"/>
  <c r="U369" i="4"/>
  <c r="U368" i="4"/>
  <c r="U367" i="4"/>
  <c r="U366" i="4"/>
  <c r="U365" i="4"/>
  <c r="U364" i="4"/>
  <c r="U363" i="4"/>
  <c r="U362" i="4"/>
  <c r="U361" i="4"/>
  <c r="U360" i="4"/>
  <c r="U359" i="4"/>
  <c r="U358" i="4"/>
  <c r="U357" i="4"/>
  <c r="U356" i="4"/>
  <c r="U355" i="4"/>
  <c r="U354" i="4"/>
  <c r="U353" i="4"/>
  <c r="U352" i="4"/>
  <c r="U351" i="4"/>
  <c r="U350" i="4"/>
  <c r="U349" i="4"/>
  <c r="U348" i="4"/>
  <c r="U347" i="4"/>
  <c r="U346" i="4"/>
  <c r="U345" i="4"/>
  <c r="U344" i="4"/>
  <c r="U343" i="4"/>
  <c r="U342" i="4"/>
  <c r="U341" i="4"/>
  <c r="U340" i="4"/>
  <c r="U339" i="4"/>
  <c r="U338" i="4"/>
  <c r="U337" i="4"/>
  <c r="U336" i="4"/>
  <c r="U335" i="4"/>
  <c r="U334" i="4"/>
  <c r="U333" i="4"/>
  <c r="U332" i="4"/>
  <c r="U331" i="4"/>
  <c r="U330" i="4"/>
  <c r="U329" i="4"/>
  <c r="U328" i="4"/>
  <c r="U327" i="4"/>
  <c r="U326" i="4"/>
  <c r="U325" i="4"/>
  <c r="U324" i="4"/>
  <c r="U323" i="4"/>
  <c r="U322" i="4"/>
  <c r="U321" i="4"/>
  <c r="U320" i="4"/>
  <c r="U319" i="4"/>
  <c r="U318" i="4"/>
  <c r="U317" i="4"/>
  <c r="U316" i="4"/>
  <c r="U315" i="4"/>
  <c r="U314" i="4"/>
  <c r="U313" i="4"/>
  <c r="U312" i="4"/>
  <c r="U311" i="4"/>
  <c r="U310" i="4"/>
  <c r="U309" i="4"/>
  <c r="U308" i="4"/>
  <c r="U307" i="4"/>
  <c r="U306" i="4"/>
  <c r="U305" i="4"/>
  <c r="U304" i="4"/>
  <c r="U303" i="4"/>
  <c r="U302" i="4"/>
  <c r="U301" i="4"/>
  <c r="U300" i="4"/>
  <c r="U299" i="4"/>
  <c r="U298" i="4"/>
  <c r="U297" i="4"/>
  <c r="U296" i="4"/>
  <c r="U295" i="4"/>
  <c r="U294" i="4"/>
  <c r="U293" i="4"/>
  <c r="U292" i="4"/>
  <c r="U291" i="4"/>
  <c r="U290" i="4"/>
  <c r="U289" i="4"/>
  <c r="U288" i="4"/>
  <c r="U287" i="4"/>
  <c r="U286" i="4"/>
  <c r="U285" i="4"/>
  <c r="U284" i="4"/>
  <c r="U283" i="4"/>
  <c r="U282" i="4"/>
  <c r="U281" i="4"/>
  <c r="U280" i="4"/>
  <c r="U279" i="4"/>
  <c r="U278" i="4"/>
  <c r="U277" i="4"/>
  <c r="U276" i="4"/>
  <c r="U275" i="4"/>
  <c r="U274" i="4"/>
  <c r="U273" i="4"/>
  <c r="U272" i="4"/>
  <c r="U271" i="4"/>
  <c r="U270" i="4"/>
  <c r="U269" i="4"/>
  <c r="U268" i="4"/>
  <c r="U267" i="4"/>
  <c r="U266" i="4"/>
  <c r="U265" i="4"/>
  <c r="U264" i="4"/>
  <c r="U263" i="4"/>
  <c r="U262" i="4"/>
  <c r="U261" i="4"/>
  <c r="U260" i="4"/>
  <c r="U259" i="4"/>
  <c r="U258" i="4"/>
  <c r="U257" i="4"/>
  <c r="U256" i="4"/>
  <c r="U255" i="4"/>
  <c r="U254" i="4"/>
  <c r="U253" i="4"/>
  <c r="U252" i="4"/>
  <c r="U251" i="4"/>
  <c r="U250" i="4"/>
  <c r="U249" i="4"/>
  <c r="U248" i="4"/>
  <c r="U247" i="4"/>
  <c r="U246" i="4"/>
  <c r="U245" i="4"/>
  <c r="U244" i="4"/>
  <c r="U243" i="4"/>
  <c r="U242" i="4"/>
  <c r="U241" i="4"/>
  <c r="U240" i="4"/>
  <c r="U239" i="4"/>
  <c r="U238" i="4"/>
  <c r="U237" i="4"/>
  <c r="U236" i="4"/>
  <c r="U235" i="4"/>
  <c r="U234" i="4"/>
  <c r="U233" i="4"/>
  <c r="U232" i="4"/>
  <c r="U231" i="4"/>
  <c r="U230" i="4"/>
  <c r="U229" i="4"/>
  <c r="U228" i="4"/>
  <c r="U227" i="4"/>
  <c r="U226" i="4"/>
  <c r="U225" i="4"/>
  <c r="U224" i="4"/>
  <c r="U223" i="4"/>
  <c r="U222" i="4"/>
  <c r="U221" i="4"/>
  <c r="U220" i="4"/>
  <c r="U219" i="4"/>
  <c r="U218" i="4"/>
  <c r="U217" i="4"/>
  <c r="U216" i="4"/>
  <c r="U215" i="4"/>
  <c r="U214" i="4"/>
  <c r="U213" i="4"/>
  <c r="U212" i="4"/>
  <c r="U211" i="4"/>
  <c r="U210" i="4"/>
  <c r="U209" i="4"/>
  <c r="U208" i="4"/>
  <c r="U207" i="4"/>
  <c r="U206" i="4"/>
  <c r="U205" i="4"/>
  <c r="U204" i="4"/>
  <c r="U203" i="4"/>
  <c r="U202" i="4"/>
  <c r="U201" i="4"/>
  <c r="U200" i="4"/>
  <c r="U199" i="4"/>
  <c r="U198" i="4"/>
  <c r="U197" i="4"/>
  <c r="U196" i="4"/>
  <c r="U195" i="4"/>
  <c r="U194" i="4"/>
  <c r="U193" i="4"/>
  <c r="U192" i="4"/>
  <c r="U191" i="4"/>
  <c r="U190" i="4"/>
  <c r="U189" i="4"/>
  <c r="U188" i="4"/>
  <c r="U187" i="4"/>
  <c r="U186" i="4"/>
  <c r="U185" i="4"/>
  <c r="U184" i="4"/>
  <c r="U183" i="4"/>
  <c r="U182" i="4"/>
  <c r="U181" i="4"/>
  <c r="U180" i="4"/>
  <c r="U179" i="4"/>
  <c r="U178" i="4"/>
  <c r="U177" i="4"/>
  <c r="U176" i="4"/>
  <c r="U175" i="4"/>
  <c r="U174" i="4"/>
  <c r="U173" i="4"/>
  <c r="U172" i="4"/>
  <c r="U171" i="4"/>
  <c r="U170" i="4"/>
  <c r="U169" i="4"/>
  <c r="U168" i="4"/>
  <c r="U167" i="4"/>
  <c r="U166" i="4"/>
  <c r="U165" i="4"/>
  <c r="U164" i="4"/>
  <c r="U163" i="4"/>
  <c r="U162" i="4"/>
  <c r="U161" i="4"/>
  <c r="U160" i="4"/>
  <c r="U159" i="4"/>
  <c r="U158" i="4"/>
  <c r="U157" i="4"/>
  <c r="U156" i="4"/>
  <c r="U155" i="4"/>
  <c r="U154" i="4"/>
  <c r="U153" i="4"/>
  <c r="U152" i="4"/>
  <c r="U151" i="4"/>
  <c r="U150" i="4"/>
  <c r="U149" i="4"/>
  <c r="U148" i="4"/>
  <c r="U147" i="4"/>
  <c r="U146" i="4"/>
  <c r="U145" i="4"/>
  <c r="U144" i="4"/>
  <c r="U143" i="4"/>
  <c r="U142" i="4"/>
  <c r="U141" i="4"/>
  <c r="U140" i="4"/>
  <c r="U139" i="4"/>
  <c r="U138" i="4"/>
  <c r="U137" i="4"/>
  <c r="U136" i="4"/>
  <c r="U135" i="4"/>
  <c r="U134" i="4"/>
  <c r="U133" i="4"/>
  <c r="U132" i="4"/>
  <c r="U131" i="4"/>
  <c r="U130" i="4"/>
  <c r="U129" i="4"/>
  <c r="U128" i="4"/>
  <c r="U127" i="4"/>
  <c r="U126" i="4"/>
  <c r="U125" i="4"/>
  <c r="U124" i="4"/>
  <c r="U123" i="4"/>
  <c r="U122" i="4"/>
  <c r="U121" i="4"/>
  <c r="U120" i="4"/>
  <c r="U119" i="4"/>
  <c r="U118" i="4"/>
  <c r="U117" i="4"/>
  <c r="U116" i="4"/>
  <c r="U115" i="4"/>
  <c r="U114" i="4"/>
  <c r="U113" i="4"/>
  <c r="U112" i="4"/>
  <c r="U111" i="4"/>
  <c r="U110" i="4"/>
  <c r="U109" i="4"/>
  <c r="U108" i="4"/>
  <c r="U107" i="4"/>
  <c r="U10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U5" i="4"/>
  <c r="U4" i="4"/>
  <c r="U3" i="4"/>
  <c r="S1587" i="4"/>
  <c r="T1587" i="4" s="1"/>
  <c r="S1586" i="4"/>
  <c r="T1586" i="4" s="1"/>
  <c r="S1585" i="4"/>
  <c r="T1585" i="4" s="1"/>
  <c r="S1584" i="4"/>
  <c r="T1584" i="4" s="1"/>
  <c r="S1583" i="4"/>
  <c r="T1583" i="4" s="1"/>
  <c r="T1582" i="4"/>
  <c r="S1582" i="4"/>
  <c r="S1581" i="4"/>
  <c r="T1581" i="4" s="1"/>
  <c r="S1580" i="4"/>
  <c r="T1580" i="4" s="1"/>
  <c r="S1579" i="4"/>
  <c r="T1579" i="4" s="1"/>
  <c r="S1578" i="4"/>
  <c r="T1578" i="4" s="1"/>
  <c r="S1577" i="4"/>
  <c r="T1577" i="4" s="1"/>
  <c r="S1576" i="4"/>
  <c r="T1576" i="4" s="1"/>
  <c r="S1575" i="4"/>
  <c r="T1575" i="4" s="1"/>
  <c r="T1574" i="4"/>
  <c r="S1574" i="4"/>
  <c r="S1573" i="4"/>
  <c r="T1573" i="4" s="1"/>
  <c r="S1572" i="4"/>
  <c r="T1572" i="4" s="1"/>
  <c r="S1571" i="4"/>
  <c r="T1571" i="4" s="1"/>
  <c r="S1570" i="4"/>
  <c r="T1570" i="4" s="1"/>
  <c r="S1569" i="4"/>
  <c r="T1569" i="4" s="1"/>
  <c r="S1568" i="4"/>
  <c r="T1568" i="4" s="1"/>
  <c r="S1567" i="4"/>
  <c r="T1567" i="4" s="1"/>
  <c r="T1566" i="4"/>
  <c r="S1566" i="4"/>
  <c r="S1565" i="4"/>
  <c r="T1565" i="4" s="1"/>
  <c r="S1564" i="4"/>
  <c r="T1564" i="4" s="1"/>
  <c r="S1563" i="4"/>
  <c r="T1563" i="4" s="1"/>
  <c r="S1562" i="4"/>
  <c r="T1562" i="4" s="1"/>
  <c r="S1561" i="4"/>
  <c r="T1561" i="4" s="1"/>
  <c r="S1560" i="4"/>
  <c r="T1560" i="4" s="1"/>
  <c r="S1559" i="4"/>
  <c r="T1559" i="4" s="1"/>
  <c r="T1558" i="4"/>
  <c r="S1558" i="4"/>
  <c r="S1557" i="4"/>
  <c r="T1557" i="4" s="1"/>
  <c r="S1556" i="4"/>
  <c r="T1556" i="4" s="1"/>
  <c r="S1555" i="4"/>
  <c r="T1555" i="4" s="1"/>
  <c r="S1554" i="4"/>
  <c r="T1554" i="4" s="1"/>
  <c r="S1553" i="4"/>
  <c r="T1553" i="4" s="1"/>
  <c r="S1552" i="4"/>
  <c r="T1552" i="4" s="1"/>
  <c r="S1551" i="4"/>
  <c r="T1551" i="4" s="1"/>
  <c r="T1550" i="4"/>
  <c r="S1550" i="4"/>
  <c r="S1549" i="4"/>
  <c r="T1549" i="4" s="1"/>
  <c r="S1548" i="4"/>
  <c r="T1548" i="4" s="1"/>
  <c r="S1547" i="4"/>
  <c r="T1547" i="4" s="1"/>
  <c r="S1546" i="4"/>
  <c r="T1546" i="4" s="1"/>
  <c r="S1545" i="4"/>
  <c r="T1545" i="4" s="1"/>
  <c r="S1544" i="4"/>
  <c r="T1544" i="4" s="1"/>
  <c r="S1543" i="4"/>
  <c r="T1543" i="4" s="1"/>
  <c r="T1542" i="4"/>
  <c r="S1542" i="4"/>
  <c r="S1541" i="4"/>
  <c r="T1541" i="4" s="1"/>
  <c r="T1540" i="4"/>
  <c r="S1540" i="4"/>
  <c r="S1539" i="4"/>
  <c r="T1539" i="4" s="1"/>
  <c r="S1538" i="4"/>
  <c r="T1538" i="4" s="1"/>
  <c r="S1537" i="4"/>
  <c r="T1537" i="4" s="1"/>
  <c r="S1536" i="4"/>
  <c r="T1536" i="4" s="1"/>
  <c r="S1535" i="4"/>
  <c r="T1535" i="4" s="1"/>
  <c r="T1534" i="4"/>
  <c r="S1534" i="4"/>
  <c r="S1533" i="4"/>
  <c r="T1533" i="4" s="1"/>
  <c r="S1532" i="4"/>
  <c r="T1532" i="4" s="1"/>
  <c r="S1531" i="4"/>
  <c r="T1531" i="4" s="1"/>
  <c r="S1530" i="4"/>
  <c r="T1530" i="4" s="1"/>
  <c r="S1529" i="4"/>
  <c r="T1529" i="4" s="1"/>
  <c r="S1528" i="4"/>
  <c r="T1528" i="4" s="1"/>
  <c r="S1527" i="4"/>
  <c r="T1527" i="4" s="1"/>
  <c r="T1526" i="4"/>
  <c r="S1526" i="4"/>
  <c r="S1525" i="4"/>
  <c r="T1525" i="4" s="1"/>
  <c r="S1524" i="4"/>
  <c r="T1524" i="4" s="1"/>
  <c r="S1523" i="4"/>
  <c r="T1523" i="4" s="1"/>
  <c r="S1522" i="4"/>
  <c r="T1522" i="4" s="1"/>
  <c r="S1521" i="4"/>
  <c r="T1521" i="4" s="1"/>
  <c r="S1520" i="4"/>
  <c r="T1520" i="4" s="1"/>
  <c r="S1519" i="4"/>
  <c r="T1519" i="4" s="1"/>
  <c r="T1518" i="4"/>
  <c r="S1518" i="4"/>
  <c r="S1517" i="4"/>
  <c r="T1517" i="4" s="1"/>
  <c r="S1516" i="4"/>
  <c r="T1516" i="4" s="1"/>
  <c r="S1515" i="4"/>
  <c r="T1515" i="4" s="1"/>
  <c r="S1514" i="4"/>
  <c r="T1514" i="4" s="1"/>
  <c r="S1513" i="4"/>
  <c r="T1513" i="4" s="1"/>
  <c r="S1512" i="4"/>
  <c r="T1512" i="4" s="1"/>
  <c r="S1511" i="4"/>
  <c r="T1511" i="4" s="1"/>
  <c r="T1510" i="4"/>
  <c r="S1510" i="4"/>
  <c r="S1509" i="4"/>
  <c r="T1509" i="4" s="1"/>
  <c r="S1508" i="4"/>
  <c r="T1508" i="4" s="1"/>
  <c r="S1507" i="4"/>
  <c r="T1507" i="4" s="1"/>
  <c r="S1506" i="4"/>
  <c r="T1506" i="4" s="1"/>
  <c r="S1505" i="4"/>
  <c r="T1505" i="4" s="1"/>
  <c r="S1504" i="4"/>
  <c r="T1504" i="4" s="1"/>
  <c r="S1503" i="4"/>
  <c r="T1503" i="4" s="1"/>
  <c r="T1502" i="4"/>
  <c r="S1502" i="4"/>
  <c r="S1501" i="4"/>
  <c r="T1501" i="4" s="1"/>
  <c r="S1500" i="4"/>
  <c r="T1500" i="4" s="1"/>
  <c r="S1499" i="4"/>
  <c r="T1499" i="4" s="1"/>
  <c r="S1498" i="4"/>
  <c r="T1498" i="4" s="1"/>
  <c r="S1497" i="4"/>
  <c r="T1497" i="4" s="1"/>
  <c r="S1496" i="4"/>
  <c r="T1496" i="4" s="1"/>
  <c r="S1495" i="4"/>
  <c r="T1495" i="4" s="1"/>
  <c r="T1494" i="4"/>
  <c r="S1494" i="4"/>
  <c r="S1493" i="4"/>
  <c r="T1493" i="4" s="1"/>
  <c r="S1492" i="4"/>
  <c r="T1492" i="4" s="1"/>
  <c r="S1491" i="4"/>
  <c r="T1491" i="4" s="1"/>
  <c r="S1490" i="4"/>
  <c r="T1490" i="4" s="1"/>
  <c r="S1489" i="4"/>
  <c r="T1489" i="4" s="1"/>
  <c r="T1488" i="4"/>
  <c r="S1488" i="4"/>
  <c r="S1487" i="4"/>
  <c r="T1487" i="4" s="1"/>
  <c r="T1486" i="4"/>
  <c r="S1486" i="4"/>
  <c r="S1485" i="4"/>
  <c r="T1485" i="4" s="1"/>
  <c r="S1484" i="4"/>
  <c r="T1484" i="4" s="1"/>
  <c r="S1483" i="4"/>
  <c r="T1483" i="4" s="1"/>
  <c r="S1482" i="4"/>
  <c r="T1482" i="4" s="1"/>
  <c r="S1481" i="4"/>
  <c r="T1481" i="4" s="1"/>
  <c r="T1480" i="4"/>
  <c r="S1480" i="4"/>
  <c r="S1479" i="4"/>
  <c r="T1479" i="4" s="1"/>
  <c r="T1478" i="4"/>
  <c r="S1478" i="4"/>
  <c r="S1477" i="4"/>
  <c r="T1477" i="4" s="1"/>
  <c r="S1476" i="4"/>
  <c r="T1476" i="4" s="1"/>
  <c r="S1475" i="4"/>
  <c r="T1475" i="4" s="1"/>
  <c r="S1474" i="4"/>
  <c r="T1474" i="4" s="1"/>
  <c r="S1473" i="4"/>
  <c r="T1473" i="4" s="1"/>
  <c r="T1472" i="4"/>
  <c r="S1472" i="4"/>
  <c r="S1471" i="4"/>
  <c r="T1471" i="4" s="1"/>
  <c r="T1470" i="4"/>
  <c r="S1470" i="4"/>
  <c r="S1469" i="4"/>
  <c r="T1469" i="4" s="1"/>
  <c r="T1468" i="4"/>
  <c r="S1468" i="4"/>
  <c r="S1467" i="4"/>
  <c r="T1467" i="4" s="1"/>
  <c r="S1466" i="4"/>
  <c r="T1466" i="4" s="1"/>
  <c r="S1465" i="4"/>
  <c r="T1465" i="4" s="1"/>
  <c r="T1464" i="4"/>
  <c r="S1464" i="4"/>
  <c r="S1463" i="4"/>
  <c r="T1463" i="4" s="1"/>
  <c r="T1462" i="4"/>
  <c r="S1462" i="4"/>
  <c r="S1461" i="4"/>
  <c r="T1461" i="4" s="1"/>
  <c r="S1460" i="4"/>
  <c r="T1460" i="4" s="1"/>
  <c r="S1459" i="4"/>
  <c r="T1459" i="4" s="1"/>
  <c r="S1458" i="4"/>
  <c r="T1458" i="4" s="1"/>
  <c r="S1457" i="4"/>
  <c r="T1457" i="4" s="1"/>
  <c r="T1456" i="4"/>
  <c r="S1456" i="4"/>
  <c r="S1455" i="4"/>
  <c r="T1455" i="4" s="1"/>
  <c r="T1454" i="4"/>
  <c r="S1454" i="4"/>
  <c r="S1453" i="4"/>
  <c r="T1453" i="4" s="1"/>
  <c r="S1452" i="4"/>
  <c r="T1452" i="4" s="1"/>
  <c r="S1451" i="4"/>
  <c r="T1451" i="4" s="1"/>
  <c r="S1450" i="4"/>
  <c r="T1450" i="4" s="1"/>
  <c r="S1449" i="4"/>
  <c r="T1449" i="4" s="1"/>
  <c r="T1448" i="4"/>
  <c r="S1448" i="4"/>
  <c r="S1447" i="4"/>
  <c r="T1447" i="4" s="1"/>
  <c r="T1446" i="4"/>
  <c r="S1446" i="4"/>
  <c r="S1445" i="4"/>
  <c r="T1445" i="4" s="1"/>
  <c r="S1444" i="4"/>
  <c r="T1444" i="4" s="1"/>
  <c r="S1443" i="4"/>
  <c r="T1443" i="4" s="1"/>
  <c r="S1442" i="4"/>
  <c r="T1442" i="4" s="1"/>
  <c r="S1441" i="4"/>
  <c r="T1441" i="4" s="1"/>
  <c r="T1440" i="4"/>
  <c r="S1440" i="4"/>
  <c r="S1439" i="4"/>
  <c r="T1439" i="4" s="1"/>
  <c r="T1438" i="4"/>
  <c r="S1438" i="4"/>
  <c r="S1437" i="4"/>
  <c r="T1437" i="4" s="1"/>
  <c r="T1436" i="4"/>
  <c r="S1436" i="4"/>
  <c r="S1435" i="4"/>
  <c r="T1435" i="4" s="1"/>
  <c r="S1434" i="4"/>
  <c r="T1434" i="4" s="1"/>
  <c r="S1433" i="4"/>
  <c r="T1433" i="4" s="1"/>
  <c r="T1432" i="4"/>
  <c r="S1432" i="4"/>
  <c r="S1431" i="4"/>
  <c r="T1431" i="4" s="1"/>
  <c r="T1430" i="4"/>
  <c r="S1430" i="4"/>
  <c r="S1429" i="4"/>
  <c r="T1429" i="4" s="1"/>
  <c r="S1428" i="4"/>
  <c r="T1428" i="4" s="1"/>
  <c r="S1427" i="4"/>
  <c r="T1427" i="4" s="1"/>
  <c r="S1426" i="4"/>
  <c r="T1426" i="4" s="1"/>
  <c r="S1425" i="4"/>
  <c r="T1425" i="4" s="1"/>
  <c r="T1424" i="4"/>
  <c r="S1424" i="4"/>
  <c r="S1423" i="4"/>
  <c r="T1423" i="4" s="1"/>
  <c r="T1422" i="4"/>
  <c r="S1422" i="4"/>
  <c r="S1421" i="4"/>
  <c r="T1421" i="4" s="1"/>
  <c r="S1420" i="4"/>
  <c r="T1420" i="4" s="1"/>
  <c r="S1419" i="4"/>
  <c r="T1419" i="4" s="1"/>
  <c r="S1418" i="4"/>
  <c r="T1418" i="4" s="1"/>
  <c r="T1417" i="4"/>
  <c r="S1417" i="4"/>
  <c r="S1416" i="4"/>
  <c r="T1416" i="4" s="1"/>
  <c r="T1415" i="4"/>
  <c r="S1415" i="4"/>
  <c r="S1414" i="4"/>
  <c r="T1414" i="4" s="1"/>
  <c r="T1413" i="4"/>
  <c r="S1413" i="4"/>
  <c r="S1412" i="4"/>
  <c r="T1412" i="4" s="1"/>
  <c r="T1411" i="4"/>
  <c r="S1411" i="4"/>
  <c r="S1410" i="4"/>
  <c r="T1410" i="4" s="1"/>
  <c r="T1409" i="4"/>
  <c r="S1409" i="4"/>
  <c r="S1408" i="4"/>
  <c r="T1408" i="4" s="1"/>
  <c r="T1407" i="4"/>
  <c r="S1407" i="4"/>
  <c r="S1406" i="4"/>
  <c r="T1406" i="4" s="1"/>
  <c r="T1405" i="4"/>
  <c r="S1405" i="4"/>
  <c r="S1404" i="4"/>
  <c r="T1404" i="4" s="1"/>
  <c r="T1403" i="4"/>
  <c r="S1403" i="4"/>
  <c r="S1402" i="4"/>
  <c r="T1402" i="4" s="1"/>
  <c r="T1401" i="4"/>
  <c r="S1401" i="4"/>
  <c r="S1400" i="4"/>
  <c r="T1400" i="4" s="1"/>
  <c r="T1399" i="4"/>
  <c r="S1399" i="4"/>
  <c r="S1398" i="4"/>
  <c r="T1398" i="4" s="1"/>
  <c r="T1397" i="4"/>
  <c r="S1397" i="4"/>
  <c r="S1396" i="4"/>
  <c r="T1396" i="4" s="1"/>
  <c r="T1395" i="4"/>
  <c r="S1395" i="4"/>
  <c r="S1394" i="4"/>
  <c r="T1394" i="4" s="1"/>
  <c r="T1393" i="4"/>
  <c r="S1393" i="4"/>
  <c r="S1392" i="4"/>
  <c r="T1392" i="4" s="1"/>
  <c r="T1391" i="4"/>
  <c r="S1391" i="4"/>
  <c r="S1390" i="4"/>
  <c r="T1390" i="4" s="1"/>
  <c r="T1389" i="4"/>
  <c r="S1389" i="4"/>
  <c r="S1388" i="4"/>
  <c r="T1388" i="4" s="1"/>
  <c r="T1387" i="4"/>
  <c r="S1387" i="4"/>
  <c r="S1386" i="4"/>
  <c r="T1386" i="4" s="1"/>
  <c r="T1385" i="4"/>
  <c r="S1385" i="4"/>
  <c r="S1384" i="4"/>
  <c r="T1384" i="4" s="1"/>
  <c r="T1383" i="4"/>
  <c r="S1383" i="4"/>
  <c r="S1382" i="4"/>
  <c r="T1382" i="4" s="1"/>
  <c r="T1381" i="4"/>
  <c r="S1381" i="4"/>
  <c r="S1380" i="4"/>
  <c r="T1380" i="4" s="1"/>
  <c r="T1379" i="4"/>
  <c r="S1379" i="4"/>
  <c r="S1378" i="4"/>
  <c r="T1378" i="4" s="1"/>
  <c r="T1377" i="4"/>
  <c r="S1377" i="4"/>
  <c r="S1376" i="4"/>
  <c r="T1376" i="4" s="1"/>
  <c r="T1375" i="4"/>
  <c r="S1375" i="4"/>
  <c r="S1374" i="4"/>
  <c r="T1374" i="4" s="1"/>
  <c r="T1373" i="4"/>
  <c r="S1373" i="4"/>
  <c r="S1372" i="4"/>
  <c r="T1372" i="4" s="1"/>
  <c r="T1371" i="4"/>
  <c r="S1371" i="4"/>
  <c r="S1370" i="4"/>
  <c r="T1370" i="4" s="1"/>
  <c r="S1369" i="4"/>
  <c r="T1369" i="4" s="1"/>
  <c r="S1368" i="4"/>
  <c r="T1368" i="4" s="1"/>
  <c r="S1367" i="4"/>
  <c r="T1367" i="4" s="1"/>
  <c r="S1366" i="4"/>
  <c r="T1366" i="4" s="1"/>
  <c r="T1365" i="4"/>
  <c r="S1365" i="4"/>
  <c r="S1364" i="4"/>
  <c r="T1364" i="4" s="1"/>
  <c r="S1363" i="4"/>
  <c r="T1363" i="4" s="1"/>
  <c r="S1362" i="4"/>
  <c r="T1362" i="4" s="1"/>
  <c r="S1361" i="4"/>
  <c r="T1361" i="4" s="1"/>
  <c r="S1360" i="4"/>
  <c r="T1360" i="4" s="1"/>
  <c r="S1359" i="4"/>
  <c r="T1359" i="4" s="1"/>
  <c r="S1358" i="4"/>
  <c r="T1358" i="4" s="1"/>
  <c r="T1357" i="4"/>
  <c r="S1357" i="4"/>
  <c r="S1356" i="4"/>
  <c r="T1356" i="4" s="1"/>
  <c r="T1355" i="4"/>
  <c r="S1355" i="4"/>
  <c r="S1354" i="4"/>
  <c r="T1354" i="4" s="1"/>
  <c r="S1353" i="4"/>
  <c r="T1353" i="4" s="1"/>
  <c r="S1352" i="4"/>
  <c r="T1352" i="4" s="1"/>
  <c r="S1351" i="4"/>
  <c r="T1351" i="4" s="1"/>
  <c r="S1350" i="4"/>
  <c r="T1350" i="4" s="1"/>
  <c r="T1349" i="4"/>
  <c r="S1349" i="4"/>
  <c r="S1348" i="4"/>
  <c r="T1348" i="4" s="1"/>
  <c r="S1347" i="4"/>
  <c r="T1347" i="4" s="1"/>
  <c r="S1346" i="4"/>
  <c r="T1346" i="4" s="1"/>
  <c r="S1345" i="4"/>
  <c r="T1345" i="4" s="1"/>
  <c r="S1344" i="4"/>
  <c r="T1344" i="4" s="1"/>
  <c r="S1343" i="4"/>
  <c r="T1343" i="4" s="1"/>
  <c r="S1342" i="4"/>
  <c r="T1342" i="4" s="1"/>
  <c r="T1341" i="4"/>
  <c r="S1341" i="4"/>
  <c r="S1340" i="4"/>
  <c r="T1340" i="4" s="1"/>
  <c r="T1339" i="4"/>
  <c r="S1339" i="4"/>
  <c r="S1338" i="4"/>
  <c r="T1338" i="4" s="1"/>
  <c r="S1337" i="4"/>
  <c r="T1337" i="4" s="1"/>
  <c r="S1336" i="4"/>
  <c r="T1336" i="4" s="1"/>
  <c r="S1335" i="4"/>
  <c r="T1335" i="4" s="1"/>
  <c r="S1334" i="4"/>
  <c r="T1334" i="4" s="1"/>
  <c r="T1333" i="4"/>
  <c r="S1333" i="4"/>
  <c r="S1332" i="4"/>
  <c r="T1332" i="4" s="1"/>
  <c r="S1331" i="4"/>
  <c r="T1331" i="4" s="1"/>
  <c r="S1330" i="4"/>
  <c r="T1330" i="4" s="1"/>
  <c r="S1329" i="4"/>
  <c r="T1329" i="4" s="1"/>
  <c r="S1328" i="4"/>
  <c r="T1328" i="4" s="1"/>
  <c r="S1327" i="4"/>
  <c r="T1327" i="4" s="1"/>
  <c r="S1326" i="4"/>
  <c r="T1326" i="4" s="1"/>
  <c r="T1325" i="4"/>
  <c r="S1325" i="4"/>
  <c r="S1324" i="4"/>
  <c r="T1324" i="4" s="1"/>
  <c r="T1323" i="4"/>
  <c r="S1323" i="4"/>
  <c r="S1322" i="4"/>
  <c r="T1322" i="4" s="1"/>
  <c r="S1321" i="4"/>
  <c r="T1321" i="4" s="1"/>
  <c r="S1320" i="4"/>
  <c r="T1320" i="4" s="1"/>
  <c r="S1319" i="4"/>
  <c r="T1319" i="4" s="1"/>
  <c r="S1318" i="4"/>
  <c r="T1318" i="4" s="1"/>
  <c r="T1317" i="4"/>
  <c r="S1317" i="4"/>
  <c r="S1316" i="4"/>
  <c r="T1316" i="4" s="1"/>
  <c r="S1315" i="4"/>
  <c r="T1315" i="4" s="1"/>
  <c r="S1314" i="4"/>
  <c r="T1314" i="4" s="1"/>
  <c r="S1313" i="4"/>
  <c r="T1313" i="4" s="1"/>
  <c r="S1312" i="4"/>
  <c r="T1312" i="4" s="1"/>
  <c r="S1311" i="4"/>
  <c r="T1311" i="4" s="1"/>
  <c r="S1310" i="4"/>
  <c r="T1310" i="4" s="1"/>
  <c r="T1309" i="4"/>
  <c r="S1309" i="4"/>
  <c r="S1308" i="4"/>
  <c r="T1308" i="4" s="1"/>
  <c r="T1307" i="4"/>
  <c r="S1307" i="4"/>
  <c r="S1306" i="4"/>
  <c r="T1306" i="4" s="1"/>
  <c r="S1305" i="4"/>
  <c r="T1305" i="4" s="1"/>
  <c r="S1304" i="4"/>
  <c r="T1304" i="4" s="1"/>
  <c r="S1303" i="4"/>
  <c r="T1303" i="4" s="1"/>
  <c r="S1302" i="4"/>
  <c r="T1302" i="4" s="1"/>
  <c r="T1301" i="4"/>
  <c r="S1301" i="4"/>
  <c r="S1300" i="4"/>
  <c r="T1300" i="4" s="1"/>
  <c r="S1299" i="4"/>
  <c r="T1299" i="4" s="1"/>
  <c r="S1298" i="4"/>
  <c r="T1298" i="4" s="1"/>
  <c r="S1297" i="4"/>
  <c r="T1297" i="4" s="1"/>
  <c r="S1296" i="4"/>
  <c r="T1296" i="4" s="1"/>
  <c r="S1295" i="4"/>
  <c r="T1295" i="4" s="1"/>
  <c r="S1294" i="4"/>
  <c r="T1294" i="4" s="1"/>
  <c r="T1293" i="4"/>
  <c r="S1293" i="4"/>
  <c r="S1292" i="4"/>
  <c r="T1292" i="4" s="1"/>
  <c r="T1291" i="4"/>
  <c r="S1291" i="4"/>
  <c r="S1290" i="4"/>
  <c r="T1290" i="4" s="1"/>
  <c r="S1289" i="4"/>
  <c r="T1289" i="4" s="1"/>
  <c r="S1288" i="4"/>
  <c r="T1288" i="4" s="1"/>
  <c r="S1287" i="4"/>
  <c r="T1287" i="4" s="1"/>
  <c r="S1286" i="4"/>
  <c r="T1286" i="4" s="1"/>
  <c r="T1285" i="4"/>
  <c r="S1285" i="4"/>
  <c r="S1284" i="4"/>
  <c r="T1284" i="4" s="1"/>
  <c r="T1283" i="4"/>
  <c r="S1283" i="4"/>
  <c r="S1282" i="4"/>
  <c r="T1282" i="4" s="1"/>
  <c r="T1281" i="4"/>
  <c r="S1281" i="4"/>
  <c r="S1280" i="4"/>
  <c r="T1280" i="4" s="1"/>
  <c r="S1279" i="4"/>
  <c r="T1279" i="4" s="1"/>
  <c r="S1278" i="4"/>
  <c r="T1278" i="4" s="1"/>
  <c r="T1277" i="4"/>
  <c r="S1277" i="4"/>
  <c r="S1276" i="4"/>
  <c r="T1276" i="4" s="1"/>
  <c r="T1275" i="4"/>
  <c r="S1275" i="4"/>
  <c r="S1274" i="4"/>
  <c r="T1274" i="4" s="1"/>
  <c r="S1273" i="4"/>
  <c r="T1273" i="4" s="1"/>
  <c r="S1272" i="4"/>
  <c r="T1272" i="4" s="1"/>
  <c r="S1271" i="4"/>
  <c r="T1271" i="4" s="1"/>
  <c r="S1270" i="4"/>
  <c r="T1270" i="4" s="1"/>
  <c r="T1269" i="4"/>
  <c r="S1269" i="4"/>
  <c r="S1268" i="4"/>
  <c r="T1268" i="4" s="1"/>
  <c r="T1267" i="4"/>
  <c r="S1267" i="4"/>
  <c r="S1266" i="4"/>
  <c r="T1266" i="4" s="1"/>
  <c r="S1265" i="4"/>
  <c r="T1265" i="4" s="1"/>
  <c r="S1264" i="4"/>
  <c r="T1264" i="4" s="1"/>
  <c r="S1263" i="4"/>
  <c r="T1263" i="4" s="1"/>
  <c r="S1262" i="4"/>
  <c r="T1262" i="4" s="1"/>
  <c r="T1261" i="4"/>
  <c r="S1261" i="4"/>
  <c r="S1260" i="4"/>
  <c r="T1260" i="4" s="1"/>
  <c r="T1259" i="4"/>
  <c r="S1259" i="4"/>
  <c r="S1258" i="4"/>
  <c r="T1258" i="4" s="1"/>
  <c r="S1257" i="4"/>
  <c r="T1257" i="4" s="1"/>
  <c r="S1256" i="4"/>
  <c r="T1256" i="4" s="1"/>
  <c r="S1255" i="4"/>
  <c r="T1255" i="4" s="1"/>
  <c r="S1254" i="4"/>
  <c r="T1254" i="4" s="1"/>
  <c r="T1253" i="4"/>
  <c r="S1253" i="4"/>
  <c r="S1252" i="4"/>
  <c r="T1252" i="4" s="1"/>
  <c r="T1251" i="4"/>
  <c r="S1251" i="4"/>
  <c r="S1250" i="4"/>
  <c r="T1250" i="4" s="1"/>
  <c r="T1249" i="4"/>
  <c r="S1249" i="4"/>
  <c r="S1248" i="4"/>
  <c r="T1248" i="4" s="1"/>
  <c r="S1247" i="4"/>
  <c r="T1247" i="4" s="1"/>
  <c r="S1246" i="4"/>
  <c r="T1246" i="4" s="1"/>
  <c r="T1245" i="4"/>
  <c r="S1245" i="4"/>
  <c r="S1244" i="4"/>
  <c r="T1244" i="4" s="1"/>
  <c r="T1243" i="4"/>
  <c r="S1243" i="4"/>
  <c r="S1242" i="4"/>
  <c r="T1242" i="4" s="1"/>
  <c r="S1241" i="4"/>
  <c r="T1241" i="4" s="1"/>
  <c r="S1240" i="4"/>
  <c r="T1240" i="4" s="1"/>
  <c r="S1239" i="4"/>
  <c r="T1239" i="4" s="1"/>
  <c r="S1238" i="4"/>
  <c r="T1238" i="4" s="1"/>
  <c r="T1237" i="4"/>
  <c r="S1237" i="4"/>
  <c r="S1236" i="4"/>
  <c r="T1236" i="4" s="1"/>
  <c r="T1235" i="4"/>
  <c r="S1235" i="4"/>
  <c r="S1234" i="4"/>
  <c r="T1234" i="4" s="1"/>
  <c r="S1233" i="4"/>
  <c r="T1233" i="4" s="1"/>
  <c r="S1232" i="4"/>
  <c r="T1232" i="4" s="1"/>
  <c r="S1231" i="4"/>
  <c r="T1231" i="4" s="1"/>
  <c r="S1230" i="4"/>
  <c r="T1230" i="4" s="1"/>
  <c r="T1229" i="4"/>
  <c r="S1229" i="4"/>
  <c r="S1228" i="4"/>
  <c r="T1228" i="4" s="1"/>
  <c r="T1227" i="4"/>
  <c r="S1227" i="4"/>
  <c r="S1226" i="4"/>
  <c r="T1226" i="4" s="1"/>
  <c r="S1225" i="4"/>
  <c r="T1225" i="4" s="1"/>
  <c r="S1224" i="4"/>
  <c r="T1224" i="4" s="1"/>
  <c r="S1223" i="4"/>
  <c r="T1223" i="4" s="1"/>
  <c r="S1222" i="4"/>
  <c r="T1222" i="4" s="1"/>
  <c r="T1221" i="4"/>
  <c r="S1221" i="4"/>
  <c r="S1220" i="4"/>
  <c r="T1220" i="4" s="1"/>
  <c r="T1219" i="4"/>
  <c r="S1219" i="4"/>
  <c r="S1218" i="4"/>
  <c r="T1218" i="4" s="1"/>
  <c r="T1217" i="4"/>
  <c r="S1217" i="4"/>
  <c r="S1216" i="4"/>
  <c r="T1216" i="4" s="1"/>
  <c r="S1215" i="4"/>
  <c r="T1215" i="4" s="1"/>
  <c r="S1214" i="4"/>
  <c r="T1214" i="4" s="1"/>
  <c r="T1213" i="4"/>
  <c r="S1213" i="4"/>
  <c r="S1212" i="4"/>
  <c r="T1212" i="4" s="1"/>
  <c r="T1211" i="4"/>
  <c r="S1211" i="4"/>
  <c r="S1210" i="4"/>
  <c r="T1210" i="4" s="1"/>
  <c r="S1209" i="4"/>
  <c r="T1209" i="4" s="1"/>
  <c r="S1208" i="4"/>
  <c r="T1208" i="4" s="1"/>
  <c r="S1207" i="4"/>
  <c r="T1207" i="4" s="1"/>
  <c r="S1206" i="4"/>
  <c r="T1206" i="4" s="1"/>
  <c r="T1205" i="4"/>
  <c r="S1205" i="4"/>
  <c r="S1204" i="4"/>
  <c r="T1204" i="4" s="1"/>
  <c r="T1203" i="4"/>
  <c r="S1203" i="4"/>
  <c r="S1202" i="4"/>
  <c r="T1202" i="4" s="1"/>
  <c r="S1201" i="4"/>
  <c r="T1201" i="4" s="1"/>
  <c r="S1200" i="4"/>
  <c r="T1200" i="4" s="1"/>
  <c r="S1199" i="4"/>
  <c r="T1199" i="4" s="1"/>
  <c r="S1198" i="4"/>
  <c r="T1198" i="4" s="1"/>
  <c r="T1197" i="4"/>
  <c r="S1197" i="4"/>
  <c r="S1196" i="4"/>
  <c r="T1196" i="4" s="1"/>
  <c r="T1195" i="4"/>
  <c r="S1195" i="4"/>
  <c r="S1194" i="4"/>
  <c r="T1194" i="4" s="1"/>
  <c r="T1193" i="4"/>
  <c r="S1193" i="4"/>
  <c r="S1192" i="4"/>
  <c r="T1192" i="4" s="1"/>
  <c r="S1191" i="4"/>
  <c r="T1191" i="4" s="1"/>
  <c r="S1190" i="4"/>
  <c r="T1190" i="4" s="1"/>
  <c r="T1189" i="4"/>
  <c r="S1189" i="4"/>
  <c r="S1188" i="4"/>
  <c r="T1188" i="4" s="1"/>
  <c r="T1187" i="4"/>
  <c r="S1187" i="4"/>
  <c r="S1186" i="4"/>
  <c r="T1186" i="4" s="1"/>
  <c r="T1185" i="4"/>
  <c r="S1185" i="4"/>
  <c r="S1184" i="4"/>
  <c r="T1184" i="4" s="1"/>
  <c r="S1183" i="4"/>
  <c r="T1183" i="4" s="1"/>
  <c r="S1182" i="4"/>
  <c r="T1182" i="4" s="1"/>
  <c r="T1181" i="4"/>
  <c r="S1181" i="4"/>
  <c r="T1180" i="4"/>
  <c r="S1180" i="4"/>
  <c r="T1179" i="4"/>
  <c r="S1179" i="4"/>
  <c r="T1178" i="4"/>
  <c r="S1178" i="4"/>
  <c r="T1177" i="4"/>
  <c r="S1177" i="4"/>
  <c r="T1176" i="4"/>
  <c r="S1176" i="4"/>
  <c r="T1175" i="4"/>
  <c r="S1175" i="4"/>
  <c r="T1174" i="4"/>
  <c r="S1174" i="4"/>
  <c r="T1173" i="4"/>
  <c r="S1173" i="4"/>
  <c r="T1172" i="4"/>
  <c r="S1172" i="4"/>
  <c r="T1171" i="4"/>
  <c r="S1171" i="4"/>
  <c r="T1170" i="4"/>
  <c r="S1170" i="4"/>
  <c r="T1169" i="4"/>
  <c r="S1169" i="4"/>
  <c r="T1168" i="4"/>
  <c r="S1168" i="4"/>
  <c r="T1167" i="4"/>
  <c r="S1167" i="4"/>
  <c r="T1166" i="4"/>
  <c r="S1166" i="4"/>
  <c r="T1165" i="4"/>
  <c r="S1165" i="4"/>
  <c r="T1164" i="4"/>
  <c r="S1164" i="4"/>
  <c r="T1163" i="4"/>
  <c r="S1163" i="4"/>
  <c r="T1162" i="4"/>
  <c r="S1162" i="4"/>
  <c r="T1161" i="4"/>
  <c r="S1161" i="4"/>
  <c r="T1160" i="4"/>
  <c r="S1160" i="4"/>
  <c r="T1159" i="4"/>
  <c r="S1159" i="4"/>
  <c r="T1158" i="4"/>
  <c r="S1158" i="4"/>
  <c r="T1157" i="4"/>
  <c r="S1157" i="4"/>
  <c r="T1156" i="4"/>
  <c r="S1156" i="4"/>
  <c r="T1155" i="4"/>
  <c r="S1155" i="4"/>
  <c r="T1154" i="4"/>
  <c r="S1154" i="4"/>
  <c r="T1153" i="4"/>
  <c r="S1153" i="4"/>
  <c r="T1152" i="4"/>
  <c r="S1152" i="4"/>
  <c r="T1151" i="4"/>
  <c r="S1151" i="4"/>
  <c r="T1150" i="4"/>
  <c r="S1150" i="4"/>
  <c r="T1149" i="4"/>
  <c r="S1149" i="4"/>
  <c r="T1148" i="4"/>
  <c r="S1148" i="4"/>
  <c r="T1147" i="4"/>
  <c r="S1147" i="4"/>
  <c r="T1146" i="4"/>
  <c r="S1146" i="4"/>
  <c r="T1145" i="4"/>
  <c r="S1145" i="4"/>
  <c r="T1144" i="4"/>
  <c r="S1144" i="4"/>
  <c r="T1143" i="4"/>
  <c r="S1143" i="4"/>
  <c r="T1142" i="4"/>
  <c r="S1142" i="4"/>
  <c r="T1141" i="4"/>
  <c r="S1141" i="4"/>
  <c r="T1140" i="4"/>
  <c r="S1140" i="4"/>
  <c r="T1139" i="4"/>
  <c r="S1139" i="4"/>
  <c r="T1138" i="4"/>
  <c r="S1138" i="4"/>
  <c r="T1137" i="4"/>
  <c r="S1137" i="4"/>
  <c r="T1136" i="4"/>
  <c r="S1136" i="4"/>
  <c r="T1135" i="4"/>
  <c r="S1135" i="4"/>
  <c r="T1134" i="4"/>
  <c r="S1134" i="4"/>
  <c r="T1133" i="4"/>
  <c r="S1133" i="4"/>
  <c r="T1132" i="4"/>
  <c r="S1132" i="4"/>
  <c r="T1131" i="4"/>
  <c r="S1131" i="4"/>
  <c r="T1130" i="4"/>
  <c r="S1130" i="4"/>
  <c r="T1129" i="4"/>
  <c r="S1129" i="4"/>
  <c r="T1128" i="4"/>
  <c r="S1128" i="4"/>
  <c r="T1127" i="4"/>
  <c r="S1127" i="4"/>
  <c r="T1126" i="4"/>
  <c r="S1126" i="4"/>
  <c r="T1125" i="4"/>
  <c r="S1125" i="4"/>
  <c r="T1124" i="4"/>
  <c r="S1124" i="4"/>
  <c r="T1123" i="4"/>
  <c r="S1123" i="4"/>
  <c r="T1122" i="4"/>
  <c r="S1122" i="4"/>
  <c r="T1121" i="4"/>
  <c r="S1121" i="4"/>
  <c r="T1120" i="4"/>
  <c r="S1120" i="4"/>
  <c r="T1119" i="4"/>
  <c r="S1119" i="4"/>
  <c r="T1118" i="4"/>
  <c r="S1118" i="4"/>
  <c r="T1117" i="4"/>
  <c r="S1117" i="4"/>
  <c r="T1116" i="4"/>
  <c r="S1116" i="4"/>
  <c r="T1115" i="4"/>
  <c r="S1115" i="4"/>
  <c r="T1114" i="4"/>
  <c r="S1114" i="4"/>
  <c r="T1113" i="4"/>
  <c r="S1113" i="4"/>
  <c r="T1112" i="4"/>
  <c r="S1112" i="4"/>
  <c r="T1111" i="4"/>
  <c r="S1111" i="4"/>
  <c r="T1110" i="4"/>
  <c r="S1110" i="4"/>
  <c r="T1109" i="4"/>
  <c r="S1109" i="4"/>
  <c r="T1108" i="4"/>
  <c r="S1108" i="4"/>
  <c r="T1107" i="4"/>
  <c r="S1107" i="4"/>
  <c r="T1106" i="4"/>
  <c r="S1106" i="4"/>
  <c r="T1105" i="4"/>
  <c r="S1105" i="4"/>
  <c r="T1104" i="4"/>
  <c r="S1104" i="4"/>
  <c r="T1103" i="4"/>
  <c r="S1103" i="4"/>
  <c r="T1102" i="4"/>
  <c r="S1102" i="4"/>
  <c r="T1101" i="4"/>
  <c r="S1101" i="4"/>
  <c r="T1100" i="4"/>
  <c r="S1100" i="4"/>
  <c r="T1099" i="4"/>
  <c r="S1099" i="4"/>
  <c r="T1098" i="4"/>
  <c r="S1098" i="4"/>
  <c r="T1097" i="4"/>
  <c r="S1097" i="4"/>
  <c r="T1096" i="4"/>
  <c r="S1096" i="4"/>
  <c r="T1095" i="4"/>
  <c r="S1095" i="4"/>
  <c r="T1094" i="4"/>
  <c r="S1094" i="4"/>
  <c r="T1093" i="4"/>
  <c r="S1093" i="4"/>
  <c r="T1092" i="4"/>
  <c r="S1092" i="4"/>
  <c r="T1091" i="4"/>
  <c r="S1091" i="4"/>
  <c r="T1090" i="4"/>
  <c r="S1090" i="4"/>
  <c r="T1089" i="4"/>
  <c r="S1089" i="4"/>
  <c r="T1088" i="4"/>
  <c r="S1088" i="4"/>
  <c r="T1087" i="4"/>
  <c r="S1087" i="4"/>
  <c r="T1086" i="4"/>
  <c r="S1086" i="4"/>
  <c r="T1085" i="4"/>
  <c r="S1085" i="4"/>
  <c r="T1084" i="4"/>
  <c r="S1084" i="4"/>
  <c r="T1083" i="4"/>
  <c r="S1083" i="4"/>
  <c r="T1082" i="4"/>
  <c r="S1082" i="4"/>
  <c r="T1081" i="4"/>
  <c r="S1081" i="4"/>
  <c r="T1080" i="4"/>
  <c r="S1080" i="4"/>
  <c r="T1079" i="4"/>
  <c r="S1079" i="4"/>
  <c r="T1078" i="4"/>
  <c r="S1078" i="4"/>
  <c r="T1077" i="4"/>
  <c r="S1077" i="4"/>
  <c r="T1076" i="4"/>
  <c r="S1076" i="4"/>
  <c r="T1075" i="4"/>
  <c r="S1075" i="4"/>
  <c r="T1074" i="4"/>
  <c r="S1074" i="4"/>
  <c r="T1073" i="4"/>
  <c r="S1073" i="4"/>
  <c r="T1072" i="4"/>
  <c r="S1072" i="4"/>
  <c r="T1071" i="4"/>
  <c r="S1071" i="4"/>
  <c r="T1070" i="4"/>
  <c r="S1070" i="4"/>
  <c r="T1069" i="4"/>
  <c r="S1069" i="4"/>
  <c r="T1068" i="4"/>
  <c r="S1068" i="4"/>
  <c r="T1067" i="4"/>
  <c r="S1067" i="4"/>
  <c r="T1066" i="4"/>
  <c r="S1066" i="4"/>
  <c r="T1065" i="4"/>
  <c r="S1065" i="4"/>
  <c r="T1064" i="4"/>
  <c r="S1064" i="4"/>
  <c r="T1063" i="4"/>
  <c r="S1063" i="4"/>
  <c r="T1062" i="4"/>
  <c r="S1062" i="4"/>
  <c r="T1061" i="4"/>
  <c r="S1061" i="4"/>
  <c r="T1060" i="4"/>
  <c r="S1060" i="4"/>
  <c r="T1059" i="4"/>
  <c r="S1059" i="4"/>
  <c r="T1058" i="4"/>
  <c r="S1058" i="4"/>
  <c r="T1057" i="4"/>
  <c r="S1057" i="4"/>
  <c r="T1056" i="4"/>
  <c r="S1056" i="4"/>
  <c r="T1055" i="4"/>
  <c r="S1055" i="4"/>
  <c r="T1054" i="4"/>
  <c r="S1054" i="4"/>
  <c r="T1053" i="4"/>
  <c r="S1053" i="4"/>
  <c r="T1052" i="4"/>
  <c r="S1052" i="4"/>
  <c r="T1051" i="4"/>
  <c r="S1051" i="4"/>
  <c r="T1050" i="4"/>
  <c r="S1050" i="4"/>
  <c r="T1049" i="4"/>
  <c r="S1049" i="4"/>
  <c r="T1048" i="4"/>
  <c r="S1048" i="4"/>
  <c r="T1047" i="4"/>
  <c r="S1047" i="4"/>
  <c r="T1046" i="4"/>
  <c r="S1046" i="4"/>
  <c r="T1045" i="4"/>
  <c r="S1045" i="4"/>
  <c r="T1044" i="4"/>
  <c r="S1044" i="4"/>
  <c r="T1043" i="4"/>
  <c r="S1043" i="4"/>
  <c r="T1042" i="4"/>
  <c r="S1042" i="4"/>
  <c r="T1041" i="4"/>
  <c r="S1041" i="4"/>
  <c r="T1040" i="4"/>
  <c r="S1040" i="4"/>
  <c r="T1039" i="4"/>
  <c r="S1039" i="4"/>
  <c r="T1038" i="4"/>
  <c r="S1038" i="4"/>
  <c r="T1037" i="4"/>
  <c r="S1037" i="4"/>
  <c r="T1036" i="4"/>
  <c r="S1036" i="4"/>
  <c r="T1035" i="4"/>
  <c r="S1035" i="4"/>
  <c r="T1034" i="4"/>
  <c r="S1034" i="4"/>
  <c r="T1033" i="4"/>
  <c r="S1033" i="4"/>
  <c r="T1032" i="4"/>
  <c r="S1032" i="4"/>
  <c r="T1031" i="4"/>
  <c r="S1031" i="4"/>
  <c r="T1030" i="4"/>
  <c r="S1030" i="4"/>
  <c r="T1029" i="4"/>
  <c r="S1029" i="4"/>
  <c r="T1028" i="4"/>
  <c r="S1028" i="4"/>
  <c r="T1027" i="4"/>
  <c r="S1027" i="4"/>
  <c r="T1026" i="4"/>
  <c r="S1026" i="4"/>
  <c r="T1025" i="4"/>
  <c r="S1025" i="4"/>
  <c r="T1024" i="4"/>
  <c r="S1024" i="4"/>
  <c r="T1023" i="4"/>
  <c r="S1023" i="4"/>
  <c r="T1022" i="4"/>
  <c r="S1022" i="4"/>
  <c r="T1021" i="4"/>
  <c r="S1021" i="4"/>
  <c r="T1020" i="4"/>
  <c r="S1020" i="4"/>
  <c r="T1019" i="4"/>
  <c r="S1019" i="4"/>
  <c r="T1018" i="4"/>
  <c r="S1018" i="4"/>
  <c r="T1017" i="4"/>
  <c r="S1017" i="4"/>
  <c r="T1016" i="4"/>
  <c r="S1016" i="4"/>
  <c r="T1015" i="4"/>
  <c r="S1015" i="4"/>
  <c r="T1014" i="4"/>
  <c r="S1014" i="4"/>
  <c r="T1013" i="4"/>
  <c r="S1013" i="4"/>
  <c r="T1012" i="4"/>
  <c r="S1012" i="4"/>
  <c r="T1011" i="4"/>
  <c r="S1011" i="4"/>
  <c r="T1010" i="4"/>
  <c r="S1010" i="4"/>
  <c r="T1009" i="4"/>
  <c r="S1009" i="4"/>
  <c r="T1008" i="4"/>
  <c r="S1008" i="4"/>
  <c r="T1007" i="4"/>
  <c r="S1007" i="4"/>
  <c r="T1006" i="4"/>
  <c r="S1006" i="4"/>
  <c r="T1005" i="4"/>
  <c r="S1005" i="4"/>
  <c r="T1004" i="4"/>
  <c r="S1004" i="4"/>
  <c r="T1003" i="4"/>
  <c r="S1003" i="4"/>
  <c r="T1002" i="4"/>
  <c r="S1002" i="4"/>
  <c r="T1001" i="4"/>
  <c r="S1001" i="4"/>
  <c r="T1000" i="4"/>
  <c r="S1000" i="4"/>
  <c r="T999" i="4"/>
  <c r="S999" i="4"/>
  <c r="T998" i="4"/>
  <c r="S998" i="4"/>
  <c r="T997" i="4"/>
  <c r="S997" i="4"/>
  <c r="T996" i="4"/>
  <c r="S996" i="4"/>
  <c r="T995" i="4"/>
  <c r="S995" i="4"/>
  <c r="T994" i="4"/>
  <c r="S994" i="4"/>
  <c r="T993" i="4"/>
  <c r="S993" i="4"/>
  <c r="T992" i="4"/>
  <c r="S992" i="4"/>
  <c r="T991" i="4"/>
  <c r="S991" i="4"/>
  <c r="T990" i="4"/>
  <c r="S990" i="4"/>
  <c r="T989" i="4"/>
  <c r="S989" i="4"/>
  <c r="T988" i="4"/>
  <c r="S988" i="4"/>
  <c r="T987" i="4"/>
  <c r="S987" i="4"/>
  <c r="T986" i="4"/>
  <c r="S986" i="4"/>
  <c r="T985" i="4"/>
  <c r="S985" i="4"/>
  <c r="T984" i="4"/>
  <c r="S984" i="4"/>
  <c r="T983" i="4"/>
  <c r="S983" i="4"/>
  <c r="T982" i="4"/>
  <c r="S982" i="4"/>
  <c r="T981" i="4"/>
  <c r="S981" i="4"/>
  <c r="T980" i="4"/>
  <c r="S980" i="4"/>
  <c r="T979" i="4"/>
  <c r="S979" i="4"/>
  <c r="T978" i="4"/>
  <c r="S978" i="4"/>
  <c r="T977" i="4"/>
  <c r="S977" i="4"/>
  <c r="T976" i="4"/>
  <c r="S976" i="4"/>
  <c r="T975" i="4"/>
  <c r="S975" i="4"/>
  <c r="T974" i="4"/>
  <c r="S974" i="4"/>
  <c r="T973" i="4"/>
  <c r="S973" i="4"/>
  <c r="T972" i="4"/>
  <c r="S972" i="4"/>
  <c r="T971" i="4"/>
  <c r="S971" i="4"/>
  <c r="T970" i="4"/>
  <c r="S970" i="4"/>
  <c r="T969" i="4"/>
  <c r="S969" i="4"/>
  <c r="T968" i="4"/>
  <c r="S968" i="4"/>
  <c r="T967" i="4"/>
  <c r="S967" i="4"/>
  <c r="T966" i="4"/>
  <c r="S966" i="4"/>
  <c r="T965" i="4"/>
  <c r="S965" i="4"/>
  <c r="T964" i="4"/>
  <c r="S964" i="4"/>
  <c r="T963" i="4"/>
  <c r="S963" i="4"/>
  <c r="T962" i="4"/>
  <c r="S962" i="4"/>
  <c r="T961" i="4"/>
  <c r="S961" i="4"/>
  <c r="T960" i="4"/>
  <c r="S960" i="4"/>
  <c r="T959" i="4"/>
  <c r="S959" i="4"/>
  <c r="T958" i="4"/>
  <c r="S958" i="4"/>
  <c r="T957" i="4"/>
  <c r="S957" i="4"/>
  <c r="T956" i="4"/>
  <c r="S956" i="4"/>
  <c r="T955" i="4"/>
  <c r="S955" i="4"/>
  <c r="T954" i="4"/>
  <c r="S954" i="4"/>
  <c r="T953" i="4"/>
  <c r="S953" i="4"/>
  <c r="T952" i="4"/>
  <c r="S952" i="4"/>
  <c r="T951" i="4"/>
  <c r="S951" i="4"/>
  <c r="T950" i="4"/>
  <c r="S950" i="4"/>
  <c r="T949" i="4"/>
  <c r="S949" i="4"/>
  <c r="T948" i="4"/>
  <c r="S948" i="4"/>
  <c r="T947" i="4"/>
  <c r="S947" i="4"/>
  <c r="T946" i="4"/>
  <c r="S946" i="4"/>
  <c r="T945" i="4"/>
  <c r="S945" i="4"/>
  <c r="T944" i="4"/>
  <c r="S944" i="4"/>
  <c r="T943" i="4"/>
  <c r="S943" i="4"/>
  <c r="T942" i="4"/>
  <c r="S942" i="4"/>
  <c r="T941" i="4"/>
  <c r="S941" i="4"/>
  <c r="T940" i="4"/>
  <c r="S940" i="4"/>
  <c r="T939" i="4"/>
  <c r="S939" i="4"/>
  <c r="T938" i="4"/>
  <c r="S938" i="4"/>
  <c r="T937" i="4"/>
  <c r="S937" i="4"/>
  <c r="S936" i="4"/>
  <c r="T936" i="4" s="1"/>
  <c r="T935" i="4"/>
  <c r="S935" i="4"/>
  <c r="T934" i="4"/>
  <c r="S934" i="4"/>
  <c r="T933" i="4"/>
  <c r="S933" i="4"/>
  <c r="T932" i="4"/>
  <c r="S932" i="4"/>
  <c r="T931" i="4"/>
  <c r="S931" i="4"/>
  <c r="T930" i="4"/>
  <c r="S930" i="4"/>
  <c r="T929" i="4"/>
  <c r="S929" i="4"/>
  <c r="S928" i="4"/>
  <c r="T928" i="4" s="1"/>
  <c r="S927" i="4"/>
  <c r="T927" i="4" s="1"/>
  <c r="S926" i="4"/>
  <c r="T926" i="4" s="1"/>
  <c r="S925" i="4"/>
  <c r="T925" i="4" s="1"/>
  <c r="S924" i="4"/>
  <c r="T924" i="4" s="1"/>
  <c r="T923" i="4"/>
  <c r="S923" i="4"/>
  <c r="S922" i="4"/>
  <c r="T922" i="4" s="1"/>
  <c r="T921" i="4"/>
  <c r="S921" i="4"/>
  <c r="S920" i="4"/>
  <c r="T920" i="4" s="1"/>
  <c r="S919" i="4"/>
  <c r="T919" i="4" s="1"/>
  <c r="S918" i="4"/>
  <c r="T918" i="4" s="1"/>
  <c r="S917" i="4"/>
  <c r="T917" i="4" s="1"/>
  <c r="S916" i="4"/>
  <c r="T916" i="4" s="1"/>
  <c r="T915" i="4"/>
  <c r="S915" i="4"/>
  <c r="S914" i="4"/>
  <c r="T914" i="4" s="1"/>
  <c r="T913" i="4"/>
  <c r="S913" i="4"/>
  <c r="S912" i="4"/>
  <c r="T912" i="4" s="1"/>
  <c r="T911" i="4"/>
  <c r="S911" i="4"/>
  <c r="S910" i="4"/>
  <c r="T910" i="4" s="1"/>
  <c r="S909" i="4"/>
  <c r="T909" i="4" s="1"/>
  <c r="S908" i="4"/>
  <c r="T908" i="4" s="1"/>
  <c r="T907" i="4"/>
  <c r="S907" i="4"/>
  <c r="S906" i="4"/>
  <c r="T906" i="4" s="1"/>
  <c r="T905" i="4"/>
  <c r="S905" i="4"/>
  <c r="S904" i="4"/>
  <c r="T904" i="4" s="1"/>
  <c r="T903" i="4"/>
  <c r="S903" i="4"/>
  <c r="S902" i="4"/>
  <c r="T902" i="4" s="1"/>
  <c r="S901" i="4"/>
  <c r="T901" i="4" s="1"/>
  <c r="S900" i="4"/>
  <c r="T900" i="4" s="1"/>
  <c r="T899" i="4"/>
  <c r="S899" i="4"/>
  <c r="S898" i="4"/>
  <c r="T898" i="4" s="1"/>
  <c r="T897" i="4"/>
  <c r="S897" i="4"/>
  <c r="S896" i="4"/>
  <c r="T896" i="4" s="1"/>
  <c r="S895" i="4"/>
  <c r="T895" i="4" s="1"/>
  <c r="S894" i="4"/>
  <c r="T894" i="4" s="1"/>
  <c r="S893" i="4"/>
  <c r="T893" i="4" s="1"/>
  <c r="S892" i="4"/>
  <c r="T892" i="4" s="1"/>
  <c r="T891" i="4"/>
  <c r="S891" i="4"/>
  <c r="S890" i="4"/>
  <c r="T890" i="4" s="1"/>
  <c r="T889" i="4"/>
  <c r="S889" i="4"/>
  <c r="S888" i="4"/>
  <c r="T888" i="4" s="1"/>
  <c r="S887" i="4"/>
  <c r="T887" i="4" s="1"/>
  <c r="S886" i="4"/>
  <c r="T886" i="4" s="1"/>
  <c r="S885" i="4"/>
  <c r="T885" i="4" s="1"/>
  <c r="S884" i="4"/>
  <c r="T884" i="4" s="1"/>
  <c r="T883" i="4"/>
  <c r="S883" i="4"/>
  <c r="S882" i="4"/>
  <c r="T882" i="4" s="1"/>
  <c r="T881" i="4"/>
  <c r="S881" i="4"/>
  <c r="S880" i="4"/>
  <c r="T880" i="4" s="1"/>
  <c r="T879" i="4"/>
  <c r="S879" i="4"/>
  <c r="S878" i="4"/>
  <c r="T878" i="4" s="1"/>
  <c r="S877" i="4"/>
  <c r="T877" i="4" s="1"/>
  <c r="S876" i="4"/>
  <c r="T876" i="4" s="1"/>
  <c r="T875" i="4"/>
  <c r="S875" i="4"/>
  <c r="S874" i="4"/>
  <c r="T874" i="4" s="1"/>
  <c r="T873" i="4"/>
  <c r="S873" i="4"/>
  <c r="S872" i="4"/>
  <c r="T872" i="4" s="1"/>
  <c r="T871" i="4"/>
  <c r="S871" i="4"/>
  <c r="S870" i="4"/>
  <c r="T870" i="4" s="1"/>
  <c r="S869" i="4"/>
  <c r="T869" i="4" s="1"/>
  <c r="S868" i="4"/>
  <c r="T868" i="4" s="1"/>
  <c r="T867" i="4"/>
  <c r="S867" i="4"/>
  <c r="S866" i="4"/>
  <c r="T866" i="4" s="1"/>
  <c r="T865" i="4"/>
  <c r="S865" i="4"/>
  <c r="S864" i="4"/>
  <c r="T864" i="4" s="1"/>
  <c r="S863" i="4"/>
  <c r="T863" i="4" s="1"/>
  <c r="S862" i="4"/>
  <c r="T862" i="4" s="1"/>
  <c r="S861" i="4"/>
  <c r="T861" i="4" s="1"/>
  <c r="S860" i="4"/>
  <c r="T860" i="4" s="1"/>
  <c r="T859" i="4"/>
  <c r="S859" i="4"/>
  <c r="S858" i="4"/>
  <c r="T858" i="4" s="1"/>
  <c r="T857" i="4"/>
  <c r="S857" i="4"/>
  <c r="S856" i="4"/>
  <c r="T856" i="4" s="1"/>
  <c r="S855" i="4"/>
  <c r="T855" i="4" s="1"/>
  <c r="S854" i="4"/>
  <c r="T854" i="4" s="1"/>
  <c r="S853" i="4"/>
  <c r="T853" i="4" s="1"/>
  <c r="S852" i="4"/>
  <c r="T852" i="4" s="1"/>
  <c r="T851" i="4"/>
  <c r="S851" i="4"/>
  <c r="S850" i="4"/>
  <c r="T850" i="4" s="1"/>
  <c r="T849" i="4"/>
  <c r="S849" i="4"/>
  <c r="S848" i="4"/>
  <c r="T848" i="4" s="1"/>
  <c r="T847" i="4"/>
  <c r="S847" i="4"/>
  <c r="S846" i="4"/>
  <c r="T846" i="4" s="1"/>
  <c r="S845" i="4"/>
  <c r="T845" i="4" s="1"/>
  <c r="S844" i="4"/>
  <c r="T844" i="4" s="1"/>
  <c r="T843" i="4"/>
  <c r="S843" i="4"/>
  <c r="S842" i="4"/>
  <c r="T842" i="4" s="1"/>
  <c r="T841" i="4"/>
  <c r="S841" i="4"/>
  <c r="S840" i="4"/>
  <c r="T840" i="4" s="1"/>
  <c r="T839" i="4"/>
  <c r="S839" i="4"/>
  <c r="S838" i="4"/>
  <c r="T838" i="4" s="1"/>
  <c r="S837" i="4"/>
  <c r="T837" i="4" s="1"/>
  <c r="S836" i="4"/>
  <c r="T836" i="4" s="1"/>
  <c r="T835" i="4"/>
  <c r="S835" i="4"/>
  <c r="S834" i="4"/>
  <c r="T834" i="4" s="1"/>
  <c r="T833" i="4"/>
  <c r="S833" i="4"/>
  <c r="S832" i="4"/>
  <c r="T832" i="4" s="1"/>
  <c r="S831" i="4"/>
  <c r="T831" i="4" s="1"/>
  <c r="S830" i="4"/>
  <c r="T830" i="4" s="1"/>
  <c r="S829" i="4"/>
  <c r="T829" i="4" s="1"/>
  <c r="S828" i="4"/>
  <c r="T828" i="4" s="1"/>
  <c r="T827" i="4"/>
  <c r="S827" i="4"/>
  <c r="S826" i="4"/>
  <c r="T826" i="4" s="1"/>
  <c r="T825" i="4"/>
  <c r="S825" i="4"/>
  <c r="S824" i="4"/>
  <c r="T824" i="4" s="1"/>
  <c r="S823" i="4"/>
  <c r="T823" i="4" s="1"/>
  <c r="S822" i="4"/>
  <c r="T822" i="4" s="1"/>
  <c r="S821" i="4"/>
  <c r="T821" i="4" s="1"/>
  <c r="S820" i="4"/>
  <c r="T820" i="4" s="1"/>
  <c r="T819" i="4"/>
  <c r="S819" i="4"/>
  <c r="S818" i="4"/>
  <c r="T818" i="4" s="1"/>
  <c r="T817" i="4"/>
  <c r="S817" i="4"/>
  <c r="S816" i="4"/>
  <c r="T816" i="4" s="1"/>
  <c r="T815" i="4"/>
  <c r="S815" i="4"/>
  <c r="S814" i="4"/>
  <c r="T814" i="4" s="1"/>
  <c r="S813" i="4"/>
  <c r="T813" i="4" s="1"/>
  <c r="S812" i="4"/>
  <c r="T812" i="4" s="1"/>
  <c r="T811" i="4"/>
  <c r="S811" i="4"/>
  <c r="S810" i="4"/>
  <c r="T810" i="4" s="1"/>
  <c r="T809" i="4"/>
  <c r="S809" i="4"/>
  <c r="S808" i="4"/>
  <c r="T808" i="4" s="1"/>
  <c r="T807" i="4"/>
  <c r="S807" i="4"/>
  <c r="S806" i="4"/>
  <c r="T806" i="4" s="1"/>
  <c r="S805" i="4"/>
  <c r="T805" i="4" s="1"/>
  <c r="S804" i="4"/>
  <c r="T804" i="4" s="1"/>
  <c r="T803" i="4"/>
  <c r="S803" i="4"/>
  <c r="S802" i="4"/>
  <c r="T802" i="4" s="1"/>
  <c r="T801" i="4"/>
  <c r="S801" i="4"/>
  <c r="S800" i="4"/>
  <c r="T800" i="4" s="1"/>
  <c r="S799" i="4"/>
  <c r="T799" i="4" s="1"/>
  <c r="S798" i="4"/>
  <c r="T798" i="4" s="1"/>
  <c r="S797" i="4"/>
  <c r="T797" i="4" s="1"/>
  <c r="S796" i="4"/>
  <c r="T796" i="4" s="1"/>
  <c r="T795" i="4"/>
  <c r="S795" i="4"/>
  <c r="S794" i="4"/>
  <c r="T794" i="4" s="1"/>
  <c r="T793" i="4"/>
  <c r="S793" i="4"/>
  <c r="S792" i="4"/>
  <c r="T792" i="4" s="1"/>
  <c r="S791" i="4"/>
  <c r="T791" i="4" s="1"/>
  <c r="S790" i="4"/>
  <c r="T790" i="4" s="1"/>
  <c r="S789" i="4"/>
  <c r="T789" i="4" s="1"/>
  <c r="S788" i="4"/>
  <c r="T788" i="4" s="1"/>
  <c r="T787" i="4"/>
  <c r="S787" i="4"/>
  <c r="S786" i="4"/>
  <c r="T786" i="4" s="1"/>
  <c r="T785" i="4"/>
  <c r="S785" i="4"/>
  <c r="S784" i="4"/>
  <c r="T784" i="4" s="1"/>
  <c r="T783" i="4"/>
  <c r="S783" i="4"/>
  <c r="S782" i="4"/>
  <c r="T782" i="4" s="1"/>
  <c r="S781" i="4"/>
  <c r="T781" i="4" s="1"/>
  <c r="S780" i="4"/>
  <c r="T780" i="4" s="1"/>
  <c r="T779" i="4"/>
  <c r="S779" i="4"/>
  <c r="S778" i="4"/>
  <c r="T778" i="4" s="1"/>
  <c r="T777" i="4"/>
  <c r="S777" i="4"/>
  <c r="S776" i="4"/>
  <c r="T776" i="4" s="1"/>
  <c r="T775" i="4"/>
  <c r="S775" i="4"/>
  <c r="S774" i="4"/>
  <c r="T774" i="4" s="1"/>
  <c r="S773" i="4"/>
  <c r="T773" i="4" s="1"/>
  <c r="S772" i="4"/>
  <c r="T772" i="4" s="1"/>
  <c r="T771" i="4"/>
  <c r="S771" i="4"/>
  <c r="S770" i="4"/>
  <c r="T770" i="4" s="1"/>
  <c r="T769" i="4"/>
  <c r="S769" i="4"/>
  <c r="S768" i="4"/>
  <c r="T768" i="4" s="1"/>
  <c r="S767" i="4"/>
  <c r="T767" i="4" s="1"/>
  <c r="S766" i="4"/>
  <c r="T766" i="4" s="1"/>
  <c r="S765" i="4"/>
  <c r="T765" i="4" s="1"/>
  <c r="S764" i="4"/>
  <c r="T764" i="4" s="1"/>
  <c r="T763" i="4"/>
  <c r="S763" i="4"/>
  <c r="S762" i="4"/>
  <c r="T762" i="4" s="1"/>
  <c r="T761" i="4"/>
  <c r="S761" i="4"/>
  <c r="S760" i="4"/>
  <c r="T760" i="4" s="1"/>
  <c r="S759" i="4"/>
  <c r="T759" i="4" s="1"/>
  <c r="S758" i="4"/>
  <c r="T758" i="4" s="1"/>
  <c r="S757" i="4"/>
  <c r="T757" i="4" s="1"/>
  <c r="S756" i="4"/>
  <c r="T756" i="4" s="1"/>
  <c r="T755" i="4"/>
  <c r="S755" i="4"/>
  <c r="S754" i="4"/>
  <c r="T754" i="4" s="1"/>
  <c r="T753" i="4"/>
  <c r="S753" i="4"/>
  <c r="S752" i="4"/>
  <c r="T752" i="4" s="1"/>
  <c r="T751" i="4"/>
  <c r="S751" i="4"/>
  <c r="S750" i="4"/>
  <c r="T750" i="4" s="1"/>
  <c r="S749" i="4"/>
  <c r="T749" i="4" s="1"/>
  <c r="S748" i="4"/>
  <c r="T748" i="4" s="1"/>
  <c r="T747" i="4"/>
  <c r="S747" i="4"/>
  <c r="S746" i="4"/>
  <c r="T746" i="4" s="1"/>
  <c r="T745" i="4"/>
  <c r="S745" i="4"/>
  <c r="S744" i="4"/>
  <c r="T744" i="4" s="1"/>
  <c r="T743" i="4"/>
  <c r="S743" i="4"/>
  <c r="S742" i="4"/>
  <c r="T742" i="4" s="1"/>
  <c r="S741" i="4"/>
  <c r="T741" i="4" s="1"/>
  <c r="S740" i="4"/>
  <c r="T740" i="4" s="1"/>
  <c r="T739" i="4"/>
  <c r="S739" i="4"/>
  <c r="S738" i="4"/>
  <c r="T738" i="4" s="1"/>
  <c r="T737" i="4"/>
  <c r="S737" i="4"/>
  <c r="S736" i="4"/>
  <c r="T736" i="4" s="1"/>
  <c r="T735" i="4"/>
  <c r="S735" i="4"/>
  <c r="S734" i="4"/>
  <c r="T734" i="4" s="1"/>
  <c r="T733" i="4"/>
  <c r="S733" i="4"/>
  <c r="S732" i="4"/>
  <c r="T732" i="4" s="1"/>
  <c r="T731" i="4"/>
  <c r="S731" i="4"/>
  <c r="S730" i="4"/>
  <c r="T730" i="4" s="1"/>
  <c r="T729" i="4"/>
  <c r="S729" i="4"/>
  <c r="S728" i="4"/>
  <c r="T728" i="4" s="1"/>
  <c r="T727" i="4"/>
  <c r="S727" i="4"/>
  <c r="S726" i="4"/>
  <c r="T726" i="4" s="1"/>
  <c r="T725" i="4"/>
  <c r="S725" i="4"/>
  <c r="S724" i="4"/>
  <c r="T724" i="4" s="1"/>
  <c r="T723" i="4"/>
  <c r="S723" i="4"/>
  <c r="S722" i="4"/>
  <c r="T722" i="4" s="1"/>
  <c r="T721" i="4"/>
  <c r="S721" i="4"/>
  <c r="S720" i="4"/>
  <c r="T720" i="4" s="1"/>
  <c r="T719" i="4"/>
  <c r="S719" i="4"/>
  <c r="S718" i="4"/>
  <c r="T718" i="4" s="1"/>
  <c r="T717" i="4"/>
  <c r="S717" i="4"/>
  <c r="S716" i="4"/>
  <c r="T716" i="4" s="1"/>
  <c r="T715" i="4"/>
  <c r="S715" i="4"/>
  <c r="S714" i="4"/>
  <c r="T714" i="4" s="1"/>
  <c r="T713" i="4"/>
  <c r="S713" i="4"/>
  <c r="S712" i="4"/>
  <c r="T712" i="4" s="1"/>
  <c r="T711" i="4"/>
  <c r="S711" i="4"/>
  <c r="S710" i="4"/>
  <c r="T710" i="4" s="1"/>
  <c r="T709" i="4"/>
  <c r="S709" i="4"/>
  <c r="S708" i="4"/>
  <c r="T708" i="4" s="1"/>
  <c r="T707" i="4"/>
  <c r="S707" i="4"/>
  <c r="S706" i="4"/>
  <c r="T706" i="4" s="1"/>
  <c r="T705" i="4"/>
  <c r="S705" i="4"/>
  <c r="S704" i="4"/>
  <c r="T704" i="4" s="1"/>
  <c r="T703" i="4"/>
  <c r="S703" i="4"/>
  <c r="S702" i="4"/>
  <c r="T702" i="4" s="1"/>
  <c r="T701" i="4"/>
  <c r="S701" i="4"/>
  <c r="S700" i="4"/>
  <c r="T700" i="4" s="1"/>
  <c r="T699" i="4"/>
  <c r="S699" i="4"/>
  <c r="S698" i="4"/>
  <c r="T698" i="4" s="1"/>
  <c r="T697" i="4"/>
  <c r="S697" i="4"/>
  <c r="S696" i="4"/>
  <c r="T696" i="4" s="1"/>
  <c r="T695" i="4"/>
  <c r="S695" i="4"/>
  <c r="S694" i="4"/>
  <c r="T694" i="4" s="1"/>
  <c r="T693" i="4"/>
  <c r="S693" i="4"/>
  <c r="S692" i="4"/>
  <c r="T692" i="4" s="1"/>
  <c r="T691" i="4"/>
  <c r="S691" i="4"/>
  <c r="S690" i="4"/>
  <c r="T690" i="4" s="1"/>
  <c r="T689" i="4"/>
  <c r="S689" i="4"/>
  <c r="S688" i="4"/>
  <c r="T688" i="4" s="1"/>
  <c r="T687" i="4"/>
  <c r="S687" i="4"/>
  <c r="S686" i="4"/>
  <c r="T686" i="4" s="1"/>
  <c r="T685" i="4"/>
  <c r="S685" i="4"/>
  <c r="S684" i="4"/>
  <c r="T684" i="4" s="1"/>
  <c r="T683" i="4"/>
  <c r="S683" i="4"/>
  <c r="S682" i="4"/>
  <c r="T682" i="4" s="1"/>
  <c r="T681" i="4"/>
  <c r="S681" i="4"/>
  <c r="S680" i="4"/>
  <c r="T680" i="4" s="1"/>
  <c r="T679" i="4"/>
  <c r="S679" i="4"/>
  <c r="S678" i="4"/>
  <c r="T678" i="4" s="1"/>
  <c r="T677" i="4"/>
  <c r="S677" i="4"/>
  <c r="S676" i="4"/>
  <c r="T676" i="4" s="1"/>
  <c r="T675" i="4"/>
  <c r="S675" i="4"/>
  <c r="S674" i="4"/>
  <c r="T674" i="4" s="1"/>
  <c r="T673" i="4"/>
  <c r="S673" i="4"/>
  <c r="S672" i="4"/>
  <c r="T672" i="4" s="1"/>
  <c r="T671" i="4"/>
  <c r="S671" i="4"/>
  <c r="S670" i="4"/>
  <c r="T670" i="4" s="1"/>
  <c r="T669" i="4"/>
  <c r="S669" i="4"/>
  <c r="S668" i="4"/>
  <c r="T668" i="4" s="1"/>
  <c r="T667" i="4"/>
  <c r="S667" i="4"/>
  <c r="S666" i="4"/>
  <c r="T666" i="4" s="1"/>
  <c r="T665" i="4"/>
  <c r="S665" i="4"/>
  <c r="S664" i="4"/>
  <c r="T664" i="4" s="1"/>
  <c r="T663" i="4"/>
  <c r="S663" i="4"/>
  <c r="S662" i="4"/>
  <c r="T662" i="4" s="1"/>
  <c r="T661" i="4"/>
  <c r="S661" i="4"/>
  <c r="S660" i="4"/>
  <c r="T660" i="4" s="1"/>
  <c r="T659" i="4"/>
  <c r="S659" i="4"/>
  <c r="S658" i="4"/>
  <c r="T658" i="4" s="1"/>
  <c r="T657" i="4"/>
  <c r="S657" i="4"/>
  <c r="S656" i="4"/>
  <c r="T656" i="4" s="1"/>
  <c r="S655" i="4"/>
  <c r="T655" i="4" s="1"/>
  <c r="S654" i="4"/>
  <c r="T654" i="4" s="1"/>
  <c r="S653" i="4"/>
  <c r="T653" i="4" s="1"/>
  <c r="S652" i="4"/>
  <c r="T652" i="4" s="1"/>
  <c r="T651" i="4"/>
  <c r="S651" i="4"/>
  <c r="S650" i="4"/>
  <c r="T650" i="4" s="1"/>
  <c r="T649" i="4"/>
  <c r="S649" i="4"/>
  <c r="S648" i="4"/>
  <c r="T648" i="4" s="1"/>
  <c r="S647" i="4"/>
  <c r="T647" i="4" s="1"/>
  <c r="S646" i="4"/>
  <c r="T646" i="4" s="1"/>
  <c r="S645" i="4"/>
  <c r="T645" i="4" s="1"/>
  <c r="S644" i="4"/>
  <c r="T644" i="4" s="1"/>
  <c r="T643" i="4"/>
  <c r="S643" i="4"/>
  <c r="S642" i="4"/>
  <c r="T642" i="4" s="1"/>
  <c r="T641" i="4"/>
  <c r="S641" i="4"/>
  <c r="S640" i="4"/>
  <c r="T640" i="4" s="1"/>
  <c r="S639" i="4"/>
  <c r="T639" i="4" s="1"/>
  <c r="S638" i="4"/>
  <c r="T638" i="4" s="1"/>
  <c r="S637" i="4"/>
  <c r="T637" i="4" s="1"/>
  <c r="S636" i="4"/>
  <c r="T636" i="4" s="1"/>
  <c r="T635" i="4"/>
  <c r="S635" i="4"/>
  <c r="S634" i="4"/>
  <c r="T634" i="4" s="1"/>
  <c r="T633" i="4"/>
  <c r="S633" i="4"/>
  <c r="S632" i="4"/>
  <c r="T632" i="4" s="1"/>
  <c r="S631" i="4"/>
  <c r="T631" i="4" s="1"/>
  <c r="S630" i="4"/>
  <c r="T630" i="4" s="1"/>
  <c r="S629" i="4"/>
  <c r="T629" i="4" s="1"/>
  <c r="S628" i="4"/>
  <c r="T628" i="4" s="1"/>
  <c r="T627" i="4"/>
  <c r="S627" i="4"/>
  <c r="S626" i="4"/>
  <c r="T626" i="4" s="1"/>
  <c r="T625" i="4"/>
  <c r="S625" i="4"/>
  <c r="S624" i="4"/>
  <c r="T624" i="4" s="1"/>
  <c r="S623" i="4"/>
  <c r="T623" i="4" s="1"/>
  <c r="S622" i="4"/>
  <c r="T622" i="4" s="1"/>
  <c r="S621" i="4"/>
  <c r="T621" i="4" s="1"/>
  <c r="S620" i="4"/>
  <c r="T620" i="4" s="1"/>
  <c r="T619" i="4"/>
  <c r="S619" i="4"/>
  <c r="S618" i="4"/>
  <c r="T618" i="4" s="1"/>
  <c r="T617" i="4"/>
  <c r="S617" i="4"/>
  <c r="S616" i="4"/>
  <c r="T616" i="4" s="1"/>
  <c r="S615" i="4"/>
  <c r="T615" i="4" s="1"/>
  <c r="S614" i="4"/>
  <c r="T614" i="4" s="1"/>
  <c r="S613" i="4"/>
  <c r="T613" i="4" s="1"/>
  <c r="S612" i="4"/>
  <c r="T612" i="4" s="1"/>
  <c r="T611" i="4"/>
  <c r="S611" i="4"/>
  <c r="S610" i="4"/>
  <c r="T610" i="4" s="1"/>
  <c r="T609" i="4"/>
  <c r="S609" i="4"/>
  <c r="S608" i="4"/>
  <c r="T608" i="4" s="1"/>
  <c r="S607" i="4"/>
  <c r="T607" i="4" s="1"/>
  <c r="S606" i="4"/>
  <c r="T606" i="4" s="1"/>
  <c r="S605" i="4"/>
  <c r="T605" i="4" s="1"/>
  <c r="S604" i="4"/>
  <c r="T604" i="4" s="1"/>
  <c r="T603" i="4"/>
  <c r="S603" i="4"/>
  <c r="S602" i="4"/>
  <c r="T602" i="4" s="1"/>
  <c r="T601" i="4"/>
  <c r="S601" i="4"/>
  <c r="S600" i="4"/>
  <c r="T600" i="4" s="1"/>
  <c r="S599" i="4"/>
  <c r="T599" i="4" s="1"/>
  <c r="S598" i="4"/>
  <c r="T598" i="4" s="1"/>
  <c r="S597" i="4"/>
  <c r="T597" i="4" s="1"/>
  <c r="S596" i="4"/>
  <c r="T596" i="4" s="1"/>
  <c r="T595" i="4"/>
  <c r="S595" i="4"/>
  <c r="S594" i="4"/>
  <c r="T594" i="4" s="1"/>
  <c r="T593" i="4"/>
  <c r="S593" i="4"/>
  <c r="S592" i="4"/>
  <c r="T592" i="4" s="1"/>
  <c r="S591" i="4"/>
  <c r="T591" i="4" s="1"/>
  <c r="S590" i="4"/>
  <c r="T590" i="4" s="1"/>
  <c r="S589" i="4"/>
  <c r="T589" i="4" s="1"/>
  <c r="S588" i="4"/>
  <c r="T588" i="4" s="1"/>
  <c r="T587" i="4"/>
  <c r="S587" i="4"/>
  <c r="S586" i="4"/>
  <c r="T586" i="4" s="1"/>
  <c r="T585" i="4"/>
  <c r="S585" i="4"/>
  <c r="S584" i="4"/>
  <c r="T584" i="4" s="1"/>
  <c r="S583" i="4"/>
  <c r="T583" i="4" s="1"/>
  <c r="S582" i="4"/>
  <c r="T582" i="4" s="1"/>
  <c r="S581" i="4"/>
  <c r="T581" i="4" s="1"/>
  <c r="S580" i="4"/>
  <c r="T580" i="4" s="1"/>
  <c r="T579" i="4"/>
  <c r="S579" i="4"/>
  <c r="S578" i="4"/>
  <c r="T578" i="4" s="1"/>
  <c r="T577" i="4"/>
  <c r="S577" i="4"/>
  <c r="S576" i="4"/>
  <c r="T576" i="4" s="1"/>
  <c r="S575" i="4"/>
  <c r="T575" i="4" s="1"/>
  <c r="S574" i="4"/>
  <c r="T574" i="4" s="1"/>
  <c r="S573" i="4"/>
  <c r="T573" i="4" s="1"/>
  <c r="S572" i="4"/>
  <c r="T572" i="4" s="1"/>
  <c r="T571" i="4"/>
  <c r="S571" i="4"/>
  <c r="S570" i="4"/>
  <c r="T570" i="4" s="1"/>
  <c r="T569" i="4"/>
  <c r="S569" i="4"/>
  <c r="S568" i="4"/>
  <c r="T568" i="4" s="1"/>
  <c r="S567" i="4"/>
  <c r="T567" i="4" s="1"/>
  <c r="S566" i="4"/>
  <c r="T566" i="4" s="1"/>
  <c r="S565" i="4"/>
  <c r="T565" i="4" s="1"/>
  <c r="S564" i="4"/>
  <c r="T564" i="4" s="1"/>
  <c r="T563" i="4"/>
  <c r="S563" i="4"/>
  <c r="S562" i="4"/>
  <c r="T562" i="4" s="1"/>
  <c r="T561" i="4"/>
  <c r="S561" i="4"/>
  <c r="S560" i="4"/>
  <c r="T560" i="4" s="1"/>
  <c r="S559" i="4"/>
  <c r="T559" i="4" s="1"/>
  <c r="S558" i="4"/>
  <c r="T558" i="4" s="1"/>
  <c r="S557" i="4"/>
  <c r="T557" i="4" s="1"/>
  <c r="S556" i="4"/>
  <c r="T556" i="4" s="1"/>
  <c r="T555" i="4"/>
  <c r="S555" i="4"/>
  <c r="S554" i="4"/>
  <c r="T554" i="4" s="1"/>
  <c r="T553" i="4"/>
  <c r="S553" i="4"/>
  <c r="S552" i="4"/>
  <c r="T552" i="4" s="1"/>
  <c r="S551" i="4"/>
  <c r="T551" i="4" s="1"/>
  <c r="S550" i="4"/>
  <c r="T550" i="4" s="1"/>
  <c r="S549" i="4"/>
  <c r="T549" i="4" s="1"/>
  <c r="S548" i="4"/>
  <c r="T548" i="4" s="1"/>
  <c r="T547" i="4"/>
  <c r="S547" i="4"/>
  <c r="S546" i="4"/>
  <c r="T546" i="4" s="1"/>
  <c r="T545" i="4"/>
  <c r="S545" i="4"/>
  <c r="S544" i="4"/>
  <c r="T544" i="4" s="1"/>
  <c r="S543" i="4"/>
  <c r="T543" i="4" s="1"/>
  <c r="S542" i="4"/>
  <c r="T542" i="4" s="1"/>
  <c r="S541" i="4"/>
  <c r="T541" i="4" s="1"/>
  <c r="S540" i="4"/>
  <c r="T540" i="4" s="1"/>
  <c r="T539" i="4"/>
  <c r="S539" i="4"/>
  <c r="S538" i="4"/>
  <c r="T538" i="4" s="1"/>
  <c r="T537" i="4"/>
  <c r="S537" i="4"/>
  <c r="S536" i="4"/>
  <c r="T536" i="4" s="1"/>
  <c r="S535" i="4"/>
  <c r="T535" i="4" s="1"/>
  <c r="S534" i="4"/>
  <c r="T534" i="4" s="1"/>
  <c r="S533" i="4"/>
  <c r="T533" i="4" s="1"/>
  <c r="S532" i="4"/>
  <c r="T532" i="4" s="1"/>
  <c r="T531" i="4"/>
  <c r="S531" i="4"/>
  <c r="S530" i="4"/>
  <c r="T530" i="4" s="1"/>
  <c r="T529" i="4"/>
  <c r="S529" i="4"/>
  <c r="S528" i="4"/>
  <c r="T528" i="4" s="1"/>
  <c r="S527" i="4"/>
  <c r="T527" i="4" s="1"/>
  <c r="S526" i="4"/>
  <c r="T526" i="4" s="1"/>
  <c r="S525" i="4"/>
  <c r="T525" i="4" s="1"/>
  <c r="S524" i="4"/>
  <c r="T524" i="4" s="1"/>
  <c r="T523" i="4"/>
  <c r="S523" i="4"/>
  <c r="S522" i="4"/>
  <c r="T522" i="4" s="1"/>
  <c r="T521" i="4"/>
  <c r="S521" i="4"/>
  <c r="S520" i="4"/>
  <c r="T520" i="4" s="1"/>
  <c r="S519" i="4"/>
  <c r="T519" i="4" s="1"/>
  <c r="S518" i="4"/>
  <c r="T518" i="4" s="1"/>
  <c r="S517" i="4"/>
  <c r="T517" i="4" s="1"/>
  <c r="S516" i="4"/>
  <c r="T516" i="4" s="1"/>
  <c r="T515" i="4"/>
  <c r="S515" i="4"/>
  <c r="S514" i="4"/>
  <c r="T514" i="4" s="1"/>
  <c r="T513" i="4"/>
  <c r="S513" i="4"/>
  <c r="S512" i="4"/>
  <c r="T512" i="4" s="1"/>
  <c r="S511" i="4"/>
  <c r="T511" i="4" s="1"/>
  <c r="S510" i="4"/>
  <c r="T510" i="4" s="1"/>
  <c r="S509" i="4"/>
  <c r="T509" i="4" s="1"/>
  <c r="S508" i="4"/>
  <c r="T508" i="4" s="1"/>
  <c r="T507" i="4"/>
  <c r="S507" i="4"/>
  <c r="S506" i="4"/>
  <c r="T506" i="4" s="1"/>
  <c r="T505" i="4"/>
  <c r="S505" i="4"/>
  <c r="S504" i="4"/>
  <c r="T504" i="4" s="1"/>
  <c r="S503" i="4"/>
  <c r="T503" i="4" s="1"/>
  <c r="S502" i="4"/>
  <c r="T502" i="4" s="1"/>
  <c r="S501" i="4"/>
  <c r="T501" i="4" s="1"/>
  <c r="S500" i="4"/>
  <c r="T500" i="4" s="1"/>
  <c r="T499" i="4"/>
  <c r="S499" i="4"/>
  <c r="S498" i="4"/>
  <c r="T498" i="4" s="1"/>
  <c r="T497" i="4"/>
  <c r="S497" i="4"/>
  <c r="S496" i="4"/>
  <c r="T496" i="4" s="1"/>
  <c r="S495" i="4"/>
  <c r="T495" i="4" s="1"/>
  <c r="S494" i="4"/>
  <c r="T494" i="4" s="1"/>
  <c r="S493" i="4"/>
  <c r="T493" i="4" s="1"/>
  <c r="S492" i="4"/>
  <c r="T492" i="4" s="1"/>
  <c r="T491" i="4"/>
  <c r="S491" i="4"/>
  <c r="S490" i="4"/>
  <c r="T490" i="4" s="1"/>
  <c r="T489" i="4"/>
  <c r="S489" i="4"/>
  <c r="S488" i="4"/>
  <c r="T488" i="4" s="1"/>
  <c r="S487" i="4"/>
  <c r="T487" i="4" s="1"/>
  <c r="T486" i="4"/>
  <c r="S486" i="4"/>
  <c r="S485" i="4"/>
  <c r="T485" i="4" s="1"/>
  <c r="T484" i="4"/>
  <c r="S484" i="4"/>
  <c r="S483" i="4"/>
  <c r="T483" i="4" s="1"/>
  <c r="T482" i="4"/>
  <c r="S482" i="4"/>
  <c r="S481" i="4"/>
  <c r="T481" i="4" s="1"/>
  <c r="T480" i="4"/>
  <c r="S480" i="4"/>
  <c r="S479" i="4"/>
  <c r="T479" i="4" s="1"/>
  <c r="T478" i="4"/>
  <c r="S478" i="4"/>
  <c r="S477" i="4"/>
  <c r="T477" i="4" s="1"/>
  <c r="T476" i="4"/>
  <c r="S476" i="4"/>
  <c r="S475" i="4"/>
  <c r="T475" i="4" s="1"/>
  <c r="T474" i="4"/>
  <c r="S474" i="4"/>
  <c r="S473" i="4"/>
  <c r="T473" i="4" s="1"/>
  <c r="T472" i="4"/>
  <c r="S472" i="4"/>
  <c r="S471" i="4"/>
  <c r="T471" i="4" s="1"/>
  <c r="T470" i="4"/>
  <c r="S470" i="4"/>
  <c r="S469" i="4"/>
  <c r="T469" i="4" s="1"/>
  <c r="T468" i="4"/>
  <c r="S468" i="4"/>
  <c r="S467" i="4"/>
  <c r="T467" i="4" s="1"/>
  <c r="T466" i="4"/>
  <c r="S466" i="4"/>
  <c r="S465" i="4"/>
  <c r="T465" i="4" s="1"/>
  <c r="T464" i="4"/>
  <c r="S464" i="4"/>
  <c r="S463" i="4"/>
  <c r="T463" i="4" s="1"/>
  <c r="T462" i="4"/>
  <c r="S462" i="4"/>
  <c r="S461" i="4"/>
  <c r="T461" i="4" s="1"/>
  <c r="T460" i="4"/>
  <c r="S460" i="4"/>
  <c r="S459" i="4"/>
  <c r="T459" i="4" s="1"/>
  <c r="T458" i="4"/>
  <c r="S458" i="4"/>
  <c r="S457" i="4"/>
  <c r="T457" i="4" s="1"/>
  <c r="T456" i="4"/>
  <c r="S456" i="4"/>
  <c r="S455" i="4"/>
  <c r="T455" i="4" s="1"/>
  <c r="T454" i="4"/>
  <c r="S454" i="4"/>
  <c r="S453" i="4"/>
  <c r="T453" i="4" s="1"/>
  <c r="T452" i="4"/>
  <c r="S452" i="4"/>
  <c r="S451" i="4"/>
  <c r="T451" i="4" s="1"/>
  <c r="T450" i="4"/>
  <c r="S450" i="4"/>
  <c r="S449" i="4"/>
  <c r="T449" i="4" s="1"/>
  <c r="T448" i="4"/>
  <c r="S448" i="4"/>
  <c r="S447" i="4"/>
  <c r="T447" i="4" s="1"/>
  <c r="T446" i="4"/>
  <c r="S446" i="4"/>
  <c r="S445" i="4"/>
  <c r="T445" i="4" s="1"/>
  <c r="T444" i="4"/>
  <c r="S444" i="4"/>
  <c r="S443" i="4"/>
  <c r="T443" i="4" s="1"/>
  <c r="T442" i="4"/>
  <c r="S442" i="4"/>
  <c r="S441" i="4"/>
  <c r="T441" i="4" s="1"/>
  <c r="T440" i="4"/>
  <c r="S440" i="4"/>
  <c r="S439" i="4"/>
  <c r="T439" i="4" s="1"/>
  <c r="T438" i="4"/>
  <c r="S438" i="4"/>
  <c r="S437" i="4"/>
  <c r="T437" i="4" s="1"/>
  <c r="T436" i="4"/>
  <c r="S436" i="4"/>
  <c r="S435" i="4"/>
  <c r="T435" i="4" s="1"/>
  <c r="T434" i="4"/>
  <c r="S434" i="4"/>
  <c r="S433" i="4"/>
  <c r="T433" i="4" s="1"/>
  <c r="T432" i="4"/>
  <c r="S432" i="4"/>
  <c r="S431" i="4"/>
  <c r="T431" i="4" s="1"/>
  <c r="T430" i="4"/>
  <c r="S430" i="4"/>
  <c r="S429" i="4"/>
  <c r="T429" i="4" s="1"/>
  <c r="T428" i="4"/>
  <c r="S428" i="4"/>
  <c r="S427" i="4"/>
  <c r="T427" i="4" s="1"/>
  <c r="T426" i="4"/>
  <c r="S426" i="4"/>
  <c r="S425" i="4"/>
  <c r="T425" i="4" s="1"/>
  <c r="T424" i="4"/>
  <c r="S424" i="4"/>
  <c r="S423" i="4"/>
  <c r="T423" i="4" s="1"/>
  <c r="T422" i="4"/>
  <c r="S422" i="4"/>
  <c r="S421" i="4"/>
  <c r="T421" i="4" s="1"/>
  <c r="T420" i="4"/>
  <c r="S420" i="4"/>
  <c r="S419" i="4"/>
  <c r="T419" i="4" s="1"/>
  <c r="T418" i="4"/>
  <c r="S418" i="4"/>
  <c r="S417" i="4"/>
  <c r="T417" i="4" s="1"/>
  <c r="T416" i="4"/>
  <c r="S416" i="4"/>
  <c r="S415" i="4"/>
  <c r="T415" i="4" s="1"/>
  <c r="T414" i="4"/>
  <c r="S414" i="4"/>
  <c r="S413" i="4"/>
  <c r="T413" i="4" s="1"/>
  <c r="T412" i="4"/>
  <c r="S412" i="4"/>
  <c r="S411" i="4"/>
  <c r="T411" i="4" s="1"/>
  <c r="T410" i="4"/>
  <c r="S410" i="4"/>
  <c r="S409" i="4"/>
  <c r="T409" i="4" s="1"/>
  <c r="T408" i="4"/>
  <c r="S408" i="4"/>
  <c r="S407" i="4"/>
  <c r="T407" i="4" s="1"/>
  <c r="T406" i="4"/>
  <c r="S406" i="4"/>
  <c r="S405" i="4"/>
  <c r="T405" i="4" s="1"/>
  <c r="T404" i="4"/>
  <c r="S404" i="4"/>
  <c r="S403" i="4"/>
  <c r="T403" i="4" s="1"/>
  <c r="T402" i="4"/>
  <c r="S402" i="4"/>
  <c r="S401" i="4"/>
  <c r="T401" i="4" s="1"/>
  <c r="T400" i="4"/>
  <c r="S400" i="4"/>
  <c r="S399" i="4"/>
  <c r="T399" i="4" s="1"/>
  <c r="T398" i="4"/>
  <c r="S398" i="4"/>
  <c r="S397" i="4"/>
  <c r="T397" i="4" s="1"/>
  <c r="T396" i="4"/>
  <c r="S396" i="4"/>
  <c r="S395" i="4"/>
  <c r="T395" i="4" s="1"/>
  <c r="T394" i="4"/>
  <c r="S394" i="4"/>
  <c r="S393" i="4"/>
  <c r="T393" i="4" s="1"/>
  <c r="T392" i="4"/>
  <c r="S392" i="4"/>
  <c r="S391" i="4"/>
  <c r="T391" i="4" s="1"/>
  <c r="T390" i="4"/>
  <c r="S390" i="4"/>
  <c r="S389" i="4"/>
  <c r="T389" i="4" s="1"/>
  <c r="T388" i="4"/>
  <c r="S388" i="4"/>
  <c r="S387" i="4"/>
  <c r="T387" i="4" s="1"/>
  <c r="T386" i="4"/>
  <c r="S386" i="4"/>
  <c r="S385" i="4"/>
  <c r="T385" i="4" s="1"/>
  <c r="T384" i="4"/>
  <c r="S384" i="4"/>
  <c r="S383" i="4"/>
  <c r="T383" i="4" s="1"/>
  <c r="T382" i="4"/>
  <c r="S382" i="4"/>
  <c r="S381" i="4"/>
  <c r="T381" i="4" s="1"/>
  <c r="T380" i="4"/>
  <c r="S380" i="4"/>
  <c r="S379" i="4"/>
  <c r="T379" i="4" s="1"/>
  <c r="T378" i="4"/>
  <c r="S378" i="4"/>
  <c r="S377" i="4"/>
  <c r="T377" i="4" s="1"/>
  <c r="T376" i="4"/>
  <c r="S376" i="4"/>
  <c r="S375" i="4"/>
  <c r="T375" i="4" s="1"/>
  <c r="T374" i="4"/>
  <c r="S374" i="4"/>
  <c r="S373" i="4"/>
  <c r="T373" i="4" s="1"/>
  <c r="T372" i="4"/>
  <c r="S372" i="4"/>
  <c r="S371" i="4"/>
  <c r="T371" i="4" s="1"/>
  <c r="T370" i="4"/>
  <c r="S370" i="4"/>
  <c r="S369" i="4"/>
  <c r="T369" i="4" s="1"/>
  <c r="T368" i="4"/>
  <c r="S368" i="4"/>
  <c r="S367" i="4"/>
  <c r="T367" i="4" s="1"/>
  <c r="T366" i="4"/>
  <c r="S366" i="4"/>
  <c r="S365" i="4"/>
  <c r="T365" i="4" s="1"/>
  <c r="T364" i="4"/>
  <c r="S364" i="4"/>
  <c r="S363" i="4"/>
  <c r="T363" i="4" s="1"/>
  <c r="T362" i="4"/>
  <c r="S362" i="4"/>
  <c r="S361" i="4"/>
  <c r="T361" i="4" s="1"/>
  <c r="T360" i="4"/>
  <c r="S360" i="4"/>
  <c r="S359" i="4"/>
  <c r="T359" i="4" s="1"/>
  <c r="T358" i="4"/>
  <c r="S358" i="4"/>
  <c r="S357" i="4"/>
  <c r="T357" i="4" s="1"/>
  <c r="T356" i="4"/>
  <c r="S356" i="4"/>
  <c r="S355" i="4"/>
  <c r="T355" i="4" s="1"/>
  <c r="T354" i="4"/>
  <c r="S354" i="4"/>
  <c r="S353" i="4"/>
  <c r="T353" i="4" s="1"/>
  <c r="T352" i="4"/>
  <c r="S352" i="4"/>
  <c r="S351" i="4"/>
  <c r="T351" i="4" s="1"/>
  <c r="T350" i="4"/>
  <c r="S350" i="4"/>
  <c r="S349" i="4"/>
  <c r="T349" i="4" s="1"/>
  <c r="T348" i="4"/>
  <c r="S348" i="4"/>
  <c r="S347" i="4"/>
  <c r="T347" i="4" s="1"/>
  <c r="T346" i="4"/>
  <c r="S346" i="4"/>
  <c r="S345" i="4"/>
  <c r="T345" i="4" s="1"/>
  <c r="T344" i="4"/>
  <c r="S344" i="4"/>
  <c r="S343" i="4"/>
  <c r="T343" i="4" s="1"/>
  <c r="T342" i="4"/>
  <c r="S342" i="4"/>
  <c r="S341" i="4"/>
  <c r="T341" i="4" s="1"/>
  <c r="T340" i="4"/>
  <c r="S340" i="4"/>
  <c r="S339" i="4"/>
  <c r="T339" i="4" s="1"/>
  <c r="T338" i="4"/>
  <c r="S338" i="4"/>
  <c r="S337" i="4"/>
  <c r="T337" i="4" s="1"/>
  <c r="T336" i="4"/>
  <c r="S336" i="4"/>
  <c r="S335" i="4"/>
  <c r="T335" i="4" s="1"/>
  <c r="T334" i="4"/>
  <c r="S334" i="4"/>
  <c r="S333" i="4"/>
  <c r="T333" i="4" s="1"/>
  <c r="T332" i="4"/>
  <c r="S332" i="4"/>
  <c r="S331" i="4"/>
  <c r="T331" i="4" s="1"/>
  <c r="T330" i="4"/>
  <c r="S330" i="4"/>
  <c r="S329" i="4"/>
  <c r="T329" i="4" s="1"/>
  <c r="T328" i="4"/>
  <c r="S328" i="4"/>
  <c r="S327" i="4"/>
  <c r="T327" i="4" s="1"/>
  <c r="T326" i="4"/>
  <c r="S326" i="4"/>
  <c r="S325" i="4"/>
  <c r="T325" i="4" s="1"/>
  <c r="T324" i="4"/>
  <c r="S324" i="4"/>
  <c r="S323" i="4"/>
  <c r="T323" i="4" s="1"/>
  <c r="T322" i="4"/>
  <c r="S322" i="4"/>
  <c r="S321" i="4"/>
  <c r="T321" i="4" s="1"/>
  <c r="T320" i="4"/>
  <c r="S320" i="4"/>
  <c r="S319" i="4"/>
  <c r="T319" i="4" s="1"/>
  <c r="T318" i="4"/>
  <c r="S318" i="4"/>
  <c r="S317" i="4"/>
  <c r="T317" i="4" s="1"/>
  <c r="T316" i="4"/>
  <c r="S316" i="4"/>
  <c r="S315" i="4"/>
  <c r="T315" i="4" s="1"/>
  <c r="T314" i="4"/>
  <c r="S314" i="4"/>
  <c r="S313" i="4"/>
  <c r="T313" i="4" s="1"/>
  <c r="T312" i="4"/>
  <c r="S312" i="4"/>
  <c r="S311" i="4"/>
  <c r="T311" i="4" s="1"/>
  <c r="T310" i="4"/>
  <c r="S310" i="4"/>
  <c r="S309" i="4"/>
  <c r="T309" i="4" s="1"/>
  <c r="T308" i="4"/>
  <c r="S308" i="4"/>
  <c r="S307" i="4"/>
  <c r="T307" i="4" s="1"/>
  <c r="T306" i="4"/>
  <c r="S306" i="4"/>
  <c r="S305" i="4"/>
  <c r="T305" i="4" s="1"/>
  <c r="T304" i="4"/>
  <c r="S304" i="4"/>
  <c r="S303" i="4"/>
  <c r="T303" i="4" s="1"/>
  <c r="T302" i="4"/>
  <c r="S302" i="4"/>
  <c r="S301" i="4"/>
  <c r="T301" i="4" s="1"/>
  <c r="T300" i="4"/>
  <c r="S300" i="4"/>
  <c r="S299" i="4"/>
  <c r="T299" i="4" s="1"/>
  <c r="T298" i="4"/>
  <c r="S298" i="4"/>
  <c r="S297" i="4"/>
  <c r="T297" i="4" s="1"/>
  <c r="T296" i="4"/>
  <c r="S296" i="4"/>
  <c r="S295" i="4"/>
  <c r="T295" i="4" s="1"/>
  <c r="T294" i="4"/>
  <c r="S294" i="4"/>
  <c r="S293" i="4"/>
  <c r="T293" i="4" s="1"/>
  <c r="T292" i="4"/>
  <c r="S292" i="4"/>
  <c r="S291" i="4"/>
  <c r="T291" i="4" s="1"/>
  <c r="T290" i="4"/>
  <c r="S290" i="4"/>
  <c r="S289" i="4"/>
  <c r="T289" i="4" s="1"/>
  <c r="T288" i="4"/>
  <c r="S288" i="4"/>
  <c r="S287" i="4"/>
  <c r="T287" i="4" s="1"/>
  <c r="T286" i="4"/>
  <c r="S286" i="4"/>
  <c r="S285" i="4"/>
  <c r="T285" i="4" s="1"/>
  <c r="T284" i="4"/>
  <c r="S284" i="4"/>
  <c r="S283" i="4"/>
  <c r="T283" i="4" s="1"/>
  <c r="T282" i="4"/>
  <c r="S282" i="4"/>
  <c r="S281" i="4"/>
  <c r="T281" i="4" s="1"/>
  <c r="T280" i="4"/>
  <c r="S280" i="4"/>
  <c r="S279" i="4"/>
  <c r="T279" i="4" s="1"/>
  <c r="T278" i="4"/>
  <c r="S278" i="4"/>
  <c r="S277" i="4"/>
  <c r="T277" i="4" s="1"/>
  <c r="T276" i="4"/>
  <c r="S276" i="4"/>
  <c r="S275" i="4"/>
  <c r="T275" i="4" s="1"/>
  <c r="T274" i="4"/>
  <c r="S274" i="4"/>
  <c r="S273" i="4"/>
  <c r="T273" i="4" s="1"/>
  <c r="T272" i="4"/>
  <c r="S272" i="4"/>
  <c r="S271" i="4"/>
  <c r="T271" i="4" s="1"/>
  <c r="T270" i="4"/>
  <c r="S270" i="4"/>
  <c r="S269" i="4"/>
  <c r="T269" i="4" s="1"/>
  <c r="T268" i="4"/>
  <c r="S268" i="4"/>
  <c r="S267" i="4"/>
  <c r="T267" i="4" s="1"/>
  <c r="T266" i="4"/>
  <c r="S266" i="4"/>
  <c r="S265" i="4"/>
  <c r="T265" i="4" s="1"/>
  <c r="T264" i="4"/>
  <c r="S264" i="4"/>
  <c r="S263" i="4"/>
  <c r="T263" i="4" s="1"/>
  <c r="T262" i="4"/>
  <c r="S262" i="4"/>
  <c r="S261" i="4"/>
  <c r="T261" i="4" s="1"/>
  <c r="T260" i="4"/>
  <c r="S260" i="4"/>
  <c r="S259" i="4"/>
  <c r="T259" i="4" s="1"/>
  <c r="T258" i="4"/>
  <c r="S258" i="4"/>
  <c r="S257" i="4"/>
  <c r="T257" i="4" s="1"/>
  <c r="T256" i="4"/>
  <c r="S256" i="4"/>
  <c r="S255" i="4"/>
  <c r="T255" i="4" s="1"/>
  <c r="T254" i="4"/>
  <c r="S254" i="4"/>
  <c r="S253" i="4"/>
  <c r="T253" i="4" s="1"/>
  <c r="T252" i="4"/>
  <c r="S252" i="4"/>
  <c r="S251" i="4"/>
  <c r="T251" i="4" s="1"/>
  <c r="T250" i="4"/>
  <c r="S250" i="4"/>
  <c r="S249" i="4"/>
  <c r="T249" i="4" s="1"/>
  <c r="T248" i="4"/>
  <c r="S248" i="4"/>
  <c r="S247" i="4"/>
  <c r="T247" i="4" s="1"/>
  <c r="T246" i="4"/>
  <c r="S246" i="4"/>
  <c r="S245" i="4"/>
  <c r="T245" i="4" s="1"/>
  <c r="T244" i="4"/>
  <c r="S244" i="4"/>
  <c r="S243" i="4"/>
  <c r="T243" i="4" s="1"/>
  <c r="T242" i="4"/>
  <c r="S242" i="4"/>
  <c r="S241" i="4"/>
  <c r="T241" i="4" s="1"/>
  <c r="T240" i="4"/>
  <c r="S240" i="4"/>
  <c r="S239" i="4"/>
  <c r="T239" i="4" s="1"/>
  <c r="T238" i="4"/>
  <c r="S238" i="4"/>
  <c r="S237" i="4"/>
  <c r="T237" i="4" s="1"/>
  <c r="T236" i="4"/>
  <c r="S236" i="4"/>
  <c r="S235" i="4"/>
  <c r="T235" i="4" s="1"/>
  <c r="T234" i="4"/>
  <c r="S234" i="4"/>
  <c r="S233" i="4"/>
  <c r="T233" i="4" s="1"/>
  <c r="T232" i="4"/>
  <c r="S232" i="4"/>
  <c r="S231" i="4"/>
  <c r="T231" i="4" s="1"/>
  <c r="T230" i="4"/>
  <c r="S230" i="4"/>
  <c r="S229" i="4"/>
  <c r="T229" i="4" s="1"/>
  <c r="T228" i="4"/>
  <c r="S228" i="4"/>
  <c r="S227" i="4"/>
  <c r="T227" i="4" s="1"/>
  <c r="T226" i="4"/>
  <c r="S226" i="4"/>
  <c r="S225" i="4"/>
  <c r="T225" i="4" s="1"/>
  <c r="T224" i="4"/>
  <c r="S224" i="4"/>
  <c r="S223" i="4"/>
  <c r="T223" i="4" s="1"/>
  <c r="T222" i="4"/>
  <c r="S222" i="4"/>
  <c r="S221" i="4"/>
  <c r="T221" i="4" s="1"/>
  <c r="T220" i="4"/>
  <c r="S220" i="4"/>
  <c r="S219" i="4"/>
  <c r="T219" i="4" s="1"/>
  <c r="T218" i="4"/>
  <c r="S218" i="4"/>
  <c r="S217" i="4"/>
  <c r="T217" i="4" s="1"/>
  <c r="T216" i="4"/>
  <c r="S216" i="4"/>
  <c r="S215" i="4"/>
  <c r="T215" i="4" s="1"/>
  <c r="T214" i="4"/>
  <c r="S214" i="4"/>
  <c r="S213" i="4"/>
  <c r="T213" i="4" s="1"/>
  <c r="T212" i="4"/>
  <c r="S212" i="4"/>
  <c r="S211" i="4"/>
  <c r="T211" i="4" s="1"/>
  <c r="T210" i="4"/>
  <c r="S210" i="4"/>
  <c r="S209" i="4"/>
  <c r="T209" i="4" s="1"/>
  <c r="T208" i="4"/>
  <c r="S208" i="4"/>
  <c r="S207" i="4"/>
  <c r="T207" i="4" s="1"/>
  <c r="T206" i="4"/>
  <c r="S206" i="4"/>
  <c r="S205" i="4"/>
  <c r="T205" i="4" s="1"/>
  <c r="T204" i="4"/>
  <c r="S204" i="4"/>
  <c r="S203" i="4"/>
  <c r="T203" i="4" s="1"/>
  <c r="T202" i="4"/>
  <c r="S202" i="4"/>
  <c r="S201" i="4"/>
  <c r="T201" i="4" s="1"/>
  <c r="T200" i="4"/>
  <c r="S200" i="4"/>
  <c r="S199" i="4"/>
  <c r="T199" i="4" s="1"/>
  <c r="T198" i="4"/>
  <c r="S198" i="4"/>
  <c r="S197" i="4"/>
  <c r="T197" i="4" s="1"/>
  <c r="T196" i="4"/>
  <c r="S196" i="4"/>
  <c r="S195" i="4"/>
  <c r="T195" i="4" s="1"/>
  <c r="T194" i="4"/>
  <c r="S194" i="4"/>
  <c r="S193" i="4"/>
  <c r="T193" i="4" s="1"/>
  <c r="T192" i="4"/>
  <c r="S192" i="4"/>
  <c r="S191" i="4"/>
  <c r="T191" i="4" s="1"/>
  <c r="T190" i="4"/>
  <c r="S190" i="4"/>
  <c r="S189" i="4"/>
  <c r="T189" i="4" s="1"/>
  <c r="T188" i="4"/>
  <c r="S188" i="4"/>
  <c r="S187" i="4"/>
  <c r="T187" i="4" s="1"/>
  <c r="T186" i="4"/>
  <c r="S186" i="4"/>
  <c r="S185" i="4"/>
  <c r="T185" i="4" s="1"/>
  <c r="T184" i="4"/>
  <c r="S184" i="4"/>
  <c r="S183" i="4"/>
  <c r="T183" i="4" s="1"/>
  <c r="T182" i="4"/>
  <c r="S182" i="4"/>
  <c r="S181" i="4"/>
  <c r="T181" i="4" s="1"/>
  <c r="T180" i="4"/>
  <c r="S180" i="4"/>
  <c r="S179" i="4"/>
  <c r="T179" i="4" s="1"/>
  <c r="T178" i="4"/>
  <c r="S178" i="4"/>
  <c r="S177" i="4"/>
  <c r="T177" i="4" s="1"/>
  <c r="T176" i="4"/>
  <c r="S176" i="4"/>
  <c r="S175" i="4"/>
  <c r="T175" i="4" s="1"/>
  <c r="T174" i="4"/>
  <c r="S174" i="4"/>
  <c r="S173" i="4"/>
  <c r="T173" i="4" s="1"/>
  <c r="T172" i="4"/>
  <c r="S172" i="4"/>
  <c r="S171" i="4"/>
  <c r="T171" i="4" s="1"/>
  <c r="T170" i="4"/>
  <c r="S170" i="4"/>
  <c r="S169" i="4"/>
  <c r="T169" i="4" s="1"/>
  <c r="T168" i="4"/>
  <c r="S168" i="4"/>
  <c r="S167" i="4"/>
  <c r="T167" i="4" s="1"/>
  <c r="T166" i="4"/>
  <c r="S166" i="4"/>
  <c r="S165" i="4"/>
  <c r="T165" i="4" s="1"/>
  <c r="T164" i="4"/>
  <c r="S164" i="4"/>
  <c r="S163" i="4"/>
  <c r="T163" i="4" s="1"/>
  <c r="T162" i="4"/>
  <c r="S162" i="4"/>
  <c r="S161" i="4"/>
  <c r="T161" i="4" s="1"/>
  <c r="T160" i="4"/>
  <c r="S160" i="4"/>
  <c r="S159" i="4"/>
  <c r="T159" i="4" s="1"/>
  <c r="T158" i="4"/>
  <c r="S158" i="4"/>
  <c r="S157" i="4"/>
  <c r="T157" i="4" s="1"/>
  <c r="T156" i="4"/>
  <c r="S156" i="4"/>
  <c r="S155" i="4"/>
  <c r="T155" i="4" s="1"/>
  <c r="T154" i="4"/>
  <c r="S154" i="4"/>
  <c r="S153" i="4"/>
  <c r="T153" i="4" s="1"/>
  <c r="T152" i="4"/>
  <c r="S152" i="4"/>
  <c r="S151" i="4"/>
  <c r="T151" i="4" s="1"/>
  <c r="T150" i="4"/>
  <c r="S150" i="4"/>
  <c r="S149" i="4"/>
  <c r="T149" i="4" s="1"/>
  <c r="T148" i="4"/>
  <c r="S148" i="4"/>
  <c r="S147" i="4"/>
  <c r="T147" i="4" s="1"/>
  <c r="T146" i="4"/>
  <c r="S146" i="4"/>
  <c r="S145" i="4"/>
  <c r="T145" i="4" s="1"/>
  <c r="T144" i="4"/>
  <c r="S144" i="4"/>
  <c r="S143" i="4"/>
  <c r="T143" i="4" s="1"/>
  <c r="T142" i="4"/>
  <c r="S142" i="4"/>
  <c r="S141" i="4"/>
  <c r="T141" i="4" s="1"/>
  <c r="T140" i="4"/>
  <c r="S140" i="4"/>
  <c r="S139" i="4"/>
  <c r="T139" i="4" s="1"/>
  <c r="T138" i="4"/>
  <c r="S138" i="4"/>
  <c r="S137" i="4"/>
  <c r="T137" i="4" s="1"/>
  <c r="T136" i="4"/>
  <c r="S136" i="4"/>
  <c r="S135" i="4"/>
  <c r="T135" i="4" s="1"/>
  <c r="T134" i="4"/>
  <c r="S134" i="4"/>
  <c r="S133" i="4"/>
  <c r="T133" i="4" s="1"/>
  <c r="T132" i="4"/>
  <c r="S132" i="4"/>
  <c r="S131" i="4"/>
  <c r="T131" i="4" s="1"/>
  <c r="T130" i="4"/>
  <c r="S130" i="4"/>
  <c r="S129" i="4"/>
  <c r="T129" i="4" s="1"/>
  <c r="T128" i="4"/>
  <c r="S128" i="4"/>
  <c r="S127" i="4"/>
  <c r="T127" i="4" s="1"/>
  <c r="T126" i="4"/>
  <c r="S126" i="4"/>
  <c r="S125" i="4"/>
  <c r="T125" i="4" s="1"/>
  <c r="T124" i="4"/>
  <c r="S124" i="4"/>
  <c r="S123" i="4"/>
  <c r="T123" i="4" s="1"/>
  <c r="T122" i="4"/>
  <c r="S122" i="4"/>
  <c r="S121" i="4"/>
  <c r="T121" i="4" s="1"/>
  <c r="T120" i="4"/>
  <c r="S120" i="4"/>
  <c r="S119" i="4"/>
  <c r="T119" i="4" s="1"/>
  <c r="T118" i="4"/>
  <c r="S118" i="4"/>
  <c r="S117" i="4"/>
  <c r="T117" i="4" s="1"/>
  <c r="T116" i="4"/>
  <c r="S116" i="4"/>
  <c r="S115" i="4"/>
  <c r="T115" i="4" s="1"/>
  <c r="T114" i="4"/>
  <c r="S114" i="4"/>
  <c r="S113" i="4"/>
  <c r="T113" i="4" s="1"/>
  <c r="T112" i="4"/>
  <c r="S112" i="4"/>
  <c r="S111" i="4"/>
  <c r="T111" i="4" s="1"/>
  <c r="T110" i="4"/>
  <c r="S110" i="4"/>
  <c r="S109" i="4"/>
  <c r="T109" i="4" s="1"/>
  <c r="T108" i="4"/>
  <c r="S108" i="4"/>
  <c r="S107" i="4"/>
  <c r="T107" i="4" s="1"/>
  <c r="T106" i="4"/>
  <c r="S106" i="4"/>
  <c r="S105" i="4"/>
  <c r="T105" i="4" s="1"/>
  <c r="T104" i="4"/>
  <c r="S104" i="4"/>
  <c r="S103" i="4"/>
  <c r="T103" i="4" s="1"/>
  <c r="T102" i="4"/>
  <c r="S102" i="4"/>
  <c r="S101" i="4"/>
  <c r="T101" i="4" s="1"/>
  <c r="T100" i="4"/>
  <c r="S100" i="4"/>
  <c r="S99" i="4"/>
  <c r="T99" i="4" s="1"/>
  <c r="T98" i="4"/>
  <c r="S98" i="4"/>
  <c r="S97" i="4"/>
  <c r="T97" i="4" s="1"/>
  <c r="T96" i="4"/>
  <c r="S96" i="4"/>
  <c r="S95" i="4"/>
  <c r="T95" i="4" s="1"/>
  <c r="T94" i="4"/>
  <c r="S94" i="4"/>
  <c r="S93" i="4"/>
  <c r="T93" i="4" s="1"/>
  <c r="T92" i="4"/>
  <c r="S92" i="4"/>
  <c r="S91" i="4"/>
  <c r="T91" i="4" s="1"/>
  <c r="T90" i="4"/>
  <c r="S90" i="4"/>
  <c r="S89" i="4"/>
  <c r="T89" i="4" s="1"/>
  <c r="T88" i="4"/>
  <c r="S88" i="4"/>
  <c r="S87" i="4"/>
  <c r="T87" i="4" s="1"/>
  <c r="T86" i="4"/>
  <c r="S86" i="4"/>
  <c r="S85" i="4"/>
  <c r="T85" i="4" s="1"/>
  <c r="T84" i="4"/>
  <c r="S84" i="4"/>
  <c r="S83" i="4"/>
  <c r="T83" i="4" s="1"/>
  <c r="T82" i="4"/>
  <c r="S82" i="4"/>
  <c r="S81" i="4"/>
  <c r="T81" i="4" s="1"/>
  <c r="T80" i="4"/>
  <c r="S80" i="4"/>
  <c r="S79" i="4"/>
  <c r="T79" i="4" s="1"/>
  <c r="T78" i="4"/>
  <c r="S78" i="4"/>
  <c r="S77" i="4"/>
  <c r="T77" i="4" s="1"/>
  <c r="T76" i="4"/>
  <c r="S76" i="4"/>
  <c r="S75" i="4"/>
  <c r="T75" i="4" s="1"/>
  <c r="T74" i="4"/>
  <c r="S74" i="4"/>
  <c r="S73" i="4"/>
  <c r="T73" i="4" s="1"/>
  <c r="T72" i="4"/>
  <c r="S72" i="4"/>
  <c r="S71" i="4"/>
  <c r="T71" i="4" s="1"/>
  <c r="T70" i="4"/>
  <c r="S70" i="4"/>
  <c r="S69" i="4"/>
  <c r="T69" i="4" s="1"/>
  <c r="T68" i="4"/>
  <c r="S68" i="4"/>
  <c r="S67" i="4"/>
  <c r="T67" i="4" s="1"/>
  <c r="T66" i="4"/>
  <c r="S66" i="4"/>
  <c r="S65" i="4"/>
  <c r="T65" i="4" s="1"/>
  <c r="T64" i="4"/>
  <c r="S64" i="4"/>
  <c r="S63" i="4"/>
  <c r="T63" i="4" s="1"/>
  <c r="T62" i="4"/>
  <c r="S62" i="4"/>
  <c r="S61" i="4"/>
  <c r="T61" i="4" s="1"/>
  <c r="T60" i="4"/>
  <c r="S60" i="4"/>
  <c r="S59" i="4"/>
  <c r="T59" i="4" s="1"/>
  <c r="T58" i="4"/>
  <c r="S58" i="4"/>
  <c r="S57" i="4"/>
  <c r="T57" i="4" s="1"/>
  <c r="T56" i="4"/>
  <c r="S56" i="4"/>
  <c r="S55" i="4"/>
  <c r="T55" i="4" s="1"/>
  <c r="T54" i="4"/>
  <c r="S54" i="4"/>
  <c r="S53" i="4"/>
  <c r="T53" i="4" s="1"/>
  <c r="T52" i="4"/>
  <c r="S52" i="4"/>
  <c r="S51" i="4"/>
  <c r="T51" i="4" s="1"/>
  <c r="T50" i="4"/>
  <c r="S50" i="4"/>
  <c r="S49" i="4"/>
  <c r="T49" i="4" s="1"/>
  <c r="T48" i="4"/>
  <c r="S48" i="4"/>
  <c r="S47" i="4"/>
  <c r="T47" i="4" s="1"/>
  <c r="T46" i="4"/>
  <c r="S46" i="4"/>
  <c r="S45" i="4"/>
  <c r="T45" i="4" s="1"/>
  <c r="T44" i="4"/>
  <c r="S44" i="4"/>
  <c r="S43" i="4"/>
  <c r="T43" i="4" s="1"/>
  <c r="T42" i="4"/>
  <c r="S42" i="4"/>
  <c r="S41" i="4"/>
  <c r="T41" i="4" s="1"/>
  <c r="T40" i="4"/>
  <c r="S40" i="4"/>
  <c r="S39" i="4"/>
  <c r="T39" i="4" s="1"/>
  <c r="T38" i="4"/>
  <c r="S38" i="4"/>
  <c r="S37" i="4"/>
  <c r="T37" i="4" s="1"/>
  <c r="T36" i="4"/>
  <c r="S36" i="4"/>
  <c r="S35" i="4"/>
  <c r="T35" i="4" s="1"/>
  <c r="T34" i="4"/>
  <c r="S34" i="4"/>
  <c r="S33" i="4"/>
  <c r="T33" i="4" s="1"/>
  <c r="T32" i="4"/>
  <c r="S32" i="4"/>
  <c r="S31" i="4"/>
  <c r="T31" i="4" s="1"/>
  <c r="T30" i="4"/>
  <c r="S30" i="4"/>
  <c r="S29" i="4"/>
  <c r="T29" i="4" s="1"/>
  <c r="T28" i="4"/>
  <c r="S28" i="4"/>
  <c r="S27" i="4"/>
  <c r="T27" i="4" s="1"/>
  <c r="T26" i="4"/>
  <c r="S26" i="4"/>
  <c r="S25" i="4"/>
  <c r="T25" i="4" s="1"/>
  <c r="T24" i="4"/>
  <c r="S24" i="4"/>
  <c r="S23" i="4"/>
  <c r="T23" i="4" s="1"/>
  <c r="T22" i="4"/>
  <c r="S22" i="4"/>
  <c r="S21" i="4"/>
  <c r="T21" i="4" s="1"/>
  <c r="T20" i="4"/>
  <c r="S20" i="4"/>
  <c r="S19" i="4"/>
  <c r="T19" i="4" s="1"/>
  <c r="T18" i="4"/>
  <c r="S18" i="4"/>
  <c r="S17" i="4"/>
  <c r="T17" i="4" s="1"/>
  <c r="T16" i="4"/>
  <c r="S16" i="4"/>
  <c r="S15" i="4"/>
  <c r="T15" i="4" s="1"/>
  <c r="T14" i="4"/>
  <c r="S14" i="4"/>
  <c r="S13" i="4"/>
  <c r="T13" i="4" s="1"/>
  <c r="T12" i="4"/>
  <c r="S12" i="4"/>
  <c r="S11" i="4"/>
  <c r="T11" i="4" s="1"/>
  <c r="T10" i="4"/>
  <c r="S10" i="4"/>
  <c r="S9" i="4"/>
  <c r="T9" i="4" s="1"/>
  <c r="T8" i="4"/>
  <c r="S8" i="4"/>
  <c r="S7" i="4"/>
  <c r="T7" i="4" s="1"/>
  <c r="T6" i="4"/>
  <c r="S6" i="4"/>
  <c r="S5" i="4"/>
  <c r="T5" i="4" s="1"/>
  <c r="T4" i="4"/>
  <c r="S4" i="4"/>
  <c r="S3" i="4"/>
  <c r="T3" i="4" s="1"/>
  <c r="U2" i="4"/>
  <c r="T2" i="4"/>
  <c r="S2" i="4"/>
  <c r="T3" i="2"/>
  <c r="U3" i="2" s="1"/>
  <c r="V3" i="2" s="1"/>
  <c r="B2" i="2" a="1"/>
  <c r="B2" i="2" s="1"/>
  <c r="T4" i="2" l="1"/>
  <c r="T5" i="2" s="1"/>
  <c r="T6" i="2" s="1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U4" i="2" l="1"/>
  <c r="V4" i="2" s="1"/>
  <c r="U5" i="2" s="1"/>
  <c r="V5" i="2" s="1"/>
  <c r="U6" i="2"/>
  <c r="V6" i="2" s="1"/>
  <c r="U7" i="2" l="1"/>
  <c r="V7" i="2" s="1"/>
  <c r="U8" i="2" l="1"/>
  <c r="V8" i="2" s="1"/>
  <c r="U9" i="2" l="1"/>
  <c r="V9" i="2" s="1"/>
  <c r="U10" i="2" l="1"/>
  <c r="V10" i="2" s="1"/>
  <c r="U11" i="2" l="1"/>
  <c r="V11" i="2" s="1"/>
  <c r="U12" i="2" l="1"/>
  <c r="V12" i="2" s="1"/>
  <c r="U13" i="2" l="1"/>
  <c r="V13" i="2" s="1"/>
  <c r="U14" i="2" l="1"/>
  <c r="V14" i="2" s="1"/>
  <c r="U15" i="2" l="1"/>
  <c r="V15" i="2" s="1"/>
  <c r="U16" i="2" l="1"/>
  <c r="V16" i="2" s="1"/>
  <c r="U17" i="2" l="1"/>
  <c r="V17" i="2" s="1"/>
  <c r="U18" i="2" l="1"/>
  <c r="V18" i="2" s="1"/>
  <c r="U19" i="2" l="1"/>
  <c r="V19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<sst xmlns="http://schemas.openxmlformats.org/spreadsheetml/2006/main" count="27605" uniqueCount="7802">
  <si>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</si>
  <si>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</si>
  <si>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</si>
  <si>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</si>
  <si>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</si>
  <si>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</si>
  <si>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</si>
  <si>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</si>
  <si>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20MICRONS</t>
  </si>
  <si>
    <t>20 Microns Limited</t>
  </si>
  <si>
    <t>BE</t>
  </si>
  <si>
    <t>INE144J01027</t>
  </si>
  <si>
    <t>21STCENMGM</t>
  </si>
  <si>
    <t>21st Century Management Services Limited</t>
  </si>
  <si>
    <t>EQ</t>
  </si>
  <si>
    <t>INE253B01015</t>
  </si>
  <si>
    <t>360ONE</t>
  </si>
  <si>
    <t>360 ONE WAM LIMITED</t>
  </si>
  <si>
    <t>INE466L01038</t>
  </si>
  <si>
    <t>3IINFOLTD</t>
  </si>
  <si>
    <t>3i Infotech Limited</t>
  </si>
  <si>
    <t>INE748C01038</t>
  </si>
  <si>
    <t>3MINDIA</t>
  </si>
  <si>
    <t>3M India Limited</t>
  </si>
  <si>
    <t>INE470A01017</t>
  </si>
  <si>
    <t>3PLAND</t>
  </si>
  <si>
    <t>3P Land Holdings Limited</t>
  </si>
  <si>
    <t>INE105C01023</t>
  </si>
  <si>
    <t>5PAISA</t>
  </si>
  <si>
    <t>5Paisa Capital Limited</t>
  </si>
  <si>
    <t>INE618L01018</t>
  </si>
  <si>
    <t>63MOONS</t>
  </si>
  <si>
    <t>63 moons technologies limited</t>
  </si>
  <si>
    <t>INE111B01023</t>
  </si>
  <si>
    <t>A2ZINFRA</t>
  </si>
  <si>
    <t>A2Z Infra Engineering Limited</t>
  </si>
  <si>
    <t>INE619I01012</t>
  </si>
  <si>
    <t>AAATECH</t>
  </si>
  <si>
    <t>AAA Technologies Limited</t>
  </si>
  <si>
    <t>INE0D0U01013</t>
  </si>
  <si>
    <t>AAKASH</t>
  </si>
  <si>
    <t>Aakash Exploration Services Limited</t>
  </si>
  <si>
    <t>INE087Z01024</t>
  </si>
  <si>
    <t>AAREYDRUGS</t>
  </si>
  <si>
    <t>Aarey Drugs &amp; Pharmaceuticals Limited</t>
  </si>
  <si>
    <t>INE198H01019</t>
  </si>
  <si>
    <t>AARON</t>
  </si>
  <si>
    <t>Aaron Industries Limited</t>
  </si>
  <si>
    <t>INE721Z01010</t>
  </si>
  <si>
    <t>AARTECH</t>
  </si>
  <si>
    <t>Aartech Solonics Limited</t>
  </si>
  <si>
    <t>INE01C001018</t>
  </si>
  <si>
    <t>AARTIDRUGS</t>
  </si>
  <si>
    <t>Aarti Drugs Limited</t>
  </si>
  <si>
    <t>INE767A01016</t>
  </si>
  <si>
    <t>AARTIIND</t>
  </si>
  <si>
    <t>Aarti Industries Limited</t>
  </si>
  <si>
    <t>INE769A01020</t>
  </si>
  <si>
    <t>AARTIPHARM</t>
  </si>
  <si>
    <t>Aarti Pharmalabs Limited</t>
  </si>
  <si>
    <t>INE0LRU01027</t>
  </si>
  <si>
    <t>AARTISURF</t>
  </si>
  <si>
    <t>Aarti Surfactants Limited</t>
  </si>
  <si>
    <t>INE09EO01013</t>
  </si>
  <si>
    <t>AARVEEDEN</t>
  </si>
  <si>
    <t>Aarvee Denims &amp; Exports Limited</t>
  </si>
  <si>
    <t>INE273D01019</t>
  </si>
  <si>
    <t>AARVI</t>
  </si>
  <si>
    <t>Aarvi Encon Limited</t>
  </si>
  <si>
    <t>INE754X01016</t>
  </si>
  <si>
    <t>AAVAS</t>
  </si>
  <si>
    <t>Aavas Financiers Limited</t>
  </si>
  <si>
    <t>INE216P01012</t>
  </si>
  <si>
    <t>ABAN</t>
  </si>
  <si>
    <t>Aban Offshore Limited</t>
  </si>
  <si>
    <t>INE421A01028</t>
  </si>
  <si>
    <t>ABB</t>
  </si>
  <si>
    <t>ABB India Limited</t>
  </si>
  <si>
    <t>INE117A01022</t>
  </si>
  <si>
    <t>ABBOTINDIA</t>
  </si>
  <si>
    <t>Abbott India Limited</t>
  </si>
  <si>
    <t>INE358A01014</t>
  </si>
  <si>
    <t>ABCAPITAL</t>
  </si>
  <si>
    <t>Aditya Birla Capital Limited</t>
  </si>
  <si>
    <t>INE674K01013</t>
  </si>
  <si>
    <t>ABFRL</t>
  </si>
  <si>
    <t>Aditya Birla Fashion and Retail Limited</t>
  </si>
  <si>
    <t>INE647O01011</t>
  </si>
  <si>
    <t>ABMINTLLTD</t>
  </si>
  <si>
    <t>ABM International Limited</t>
  </si>
  <si>
    <t>INE251C01025</t>
  </si>
  <si>
    <t>ABSLAMC</t>
  </si>
  <si>
    <t>Aditya Birla Sun Life AMC Limited</t>
  </si>
  <si>
    <t>INE404A01024</t>
  </si>
  <si>
    <t>ACC</t>
  </si>
  <si>
    <t>ACC Limited</t>
  </si>
  <si>
    <t>INE012A01025</t>
  </si>
  <si>
    <t>ACCELYA</t>
  </si>
  <si>
    <t>Accelya Solutions India Limited</t>
  </si>
  <si>
    <t>INE793A01012</t>
  </si>
  <si>
    <t>ACCURACY</t>
  </si>
  <si>
    <t>Accuracy Shipping Limited</t>
  </si>
  <si>
    <t>INE648Z01023</t>
  </si>
  <si>
    <t>ACE</t>
  </si>
  <si>
    <t>Action Construction Equipment Limited</t>
  </si>
  <si>
    <t>INE731H01025</t>
  </si>
  <si>
    <t>ACEINTEG</t>
  </si>
  <si>
    <t>Ace Integrated Solutions Limited</t>
  </si>
  <si>
    <t>INE543V01017</t>
  </si>
  <si>
    <t>ACI</t>
  </si>
  <si>
    <t>Archean Chemical Industries Limited</t>
  </si>
  <si>
    <t>INE128X01021</t>
  </si>
  <si>
    <t>ACL</t>
  </si>
  <si>
    <t>Andhra Cements Limited</t>
  </si>
  <si>
    <t>INE666E01020</t>
  </si>
  <si>
    <t>ADANIENSOL</t>
  </si>
  <si>
    <t>Adani Energy Solutions Limited</t>
  </si>
  <si>
    <t>INE931S01010</t>
  </si>
  <si>
    <t>ADANIENT</t>
  </si>
  <si>
    <t>Adani Enterprises Limited</t>
  </si>
  <si>
    <t>INE423A01024</t>
  </si>
  <si>
    <t>ADANIGREEN</t>
  </si>
  <si>
    <t>Adani Green Energy Limited</t>
  </si>
  <si>
    <t>INE364U01010</t>
  </si>
  <si>
    <t>ADANIPORTS</t>
  </si>
  <si>
    <t>Adani Ports and Special Economic Zone Limited</t>
  </si>
  <si>
    <t>INE742F01042</t>
  </si>
  <si>
    <t>ADANIPOWER</t>
  </si>
  <si>
    <t>Adani Power Limited</t>
  </si>
  <si>
    <t>INE814H01011</t>
  </si>
  <si>
    <t>ADFFOODS</t>
  </si>
  <si>
    <t>ADF Foods Limited</t>
  </si>
  <si>
    <t>INE982B01027</t>
  </si>
  <si>
    <t>ADL</t>
  </si>
  <si>
    <t>Archidply Decor Limited</t>
  </si>
  <si>
    <t>INE0CHO01012</t>
  </si>
  <si>
    <t>ADORWELD</t>
  </si>
  <si>
    <t>Ador Welding Limited</t>
  </si>
  <si>
    <t>INE045A01017</t>
  </si>
  <si>
    <t>ADROITINFO</t>
  </si>
  <si>
    <t>Adroit Infotech Limited</t>
  </si>
  <si>
    <t>INE737B01033</t>
  </si>
  <si>
    <t>ADSL</t>
  </si>
  <si>
    <t>Allied Digital Services Limited</t>
  </si>
  <si>
    <t>INE102I01027</t>
  </si>
  <si>
    <t>ADVANIHOTR</t>
  </si>
  <si>
    <t>Advani Hotels &amp; Resorts (India) Limited</t>
  </si>
  <si>
    <t>INE199C01026</t>
  </si>
  <si>
    <t>ADVENZYMES</t>
  </si>
  <si>
    <t>Advanced Enzyme Technologies Limited</t>
  </si>
  <si>
    <t>INE837H01020</t>
  </si>
  <si>
    <t>AEGISCHEM</t>
  </si>
  <si>
    <t>Aegis Logistics Limited</t>
  </si>
  <si>
    <t>INE208C01025</t>
  </si>
  <si>
    <t>AEROFLEX</t>
  </si>
  <si>
    <t>Aeroflex Industries Limited</t>
  </si>
  <si>
    <t>INE024001021</t>
  </si>
  <si>
    <t>AETHER</t>
  </si>
  <si>
    <t>Aether Industries Limited</t>
  </si>
  <si>
    <t>INE0BWX01014</t>
  </si>
  <si>
    <t>AFFLE</t>
  </si>
  <si>
    <t>Affle (India) Limited</t>
  </si>
  <si>
    <t>INE00WC01027</t>
  </si>
  <si>
    <t>AGARIND</t>
  </si>
  <si>
    <t>Agarwal Industrial Corporation Limited</t>
  </si>
  <si>
    <t>INE204E01012</t>
  </si>
  <si>
    <t>AGI</t>
  </si>
  <si>
    <t>AGI Greenpac Limited</t>
  </si>
  <si>
    <t>INE415A01038</t>
  </si>
  <si>
    <t>AGRITECH</t>
  </si>
  <si>
    <t>Agri-Tech (India) Limited</t>
  </si>
  <si>
    <t>INE449G01018</t>
  </si>
  <si>
    <t>AGROPHOS</t>
  </si>
  <si>
    <t>Agro Phos India Limited</t>
  </si>
  <si>
    <t>INE740V01019</t>
  </si>
  <si>
    <t>AGSTRA</t>
  </si>
  <si>
    <t>AGS Transact Technologies Limited</t>
  </si>
  <si>
    <t>INE583L01014</t>
  </si>
  <si>
    <t>AHL</t>
  </si>
  <si>
    <t>Abans Holdings Limited</t>
  </si>
  <si>
    <t>INE00ZE01026</t>
  </si>
  <si>
    <t>AHLADA</t>
  </si>
  <si>
    <t>Ahlada Engineers Limited</t>
  </si>
  <si>
    <t>INE00PV01013</t>
  </si>
  <si>
    <t>AHLEAST</t>
  </si>
  <si>
    <t>Asian Hotels (East) Limited</t>
  </si>
  <si>
    <t>INE926K01017</t>
  </si>
  <si>
    <t>AHLUCONT</t>
  </si>
  <si>
    <t>Ahluwalia Contracts (India) Limited</t>
  </si>
  <si>
    <t>INE758C01029</t>
  </si>
  <si>
    <t>AIAENG</t>
  </si>
  <si>
    <t>AIA Engineering Limited</t>
  </si>
  <si>
    <t>INE212H01026</t>
  </si>
  <si>
    <t>AIRAN</t>
  </si>
  <si>
    <t>Airan Limited</t>
  </si>
  <si>
    <t>INE645W01026</t>
  </si>
  <si>
    <t>AIROLAM</t>
  </si>
  <si>
    <t>Airo Lam limited</t>
  </si>
  <si>
    <t>INE801L01010</t>
  </si>
  <si>
    <t>AJANTPHARM</t>
  </si>
  <si>
    <t>Ajanta Pharma Limited</t>
  </si>
  <si>
    <t>INE031B01049</t>
  </si>
  <si>
    <t>AJMERA</t>
  </si>
  <si>
    <t>Ajmera Realty &amp; Infra India Limited</t>
  </si>
  <si>
    <t>INE298G01027</t>
  </si>
  <si>
    <t>AJOONI</t>
  </si>
  <si>
    <t>Ajooni Biotech Limited</t>
  </si>
  <si>
    <t>INE820Y01021</t>
  </si>
  <si>
    <t>AKASH</t>
  </si>
  <si>
    <t>Akash Infra-Projects Limited</t>
  </si>
  <si>
    <t>INE737W01013</t>
  </si>
  <si>
    <t>AKG</t>
  </si>
  <si>
    <t>Akg Exim Limited</t>
  </si>
  <si>
    <t>INE00Y801016</t>
  </si>
  <si>
    <t>AKI</t>
  </si>
  <si>
    <t>AKI India Limited</t>
  </si>
  <si>
    <t>INE642Z01026</t>
  </si>
  <si>
    <t>AKSHAR</t>
  </si>
  <si>
    <t>Akshar Spintex Limited</t>
  </si>
  <si>
    <t>INE256Z01025</t>
  </si>
  <si>
    <t>AKSHARCHEM</t>
  </si>
  <si>
    <t>AksharChem India Limited</t>
  </si>
  <si>
    <t>INE542B01011</t>
  </si>
  <si>
    <t>AKSHOPTFBR</t>
  </si>
  <si>
    <t>Aksh Optifibre Limited</t>
  </si>
  <si>
    <t>INE523B01011</t>
  </si>
  <si>
    <t>AKZOINDIA</t>
  </si>
  <si>
    <t>Akzo Nobel India Limited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</si>
  <si>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</si>
  <si>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</si>
  <si>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</si>
  <si>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</si>
  <si>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</si>
  <si>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</si>
  <si>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</si>
  <si>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ALEMBICLTD</t>
  </si>
  <si>
    <t>Alembic Limited</t>
  </si>
  <si>
    <t>INE426A01027</t>
  </si>
  <si>
    <t>ALICON</t>
  </si>
  <si>
    <t>Alicon Castalloy Limited</t>
  </si>
  <si>
    <t>INE062D01024</t>
  </si>
  <si>
    <t>ALKALI</t>
  </si>
  <si>
    <t>Alkali Metals Limited</t>
  </si>
  <si>
    <t>INE773I01017</t>
  </si>
  <si>
    <t>ALKEM</t>
  </si>
  <si>
    <t>Alkem Laboratories Limited</t>
  </si>
  <si>
    <t>INE540L01014</t>
  </si>
  <si>
    <t>ALKYLAMINE</t>
  </si>
  <si>
    <t>Alkyl Amines Chemicals Limited</t>
  </si>
  <si>
    <t>INE150B01039</t>
  </si>
  <si>
    <t>ALLCARGO</t>
  </si>
  <si>
    <t>Allcargo Logistics Limited</t>
  </si>
  <si>
    <t>INE418H01029</t>
  </si>
  <si>
    <t>ALLSEC</t>
  </si>
  <si>
    <t>Allsec Technologies Limited</t>
  </si>
  <si>
    <t>INE835G01018</t>
  </si>
  <si>
    <t>ALMONDZ</t>
  </si>
  <si>
    <t>Almondz Global Securities Limited</t>
  </si>
  <si>
    <t>INE326B01027</t>
  </si>
  <si>
    <t>ALOKINDS</t>
  </si>
  <si>
    <t>Alok Industries Limited</t>
  </si>
  <si>
    <t>INE270A01029</t>
  </si>
  <si>
    <t>ALPA</t>
  </si>
  <si>
    <t>Alpa Laboratories Limited</t>
  </si>
  <si>
    <t>INE385I01010</t>
  </si>
  <si>
    <t>ALPHAGEO</t>
  </si>
  <si>
    <t>Alphageo (India) Limited</t>
  </si>
  <si>
    <t>INE137C01018</t>
  </si>
  <si>
    <t>ALPSINDUS</t>
  </si>
  <si>
    <t>Alps Industries Limited</t>
  </si>
  <si>
    <t>INE093B01015</t>
  </si>
  <si>
    <t>AMBER</t>
  </si>
  <si>
    <t>Amber Enterprises India Limited</t>
  </si>
  <si>
    <t>INE371P01015</t>
  </si>
  <si>
    <t>AMBICAAGAR</t>
  </si>
  <si>
    <t>Ambica Agarbathies &amp; Aroma industries Limited</t>
  </si>
  <si>
    <t>INE792B01012</t>
  </si>
  <si>
    <t>AMBIKCO</t>
  </si>
  <si>
    <t>Ambika Cotton Mills Limited</t>
  </si>
  <si>
    <t>INE540G01014</t>
  </si>
  <si>
    <t>AMBUJACEM</t>
  </si>
  <si>
    <t>Ambuja Cements Limited</t>
  </si>
  <si>
    <t>INE079A01024</t>
  </si>
  <si>
    <t>AMDIND</t>
  </si>
  <si>
    <t>AMD Industries Limited</t>
  </si>
  <si>
    <t>INE005I01014</t>
  </si>
  <si>
    <t>AMIORG</t>
  </si>
  <si>
    <t>Ami Organics Limited</t>
  </si>
  <si>
    <t>INE00FF01017</t>
  </si>
  <si>
    <t>AMJLAND</t>
  </si>
  <si>
    <t>Amj Land Holdings Limited</t>
  </si>
  <si>
    <t>INE606A01024</t>
  </si>
  <si>
    <t>AMNPLST</t>
  </si>
  <si>
    <t>Amines &amp; Plasticizers Limited</t>
  </si>
  <si>
    <t>INE275D01022</t>
  </si>
  <si>
    <t>AMRUTANJAN</t>
  </si>
  <si>
    <t>Amrutanjan Health Care Limited</t>
  </si>
  <si>
    <t>INE098F01031</t>
  </si>
  <si>
    <t>ANANDRATHI</t>
  </si>
  <si>
    <t>Anand Rathi Wealth Limited</t>
  </si>
  <si>
    <t>INE463V01026</t>
  </si>
  <si>
    <t>ANANTRAJ</t>
  </si>
  <si>
    <t>Anant Raj Limited</t>
  </si>
  <si>
    <t>INE242C01024</t>
  </si>
  <si>
    <t>ANDHRAPAP</t>
  </si>
  <si>
    <t>ANDHRA PAPER LIMITED</t>
  </si>
  <si>
    <t>INE435A01028</t>
  </si>
  <si>
    <t>ANDHRSUGAR</t>
  </si>
  <si>
    <t>The Andhra Sugars Limited</t>
  </si>
  <si>
    <t>INE715B01021</t>
  </si>
  <si>
    <t>ANGELONE</t>
  </si>
  <si>
    <t>Angel One Limited</t>
  </si>
  <si>
    <t>INE732I01013</t>
  </si>
  <si>
    <t>ANIKINDS</t>
  </si>
  <si>
    <t>Anik Industries Limited</t>
  </si>
  <si>
    <t>INE087B01017</t>
  </si>
  <si>
    <t>ANKITMETAL</t>
  </si>
  <si>
    <t>Ankit Metal &amp; Power Limited</t>
  </si>
  <si>
    <t>INE106I01010</t>
  </si>
  <si>
    <t>ANMOL</t>
  </si>
  <si>
    <t>Anmol India Limited</t>
  </si>
  <si>
    <t>INE02AR01019</t>
  </si>
  <si>
    <t>ANTGRAPHIC</t>
  </si>
  <si>
    <t>Antarctica Limited</t>
  </si>
  <si>
    <t>INE414B01021</t>
  </si>
  <si>
    <t>ANUP</t>
  </si>
  <si>
    <t>The Anup Engineering Limited</t>
  </si>
  <si>
    <t>INE294Z01018</t>
  </si>
  <si>
    <t>ANURAS</t>
  </si>
  <si>
    <t>Anupam Rasayan India Limited</t>
  </si>
  <si>
    <t>INE930P01018</t>
  </si>
  <si>
    <t>APARINDS</t>
  </si>
  <si>
    <t>Apar Industries Limited</t>
  </si>
  <si>
    <t>INE372A01015</t>
  </si>
  <si>
    <t>APCL</t>
  </si>
  <si>
    <t>Anjani Portland Cement Limited</t>
  </si>
  <si>
    <t>INE071F01012</t>
  </si>
  <si>
    <t>APCOTEXIND</t>
  </si>
  <si>
    <t>Apcotex Industries Limited</t>
  </si>
  <si>
    <t>INE116A01032</t>
  </si>
  <si>
    <t>APEX</t>
  </si>
  <si>
    <t>Apex Frozen Foods Limited</t>
  </si>
  <si>
    <t>INE346W01013</t>
  </si>
  <si>
    <t>APLAPOLLO</t>
  </si>
  <si>
    <t>APL Apollo Tubes Limited</t>
  </si>
  <si>
    <t>INE702C01027</t>
  </si>
  <si>
    <t>APLLTD</t>
  </si>
  <si>
    <t>Alembic Pharmaceuticals Limited</t>
  </si>
  <si>
    <t>INE901L01018</t>
  </si>
  <si>
    <t>APOLLO</t>
  </si>
  <si>
    <t>Apollo Micro Systems Limited</t>
  </si>
  <si>
    <t>INE713T01028</t>
  </si>
  <si>
    <t>APOLLOHOSP</t>
  </si>
  <si>
    <t>Apollo Hospitals Enterprise Limited</t>
  </si>
  <si>
    <t>INE437A01024</t>
  </si>
  <si>
    <t>APOLLOPIPE</t>
  </si>
  <si>
    <t>Apollo Pipes Limited</t>
  </si>
  <si>
    <t>INE126J01016</t>
  </si>
  <si>
    <t>APOLLOTYRE</t>
  </si>
  <si>
    <t>Apollo Tyres Limited</t>
  </si>
  <si>
    <t>INE438A01022</t>
  </si>
  <si>
    <t>APOLSINHOT</t>
  </si>
  <si>
    <t>Apollo Sindoori Hotels Limited</t>
  </si>
  <si>
    <t>INE451F01024</t>
  </si>
  <si>
    <t>APTECHT</t>
  </si>
  <si>
    <t>Aptech Limited</t>
  </si>
  <si>
    <t>INE266F01018</t>
  </si>
  <si>
    <t>APTUS</t>
  </si>
  <si>
    <t>Aptus Value Housing Finance India Limited</t>
  </si>
  <si>
    <t>INE852O01025</t>
  </si>
  <si>
    <t>ARCHIDPLY</t>
  </si>
  <si>
    <t>Archidply Industries Limited</t>
  </si>
  <si>
    <t>INE877I01016</t>
  </si>
  <si>
    <t>ARCHIES</t>
  </si>
  <si>
    <t>Archies Limited</t>
  </si>
  <si>
    <t>INE731A01020</t>
  </si>
  <si>
    <t>ARE&amp;M</t>
  </si>
  <si>
    <t>Amara Raja Energy &amp; Mobility Limited</t>
  </si>
  <si>
    <t>INE885A01032</t>
  </si>
  <si>
    <t>ARENTERP</t>
  </si>
  <si>
    <t>Rajdarshan Industries Limited</t>
  </si>
  <si>
    <t>INE610C01014</t>
  </si>
  <si>
    <t>ARIES</t>
  </si>
  <si>
    <t>Aries Agro Limited</t>
  </si>
  <si>
    <t>INE298I01015</t>
  </si>
  <si>
    <t>ARIHANTCAP</t>
  </si>
  <si>
    <t>Arihant Capital Markets Limited</t>
  </si>
  <si>
    <t>INE420B01036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</si>
  <si>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</si>
  <si>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</si>
  <si>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</si>
  <si>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</si>
  <si>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</si>
  <si>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</si>
  <si>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AROGRANITE</t>
  </si>
  <si>
    <t>Aro Granite Industries Limited</t>
  </si>
  <si>
    <t>INE210C01013</t>
  </si>
  <si>
    <t>ARROWGREEN</t>
  </si>
  <si>
    <t>Arrow Greentech Limited</t>
  </si>
  <si>
    <t>INE570D01018</t>
  </si>
  <si>
    <t>ARSHIYA</t>
  </si>
  <si>
    <t>Arshiya Limited</t>
  </si>
  <si>
    <t>INE968D01022</t>
  </si>
  <si>
    <t>ARSSINFRA</t>
  </si>
  <si>
    <t>ARSS Infrastructure Projects Limited</t>
  </si>
  <si>
    <t>INE267I01010</t>
  </si>
  <si>
    <t>ARTEMISMED</t>
  </si>
  <si>
    <t>Artemis Medicare Services Limited</t>
  </si>
  <si>
    <t>INE025R01021</t>
  </si>
  <si>
    <t>ARTNIRMAN</t>
  </si>
  <si>
    <t>Art Nirman Limited</t>
  </si>
  <si>
    <t>INE738V01013</t>
  </si>
  <si>
    <t>ARVEE</t>
  </si>
  <si>
    <t>Arvee Laboratories (India) Limited</t>
  </si>
  <si>
    <t>INE006Z01016</t>
  </si>
  <si>
    <t>ARVIND</t>
  </si>
  <si>
    <t>Arvind Limited</t>
  </si>
  <si>
    <t>INE034A01011</t>
  </si>
  <si>
    <t>ARVINDFASN</t>
  </si>
  <si>
    <t>Arvind Fashions Limited</t>
  </si>
  <si>
    <t>INE955V01021</t>
  </si>
  <si>
    <t>ARVSMART</t>
  </si>
  <si>
    <t>Arvind SmartSpaces Limited</t>
  </si>
  <si>
    <t>INE034S01021</t>
  </si>
  <si>
    <t>ASAHIINDIA</t>
  </si>
  <si>
    <t>Asahi India Glass Limited</t>
  </si>
  <si>
    <t>INE439A01020</t>
  </si>
  <si>
    <t>ASAHISONG</t>
  </si>
  <si>
    <t>Asahi Songwon Colors Limited</t>
  </si>
  <si>
    <t>INE228I01012</t>
  </si>
  <si>
    <t>ASAL</t>
  </si>
  <si>
    <t>Automotive Stampings and Assemblies Limited</t>
  </si>
  <si>
    <t>INE900C01027</t>
  </si>
  <si>
    <t>ASALCBR</t>
  </si>
  <si>
    <t>Associated Alcohols &amp; Breweries Ltd.</t>
  </si>
  <si>
    <t>INE073G01016</t>
  </si>
  <si>
    <t>ASHAPURMIN</t>
  </si>
  <si>
    <t>Ashapura Minechem Limited</t>
  </si>
  <si>
    <t>INE348A01023</t>
  </si>
  <si>
    <t>ASHIANA</t>
  </si>
  <si>
    <t>Ashiana Housing Limited</t>
  </si>
  <si>
    <t>INE365D01021</t>
  </si>
  <si>
    <t>ASHIMASYN</t>
  </si>
  <si>
    <t>Ashima Limited</t>
  </si>
  <si>
    <t>INE440A01010</t>
  </si>
  <si>
    <t>ASHOKA</t>
  </si>
  <si>
    <t>Ashoka Buildcon Limited</t>
  </si>
  <si>
    <t>INE442H01029</t>
  </si>
  <si>
    <t>ASHOKAMET</t>
  </si>
  <si>
    <t>Ashoka Metcast Limited</t>
  </si>
  <si>
    <t>INE760Y01011</t>
  </si>
  <si>
    <t>ASHOKLEY</t>
  </si>
  <si>
    <t>Ashok Leyland Limited</t>
  </si>
  <si>
    <t>INE208A01029</t>
  </si>
  <si>
    <t>ASIANENE</t>
  </si>
  <si>
    <t>Asian Energy Services Limited</t>
  </si>
  <si>
    <t>INE276G01015</t>
  </si>
  <si>
    <t>ASIANHOTNR</t>
  </si>
  <si>
    <t>Asian Hotels (North) Limited</t>
  </si>
  <si>
    <t>INE363A01022</t>
  </si>
  <si>
    <t>ASIANPAINT</t>
  </si>
  <si>
    <t>Asian Paints Limited</t>
  </si>
  <si>
    <t>INE021A01026</t>
  </si>
  <si>
    <t>ASIANTILES</t>
  </si>
  <si>
    <t>Asian Granito India Limited</t>
  </si>
  <si>
    <t>INE022I01019</t>
  </si>
  <si>
    <t>ASMS</t>
  </si>
  <si>
    <t>Bartronics India Limited</t>
  </si>
  <si>
    <t>INE855F01042</t>
  </si>
  <si>
    <t>ASPINWALL</t>
  </si>
  <si>
    <t>Aspinwall and Company Limited</t>
  </si>
  <si>
    <t>INE991I01015</t>
  </si>
  <si>
    <t>ASTEC</t>
  </si>
  <si>
    <t>Astec LifeSciences Limited</t>
  </si>
  <si>
    <t>INE563J01010</t>
  </si>
  <si>
    <t>ASTERDM</t>
  </si>
  <si>
    <t>Aster DM Healthcare Limited</t>
  </si>
  <si>
    <t>INE914M01019</t>
  </si>
  <si>
    <t>ASTRAL</t>
  </si>
  <si>
    <t>Astral Limited</t>
  </si>
  <si>
    <t>INE006I01046</t>
  </si>
  <si>
    <t>ASTRAMICRO</t>
  </si>
  <si>
    <t>Astra Microwave Products Limited</t>
  </si>
  <si>
    <t>INE386C01029</t>
  </si>
  <si>
    <t>ASTRAZEN</t>
  </si>
  <si>
    <t>AstraZeneca Pharma India Limited</t>
  </si>
  <si>
    <t>INE203A01020</t>
  </si>
  <si>
    <t>ASTRON</t>
  </si>
  <si>
    <t>Astron Paper &amp; Board Mill Limited</t>
  </si>
  <si>
    <t>INE646X01014</t>
  </si>
  <si>
    <t>ATALREAL</t>
  </si>
  <si>
    <t>Atal Realtech Limited</t>
  </si>
  <si>
    <t>INE0ALR01011</t>
  </si>
  <si>
    <t>ATAM</t>
  </si>
  <si>
    <t>Atam Valves Limited</t>
  </si>
  <si>
    <t>INE09KD01013</t>
  </si>
  <si>
    <t>ATFL</t>
  </si>
  <si>
    <t>Agro Tech Foods Limited</t>
  </si>
  <si>
    <t>INE209A01019</t>
  </si>
  <si>
    <t>ATGL</t>
  </si>
  <si>
    <t>Adani Total Gas Limited</t>
  </si>
  <si>
    <t>INE399L01023</t>
  </si>
  <si>
    <t>ATL</t>
  </si>
  <si>
    <t>Allcargo Terminals Limited</t>
  </si>
  <si>
    <t>INE0NN701020</t>
  </si>
  <si>
    <t>ATLANTA</t>
  </si>
  <si>
    <t>Atlanta  Limited</t>
  </si>
  <si>
    <t>INE285H01022</t>
  </si>
  <si>
    <t>ATUL</t>
  </si>
  <si>
    <t>Atul Limited</t>
  </si>
  <si>
    <t>INE100A01010</t>
  </si>
  <si>
    <t>ATULAUTO</t>
  </si>
  <si>
    <t>Atul Auto Limited</t>
  </si>
  <si>
    <t>INE951D01028</t>
  </si>
  <si>
    <t>AUBANK</t>
  </si>
  <si>
    <t>AU Small Finance Bank Limited</t>
  </si>
  <si>
    <t>INE949L01017</t>
  </si>
  <si>
    <t>AURIONPRO</t>
  </si>
  <si>
    <t>Aurionpro Solutions Limited</t>
  </si>
  <si>
    <t>INE132H01018</t>
  </si>
  <si>
    <t>AUROPHARMA</t>
  </si>
  <si>
    <t>Aurobindo Pharma Limited</t>
  </si>
  <si>
    <t>INE406A01037</t>
  </si>
  <si>
    <t>AURUM</t>
  </si>
  <si>
    <t>Aurum PropTech Limited</t>
  </si>
  <si>
    <t>INE898S01029</t>
  </si>
  <si>
    <t>AUSOMENT</t>
  </si>
  <si>
    <t>Ausom Enterprise Limited</t>
  </si>
  <si>
    <t>INE218C01016</t>
  </si>
  <si>
    <t>AUTOAXLES</t>
  </si>
  <si>
    <t>Automotive Axles Limited</t>
  </si>
  <si>
    <t>INE449A01011</t>
  </si>
  <si>
    <t>AUTOIND</t>
  </si>
  <si>
    <t>Autoline Industries Limited</t>
  </si>
  <si>
    <t>INE718H01014</t>
  </si>
  <si>
    <t>AVADHSUGAR</t>
  </si>
  <si>
    <t>Avadh Sugar &amp; Energy Limited</t>
  </si>
  <si>
    <t>INE349W01017</t>
  </si>
  <si>
    <t>AVALON</t>
  </si>
  <si>
    <t>Avalon Technologies Limited</t>
  </si>
  <si>
    <t>INE0LCL01028</t>
  </si>
  <si>
    <t>AVANTIFEED</t>
  </si>
  <si>
    <t>Avanti Feeds Limited</t>
  </si>
  <si>
    <t>INE871C01038</t>
  </si>
  <si>
    <t>AVG</t>
  </si>
  <si>
    <t>AVG Logistics Limited</t>
  </si>
  <si>
    <t>INE680Z01018</t>
  </si>
  <si>
    <t>AVONMORE</t>
  </si>
  <si>
    <t>Avonmore Capital &amp; Management Services Limited</t>
  </si>
  <si>
    <t>INE323B01016</t>
  </si>
  <si>
    <t>AVROIND</t>
  </si>
  <si>
    <t>AVRO INDIA LIMITED</t>
  </si>
  <si>
    <t>INE652Z01017</t>
  </si>
  <si>
    <t>AVTNPL</t>
  </si>
  <si>
    <t>AVT Natural Products Limited</t>
  </si>
  <si>
    <t>INE488D01021</t>
  </si>
  <si>
    <t>AWHCL</t>
  </si>
  <si>
    <t>Antony Waste Handling Cell Limited</t>
  </si>
  <si>
    <t>INE01BK01022</t>
  </si>
  <si>
    <t>AWL</t>
  </si>
  <si>
    <t>Adani Wilmar Limited</t>
  </si>
  <si>
    <t>INE699H01024</t>
  </si>
  <si>
    <t>AXISBANK</t>
  </si>
  <si>
    <t>Axis Bank Limited</t>
  </si>
  <si>
    <t>INE238A01034</t>
  </si>
  <si>
    <t>AXISCADES</t>
  </si>
  <si>
    <t>AXISCADES Technologies Limited</t>
  </si>
  <si>
    <t>INE555B01013</t>
  </si>
  <si>
    <t>AXITA</t>
  </si>
  <si>
    <t>Axita Cotton Limited</t>
  </si>
  <si>
    <t>INE02EZ01022</t>
  </si>
  <si>
    <t>AYMSYNTEX</t>
  </si>
  <si>
    <t>AYM Syntex Limited</t>
  </si>
  <si>
    <t>INE193B01039</t>
  </si>
  <si>
    <t>BAFNAPH</t>
  </si>
  <si>
    <t>Bafna Pharmaceuticals Limited</t>
  </si>
  <si>
    <t>INE878I01022</t>
  </si>
  <si>
    <t>BAGFILMS</t>
  </si>
  <si>
    <t>B.A.G Films and Media Limited</t>
  </si>
  <si>
    <t>INE116D01028</t>
  </si>
  <si>
    <t>BAIDFIN</t>
  </si>
  <si>
    <t>Baid Finserv Limited</t>
  </si>
  <si>
    <t>INE020D01022</t>
  </si>
  <si>
    <t>BAJAJ-AUTO</t>
  </si>
  <si>
    <t>Bajaj Auto Limited</t>
  </si>
  <si>
    <t>INE917I01010</t>
  </si>
  <si>
    <t>BAJAJCON</t>
  </si>
  <si>
    <t>Bajaj Consumer Care Limited</t>
  </si>
  <si>
    <t>INE933K01021</t>
  </si>
  <si>
    <t>BAJAJELEC</t>
  </si>
  <si>
    <t>Bajaj Electricals Limited</t>
  </si>
  <si>
    <t>INE193E01025</t>
  </si>
  <si>
    <t>BAJAJFINSV</t>
  </si>
  <si>
    <t>Bajaj Finserv Limited</t>
  </si>
  <si>
    <t>INE918I01026</t>
  </si>
  <si>
    <t>BAJAJHCARE</t>
  </si>
  <si>
    <t>Bajaj Healthcare Limited</t>
  </si>
  <si>
    <t>INE411U01027</t>
  </si>
  <si>
    <t>BAJAJHIND</t>
  </si>
  <si>
    <t>Bajaj Hindusthan Sugar Limited</t>
  </si>
  <si>
    <t>INE306A01021</t>
  </si>
  <si>
    <t>BAJAJHLDNG</t>
  </si>
  <si>
    <t>Bajaj Holdings &amp; Investment Limited</t>
  </si>
  <si>
    <t>INE118A01012</t>
  </si>
  <si>
    <t>BAJFINANCE</t>
  </si>
  <si>
    <t>Bajaj Finance Limited</t>
  </si>
  <si>
    <t>INE296A01024</t>
  </si>
  <si>
    <t>BALAJITELE</t>
  </si>
  <si>
    <t>Balaji Telefilms Limited</t>
  </si>
  <si>
    <t>INE794B01026</t>
  </si>
  <si>
    <t>BALAMINES</t>
  </si>
  <si>
    <t>Balaji Amines Limited</t>
  </si>
  <si>
    <t>INE050E01027</t>
  </si>
  <si>
    <t>BALAXI</t>
  </si>
  <si>
    <t>BALAXI PHARMACEUTICALS LIMITED</t>
  </si>
  <si>
    <t>INE618N01014</t>
  </si>
  <si>
    <t>BALKRISHNA</t>
  </si>
  <si>
    <t>Balkrishna Paper Mills Limited</t>
  </si>
  <si>
    <t>INE875R01011</t>
  </si>
  <si>
    <t>BALKRISIND</t>
  </si>
  <si>
    <t>Balkrishna Industries Limited</t>
  </si>
  <si>
    <t>INE787D01026</t>
  </si>
  <si>
    <t>BALMLAWRIE</t>
  </si>
  <si>
    <t>Balmer Lawrie &amp; Company Limited</t>
  </si>
  <si>
    <t>INE164A01016</t>
  </si>
  <si>
    <t>BALPHARMA</t>
  </si>
  <si>
    <t>Bal Pharma Limited</t>
  </si>
  <si>
    <t>INE083D01012</t>
  </si>
  <si>
    <t>BALRAMCHIN</t>
  </si>
  <si>
    <t>Balrampur Chini Mills Limited</t>
  </si>
  <si>
    <t>INE119A01028</t>
  </si>
  <si>
    <t>BANARBEADS</t>
  </si>
  <si>
    <t>Banaras Beads Limited</t>
  </si>
  <si>
    <t>INE655B01011</t>
  </si>
  <si>
    <t>BANARISUG</t>
  </si>
  <si>
    <t>Bannari Amman Sugars Limited</t>
  </si>
  <si>
    <t>INE459A01010</t>
  </si>
  <si>
    <t>BANCOINDIA</t>
  </si>
  <si>
    <t>Banco Products (I) Limited</t>
  </si>
  <si>
    <t>INE213C01025</t>
  </si>
  <si>
    <t>BANDHANBNK</t>
  </si>
  <si>
    <t>Bandhan Bank Limited</t>
  </si>
  <si>
    <t>INE545U01014</t>
  </si>
  <si>
    <t>BANG</t>
  </si>
  <si>
    <t>Bang Overseas Limited</t>
  </si>
  <si>
    <t>INE863I01016</t>
  </si>
  <si>
    <t>BANKA</t>
  </si>
  <si>
    <t>Banka BioLoo Limited</t>
  </si>
  <si>
    <t>INE862Y01015</t>
  </si>
  <si>
    <t>BANKBARODA</t>
  </si>
  <si>
    <t>Bank of Baroda</t>
  </si>
  <si>
    <t>INE028A01039</t>
  </si>
  <si>
    <t>BANKINDIA</t>
  </si>
  <si>
    <t>Bank of India</t>
  </si>
  <si>
    <t>INE084A01016</t>
  </si>
  <si>
    <t>BANSWRAS</t>
  </si>
  <si>
    <t>Banswara Syntex Limited</t>
  </si>
  <si>
    <t>INE629D01020</t>
  </si>
  <si>
    <t>BARBEQUE</t>
  </si>
  <si>
    <t>Barbeque Nation Hospitality Limited</t>
  </si>
  <si>
    <t>INE382M01027</t>
  </si>
  <si>
    <t>BASF</t>
  </si>
  <si>
    <t>BASF India Limited</t>
  </si>
  <si>
    <t>INE373A01013</t>
  </si>
  <si>
    <t>BASML</t>
  </si>
  <si>
    <t>Bannari Amman Spinning Mills Limited</t>
  </si>
  <si>
    <t>INE186H01022</t>
  </si>
  <si>
    <t>BATAINDIA</t>
  </si>
  <si>
    <t>Bata India Limited</t>
  </si>
  <si>
    <t>INE176A01028</t>
  </si>
  <si>
    <t>BAYERCROP</t>
  </si>
  <si>
    <t>Bayer Cropscience Limited</t>
  </si>
  <si>
    <t>INE462A01022</t>
  </si>
  <si>
    <t>BBL</t>
  </si>
  <si>
    <t>Bharat Bijlee Limited</t>
  </si>
  <si>
    <t>INE464A01028</t>
  </si>
  <si>
    <t>BBOX</t>
  </si>
  <si>
    <t>Black Box Limited</t>
  </si>
  <si>
    <t>INE676A01027</t>
  </si>
  <si>
    <t>BBTC</t>
  </si>
  <si>
    <t>Bombay Burmah Trading Corporation Limited</t>
  </si>
  <si>
    <t>INE050A01025</t>
  </si>
  <si>
    <t>BBTCL</t>
  </si>
  <si>
    <t>B&amp;B Triplewall Containers Limited</t>
  </si>
  <si>
    <t>INE01EE01011</t>
  </si>
  <si>
    <t>BCG</t>
  </si>
  <si>
    <t>Brightcom Group Limited</t>
  </si>
  <si>
    <t>INE425B01027</t>
  </si>
  <si>
    <t>BCLIND</t>
  </si>
  <si>
    <t>Bcl Industries Limited</t>
  </si>
  <si>
    <t>INE412G01024</t>
  </si>
  <si>
    <t>BCONCEPTS</t>
  </si>
  <si>
    <t>Brand Concepts Limited</t>
  </si>
  <si>
    <t>INE977Y01011</t>
  </si>
  <si>
    <t>BDL</t>
  </si>
  <si>
    <t>Bharat Dynamics Limited</t>
  </si>
  <si>
    <t>INE171Z01018</t>
  </si>
  <si>
    <t>BEARDSELL</t>
  </si>
  <si>
    <t>Beardsell Limited</t>
  </si>
  <si>
    <t>INE520H01022</t>
  </si>
  <si>
    <t>BECTORFOOD</t>
  </si>
  <si>
    <t>Mrs. Bectors Food Specialities Limited</t>
  </si>
  <si>
    <t>INE495P01012</t>
  </si>
  <si>
    <t>BEDMUTHA</t>
  </si>
  <si>
    <t>Bedmutha Industries Limited</t>
  </si>
  <si>
    <t>INE844K01012</t>
  </si>
  <si>
    <t>BEL</t>
  </si>
  <si>
    <t>Bharat Electronics Limited</t>
  </si>
  <si>
    <t>INE263A01024</t>
  </si>
  <si>
    <t>BEML</t>
  </si>
  <si>
    <t>BEML Limited</t>
  </si>
  <si>
    <t>INE258A01016</t>
  </si>
  <si>
    <t>BEPL</t>
  </si>
  <si>
    <t>Bhansali Engineering Polymers Limited</t>
  </si>
  <si>
    <t>INE922A01025</t>
  </si>
  <si>
    <t>BERGEPAINT</t>
  </si>
  <si>
    <t>Berger Paints (I) Limited</t>
  </si>
  <si>
    <t>INE463A01038</t>
  </si>
  <si>
    <t>BFINVEST</t>
  </si>
  <si>
    <t>BF Investment Limited</t>
  </si>
  <si>
    <t>INE878K01010</t>
  </si>
  <si>
    <t>BFUTILITIE</t>
  </si>
  <si>
    <t>BF Utilities Limited</t>
  </si>
  <si>
    <t>INE243D01012</t>
  </si>
  <si>
    <t>BGRENERGY</t>
  </si>
  <si>
    <t>BGR Energy Systems Limited</t>
  </si>
  <si>
    <t>INE661I01014</t>
  </si>
  <si>
    <t>BHAGCHEM</t>
  </si>
  <si>
    <t>Bhagiradha Chemicals &amp; Industries Limited</t>
  </si>
  <si>
    <t>INE414D01019</t>
  </si>
  <si>
    <t>BHAGERIA</t>
  </si>
  <si>
    <t>Bhageria Industries Limited</t>
  </si>
  <si>
    <t>INE354C01027</t>
  </si>
  <si>
    <t>BHAGYANGR</t>
  </si>
  <si>
    <t>Bhagyanagar India Limited</t>
  </si>
  <si>
    <t>INE458B01036</t>
  </si>
  <si>
    <t>BHANDARI</t>
  </si>
  <si>
    <t>Bhandari Hosiery Exports Limited</t>
  </si>
  <si>
    <t>INE474E01029</t>
  </si>
  <si>
    <t>BHARATFORG</t>
  </si>
  <si>
    <t>Bharat Forge Limited</t>
  </si>
  <si>
    <t>INE465A01025</t>
  </si>
  <si>
    <t>BHARATGEAR</t>
  </si>
  <si>
    <t>Bharat Gears Limited</t>
  </si>
  <si>
    <t>INE561C01019</t>
  </si>
  <si>
    <t>BHARATRAS</t>
  </si>
  <si>
    <t>Bharat Rasayan Limited</t>
  </si>
  <si>
    <t>INE838B01013</t>
  </si>
  <si>
    <t>BHARATWIRE</t>
  </si>
  <si>
    <t>Bharat Wire Ropes Limited</t>
  </si>
  <si>
    <t>INE316L01019</t>
  </si>
  <si>
    <t>BHARTIARTL</t>
  </si>
  <si>
    <t>Bharti Airtel Limited</t>
  </si>
  <si>
    <t>INE397D01024</t>
  </si>
  <si>
    <t>BHEL</t>
  </si>
  <si>
    <t>Bharat Heavy Electricals Limited</t>
  </si>
  <si>
    <t>INE257A01026</t>
  </si>
  <si>
    <t>BIGBLOC</t>
  </si>
  <si>
    <t>Bigbloc Construction Limited</t>
  </si>
  <si>
    <t>INE412U01025</t>
  </si>
  <si>
    <t>BIKAJI</t>
  </si>
  <si>
    <t>Bikaji Foods International Limited</t>
  </si>
  <si>
    <t>INE00E101023</t>
  </si>
  <si>
    <t>BIL</t>
  </si>
  <si>
    <t>Bhartiya International Limited</t>
  </si>
  <si>
    <t>INE828A01016</t>
  </si>
  <si>
    <t>BINANIIND</t>
  </si>
  <si>
    <t>Binani Industries Limited</t>
  </si>
  <si>
    <t>INE071A01013</t>
  </si>
  <si>
    <t>BIOCON</t>
  </si>
  <si>
    <t>Biocon Limited</t>
  </si>
  <si>
    <t>INE376G01013</t>
  </si>
  <si>
    <t>BIOFILCHEM</t>
  </si>
  <si>
    <t>Biofil Chemicals &amp; Pharmaceuticals Limited</t>
  </si>
  <si>
    <t>INE829A01014</t>
  </si>
  <si>
    <t>BIRLACABLE</t>
  </si>
  <si>
    <t>Birla Cable Limited</t>
  </si>
  <si>
    <t>INE800A01015</t>
  </si>
  <si>
    <t>BIRLACORPN</t>
  </si>
  <si>
    <t>Birla Corporation Limited</t>
  </si>
  <si>
    <t>INE340A01012</t>
  </si>
  <si>
    <t>BIRLAMONEY</t>
  </si>
  <si>
    <t>Aditya Birla Money Limited</t>
  </si>
  <si>
    <t>INE865C01022</t>
  </si>
  <si>
    <t>BKMINDST</t>
  </si>
  <si>
    <t>Bkm Industries Limited</t>
  </si>
  <si>
    <t>BZ</t>
  </si>
  <si>
    <t>INE831Q01016</t>
  </si>
  <si>
    <t>BLAL</t>
  </si>
  <si>
    <t>BEML Land Assets Limited</t>
  </si>
  <si>
    <t>INE0N7W01012</t>
  </si>
  <si>
    <t>BLBLIMITED</t>
  </si>
  <si>
    <t>BLB Limited</t>
  </si>
  <si>
    <t>INE791A01024</t>
  </si>
  <si>
    <t>BLISSGVS</t>
  </si>
  <si>
    <t>Bliss GVS Pharma Limited</t>
  </si>
  <si>
    <t>INE416D01022</t>
  </si>
  <si>
    <t>BLKASHYAP</t>
  </si>
  <si>
    <t>B. L. Kashyap and Sons Limited</t>
  </si>
  <si>
    <t>INE350H01032</t>
  </si>
  <si>
    <t>BLS</t>
  </si>
  <si>
    <t>BLS International Services Limited</t>
  </si>
  <si>
    <t>INE153T01027</t>
  </si>
  <si>
    <t>BLUECHIP</t>
  </si>
  <si>
    <t>Blue Chip India Limited</t>
  </si>
  <si>
    <t>INE657B01025</t>
  </si>
  <si>
    <t>BLUEDART</t>
  </si>
  <si>
    <t>Blue Dart Express Limited</t>
  </si>
  <si>
    <t>INE233B01017</t>
  </si>
  <si>
    <t>BLUEJET</t>
  </si>
  <si>
    <t>Blue Jet Healthcare Limited</t>
  </si>
  <si>
    <t>INE0KBH01020</t>
  </si>
  <si>
    <t>BLUESTARCO</t>
  </si>
  <si>
    <t>Blue Star Limited</t>
  </si>
  <si>
    <t>INE472A01039</t>
  </si>
  <si>
    <t>BODALCHEM</t>
  </si>
  <si>
    <t>Bodal Chemicals Limited</t>
  </si>
  <si>
    <t>INE338D01028</t>
  </si>
  <si>
    <t>BOHRAIND</t>
  </si>
  <si>
    <t>Bohra Industries Limited</t>
  </si>
  <si>
    <t>INE802W01023</t>
  </si>
  <si>
    <t>BOMDYEING</t>
  </si>
  <si>
    <t>Bombay Dyeing &amp; Mfg Company Limited</t>
  </si>
  <si>
    <t>INE032A01023</t>
  </si>
  <si>
    <t>BOROLTD</t>
  </si>
  <si>
    <t>Borosil Limited</t>
  </si>
  <si>
    <t>INE02PY01013</t>
  </si>
  <si>
    <t>BORORENEW</t>
  </si>
  <si>
    <t>BOROSIL RENEWABLES LIMITED</t>
  </si>
  <si>
    <t>INE666D01022</t>
  </si>
  <si>
    <t>BOSCHLTD</t>
  </si>
  <si>
    <t>Bosch Limited</t>
  </si>
  <si>
    <t>INE323A01026</t>
  </si>
  <si>
    <t>BPCL</t>
  </si>
  <si>
    <t>Bharat Petroleum Corporation Limited</t>
  </si>
  <si>
    <t>INE029A01011</t>
  </si>
  <si>
    <t>BPL</t>
  </si>
  <si>
    <t>BPL Limited</t>
  </si>
  <si>
    <t>INE110A01019</t>
  </si>
  <si>
    <t>BRIGADE</t>
  </si>
  <si>
    <t>Brigade Enterprises Limited</t>
  </si>
  <si>
    <t>INE791I01019</t>
  </si>
  <si>
    <t>BRITANNIA</t>
  </si>
  <si>
    <t>Britannia Industries Limited</t>
  </si>
  <si>
    <t>INE216A01030</t>
  </si>
  <si>
    <t>BRNL</t>
  </si>
  <si>
    <t>Bharat Road Network Limited</t>
  </si>
  <si>
    <t>INE727S01012</t>
  </si>
  <si>
    <t>BROOKS</t>
  </si>
  <si>
    <t>Brooks Laboratories Limited</t>
  </si>
  <si>
    <t>INE650L01011</t>
  </si>
  <si>
    <t>BSE</t>
  </si>
  <si>
    <t>BSE Limited</t>
  </si>
  <si>
    <t>INE118H01025</t>
  </si>
  <si>
    <t>BSHSL</t>
  </si>
  <si>
    <t>Bombay Super Hybrid Seeds Limited</t>
  </si>
  <si>
    <t>INE032Z01020</t>
  </si>
  <si>
    <t>BSL</t>
  </si>
  <si>
    <t>BSL Limited</t>
  </si>
  <si>
    <t>INE594B01012</t>
  </si>
  <si>
    <t>BSOFT</t>
  </si>
  <si>
    <t>BIRLASOFT LIMITED</t>
  </si>
  <si>
    <t>INE836A01035</t>
  </si>
  <si>
    <t>BTML</t>
  </si>
  <si>
    <t>Bodhi Tree Multimedia Limited</t>
  </si>
  <si>
    <t>INE0EEJ01015</t>
  </si>
  <si>
    <t>BURNPUR</t>
  </si>
  <si>
    <t>Burnpur Cement Limited</t>
  </si>
  <si>
    <t>INE817H01014</t>
  </si>
  <si>
    <t>BUTTERFLY</t>
  </si>
  <si>
    <t>Butterfly Gandhimathi Appliances Limited</t>
  </si>
  <si>
    <t>INE295F01017</t>
  </si>
  <si>
    <t>BVCL</t>
  </si>
  <si>
    <t>Barak Valley Cements Limited</t>
  </si>
  <si>
    <t>INE139I01011</t>
  </si>
  <si>
    <t>BYKE</t>
  </si>
  <si>
    <t>The Byke Hospitality Ltd</t>
  </si>
  <si>
    <t>INE319B01014</t>
  </si>
  <si>
    <t>CALSOFT</t>
  </si>
  <si>
    <t>California Software Company Limited</t>
  </si>
  <si>
    <t>INE526B01014</t>
  </si>
  <si>
    <t>CAMLINFINE</t>
  </si>
  <si>
    <t>Camlin Fine Sciences Limited</t>
  </si>
  <si>
    <t>INE052I01032</t>
  </si>
  <si>
    <t>CAMPUS</t>
  </si>
  <si>
    <t>Campus Activewear Limited</t>
  </si>
  <si>
    <t>INE278Y01022</t>
  </si>
  <si>
    <t>CAMS</t>
  </si>
  <si>
    <t>Computer Age Management Services Limited</t>
  </si>
  <si>
    <t>INE596I01012</t>
  </si>
  <si>
    <t>CANBK</t>
  </si>
  <si>
    <t>Canara Bank</t>
  </si>
  <si>
    <t>INE476A01014</t>
  </si>
  <si>
    <t>CANFINHOME</t>
  </si>
  <si>
    <t>Can Fin Homes Limited</t>
  </si>
  <si>
    <t>INE477A01020</t>
  </si>
  <si>
    <t>CANTABIL</t>
  </si>
  <si>
    <t>Cantabil Retail India Limited</t>
  </si>
  <si>
    <t>INE068L01024</t>
  </si>
  <si>
    <t>CAPACITE</t>
  </si>
  <si>
    <t>Capacit'e Infraprojects Limited</t>
  </si>
  <si>
    <t>INE264T01014</t>
  </si>
  <si>
    <t>CAPLIPOINT</t>
  </si>
  <si>
    <t>Caplin Point Laboratories Limited</t>
  </si>
  <si>
    <t>INE475E01026</t>
  </si>
  <si>
    <t>CAPTRUST</t>
  </si>
  <si>
    <t>Capital Trust Limited</t>
  </si>
  <si>
    <t>INE707C01018</t>
  </si>
  <si>
    <t>CARBORUNIV</t>
  </si>
  <si>
    <t>Carborundum Universal Limited</t>
  </si>
  <si>
    <t>INE120A01034</t>
  </si>
  <si>
    <t>CAREERP</t>
  </si>
  <si>
    <t>Career Point Limited</t>
  </si>
  <si>
    <t>INE521J01018</t>
  </si>
  <si>
    <t>CARERATING</t>
  </si>
  <si>
    <t>CARE Ratings Limited</t>
  </si>
  <si>
    <t>INE752H01013</t>
  </si>
  <si>
    <t>CARTRADE</t>
  </si>
  <si>
    <t>Cartrade Tech Limited</t>
  </si>
  <si>
    <t>INE290S01011</t>
  </si>
  <si>
    <t>CARYSIL</t>
  </si>
  <si>
    <t>CARYSIL LIMITED</t>
  </si>
  <si>
    <t>INE482D01024</t>
  </si>
  <si>
    <t>CASTROLIND</t>
  </si>
  <si>
    <t>Castrol India Limited</t>
  </si>
  <si>
    <t>INE172A01027</t>
  </si>
  <si>
    <t>CCHHL</t>
  </si>
  <si>
    <t>Country Club Hospitality &amp; Holidays Limited</t>
  </si>
  <si>
    <t>INE652F01027</t>
  </si>
  <si>
    <t>CCL</t>
  </si>
  <si>
    <t>CCL Products (India) Limited</t>
  </si>
  <si>
    <t>INE421D01022</t>
  </si>
  <si>
    <t>CDSL</t>
  </si>
  <si>
    <t>Central Depository Services (India) Limited</t>
  </si>
  <si>
    <t>INE736A01011</t>
  </si>
  <si>
    <t>CEATLTD</t>
  </si>
  <si>
    <t>CEAT Limited</t>
  </si>
  <si>
    <t>INE482A01020</t>
  </si>
  <si>
    <t>CELEBRITY</t>
  </si>
  <si>
    <t>Celebrity Fashions Limited</t>
  </si>
  <si>
    <t>INE185H01016</t>
  </si>
  <si>
    <t>CELLO</t>
  </si>
  <si>
    <t>Cello World Limited</t>
  </si>
  <si>
    <t>INE0LMW01024</t>
  </si>
  <si>
    <t>CENTENKA</t>
  </si>
  <si>
    <t>Century Enka Limited</t>
  </si>
  <si>
    <t>INE485A01015</t>
  </si>
  <si>
    <t>CENTEXT</t>
  </si>
  <si>
    <t>Century Extrusions Limited</t>
  </si>
  <si>
    <t>INE281A01026</t>
  </si>
  <si>
    <t>CENTRALBK</t>
  </si>
  <si>
    <t>Central Bank of India</t>
  </si>
  <si>
    <t>INE483A01010</t>
  </si>
  <si>
    <t>CENTRUM</t>
  </si>
  <si>
    <t>Centrum Capital Limited</t>
  </si>
  <si>
    <t>INE660C01027</t>
  </si>
  <si>
    <t>CENTUM</t>
  </si>
  <si>
    <t>Centum Electronics Limited</t>
  </si>
  <si>
    <t>INE320B01020</t>
  </si>
  <si>
    <t>CENTURYPLY</t>
  </si>
  <si>
    <t>Century Plyboards (India) Limited</t>
  </si>
  <si>
    <t>INE348B01021</t>
  </si>
  <si>
    <t>CENTURYTEX</t>
  </si>
  <si>
    <t>Century Textiles &amp; Industries Limited</t>
  </si>
  <si>
    <t>INE055A01016</t>
  </si>
  <si>
    <t>CERA</t>
  </si>
  <si>
    <t>Cera Sanitaryware Limited</t>
  </si>
  <si>
    <t>INE739E01017</t>
  </si>
  <si>
    <t>CEREBRAINT</t>
  </si>
  <si>
    <t>Cerebra Integrated Technologies Limited</t>
  </si>
  <si>
    <t>INE345B01019</t>
  </si>
  <si>
    <t>CESC</t>
  </si>
  <si>
    <t>CESC Limited</t>
  </si>
  <si>
    <t>INE486A01021</t>
  </si>
  <si>
    <t>CGCL</t>
  </si>
  <si>
    <t>Capri Global Capital Limited</t>
  </si>
  <si>
    <t>INE180C01026</t>
  </si>
  <si>
    <t>CGPOWER</t>
  </si>
  <si>
    <t>CG Power and Industrial Solutions Limited</t>
  </si>
  <si>
    <t>INE067A01029</t>
  </si>
  <si>
    <t>CHALET</t>
  </si>
  <si>
    <t>Chalet Hotels Limited</t>
  </si>
  <si>
    <t>INE427F01016</t>
  </si>
  <si>
    <t>CHAMBLFERT</t>
  </si>
  <si>
    <t>Chambal Fertilizers &amp; Chemicals Limited</t>
  </si>
  <si>
    <t>INE085A01013</t>
  </si>
  <si>
    <t>CHEMBOND</t>
  </si>
  <si>
    <t>Chembond Chemicals Ltd</t>
  </si>
  <si>
    <t>INE995D01025</t>
  </si>
  <si>
    <t>CHEMCON</t>
  </si>
  <si>
    <t>Chemcon Speciality Chemicals Limited</t>
  </si>
  <si>
    <t>INE03YM01018</t>
  </si>
  <si>
    <t>CHEMFAB</t>
  </si>
  <si>
    <t>Chemfab Alkalis Limited</t>
  </si>
  <si>
    <t>INE783X01023</t>
  </si>
  <si>
    <t>CHEMPLASTS</t>
  </si>
  <si>
    <t>Chemplast Sanmar Limited</t>
  </si>
  <si>
    <t>INE488A01050</t>
  </si>
  <si>
    <t>CHENNPETRO</t>
  </si>
  <si>
    <t>Chennai Petroleum Corporation Limited</t>
  </si>
  <si>
    <t>INE178A01016</t>
  </si>
  <si>
    <t>CHEVIOT</t>
  </si>
  <si>
    <t>Cheviot Company Limited</t>
  </si>
  <si>
    <t>INE974B01016</t>
  </si>
  <si>
    <t>CHOICEIN</t>
  </si>
  <si>
    <t>Choice International Limited</t>
  </si>
  <si>
    <t>INE102B01014</t>
  </si>
  <si>
    <t>CHOLAFIN</t>
  </si>
  <si>
    <t>Cholamandalam Investment and Finance Company Limited</t>
  </si>
  <si>
    <t>INE121A01024</t>
  </si>
  <si>
    <t>CHOLAHLDNG</t>
  </si>
  <si>
    <t>Cholamandalam Financial Holdings Limited</t>
  </si>
  <si>
    <t>INE149A01033</t>
  </si>
  <si>
    <t>CIEINDIA</t>
  </si>
  <si>
    <t>CIE Automotive India Limited</t>
  </si>
  <si>
    <t>INE536H01010</t>
  </si>
  <si>
    <t>CIGNITITEC</t>
  </si>
  <si>
    <t>Cigniti Technologies Limited</t>
  </si>
  <si>
    <t>INE675C01017</t>
  </si>
  <si>
    <t>CINELINE</t>
  </si>
  <si>
    <t>Cineline India Limited</t>
  </si>
  <si>
    <t>INE704H01022</t>
  </si>
  <si>
    <t>CINEVISTA</t>
  </si>
  <si>
    <t>Cinevista Limited</t>
  </si>
  <si>
    <t>INE039B01026</t>
  </si>
  <si>
    <t>CIPLA</t>
  </si>
  <si>
    <t>Cipla Limited</t>
  </si>
  <si>
    <t>INE059A01026</t>
  </si>
  <si>
    <t>CLEAN</t>
  </si>
  <si>
    <t>Clean Science and Technology Limited</t>
  </si>
  <si>
    <t>INE227W01023</t>
  </si>
  <si>
    <t>CLEDUCATE</t>
  </si>
  <si>
    <t>CL Educate Limited</t>
  </si>
  <si>
    <t>INE201M01029</t>
  </si>
  <si>
    <t>CLSEL</t>
  </si>
  <si>
    <t>Chaman Lal Setia Exports Limited</t>
  </si>
  <si>
    <t>INE419D01026</t>
  </si>
  <si>
    <t>CMSINFO</t>
  </si>
  <si>
    <t>CMS Info Systems Limited</t>
  </si>
  <si>
    <t>INE925R01014</t>
  </si>
  <si>
    <t>COALINDIA</t>
  </si>
  <si>
    <t>Coal India Limited</t>
  </si>
  <si>
    <t>INE522F01014</t>
  </si>
  <si>
    <t>COASTCORP</t>
  </si>
  <si>
    <t>Coastal Corporation Limited</t>
  </si>
  <si>
    <t>INE377E01016</t>
  </si>
  <si>
    <t>COCHINSHIP</t>
  </si>
  <si>
    <t>Cochin Shipyard Limited</t>
  </si>
  <si>
    <t>INE704P01017</t>
  </si>
  <si>
    <t>COFFEEDAY</t>
  </si>
  <si>
    <t>Coffee Day Enterprises Limited</t>
  </si>
  <si>
    <t>INE335K01011</t>
  </si>
  <si>
    <t>COFORGE</t>
  </si>
  <si>
    <t>Coforge Limited</t>
  </si>
  <si>
    <t>INE591G01017</t>
  </si>
  <si>
    <t>COLPAL</t>
  </si>
  <si>
    <t>Colgate Palmolive (India) Limited</t>
  </si>
  <si>
    <t>INE259A01022</t>
  </si>
  <si>
    <t>COMPINFO</t>
  </si>
  <si>
    <t>Compuage Infocom Limited</t>
  </si>
  <si>
    <t>INE070C01037</t>
  </si>
  <si>
    <t>COMPUSOFT</t>
  </si>
  <si>
    <t>Compucom Software Limited</t>
  </si>
  <si>
    <t>INE453B01029</t>
  </si>
  <si>
    <t>CONCOR</t>
  </si>
  <si>
    <t>Container Corporation of India Limited</t>
  </si>
  <si>
    <t>INE111A01025</t>
  </si>
  <si>
    <t>CONCORDBIO</t>
  </si>
  <si>
    <t>Concord Biotech Limited</t>
  </si>
  <si>
    <t>INE338H01029</t>
  </si>
  <si>
    <t>CONFIPET</t>
  </si>
  <si>
    <t>Confidence Petroleum India Limited</t>
  </si>
  <si>
    <t>INE552D01024</t>
  </si>
  <si>
    <t>CONSOFINVT</t>
  </si>
  <si>
    <t>Consolidated Finvest &amp; Holdings Limited</t>
  </si>
  <si>
    <t>INE025A01027</t>
  </si>
  <si>
    <t>CONTROLPR</t>
  </si>
  <si>
    <t>Control Print Limited</t>
  </si>
  <si>
    <t>INE663B01015</t>
  </si>
  <si>
    <t>CORALFINAC</t>
  </si>
  <si>
    <t>Coral India Finance &amp; Housing Limited</t>
  </si>
  <si>
    <t>INE558D01021</t>
  </si>
  <si>
    <t>CORDSCABLE</t>
  </si>
  <si>
    <t>Cords Cable Industries Limited</t>
  </si>
  <si>
    <t>INE792I01017</t>
  </si>
  <si>
    <t>COROMANDEL</t>
  </si>
  <si>
    <t>Coromandel International Limited</t>
  </si>
  <si>
    <t>INE169A01031</t>
  </si>
  <si>
    <t>COSMOFIRST</t>
  </si>
  <si>
    <t>COSMO FIRST LIMITED</t>
  </si>
  <si>
    <t>INE757A01017</t>
  </si>
  <si>
    <t>COUNCODOS</t>
  </si>
  <si>
    <t>Country Condo's Limited</t>
  </si>
  <si>
    <t>INE695B01025</t>
  </si>
  <si>
    <t>CRAFTSMAN</t>
  </si>
  <si>
    <t>Craftsman Automation Limited</t>
  </si>
  <si>
    <t>INE00LO01017</t>
  </si>
  <si>
    <t>CREATIVE</t>
  </si>
  <si>
    <t>Creative Newtech Limited</t>
  </si>
  <si>
    <t>INE985W01018</t>
  </si>
  <si>
    <t>CREATIVEYE</t>
  </si>
  <si>
    <t>Creative Eye Limited</t>
  </si>
  <si>
    <t>INE230B01021</t>
  </si>
  <si>
    <t>CREDITACC</t>
  </si>
  <si>
    <t>CREDITACCESS GRAMEEN LIMITED</t>
  </si>
  <si>
    <t>INE741K01010</t>
  </si>
  <si>
    <t>CREST</t>
  </si>
  <si>
    <t>Crest Ventures Limited</t>
  </si>
  <si>
    <t>INE559D01011</t>
  </si>
  <si>
    <t>CRISIL</t>
  </si>
  <si>
    <t>CRISIL Limited</t>
  </si>
  <si>
    <t>INE007A01025</t>
  </si>
  <si>
    <t>CROMPTON</t>
  </si>
  <si>
    <t>Crompton Greaves Consumer Electricals Limited</t>
  </si>
  <si>
    <t>INE299U01018</t>
  </si>
  <si>
    <t>CROWN</t>
  </si>
  <si>
    <t>Crown Lifters Limited</t>
  </si>
  <si>
    <t>INE491V01019</t>
  </si>
  <si>
    <t>CSBBANK</t>
  </si>
  <si>
    <t>CSB Bank Limited</t>
  </si>
  <si>
    <t>INE679A01013</t>
  </si>
  <si>
    <t>CSLFINANCE</t>
  </si>
  <si>
    <t>CSL Finance Limited</t>
  </si>
  <si>
    <t>INE718F01018</t>
  </si>
  <si>
    <t>CTE</t>
  </si>
  <si>
    <t>Cambridge Technology Enterprises Limited</t>
  </si>
  <si>
    <t>INE627H01017</t>
  </si>
  <si>
    <t>CUB</t>
  </si>
  <si>
    <t>City Union Bank Limited</t>
  </si>
  <si>
    <t>INE491A01021</t>
  </si>
  <si>
    <t>CUBEXTUB</t>
  </si>
  <si>
    <t>Cubex Tubings Limited</t>
  </si>
  <si>
    <t>INE144D01012</t>
  </si>
  <si>
    <t>CUMMINSIND</t>
  </si>
  <si>
    <t>Cummins India Limited</t>
  </si>
  <si>
    <t>INE298A01020</t>
  </si>
  <si>
    <t>CUPID</t>
  </si>
  <si>
    <t>Cupid Limited</t>
  </si>
  <si>
    <t>INE509F01011</t>
  </si>
  <si>
    <t>CYBERMEDIA</t>
  </si>
  <si>
    <t>Cyber Media (India) Limited</t>
  </si>
  <si>
    <t>INE278G01037</t>
  </si>
  <si>
    <t>CYBERTECH</t>
  </si>
  <si>
    <t>Cybertech Systems And Software Limited</t>
  </si>
  <si>
    <t>INE214A01019</t>
  </si>
  <si>
    <t>CYIENT</t>
  </si>
  <si>
    <t>Cyient Limited</t>
  </si>
  <si>
    <t>INE136B01020</t>
  </si>
  <si>
    <t>CYIENTDLM</t>
  </si>
  <si>
    <t>Cyient DLM Limited</t>
  </si>
  <si>
    <t>INE055S01018</t>
  </si>
  <si>
    <t>DABUR</t>
  </si>
  <si>
    <t>Dabur India Limited</t>
  </si>
  <si>
    <t>INE016A01026</t>
  </si>
  <si>
    <t>DALBHARAT</t>
  </si>
  <si>
    <t>Dalmia Bharat Limited</t>
  </si>
  <si>
    <t>INE00R701025</t>
  </si>
  <si>
    <t>DALMIASUG</t>
  </si>
  <si>
    <t>Dalmia Bharat Sugar and Industries Limited</t>
  </si>
  <si>
    <t>INE495A01022</t>
  </si>
  <si>
    <t>DAMODARIND</t>
  </si>
  <si>
    <t>Damodar Industries Limited</t>
  </si>
  <si>
    <t>INE497D01022</t>
  </si>
  <si>
    <t>DANGEE</t>
  </si>
  <si>
    <t>Dangee Dums Limited</t>
  </si>
  <si>
    <t>INE688Y01022</t>
  </si>
  <si>
    <t>DATAMATICS</t>
  </si>
  <si>
    <t>Datamatics Global Services Limited</t>
  </si>
  <si>
    <t>INE365B01017</t>
  </si>
  <si>
    <t>DATAPATTNS</t>
  </si>
  <si>
    <t>Data Patterns (India) Limited</t>
  </si>
  <si>
    <t>INE0IX101010</t>
  </si>
  <si>
    <t>DBCORP</t>
  </si>
  <si>
    <t>D.B.Corp Limited</t>
  </si>
  <si>
    <t>INE950I01011</t>
  </si>
  <si>
    <t>DBL</t>
  </si>
  <si>
    <t>Dilip Buildcon Limited</t>
  </si>
  <si>
    <t>INE917M01012</t>
  </si>
  <si>
    <t>DBOL</t>
  </si>
  <si>
    <t>Dhampur Bio Organics Limited</t>
  </si>
  <si>
    <t>INE0I3401014</t>
  </si>
  <si>
    <t>DBREALTY</t>
  </si>
  <si>
    <t>D B Realty Limited</t>
  </si>
  <si>
    <t>INE879I01012</t>
  </si>
  <si>
    <t>DBSTOCKBRO</t>
  </si>
  <si>
    <t>DB (International) Stock Brokers Limited</t>
  </si>
  <si>
    <t>INE921B01025</t>
  </si>
  <si>
    <t>DCAL</t>
  </si>
  <si>
    <t>Dishman Carbogen Amcis Limited</t>
  </si>
  <si>
    <t>INE385W01011</t>
  </si>
  <si>
    <t>DCBBANK</t>
  </si>
  <si>
    <t>DCB Bank Limited</t>
  </si>
  <si>
    <t>INE503A01015</t>
  </si>
  <si>
    <t>DCI</t>
  </si>
  <si>
    <t>Dc Infotech And Communication Limited</t>
  </si>
  <si>
    <t>INE0A1101019</t>
  </si>
  <si>
    <t>DCM</t>
  </si>
  <si>
    <t>DCM  Limited</t>
  </si>
  <si>
    <t>INE498A01018</t>
  </si>
  <si>
    <t>DCMFINSERV</t>
  </si>
  <si>
    <t>DCM Financial Services Limited</t>
  </si>
  <si>
    <t>INE891B01012</t>
  </si>
  <si>
    <t>DCMNVL</t>
  </si>
  <si>
    <t>DCM Nouvelle Limited</t>
  </si>
  <si>
    <t>INE08KP01019</t>
  </si>
  <si>
    <t>DCMSHRIRAM</t>
  </si>
  <si>
    <t>DCM Shriram Limited</t>
  </si>
  <si>
    <t>INE499A01024</t>
  </si>
  <si>
    <t>DCMSRIND</t>
  </si>
  <si>
    <t>DCM Shriram Industries Limited</t>
  </si>
  <si>
    <t>INE843D01027</t>
  </si>
  <si>
    <t>DCW</t>
  </si>
  <si>
    <t>DCW Limited</t>
  </si>
  <si>
    <t>INE500A01029</t>
  </si>
  <si>
    <t>DCXINDIA</t>
  </si>
  <si>
    <t>DCX Systems Limited</t>
  </si>
  <si>
    <t>INE0KL801015</t>
  </si>
  <si>
    <t>DECCANCE</t>
  </si>
  <si>
    <t>Deccan Cements Limited</t>
  </si>
  <si>
    <t>INE583C01021</t>
  </si>
  <si>
    <t>DEEPAKFERT</t>
  </si>
  <si>
    <t>Deepak Fertilizers and Petrochemicals Corporation Limited</t>
  </si>
  <si>
    <t>INE501A01019</t>
  </si>
  <si>
    <t>DEEPAKNTR</t>
  </si>
  <si>
    <t>Deepak Nitrite Limited</t>
  </si>
  <si>
    <t>INE288B01029</t>
  </si>
  <si>
    <t>DEEPENR</t>
  </si>
  <si>
    <t>DEEP ENERGY RESOURCES LIMITED</t>
  </si>
  <si>
    <t>INE677H01012</t>
  </si>
  <si>
    <t>DEEPINDS</t>
  </si>
  <si>
    <t>Deep Industries Limited</t>
  </si>
  <si>
    <t>INE0FHS01024</t>
  </si>
  <si>
    <t>DELHIVERY</t>
  </si>
  <si>
    <t>Delhivery Limited</t>
  </si>
  <si>
    <t>INE148O01028</t>
  </si>
  <si>
    <t>DELPHIFX</t>
  </si>
  <si>
    <t>DELPHI WORLD MONEY LIMITED</t>
  </si>
  <si>
    <t>INE726L01019</t>
  </si>
  <si>
    <t>DELTACORP</t>
  </si>
  <si>
    <t>Delta Corp Limited</t>
  </si>
  <si>
    <t>INE124G01033</t>
  </si>
  <si>
    <t>DELTAMAGNT</t>
  </si>
  <si>
    <t>Delta Manufacturing Limited</t>
  </si>
  <si>
    <t>INE393A01011</t>
  </si>
  <si>
    <t>DEN</t>
  </si>
  <si>
    <t>Den Networks Limited</t>
  </si>
  <si>
    <t>INE947J01015</t>
  </si>
  <si>
    <t>DENORA</t>
  </si>
  <si>
    <t>De Nora India Limited</t>
  </si>
  <si>
    <t>INE244A01016</t>
  </si>
  <si>
    <t>DEVIT</t>
  </si>
  <si>
    <t>Dev Information Technology Limited</t>
  </si>
  <si>
    <t>INE060X01026</t>
  </si>
  <si>
    <t>DEVYANI</t>
  </si>
  <si>
    <t>Devyani International Limited</t>
  </si>
  <si>
    <t>INE872J01023</t>
  </si>
  <si>
    <t>DGCONTENT</t>
  </si>
  <si>
    <t>Digicontent Limited</t>
  </si>
  <si>
    <t>INE03JI01017</t>
  </si>
  <si>
    <t>DHAMPURSUG</t>
  </si>
  <si>
    <t>Dhampur Sugar Mills Limited</t>
  </si>
  <si>
    <t>INE041A01016</t>
  </si>
  <si>
    <t>DHANBANK</t>
  </si>
  <si>
    <t>Dhanlaxmi Bank Limited</t>
  </si>
  <si>
    <t>INE680A01011</t>
  </si>
  <si>
    <t>DHANI</t>
  </si>
  <si>
    <t>Dhani Services Limited</t>
  </si>
  <si>
    <t>INE274G01010</t>
  </si>
  <si>
    <t>DHANUKA</t>
  </si>
  <si>
    <t>Dhanuka Agritech Limited</t>
  </si>
  <si>
    <t>INE435G01025</t>
  </si>
  <si>
    <t>DHARMAJ</t>
  </si>
  <si>
    <t>Dharmaj Crop Guard Limited</t>
  </si>
  <si>
    <t>INE00OQ01016</t>
  </si>
  <si>
    <t>DHRUV</t>
  </si>
  <si>
    <t>Dhruv Consultancy Services Limited</t>
  </si>
  <si>
    <t>INE506Z01015</t>
  </si>
  <si>
    <t>DHUNINV</t>
  </si>
  <si>
    <t>Dhunseri Investments Limited</t>
  </si>
  <si>
    <t>INE320L01011</t>
  </si>
  <si>
    <t>DIACABS</t>
  </si>
  <si>
    <t>Diamond Power Infrastructure Limited</t>
  </si>
  <si>
    <t>INE989C01020</t>
  </si>
  <si>
    <t>DIAMINESQ</t>
  </si>
  <si>
    <t>Diamines &amp; Chemicals Limited</t>
  </si>
  <si>
    <t>INE591D01014</t>
  </si>
  <si>
    <t>DIAMONDYD</t>
  </si>
  <si>
    <t>Prataap Snacks Limited</t>
  </si>
  <si>
    <t>INE393P01035</t>
  </si>
  <si>
    <t>DICIND</t>
  </si>
  <si>
    <t>DIC India Limited</t>
  </si>
  <si>
    <t>INE303A01010</t>
  </si>
  <si>
    <t>DIGISPICE</t>
  </si>
  <si>
    <t>DiGiSPICE Technologies Limited</t>
  </si>
  <si>
    <t>INE927C01020</t>
  </si>
  <si>
    <t>DIGJAMLMTD</t>
  </si>
  <si>
    <t>Digjam Limited</t>
  </si>
  <si>
    <t>INE731U01028</t>
  </si>
  <si>
    <t>DIL</t>
  </si>
  <si>
    <t>Debock Industries Limited</t>
  </si>
  <si>
    <t>INE411Y01011</t>
  </si>
  <si>
    <t>DISHTV</t>
  </si>
  <si>
    <t>Dish TV India Limited</t>
  </si>
  <si>
    <t>INE836F01026</t>
  </si>
  <si>
    <t>DIVGIITTS</t>
  </si>
  <si>
    <t>Divgi Torqtransfer Systems Limited</t>
  </si>
  <si>
    <t>INE753U01022</t>
  </si>
  <si>
    <t>DIVISLAB</t>
  </si>
  <si>
    <t>Divi's Laboratories Limited</t>
  </si>
  <si>
    <t>INE361B01024</t>
  </si>
  <si>
    <t>DIXON</t>
  </si>
  <si>
    <t>Dixon Technologies (India) Limited</t>
  </si>
  <si>
    <t>INE935N01020</t>
  </si>
  <si>
    <t>DJML</t>
  </si>
  <si>
    <t>DJ Mediaprint &amp; Logistics Limited</t>
  </si>
  <si>
    <t>INE0B1K01014</t>
  </si>
  <si>
    <t>DLF</t>
  </si>
  <si>
    <t>DLF Limited</t>
  </si>
  <si>
    <t>INE271C01023</t>
  </si>
  <si>
    <t>DLINKINDIA</t>
  </si>
  <si>
    <t>D-Link (India) Limited</t>
  </si>
  <si>
    <t>INE250K01012</t>
  </si>
  <si>
    <t>DMART</t>
  </si>
  <si>
    <t>Avenue Supermarts Limited</t>
  </si>
  <si>
    <t>INE192R01011</t>
  </si>
  <si>
    <t>DMCC</t>
  </si>
  <si>
    <t>DMCC SPECIALITY CHEMICALS LIMITED</t>
  </si>
  <si>
    <t>INE505A01010</t>
  </si>
  <si>
    <t>DNAMEDIA</t>
  </si>
  <si>
    <t>Diligent Media Corporation Limited</t>
  </si>
  <si>
    <t>INE016M01021</t>
  </si>
  <si>
    <t>DODLA</t>
  </si>
  <si>
    <t>Dodla Dairy Limited</t>
  </si>
  <si>
    <t>INE021O01019</t>
  </si>
  <si>
    <t>DOLATALGO</t>
  </si>
  <si>
    <t>Dolat Algotech Limited</t>
  </si>
  <si>
    <t>INE966A01022</t>
  </si>
  <si>
    <t>DOLLAR</t>
  </si>
  <si>
    <t>Dollar Industries Limited</t>
  </si>
  <si>
    <t>INE325C01035</t>
  </si>
  <si>
    <t>DOLPHIN</t>
  </si>
  <si>
    <t>Dolphin Offshore Enterprises (India) Limited</t>
  </si>
  <si>
    <t>INE920A01029</t>
  </si>
  <si>
    <t>DONEAR</t>
  </si>
  <si>
    <t>Donear Industries Limited</t>
  </si>
  <si>
    <t>INE668D01028</t>
  </si>
  <si>
    <t>DPABHUSHAN</t>
  </si>
  <si>
    <t>D. P. Abhushan Limited</t>
  </si>
  <si>
    <t>INE266Y01019</t>
  </si>
  <si>
    <t>DPSCLTD</t>
  </si>
  <si>
    <t>DPSC Limited</t>
  </si>
  <si>
    <t>INE360C01024</t>
  </si>
  <si>
    <t>DPWIRES</t>
  </si>
  <si>
    <t>D P Wires Limited</t>
  </si>
  <si>
    <t>INE864X01013</t>
  </si>
  <si>
    <t>DRCSYSTEMS</t>
  </si>
  <si>
    <t>DRC Systems India Limited</t>
  </si>
  <si>
    <t>INE03RS01027</t>
  </si>
  <si>
    <t>DREAMFOLKS</t>
  </si>
  <si>
    <t>Dreamfolks Services Limited</t>
  </si>
  <si>
    <t>INE0JS101016</t>
  </si>
  <si>
    <t>DREDGECORP</t>
  </si>
  <si>
    <t>Dredging Corporation of India Limited</t>
  </si>
  <si>
    <t>INE506A01018</t>
  </si>
  <si>
    <t>DRREDDY</t>
  </si>
  <si>
    <t>Dr. Reddy's Laboratories Limited</t>
  </si>
  <si>
    <t>INE089A01023</t>
  </si>
  <si>
    <t>DSSL</t>
  </si>
  <si>
    <t>Dynacons Systems &amp; Solutions Limited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</si>
  <si>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</si>
  <si>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</si>
  <si>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</si>
  <si>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</si>
  <si>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</si>
  <si>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</si>
  <si>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</si>
  <si>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DVL</t>
  </si>
  <si>
    <t>Dhunseri Ventures Limited</t>
  </si>
  <si>
    <t>INE477B01010</t>
  </si>
  <si>
    <t>DWARKESH</t>
  </si>
  <si>
    <t>Dwarikesh Sugar Industries Limited</t>
  </si>
  <si>
    <t>INE366A01041</t>
  </si>
  <si>
    <t>DYCL</t>
  </si>
  <si>
    <t>Dynamic Cables Limited</t>
  </si>
  <si>
    <t>INE600Y01019</t>
  </si>
  <si>
    <t>DYNAMATECH</t>
  </si>
  <si>
    <t>Dynamatic Technologies Limited</t>
  </si>
  <si>
    <t>INE221B01012</t>
  </si>
  <si>
    <t>DYNPRO</t>
  </si>
  <si>
    <t>Dynemic Products Limited</t>
  </si>
  <si>
    <t>INE256H01015</t>
  </si>
  <si>
    <t>E2E</t>
  </si>
  <si>
    <t>E2E Networks Limited</t>
  </si>
  <si>
    <t>INE255Z01019</t>
  </si>
  <si>
    <t>EASEMYTRIP</t>
  </si>
  <si>
    <t>Easy Trip Planners Limited</t>
  </si>
  <si>
    <t>INE07O001026</t>
  </si>
  <si>
    <t>EASTSILK</t>
  </si>
  <si>
    <t>Eastern Silk Industries Limited</t>
  </si>
  <si>
    <t>INE962C01027</t>
  </si>
  <si>
    <t>ECLERX</t>
  </si>
  <si>
    <t>eClerx Services Limited</t>
  </si>
  <si>
    <t>INE738I01010</t>
  </si>
  <si>
    <t>EDELWEISS</t>
  </si>
  <si>
    <t>Edelweiss Financial Services Limited</t>
  </si>
  <si>
    <t>INE532F01054</t>
  </si>
  <si>
    <t>EDUCOMP</t>
  </si>
  <si>
    <t>Educomp Solutions Limited</t>
  </si>
  <si>
    <t>INE216H01027</t>
  </si>
  <si>
    <t>EICHERMOT</t>
  </si>
  <si>
    <t>Eicher Motors Limited</t>
  </si>
  <si>
    <t>INE066A01021</t>
  </si>
  <si>
    <t>EIDPARRY</t>
  </si>
  <si>
    <t>EID Parry India Limited</t>
  </si>
  <si>
    <t>INE126A01031</t>
  </si>
  <si>
    <t>EIFFL</t>
  </si>
  <si>
    <t>Euro India Fresh Foods Limited</t>
  </si>
  <si>
    <t>INE546V01010</t>
  </si>
  <si>
    <t>EIHAHOTELS</t>
  </si>
  <si>
    <t>EIH Associated Hotels Limited</t>
  </si>
  <si>
    <t>INE276C01014</t>
  </si>
  <si>
    <t>EIHOTEL</t>
  </si>
  <si>
    <t>EIH Limited</t>
  </si>
  <si>
    <t>INE230A01023</t>
  </si>
  <si>
    <t>EIMCOELECO</t>
  </si>
  <si>
    <t>Eimco Elecon (India) Limited</t>
  </si>
  <si>
    <t>INE158B01016</t>
  </si>
  <si>
    <t>EKC</t>
  </si>
  <si>
    <t>Everest Kanto Cylinder Limited</t>
  </si>
  <si>
    <t>INE184H01027</t>
  </si>
  <si>
    <t>ELDEHSG</t>
  </si>
  <si>
    <t>Eldeco Housing And Industries Limited</t>
  </si>
  <si>
    <t>INE668G01021</t>
  </si>
  <si>
    <t>ELECON</t>
  </si>
  <si>
    <t>Elecon Engineering Company Limited</t>
  </si>
  <si>
    <t>INE205B01023</t>
  </si>
  <si>
    <t>ELECTCAST</t>
  </si>
  <si>
    <t>Electrosteel Castings Limited</t>
  </si>
  <si>
    <t>INE086A01029</t>
  </si>
  <si>
    <t>ELECTHERM</t>
  </si>
  <si>
    <t>Electrotherm (India) Limited</t>
  </si>
  <si>
    <t>INE822G01016</t>
  </si>
  <si>
    <t>ELGIEQUIP</t>
  </si>
  <si>
    <t>Elgi Equipments Limited</t>
  </si>
  <si>
    <t>INE285A01027</t>
  </si>
  <si>
    <t>ELGIRUBCO</t>
  </si>
  <si>
    <t>Elgi Rubber Company Limited</t>
  </si>
  <si>
    <t>INE819L01012</t>
  </si>
  <si>
    <t>ELIN</t>
  </si>
  <si>
    <t>Elin Electronics Limited</t>
  </si>
  <si>
    <t>INE050401020</t>
  </si>
  <si>
    <t>EMAMILTD</t>
  </si>
  <si>
    <t>Emami Limited</t>
  </si>
  <si>
    <t>INE548C01032</t>
  </si>
  <si>
    <t>EMAMIPAP</t>
  </si>
  <si>
    <t>Emami Paper Mills Limited</t>
  </si>
  <si>
    <t>INE830C01026</t>
  </si>
  <si>
    <t>EMAMIREAL</t>
  </si>
  <si>
    <t>Emami Realty Limited</t>
  </si>
  <si>
    <t>INE778K01012</t>
  </si>
  <si>
    <t>EMIL</t>
  </si>
  <si>
    <t>Electronics Mart India Limited</t>
  </si>
  <si>
    <t>INE02YR01019</t>
  </si>
  <si>
    <t>EMKAY</t>
  </si>
  <si>
    <t>Emkay Global Financial Services Limited</t>
  </si>
  <si>
    <t>INE296H01011</t>
  </si>
  <si>
    <t>EMMBI</t>
  </si>
  <si>
    <t>Emmbi Industries Limited</t>
  </si>
  <si>
    <t>INE753K01015</t>
  </si>
  <si>
    <t>EMSLIMITED</t>
  </si>
  <si>
    <t>EMS Limited</t>
  </si>
  <si>
    <t>INE0OV601013</t>
  </si>
  <si>
    <t>EMUDHRA</t>
  </si>
  <si>
    <t>eMudhra Limited</t>
  </si>
  <si>
    <t>INE01QM01018</t>
  </si>
  <si>
    <t>ENDURANCE</t>
  </si>
  <si>
    <t>Endurance Technologies Limited</t>
  </si>
  <si>
    <t>INE913H01037</t>
  </si>
  <si>
    <t>ENERGYDEV</t>
  </si>
  <si>
    <t>Energy Development Company Limited</t>
  </si>
  <si>
    <t>INE306C01019</t>
  </si>
  <si>
    <t>ENGINERSIN</t>
  </si>
  <si>
    <t>Engineers India Limited</t>
  </si>
  <si>
    <t>INE510A01028</t>
  </si>
  <si>
    <t>ENIL</t>
  </si>
  <si>
    <t>Entertainment Network (India) Limited</t>
  </si>
  <si>
    <t>INE265F01028</t>
  </si>
  <si>
    <t>EPIGRAL</t>
  </si>
  <si>
    <t>Epigral Limited</t>
  </si>
  <si>
    <t>INE071N01016</t>
  </si>
  <si>
    <t>EPL</t>
  </si>
  <si>
    <t>EPL Limited</t>
  </si>
  <si>
    <t>INE255A01020</t>
  </si>
  <si>
    <t>EQUIPPP</t>
  </si>
  <si>
    <t>Equippp Social Impact Technologies Limited</t>
  </si>
  <si>
    <t>INE217G01035</t>
  </si>
  <si>
    <t>EQUITASBNK</t>
  </si>
  <si>
    <t>Equitas Small Finance Bank Limited</t>
  </si>
  <si>
    <t>INE063P01018</t>
  </si>
  <si>
    <t>ERIS</t>
  </si>
  <si>
    <t>Eris Lifesciences Limited</t>
  </si>
  <si>
    <t>INE406M01024</t>
  </si>
  <si>
    <t>EROSMEDIA</t>
  </si>
  <si>
    <t>Eros International Media Limited</t>
  </si>
  <si>
    <t>INE416L01017</t>
  </si>
  <si>
    <t>ESABINDIA</t>
  </si>
  <si>
    <t>Esab India Limited</t>
  </si>
  <si>
    <t>INE284A01012</t>
  </si>
  <si>
    <t>ESAFSFB</t>
  </si>
  <si>
    <t>ESAF Small Finance Bank Limited</t>
  </si>
  <si>
    <t>INE818W01011</t>
  </si>
  <si>
    <t>ESCORTS</t>
  </si>
  <si>
    <t>Escorts Kubota Limited</t>
  </si>
  <si>
    <t>INE042A01014</t>
  </si>
  <si>
    <t>ESSARSHPNG</t>
  </si>
  <si>
    <t>Essar Shipping Limited</t>
  </si>
  <si>
    <t>INE122M01019</t>
  </si>
  <si>
    <t>ESSENTIA</t>
  </si>
  <si>
    <t>Integra Essentia Limited</t>
  </si>
  <si>
    <t>INE418N01035</t>
  </si>
  <si>
    <t>ESTER</t>
  </si>
  <si>
    <t>Ester Industries Limited</t>
  </si>
  <si>
    <t>INE778B01029</t>
  </si>
  <si>
    <t>ETHOSLTD</t>
  </si>
  <si>
    <t>Ethos Limited</t>
  </si>
  <si>
    <t>INE04TZ01018</t>
  </si>
  <si>
    <t>EUROTEXIND</t>
  </si>
  <si>
    <t>Eurotex Industries and Exports Limited</t>
  </si>
  <si>
    <t>INE022C01012</t>
  </si>
  <si>
    <t>EVEREADY</t>
  </si>
  <si>
    <t>Eveready Industries India Limited</t>
  </si>
  <si>
    <t>INE128A01029</t>
  </si>
  <si>
    <t>EVERESTIND</t>
  </si>
  <si>
    <t>Everest Industries Limited</t>
  </si>
  <si>
    <t>INE295A01018</t>
  </si>
  <si>
    <t>EXCEL</t>
  </si>
  <si>
    <t>Excel Realty N Infra Limited</t>
  </si>
  <si>
    <t>INE688J01023</t>
  </si>
  <si>
    <t>EXCELINDUS</t>
  </si>
  <si>
    <t>Excel Industries Limited</t>
  </si>
  <si>
    <t>INE369A01029</t>
  </si>
  <si>
    <t>EXIDEIND</t>
  </si>
  <si>
    <t>Exide Industries Limited</t>
  </si>
  <si>
    <t>INE302A01020</t>
  </si>
  <si>
    <t>EXPLEOSOL</t>
  </si>
  <si>
    <t>Expleo Solutions Limited</t>
  </si>
  <si>
    <t>INE201K01015</t>
  </si>
  <si>
    <t>EXXARO</t>
  </si>
  <si>
    <t>Exxaro Tiles Limited</t>
  </si>
  <si>
    <t>INE0GFE01018</t>
  </si>
  <si>
    <t>FACT</t>
  </si>
  <si>
    <t>Fertilizers and Chemicals Travancore Limited</t>
  </si>
  <si>
    <t>INE188A01015</t>
  </si>
  <si>
    <t>FAIRCHEMOR</t>
  </si>
  <si>
    <t>Fairchem Organics Limited</t>
  </si>
  <si>
    <t>INE0DNW01011</t>
  </si>
  <si>
    <t>FAZE3Q</t>
  </si>
  <si>
    <t>Faze Three Limited</t>
  </si>
  <si>
    <t>INE963C01033</t>
  </si>
  <si>
    <t>FCL</t>
  </si>
  <si>
    <t>Fineotex Chemical Limited</t>
  </si>
  <si>
    <t>INE045J01026</t>
  </si>
  <si>
    <t>FCONSUMER</t>
  </si>
  <si>
    <t>Future Consumer Limited</t>
  </si>
  <si>
    <t>INE220J01025</t>
  </si>
  <si>
    <t>FCSSOFT</t>
  </si>
  <si>
    <t>FCS Software Solutions Limited</t>
  </si>
  <si>
    <t>INE512B01022</t>
  </si>
  <si>
    <t>FDC</t>
  </si>
  <si>
    <t>FDC Limited</t>
  </si>
  <si>
    <t>INE258B01022</t>
  </si>
  <si>
    <t>FEDERALBNK</t>
  </si>
  <si>
    <t>The Federal Bank  Limited</t>
  </si>
  <si>
    <t>INE171A01029</t>
  </si>
  <si>
    <t>FEL</t>
  </si>
  <si>
    <t>Future Enterprises Limited</t>
  </si>
  <si>
    <t>INE623B01027</t>
  </si>
  <si>
    <t>FIBERWEB</t>
  </si>
  <si>
    <t>Fiberweb (India) Limited</t>
  </si>
  <si>
    <t>INE296C01020</t>
  </si>
  <si>
    <t>FIEMIND</t>
  </si>
  <si>
    <t>Fiem Industries Limited</t>
  </si>
  <si>
    <t>INE737H01014</t>
  </si>
  <si>
    <t>FILATEX</t>
  </si>
  <si>
    <t>Filatex India Limited</t>
  </si>
  <si>
    <t>INE816B01035</t>
  </si>
  <si>
    <t>FINCABLES</t>
  </si>
  <si>
    <t>Finolex Cables Limited</t>
  </si>
  <si>
    <t>INE235A01022</t>
  </si>
  <si>
    <t>FINEORG</t>
  </si>
  <si>
    <t>Fine Organic Industries Limited</t>
  </si>
  <si>
    <t>INE686Y01026</t>
  </si>
  <si>
    <t>FINOPB</t>
  </si>
  <si>
    <t>Fino Payments Bank Limited</t>
  </si>
  <si>
    <t>INE02NC01014</t>
  </si>
  <si>
    <t>FINPIPE</t>
  </si>
  <si>
    <t>Finolex Industries Limited</t>
  </si>
  <si>
    <t>INE183A01024</t>
  </si>
  <si>
    <t>FIVESTAR</t>
  </si>
  <si>
    <t>Five-Star Business Finance Limited</t>
  </si>
  <si>
    <t>INE128S01021</t>
  </si>
  <si>
    <t>FLEXITUFF</t>
  </si>
  <si>
    <t>Flexituff Ventures International Limited</t>
  </si>
  <si>
    <t>INE060J01017</t>
  </si>
  <si>
    <t>FLFL</t>
  </si>
  <si>
    <t>Future Lifestyle Fashions Limited</t>
  </si>
  <si>
    <t>INE452O01016</t>
  </si>
  <si>
    <t>FLUOROCHEM</t>
  </si>
  <si>
    <t>Gujarat Fluorochemicals Limited</t>
  </si>
  <si>
    <t>INE09N301011</t>
  </si>
  <si>
    <t>FMGOETZE</t>
  </si>
  <si>
    <t>Federal-Mogul Goetze (India) Limited.</t>
  </si>
  <si>
    <t>INE529A01010</t>
  </si>
  <si>
    <t>FMNL</t>
  </si>
  <si>
    <t>Future Market Networks Limited</t>
  </si>
  <si>
    <t>INE360L01017</t>
  </si>
  <si>
    <t>FOCUS</t>
  </si>
  <si>
    <t>Focus Lighting and Fixtures Limited</t>
  </si>
  <si>
    <t>INE593W01028</t>
  </si>
  <si>
    <t>FOODSIN</t>
  </si>
  <si>
    <t>Foods &amp; Inns Limited</t>
  </si>
  <si>
    <t>INE976E01023</t>
  </si>
  <si>
    <t>FORTIS</t>
  </si>
  <si>
    <t>Fortis Healthcare Limited</t>
  </si>
  <si>
    <t>INE061F01013</t>
  </si>
  <si>
    <t>FOSECOIND</t>
  </si>
  <si>
    <t>Foseco India Limited</t>
  </si>
  <si>
    <t>INE519A01011</t>
  </si>
  <si>
    <t>FRETAIL</t>
  </si>
  <si>
    <t>Future Retail Limited</t>
  </si>
  <si>
    <t>INE752P01024</t>
  </si>
  <si>
    <t>FSC</t>
  </si>
  <si>
    <t>Future Supply Chain Solutions Limited</t>
  </si>
  <si>
    <t>INE935Q01015</t>
  </si>
  <si>
    <t>FSL</t>
  </si>
  <si>
    <t>Firstsource Solutions Limited</t>
  </si>
  <si>
    <t>INE684F01012</t>
  </si>
  <si>
    <t>FUSION</t>
  </si>
  <si>
    <t>Fusion Micro Finance Limited</t>
  </si>
  <si>
    <t>INE139R01012</t>
  </si>
  <si>
    <t>GABRIEL</t>
  </si>
  <si>
    <t>Gabriel India Limited</t>
  </si>
  <si>
    <t>INE524A01029</t>
  </si>
  <si>
    <t>GAEL</t>
  </si>
  <si>
    <t>Gujarat Ambuja Exports Limited</t>
  </si>
  <si>
    <t>INE036B01030</t>
  </si>
  <si>
    <t>GAIL</t>
  </si>
  <si>
    <t>GAIL (India) Limited</t>
  </si>
  <si>
    <t>INE129A01019</t>
  </si>
  <si>
    <t>GALAXYSURF</t>
  </si>
  <si>
    <t>Galaxy Surfactants Limited</t>
  </si>
  <si>
    <t>INE600K01018</t>
  </si>
  <si>
    <t>GALLANTT</t>
  </si>
  <si>
    <t>Gallantt Ispat Limited</t>
  </si>
  <si>
    <t>INE297H01019</t>
  </si>
  <si>
    <t>GANDHITUBE</t>
  </si>
  <si>
    <t>Gandhi Special Tubes Limited</t>
  </si>
  <si>
    <t>INE524B01027</t>
  </si>
  <si>
    <t>GANECOS</t>
  </si>
  <si>
    <t>Ganesha Ecosphere Limited</t>
  </si>
  <si>
    <t>INE845D01014</t>
  </si>
  <si>
    <t>GANESHBE</t>
  </si>
  <si>
    <t>Ganesh Benzoplast Limited</t>
  </si>
  <si>
    <t>INE388A01029</t>
  </si>
  <si>
    <t>GANESHHOUC</t>
  </si>
  <si>
    <t>Ganesh Housing Corporation Limited</t>
  </si>
  <si>
    <t>INE460C01014</t>
  </si>
  <si>
    <t>GANGAFORGE</t>
  </si>
  <si>
    <t>Ganga Forging Limited</t>
  </si>
  <si>
    <t>INE691Z01023</t>
  </si>
  <si>
    <t>GANGESSECU</t>
  </si>
  <si>
    <t>Ganges Securities Limited</t>
  </si>
  <si>
    <t>INE335W01016</t>
  </si>
  <si>
    <t>GARFIBRES</t>
  </si>
  <si>
    <t>Garware Technical Fibres Limited</t>
  </si>
  <si>
    <t>INE276A01018</t>
  </si>
  <si>
    <t>GATECHDVR</t>
  </si>
  <si>
    <t>GACM Technologies Limited</t>
  </si>
  <si>
    <t>INE224E01036</t>
  </si>
  <si>
    <t>GATEWAY</t>
  </si>
  <si>
    <t>Gateway Distriparks Limited</t>
  </si>
  <si>
    <t>INE079J01017</t>
  </si>
  <si>
    <t>GATI</t>
  </si>
  <si>
    <t>GATI Limited</t>
  </si>
  <si>
    <t>INE152B01027</t>
  </si>
  <si>
    <t>GAYAHWS</t>
  </si>
  <si>
    <t>Gayatri Highways Limited</t>
  </si>
  <si>
    <t>INE287Z01012</t>
  </si>
  <si>
    <t>GAYAPROJ</t>
  </si>
  <si>
    <t>Gayatri Projects Limited</t>
  </si>
  <si>
    <t>INE336H01023</t>
  </si>
  <si>
    <t>GEECEE</t>
  </si>
  <si>
    <t>GeeCee Ventures Limited</t>
  </si>
  <si>
    <t>INE916G01016</t>
  </si>
  <si>
    <t>GEEKAYWIRE</t>
  </si>
  <si>
    <t>Geekay Wires Limited</t>
  </si>
  <si>
    <t>INE669X01024</t>
  </si>
  <si>
    <t>GENCON</t>
  </si>
  <si>
    <t>Generic Engineering Construction and Projects Limited</t>
  </si>
  <si>
    <t>INE854S01022</t>
  </si>
  <si>
    <t>GENESYS</t>
  </si>
  <si>
    <t>Genesys International Corporation Limited</t>
  </si>
  <si>
    <t>INE727B01026</t>
  </si>
  <si>
    <t>GENSOL</t>
  </si>
  <si>
    <t>Gensol Engineering Limited</t>
  </si>
  <si>
    <t>INE06H201014</t>
  </si>
  <si>
    <t>GENUSPAPER</t>
  </si>
  <si>
    <t>Genus Paper &amp; Boards Limited</t>
  </si>
  <si>
    <t>INE949P01018</t>
  </si>
  <si>
    <t>GENUSPOWER</t>
  </si>
  <si>
    <t>Genus Power Infrastructures Limited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</si>
  <si>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</si>
  <si>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</si>
  <si>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</si>
  <si>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</si>
  <si>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</si>
  <si>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</si>
  <si>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</si>
  <si>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GESHIP</t>
  </si>
  <si>
    <t>The Great Eastern Shipping Company Limited</t>
  </si>
  <si>
    <t>INE017A01032</t>
  </si>
  <si>
    <t>GET&amp;D</t>
  </si>
  <si>
    <t>GE T&amp;D India Limited</t>
  </si>
  <si>
    <t>INE200A01026</t>
  </si>
  <si>
    <t>GFLLIMITED</t>
  </si>
  <si>
    <t>GFL Limited</t>
  </si>
  <si>
    <t>INE538A01037</t>
  </si>
  <si>
    <t>GHCL</t>
  </si>
  <si>
    <t>GHCL Limited</t>
  </si>
  <si>
    <t>INE539A01019</t>
  </si>
  <si>
    <t>GHCLTEXTIL</t>
  </si>
  <si>
    <t>GHCL Textiles Limited</t>
  </si>
  <si>
    <t>INE0PA801013</t>
  </si>
  <si>
    <t>GICHSGFIN</t>
  </si>
  <si>
    <t>GIC Housing Finance Limited</t>
  </si>
  <si>
    <t>INE289B01019</t>
  </si>
  <si>
    <t>GICRE</t>
  </si>
  <si>
    <t>General Insurance Corporation of India</t>
  </si>
  <si>
    <t>INE481Y01014</t>
  </si>
  <si>
    <t>GILLANDERS</t>
  </si>
  <si>
    <t>Gillanders Arbuthnot &amp; Company Limited</t>
  </si>
  <si>
    <t>INE047B01011</t>
  </si>
  <si>
    <t>GILLETTE</t>
  </si>
  <si>
    <t>Gillette India Limited</t>
  </si>
  <si>
    <t>INE322A01010</t>
  </si>
  <si>
    <t>GINNIFILA</t>
  </si>
  <si>
    <t>Ginni Filaments Limited</t>
  </si>
  <si>
    <t>INE424C01010</t>
  </si>
  <si>
    <t>GIPCL</t>
  </si>
  <si>
    <t>Gujarat Industries Power Company Limited</t>
  </si>
  <si>
    <t>INE162A01010</t>
  </si>
  <si>
    <t>GKWLIMITED</t>
  </si>
  <si>
    <t>GKW Limited</t>
  </si>
  <si>
    <t>INE528A01020</t>
  </si>
  <si>
    <t>GLAND</t>
  </si>
  <si>
    <t>Gland Pharma Limited</t>
  </si>
  <si>
    <t>INE068V01023</t>
  </si>
  <si>
    <t>GLAXO</t>
  </si>
  <si>
    <t>GlaxoSmithKline Pharmaceuticals Limited</t>
  </si>
  <si>
    <t>INE159A01016</t>
  </si>
  <si>
    <t>GLENMARK</t>
  </si>
  <si>
    <t>Glenmark Pharmaceuticals Limited</t>
  </si>
  <si>
    <t>INE935A01035</t>
  </si>
  <si>
    <t>GLFL</t>
  </si>
  <si>
    <t>Gujarat Lease Financing Limited</t>
  </si>
  <si>
    <t>INE540A01017</t>
  </si>
  <si>
    <t>GLOBAL</t>
  </si>
  <si>
    <t>Global Education Limited</t>
  </si>
  <si>
    <t>INE291W01029</t>
  </si>
  <si>
    <t>GLOBALVECT</t>
  </si>
  <si>
    <t>Global Vectra Helicorp Limited</t>
  </si>
  <si>
    <t>INE792H01019</t>
  </si>
  <si>
    <t>GLOBE</t>
  </si>
  <si>
    <t>Globe Textiles (India) Limited</t>
  </si>
  <si>
    <t>INE581X01021</t>
  </si>
  <si>
    <t>GLOBUSSPR</t>
  </si>
  <si>
    <t>Globus Spirits Limited</t>
  </si>
  <si>
    <t>INE615I01010</t>
  </si>
  <si>
    <t>GLS</t>
  </si>
  <si>
    <t>Glenmark Life Sciences Limited</t>
  </si>
  <si>
    <t>INE03Q201024</t>
  </si>
  <si>
    <t>GMBREW</t>
  </si>
  <si>
    <t>GM Breweries Limited</t>
  </si>
  <si>
    <t>INE075D01018</t>
  </si>
  <si>
    <t>GMDCLTD</t>
  </si>
  <si>
    <t>Gujarat Mineral Development Corporation Limited</t>
  </si>
  <si>
    <t>INE131A01031</t>
  </si>
  <si>
    <t>GMMPFAUDLR</t>
  </si>
  <si>
    <t>GMM Pfaudler Limited</t>
  </si>
  <si>
    <t>INE541A01023</t>
  </si>
  <si>
    <t>GMRINFRA</t>
  </si>
  <si>
    <t>GMR Airports Infrastructure Limited</t>
  </si>
  <si>
    <t>INE776C01039</t>
  </si>
  <si>
    <t>GMRP&amp;UI</t>
  </si>
  <si>
    <t>GMR Power and Urban Infra Limited</t>
  </si>
  <si>
    <t>INE0CU601026</t>
  </si>
  <si>
    <t>GNA</t>
  </si>
  <si>
    <t>GNA Axles Limited</t>
  </si>
  <si>
    <t>INE934S01014</t>
  </si>
  <si>
    <t>GNFC</t>
  </si>
  <si>
    <t>Gujarat Narmada Valley Fertilizers and Chemicals Limited</t>
  </si>
  <si>
    <t>INE113A01013</t>
  </si>
  <si>
    <t>GOACARBON</t>
  </si>
  <si>
    <t>Goa Carbon Limited</t>
  </si>
  <si>
    <t>INE426D01013</t>
  </si>
  <si>
    <t>GOCLCORP</t>
  </si>
  <si>
    <t>GOCL Corporation Limited</t>
  </si>
  <si>
    <t>INE077F01035</t>
  </si>
  <si>
    <t>GOCOLORS</t>
  </si>
  <si>
    <t>Go Fashion (India) Limited</t>
  </si>
  <si>
    <t>INE0BJS01011</t>
  </si>
  <si>
    <t>GODFRYPHLP</t>
  </si>
  <si>
    <t>Godfrey Phillips India Limited</t>
  </si>
  <si>
    <t>INE260B01028</t>
  </si>
  <si>
    <t>GODHA</t>
  </si>
  <si>
    <t>Godha Cabcon &amp; Insulation Limited</t>
  </si>
  <si>
    <t>INE925Y01036</t>
  </si>
  <si>
    <t>GODREJAGRO</t>
  </si>
  <si>
    <t>Godrej Agrovet Limited</t>
  </si>
  <si>
    <t>INE850D01014</t>
  </si>
  <si>
    <t>GODREJCP</t>
  </si>
  <si>
    <t>Godrej Consumer Products Limited</t>
  </si>
  <si>
    <t>INE102D01028</t>
  </si>
  <si>
    <t>GODREJIND</t>
  </si>
  <si>
    <t>Godrej Industries Limited</t>
  </si>
  <si>
    <t>INE233A01035</t>
  </si>
  <si>
    <t>GODREJPROP</t>
  </si>
  <si>
    <t>Godrej Properties Limited</t>
  </si>
  <si>
    <t>INE484J01027</t>
  </si>
  <si>
    <t>GOKEX</t>
  </si>
  <si>
    <t>Gokaldas Exports Limited</t>
  </si>
  <si>
    <t>INE887G01027</t>
  </si>
  <si>
    <t>GOKUL</t>
  </si>
  <si>
    <t>Gokul Refoils and Solvent Limited</t>
  </si>
  <si>
    <t>INE020J01029</t>
  </si>
  <si>
    <t>GOKULAGRO</t>
  </si>
  <si>
    <t>Gokul Agro Resources Limited</t>
  </si>
  <si>
    <t>INE314T01025</t>
  </si>
  <si>
    <t>GOLDENTOBC</t>
  </si>
  <si>
    <t>Golden Tobacco Limited</t>
  </si>
  <si>
    <t>INE973A01010</t>
  </si>
  <si>
    <t>GOLDIAM</t>
  </si>
  <si>
    <t>Goldiam International Limited</t>
  </si>
  <si>
    <t>INE025B01025</t>
  </si>
  <si>
    <t>GOLDTECH</t>
  </si>
  <si>
    <t>Goldstone Technologies Limited</t>
  </si>
  <si>
    <t>INE805A01014</t>
  </si>
  <si>
    <t>GOODLUCK</t>
  </si>
  <si>
    <t>Goodluck India Limited</t>
  </si>
  <si>
    <t>INE127I01024</t>
  </si>
  <si>
    <t>GOYALALUM</t>
  </si>
  <si>
    <t>Goyal Aluminiums Limited</t>
  </si>
  <si>
    <t>INE705X01026</t>
  </si>
  <si>
    <t>GPIL</t>
  </si>
  <si>
    <t>Godawari Power And Ispat limited</t>
  </si>
  <si>
    <t>INE177H01021</t>
  </si>
  <si>
    <t>GPPL</t>
  </si>
  <si>
    <t>Gujarat Pipavav Port Limited</t>
  </si>
  <si>
    <t>INE517F01014</t>
  </si>
  <si>
    <t>GPTINFRA</t>
  </si>
  <si>
    <t>GPT Infraprojects Limited</t>
  </si>
  <si>
    <t>INE390G01014</t>
  </si>
  <si>
    <t>GRANULES</t>
  </si>
  <si>
    <t>Granules India Limited</t>
  </si>
  <si>
    <t>INE101D01020</t>
  </si>
  <si>
    <t>GRAPHITE</t>
  </si>
  <si>
    <t>Graphite India Limited</t>
  </si>
  <si>
    <t>INE371A01025</t>
  </si>
  <si>
    <t>GRASIM</t>
  </si>
  <si>
    <t>Grasim Industries Limited</t>
  </si>
  <si>
    <t>INE047A01021</t>
  </si>
  <si>
    <t>GRAVITA</t>
  </si>
  <si>
    <t>Gravita India Limited</t>
  </si>
  <si>
    <t>INE024L01027</t>
  </si>
  <si>
    <t>GREAVESCOT</t>
  </si>
  <si>
    <t>Greaves Cotton Limited</t>
  </si>
  <si>
    <t>INE224A01026</t>
  </si>
  <si>
    <t>GREENLAM</t>
  </si>
  <si>
    <t>Greenlam Industries Limited</t>
  </si>
  <si>
    <t>INE544R01021</t>
  </si>
  <si>
    <t>GREENPANEL</t>
  </si>
  <si>
    <t>Greenpanel Industries Limited</t>
  </si>
  <si>
    <t>INE08ZM01014</t>
  </si>
  <si>
    <t>GREENPLY</t>
  </si>
  <si>
    <t>Greenply Industries Limited</t>
  </si>
  <si>
    <t>INE461C01038</t>
  </si>
  <si>
    <t>GREENPOWER</t>
  </si>
  <si>
    <t>Orient Green Power Company Limited</t>
  </si>
  <si>
    <t>INE999K01014</t>
  </si>
  <si>
    <t>GRINDWELL</t>
  </si>
  <si>
    <t>Grindwell Norton Limited</t>
  </si>
  <si>
    <t>INE536A01023</t>
  </si>
  <si>
    <t>GRINFRA</t>
  </si>
  <si>
    <t>G R Infraprojects Limited</t>
  </si>
  <si>
    <t>INE201P01022</t>
  </si>
  <si>
    <t>GRMOVER</t>
  </si>
  <si>
    <t>GRM Overseas Limited</t>
  </si>
  <si>
    <t>INE192H01020</t>
  </si>
  <si>
    <t>GROBTEA</t>
  </si>
  <si>
    <t>The Grob Tea Company Limited</t>
  </si>
  <si>
    <t>INE646C01018</t>
  </si>
  <si>
    <t>GRPLTD</t>
  </si>
  <si>
    <t>GRP Limited</t>
  </si>
  <si>
    <t>INE137I01015</t>
  </si>
  <si>
    <t>GRSE</t>
  </si>
  <si>
    <t>Garden Reach Shipbuilders &amp; Engineers Limited</t>
  </si>
  <si>
    <t>INE382Z01011</t>
  </si>
  <si>
    <t>GRWRHITECH</t>
  </si>
  <si>
    <t>Garware Hi-Tech Films Limited</t>
  </si>
  <si>
    <t>INE291A01017</t>
  </si>
  <si>
    <t>GSFC</t>
  </si>
  <si>
    <t>Gujarat State Fertilizers &amp; Chemicals Limited</t>
  </si>
  <si>
    <t>INE026A01025</t>
  </si>
  <si>
    <t>GSLSU</t>
  </si>
  <si>
    <t>Global Surfaces Limited</t>
  </si>
  <si>
    <t>INE0JSX01015</t>
  </si>
  <si>
    <t>GSPL</t>
  </si>
  <si>
    <t>Gujarat State Petronet Limited</t>
  </si>
  <si>
    <t>INE246F01010</t>
  </si>
  <si>
    <t>GSS</t>
  </si>
  <si>
    <t>GSS Infotech Limited</t>
  </si>
  <si>
    <t>INE871H01011</t>
  </si>
  <si>
    <t>GTECJAINX</t>
  </si>
  <si>
    <t>G-TEC JAINX EDUCATION LIMITED</t>
  </si>
  <si>
    <t>INE586X01012</t>
  </si>
  <si>
    <t>GTL</t>
  </si>
  <si>
    <t>GTL Limited</t>
  </si>
  <si>
    <t>INE043A01012</t>
  </si>
  <si>
    <t>GTLINFRA</t>
  </si>
  <si>
    <t>GTL Infrastructure Limited</t>
  </si>
  <si>
    <t>INE221H01019</t>
  </si>
  <si>
    <t>GTPL</t>
  </si>
  <si>
    <t>GTPL Hathway Limited</t>
  </si>
  <si>
    <t>INE869I01013</t>
  </si>
  <si>
    <t>GUFICBIO</t>
  </si>
  <si>
    <t>Gufic Biosciences Limited</t>
  </si>
  <si>
    <t>INE742B01025</t>
  </si>
  <si>
    <t>GUJALKALI</t>
  </si>
  <si>
    <t>Gujarat Alkalies and Chemicals Limited</t>
  </si>
  <si>
    <t>INE186A01019</t>
  </si>
  <si>
    <t>GUJAPOLLO</t>
  </si>
  <si>
    <t>Gujarat Apollo Industries Limited</t>
  </si>
  <si>
    <t>INE826C01016</t>
  </si>
  <si>
    <t>GUJGASLTD</t>
  </si>
  <si>
    <t>Gujarat Gas Limited</t>
  </si>
  <si>
    <t>INE844O01030</t>
  </si>
  <si>
    <t>GUJRAFFIA</t>
  </si>
  <si>
    <t>Gujarat Raffia Industries Limited</t>
  </si>
  <si>
    <t>INE610B01024</t>
  </si>
  <si>
    <t>GULFOILLUB</t>
  </si>
  <si>
    <t>Gulf Oil Lubricants India Limited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</si>
  <si>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</si>
  <si>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</si>
  <si>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</si>
  <si>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</si>
  <si>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</si>
  <si>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</si>
  <si>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</si>
  <si>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GVKPIL</t>
  </si>
  <si>
    <t>GVK Power &amp; Infrastructure Limited</t>
  </si>
  <si>
    <t>INE251H01024</t>
  </si>
  <si>
    <t>GVPTECH</t>
  </si>
  <si>
    <t>GVP Infotech Limited</t>
  </si>
  <si>
    <t>INE382T01030</t>
  </si>
  <si>
    <t>HAL</t>
  </si>
  <si>
    <t>Hindustan Aeronautics Limited</t>
  </si>
  <si>
    <t>INE066F01020</t>
  </si>
  <si>
    <t>HAPPSTMNDS</t>
  </si>
  <si>
    <t>Happiest Minds Technologies Limited</t>
  </si>
  <si>
    <t>INE419U01012</t>
  </si>
  <si>
    <t>HARDWYN</t>
  </si>
  <si>
    <t>Hardwyn India Limited</t>
  </si>
  <si>
    <t>INE626Z01029</t>
  </si>
  <si>
    <t>HARIOMPIPE</t>
  </si>
  <si>
    <t>Hariom Pipe Industries Limited</t>
  </si>
  <si>
    <t>INE00EV01017</t>
  </si>
  <si>
    <t>HARRMALAYA</t>
  </si>
  <si>
    <t>Harrisons  Malayalam Limited</t>
  </si>
  <si>
    <t>INE544A01019</t>
  </si>
  <si>
    <t>HARSHA</t>
  </si>
  <si>
    <t>Harsha Engineers International Limited</t>
  </si>
  <si>
    <t>INE0JUS01029</t>
  </si>
  <si>
    <t>HATHWAY</t>
  </si>
  <si>
    <t>Hathway Cable &amp; Datacom Limited</t>
  </si>
  <si>
    <t>INE982F01036</t>
  </si>
  <si>
    <t>HATSUN</t>
  </si>
  <si>
    <t>Hatsun Agro Product Limited</t>
  </si>
  <si>
    <t>INE473B01035</t>
  </si>
  <si>
    <t>HAVELLS</t>
  </si>
  <si>
    <t>Havells India Limited</t>
  </si>
  <si>
    <t>INE176B01034</t>
  </si>
  <si>
    <t>HAVISHA</t>
  </si>
  <si>
    <t>Sri Havisha Hospitality and Infrastructure Limited</t>
  </si>
  <si>
    <t>INE293B01029</t>
  </si>
  <si>
    <t>HBLPOWER</t>
  </si>
  <si>
    <t>HBL Power Systems Limited</t>
  </si>
  <si>
    <t>INE292B01021</t>
  </si>
  <si>
    <t>HBSL</t>
  </si>
  <si>
    <t>HB Stockholdings Limited</t>
  </si>
  <si>
    <t>INE550B01022</t>
  </si>
  <si>
    <t>HCC</t>
  </si>
  <si>
    <t>Hindustan Construction Company Limited</t>
  </si>
  <si>
    <t>INE549A01026</t>
  </si>
  <si>
    <t>HCG</t>
  </si>
  <si>
    <t>Healthcare Global Enterprises Limited</t>
  </si>
  <si>
    <t>INE075I01017</t>
  </si>
  <si>
    <t>HCL-INSYS</t>
  </si>
  <si>
    <t>HCL Infosystems Limited</t>
  </si>
  <si>
    <t>INE236A01020</t>
  </si>
  <si>
    <t>HCLTECH</t>
  </si>
  <si>
    <t>HCL Technologies Limited</t>
  </si>
  <si>
    <t>INE860A01027</t>
  </si>
  <si>
    <t>HDFCAMC</t>
  </si>
  <si>
    <t>HDFC Asset Management Company Limited</t>
  </si>
  <si>
    <t>INE127D01025</t>
  </si>
  <si>
    <t>HDFCBANK</t>
  </si>
  <si>
    <t>HDFC Bank Limited</t>
  </si>
  <si>
    <t>INE040A01034</t>
  </si>
  <si>
    <t>HDFCLIFE</t>
  </si>
  <si>
    <t>HDFC Life Insurance Company Limited</t>
  </si>
  <si>
    <t>INE795G01014</t>
  </si>
  <si>
    <t>HEADSUP</t>
  </si>
  <si>
    <t>Heads UP Ventures Limited</t>
  </si>
  <si>
    <t>INE759V01019</t>
  </si>
  <si>
    <t>HECPROJECT</t>
  </si>
  <si>
    <t>HEC Infra Projects Limited</t>
  </si>
  <si>
    <t>INE558R01013</t>
  </si>
  <si>
    <t>HEG</t>
  </si>
  <si>
    <t>HEG Limited</t>
  </si>
  <si>
    <t>INE545A01016</t>
  </si>
  <si>
    <t>HEIDELBERG</t>
  </si>
  <si>
    <t>HeidelbergCement India Limited</t>
  </si>
  <si>
    <t>INE578A01017</t>
  </si>
  <si>
    <t>HEMIPROP</t>
  </si>
  <si>
    <t>Hemisphere Properties India Limited</t>
  </si>
  <si>
    <t>INE0AJG01018</t>
  </si>
  <si>
    <t>HERANBA</t>
  </si>
  <si>
    <t>Heranba Industries Limited</t>
  </si>
  <si>
    <t>INE694N01015</t>
  </si>
  <si>
    <t>HERCULES</t>
  </si>
  <si>
    <t>Hercules Hoists Limited</t>
  </si>
  <si>
    <t>INE688E01024</t>
  </si>
  <si>
    <t>HERITGFOOD</t>
  </si>
  <si>
    <t>Heritage Foods Limited</t>
  </si>
  <si>
    <t>INE978A01027</t>
  </si>
  <si>
    <t>HEROMOTOCO</t>
  </si>
  <si>
    <t>Hero MotoCorp Limited</t>
  </si>
  <si>
    <t>INE158A01026</t>
  </si>
  <si>
    <t>HESTERBIO</t>
  </si>
  <si>
    <t>Hester Biosciences Limited</t>
  </si>
  <si>
    <t>INE782E01017</t>
  </si>
  <si>
    <t>HEUBACHIND</t>
  </si>
  <si>
    <t>Heubach Colorants India Limited</t>
  </si>
  <si>
    <t>INE492A01029</t>
  </si>
  <si>
    <t>HEXATRADEX</t>
  </si>
  <si>
    <t>Hexa Tradex Limited</t>
  </si>
  <si>
    <t>INE750M01017</t>
  </si>
  <si>
    <t>HFCL</t>
  </si>
  <si>
    <t>HFCL Limited</t>
  </si>
  <si>
    <t>INE548A01028</t>
  </si>
  <si>
    <t>HGINFRA</t>
  </si>
  <si>
    <t>H.G. Infra Engineering Limited</t>
  </si>
  <si>
    <t>INE926X01010</t>
  </si>
  <si>
    <t>HGS</t>
  </si>
  <si>
    <t>Hinduja Global Solutions Limited</t>
  </si>
  <si>
    <t>INE170I01016</t>
  </si>
  <si>
    <t>HIKAL</t>
  </si>
  <si>
    <t>Hikal Limited</t>
  </si>
  <si>
    <t>INE475B01022</t>
  </si>
  <si>
    <t>HIL</t>
  </si>
  <si>
    <t>HIL Limited</t>
  </si>
  <si>
    <t>INE557A01011</t>
  </si>
  <si>
    <t>HILTON</t>
  </si>
  <si>
    <t>Hilton Metal Forging Limited</t>
  </si>
  <si>
    <t>INE788H01017</t>
  </si>
  <si>
    <t>HIMATSEIDE</t>
  </si>
  <si>
    <t>Himatsingka Seide Limited</t>
  </si>
  <si>
    <t>INE049A01027</t>
  </si>
  <si>
    <t>HINDALCO</t>
  </si>
  <si>
    <t>Hindalco Industries Limited</t>
  </si>
  <si>
    <t>INE038A01020</t>
  </si>
  <si>
    <t>HINDCOMPOS</t>
  </si>
  <si>
    <t>Hindustan Composites Limited</t>
  </si>
  <si>
    <t>INE310C01029</t>
  </si>
  <si>
    <t>HINDCON</t>
  </si>
  <si>
    <t>Hindcon Chemicals Limited</t>
  </si>
  <si>
    <t>INE642Y01029</t>
  </si>
  <si>
    <t>HINDCOPPER</t>
  </si>
  <si>
    <t>Hindustan Copper Limited</t>
  </si>
  <si>
    <t>INE531E01026</t>
  </si>
  <si>
    <t>HINDMOTORS</t>
  </si>
  <si>
    <t>Hindustan Motors Limited</t>
  </si>
  <si>
    <t>INE253A01025</t>
  </si>
  <si>
    <t>HINDOILEXP</t>
  </si>
  <si>
    <t>Hindustan Oil Exploration Company Limited</t>
  </si>
  <si>
    <t>INE345A01011</t>
  </si>
  <si>
    <t>HINDPETRO</t>
  </si>
  <si>
    <t>Hindustan Petroleum Corporation Limited</t>
  </si>
  <si>
    <t>INE094A01015</t>
  </si>
  <si>
    <t>HINDUNILVR</t>
  </si>
  <si>
    <t>Hindustan Unilever Limited</t>
  </si>
  <si>
    <t>INE030A01027</t>
  </si>
  <si>
    <t>HINDWAREAP</t>
  </si>
  <si>
    <t>Hindware Home Innovation Limited</t>
  </si>
  <si>
    <t>INE05AN01011</t>
  </si>
  <si>
    <t>HINDZINC</t>
  </si>
  <si>
    <t>Hindustan Zinc Limited</t>
  </si>
  <si>
    <t>INE267A01025</t>
  </si>
  <si>
    <t>HIRECT</t>
  </si>
  <si>
    <t>Hind Rectifiers Limited</t>
  </si>
  <si>
    <t>INE835D01023</t>
  </si>
  <si>
    <t>HISARMETAL</t>
  </si>
  <si>
    <t>Hisar Metal Industries Limited</t>
  </si>
  <si>
    <t>INE598C01011</t>
  </si>
  <si>
    <t>HITECH</t>
  </si>
  <si>
    <t>Hi-Tech Pipes Limited</t>
  </si>
  <si>
    <t>INE106T01025</t>
  </si>
  <si>
    <t>HITECHCORP</t>
  </si>
  <si>
    <t>Hitech Corporation Limited</t>
  </si>
  <si>
    <t>INE120D01012</t>
  </si>
  <si>
    <t>HITECHGEAR</t>
  </si>
  <si>
    <t>The Hi-Tech Gears Limited</t>
  </si>
  <si>
    <t>INE127B01011</t>
  </si>
  <si>
    <t>HLEGLAS</t>
  </si>
  <si>
    <t>HLE Glascoat Limited</t>
  </si>
  <si>
    <t>INE461D01028</t>
  </si>
  <si>
    <t>HLVLTD</t>
  </si>
  <si>
    <t>HLV LIMITED</t>
  </si>
  <si>
    <t>INE102A01024</t>
  </si>
  <si>
    <t>HMAAGRO</t>
  </si>
  <si>
    <t>HMA Agro Industries Limited</t>
  </si>
  <si>
    <t>INE0ECP01016</t>
  </si>
  <si>
    <t>HMT</t>
  </si>
  <si>
    <t>HMT Limited</t>
  </si>
  <si>
    <t>INE262A01018</t>
  </si>
  <si>
    <t>HMVL</t>
  </si>
  <si>
    <t>Hindustan Media Ventures Limited</t>
  </si>
  <si>
    <t>INE871K01015</t>
  </si>
  <si>
    <t>HNDFDS</t>
  </si>
  <si>
    <t>Hindustan Foods Limited</t>
  </si>
  <si>
    <t>INE254N01026</t>
  </si>
  <si>
    <t>HOMEFIRST</t>
  </si>
  <si>
    <t>Home First Finance Company India Limited</t>
  </si>
  <si>
    <t>INE481N01025</t>
  </si>
  <si>
    <t>HONASA</t>
  </si>
  <si>
    <t>Honasa Consumer Limited</t>
  </si>
  <si>
    <t>INE0J5401028</t>
  </si>
  <si>
    <t>HONAUT</t>
  </si>
  <si>
    <t>Honeywell Automation India Limited</t>
  </si>
  <si>
    <t>INE671A01010</t>
  </si>
  <si>
    <t>HONDAPOWER</t>
  </si>
  <si>
    <t>Honda India Power Products Limited</t>
  </si>
  <si>
    <t>INE634A01018</t>
  </si>
  <si>
    <t>HOVS</t>
  </si>
  <si>
    <t>HOV Services Limited</t>
  </si>
  <si>
    <t>INE596H01014</t>
  </si>
  <si>
    <t>HPAL</t>
  </si>
  <si>
    <t>HP Adhesives Limited</t>
  </si>
  <si>
    <t>INE0GSL01024</t>
  </si>
  <si>
    <t>HPIL</t>
  </si>
  <si>
    <t>Hindprakash Industries Limited</t>
  </si>
  <si>
    <t>INE05X901010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</si>
  <si>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</si>
  <si>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</si>
  <si>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</si>
  <si>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</si>
  <si>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</si>
  <si>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</si>
  <si>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HTMEDIA</t>
  </si>
  <si>
    <t>HT Media Limited</t>
  </si>
  <si>
    <t>INE501G01024</t>
  </si>
  <si>
    <t>HUBTOWN</t>
  </si>
  <si>
    <t>Hubtown Limited</t>
  </si>
  <si>
    <t>INE703H01016</t>
  </si>
  <si>
    <t>HUDCO</t>
  </si>
  <si>
    <t>Housing &amp; Urban Development Corporation Limited</t>
  </si>
  <si>
    <t>INE031A01017</t>
  </si>
  <si>
    <t>HUHTAMAKI</t>
  </si>
  <si>
    <t>Huhtamaki India Limited</t>
  </si>
  <si>
    <t>INE275B01026</t>
  </si>
  <si>
    <t>HYBRIDFIN</t>
  </si>
  <si>
    <t>Hybrid Financial Services Limited</t>
  </si>
  <si>
    <t>INE965B01022</t>
  </si>
  <si>
    <t>IBREALEST</t>
  </si>
  <si>
    <t>Indiabulls Real Estate Limited</t>
  </si>
  <si>
    <t>INE069I01010</t>
  </si>
  <si>
    <t>IBULHSGFIN</t>
  </si>
  <si>
    <t>Indiabulls Housing Finance Limited</t>
  </si>
  <si>
    <t>INE148I01020</t>
  </si>
  <si>
    <t>ICDSLTD</t>
  </si>
  <si>
    <t>ICDS Limited</t>
  </si>
  <si>
    <t>INE613B01010</t>
  </si>
  <si>
    <t>ICEMAKE</t>
  </si>
  <si>
    <t>Ice Make Refrigeration Limited</t>
  </si>
  <si>
    <t>INE520Y01019</t>
  </si>
  <si>
    <t>ICICIBANK</t>
  </si>
  <si>
    <t>ICICI Bank Limited</t>
  </si>
  <si>
    <t>INE090A01021</t>
  </si>
  <si>
    <t>ICICIGI</t>
  </si>
  <si>
    <t>ICICI Lombard General Insurance Company Limited</t>
  </si>
  <si>
    <t>INE765G01017</t>
  </si>
  <si>
    <t>ICICIPRULI</t>
  </si>
  <si>
    <t>ICICI Prudential Life Insurance Company Limited</t>
  </si>
  <si>
    <t>INE726G01019</t>
  </si>
  <si>
    <t>ICIL</t>
  </si>
  <si>
    <t>Indo Count Industries Limited</t>
  </si>
  <si>
    <t>INE483B01026</t>
  </si>
  <si>
    <t>ICRA</t>
  </si>
  <si>
    <t>ICRA Limited</t>
  </si>
  <si>
    <t>INE725G01011</t>
  </si>
  <si>
    <t>IDBI</t>
  </si>
  <si>
    <t>IDBI Bank Limited</t>
  </si>
  <si>
    <t>INE008A01015</t>
  </si>
  <si>
    <t>IDEA</t>
  </si>
  <si>
    <t>Vodafone Idea Limited</t>
  </si>
  <si>
    <t>INE669E01016</t>
  </si>
  <si>
    <t>IDEAFORGE</t>
  </si>
  <si>
    <t>Ideaforge Technology Limited</t>
  </si>
  <si>
    <t>INE349Y01013</t>
  </si>
  <si>
    <t>IDFC</t>
  </si>
  <si>
    <t>IDFC Limited</t>
  </si>
  <si>
    <t>INE043D01016</t>
  </si>
  <si>
    <t>IDFCFIRSTB</t>
  </si>
  <si>
    <t>IDFC First Bank Limited</t>
  </si>
  <si>
    <t>INE092T01019</t>
  </si>
  <si>
    <t>IEL</t>
  </si>
  <si>
    <t>Indiabulls Enterprises Limited</t>
  </si>
  <si>
    <t>INE059901020</t>
  </si>
  <si>
    <t>IEX</t>
  </si>
  <si>
    <t>Indian Energy Exchange Limited</t>
  </si>
  <si>
    <t>INE022Q01020</t>
  </si>
  <si>
    <t>IFBAGRO</t>
  </si>
  <si>
    <t>IFB Agro Industries Limited</t>
  </si>
  <si>
    <t>INE076C01018</t>
  </si>
  <si>
    <t>IFBIND</t>
  </si>
  <si>
    <t>IFB Industries Limited</t>
  </si>
  <si>
    <t>INE559A01017</t>
  </si>
  <si>
    <t>IFCI</t>
  </si>
  <si>
    <t>IFCI Limited</t>
  </si>
  <si>
    <t>INE039A01010</t>
  </si>
  <si>
    <t>IFGLEXPOR</t>
  </si>
  <si>
    <t>IFGL Refractories Limited</t>
  </si>
  <si>
    <t>INE133Y01011</t>
  </si>
  <si>
    <t>IGARASHI</t>
  </si>
  <si>
    <t>Igarashi Motors India Limited</t>
  </si>
  <si>
    <t>INE188B01013</t>
  </si>
  <si>
    <t>IGL</t>
  </si>
  <si>
    <t>Indraprastha Gas Limited</t>
  </si>
  <si>
    <t>INE203G01027</t>
  </si>
  <si>
    <t>IGPL</t>
  </si>
  <si>
    <t>IG Petrochemicals Limited</t>
  </si>
  <si>
    <t>INE204A01010</t>
  </si>
  <si>
    <t>IIFL</t>
  </si>
  <si>
    <t>IIFL Finance Limited</t>
  </si>
  <si>
    <t>INE530B01024</t>
  </si>
  <si>
    <t>IIFLSEC</t>
  </si>
  <si>
    <t>IIFL Securities Limited</t>
  </si>
  <si>
    <t>INE489L01022</t>
  </si>
  <si>
    <t>IITL</t>
  </si>
  <si>
    <t>Industrial Investment Trust Limited</t>
  </si>
  <si>
    <t>INE886A01014</t>
  </si>
  <si>
    <t>IKIO</t>
  </si>
  <si>
    <t>IKIO Lighting Limited</t>
  </si>
  <si>
    <t>INE0LOJ01019</t>
  </si>
  <si>
    <t>IL&amp;FSENGG</t>
  </si>
  <si>
    <t>IL&amp;FS Engineering and Construction Company Limited</t>
  </si>
  <si>
    <t>INE369I01014</t>
  </si>
  <si>
    <t>IL&amp;FSTRANS</t>
  </si>
  <si>
    <t>IL&amp;FS Transportation Networks Limited</t>
  </si>
  <si>
    <t>INE975G01012</t>
  </si>
  <si>
    <t>IMAGICAA</t>
  </si>
  <si>
    <t>Imagicaaworld Entertainment Limited</t>
  </si>
  <si>
    <t>INE172N01012</t>
  </si>
  <si>
    <t>IMFA</t>
  </si>
  <si>
    <t>Indian Metals &amp; Ferro Alloys Limited</t>
  </si>
  <si>
    <t>INE919H01018</t>
  </si>
  <si>
    <t>IMPAL</t>
  </si>
  <si>
    <t>India Motor Parts and Accessories Limited</t>
  </si>
  <si>
    <t>INE547E01014</t>
  </si>
  <si>
    <t>IMPEXFERRO</t>
  </si>
  <si>
    <t>Impex Ferro Tech Limited</t>
  </si>
  <si>
    <t>INE691G01015</t>
  </si>
  <si>
    <t>INCREDIBLE</t>
  </si>
  <si>
    <t>INCREDIBLE INDUSTRIES LIMITED</t>
  </si>
  <si>
    <t>INE452L01012</t>
  </si>
  <si>
    <t>INDBANK</t>
  </si>
  <si>
    <t>Indbank Merchant Banking Services Limited</t>
  </si>
  <si>
    <t>INE841B01017</t>
  </si>
  <si>
    <t>INDHOTEL</t>
  </si>
  <si>
    <t>The Indian Hotels Company Limited</t>
  </si>
  <si>
    <t>INE053A01029</t>
  </si>
  <si>
    <t>INDIACEM</t>
  </si>
  <si>
    <t>The India Cements Limited</t>
  </si>
  <si>
    <t>INE383A01012</t>
  </si>
  <si>
    <t>INDIAGLYCO</t>
  </si>
  <si>
    <t>India Glycols Limited</t>
  </si>
  <si>
    <t>INE560A01015</t>
  </si>
  <si>
    <t>INDIAMART</t>
  </si>
  <si>
    <t>Indiamart Intermesh Limited</t>
  </si>
  <si>
    <t>INE933S01016</t>
  </si>
  <si>
    <t>INDIANB</t>
  </si>
  <si>
    <t>Indian Bank</t>
  </si>
  <si>
    <t>INE562A01011</t>
  </si>
  <si>
    <t>INDIANCARD</t>
  </si>
  <si>
    <t>Indian Card Clothing Company Limited</t>
  </si>
  <si>
    <t>INE061A01014</t>
  </si>
  <si>
    <t>INDIANHUME</t>
  </si>
  <si>
    <t>Indian Hume Pipe Company Limited</t>
  </si>
  <si>
    <t>INE323C01030</t>
  </si>
  <si>
    <t>INDIGO</t>
  </si>
  <si>
    <t>InterGlobe Aviation Limited</t>
  </si>
  <si>
    <t>INE646L01027</t>
  </si>
  <si>
    <t>INDIGOPNTS</t>
  </si>
  <si>
    <t>Indigo Paints Limited</t>
  </si>
  <si>
    <t>INE09VQ01012</t>
  </si>
  <si>
    <t>INDLMETER</t>
  </si>
  <si>
    <t>IMP Powers Limited</t>
  </si>
  <si>
    <t>INE065B01013</t>
  </si>
  <si>
    <t>INDNIPPON</t>
  </si>
  <si>
    <t>India Nippon Electricals Limited</t>
  </si>
  <si>
    <t>INE092B01025</t>
  </si>
  <si>
    <t>INDOAMIN</t>
  </si>
  <si>
    <t>Indo Amines Limited</t>
  </si>
  <si>
    <t>INE760F01028</t>
  </si>
  <si>
    <t>INDOBORAX</t>
  </si>
  <si>
    <t>Indo Borax &amp; Chemicals Limited</t>
  </si>
  <si>
    <t>INE803D01021</t>
  </si>
  <si>
    <t>INDOCO</t>
  </si>
  <si>
    <t>Indoco Remedies Limited</t>
  </si>
  <si>
    <t>INE873D01024</t>
  </si>
  <si>
    <t>INDORAMA</t>
  </si>
  <si>
    <t>Indo Rama Synthetics (India) Limited</t>
  </si>
  <si>
    <t>INE156A01020</t>
  </si>
  <si>
    <t>INDOSTAR</t>
  </si>
  <si>
    <t>IndoStar Capital Finance Limited</t>
  </si>
  <si>
    <t>INE896L01010</t>
  </si>
  <si>
    <t>INDOTECH</t>
  </si>
  <si>
    <t>Indo Tech Transformers Limited</t>
  </si>
  <si>
    <t>INE332H01014</t>
  </si>
  <si>
    <t>INDOTHAI</t>
  </si>
  <si>
    <t>Indo Thai Securities Limited</t>
  </si>
  <si>
    <t>INE337M01013</t>
  </si>
  <si>
    <t>INDOWIND</t>
  </si>
  <si>
    <t>Indowind Energy Limited</t>
  </si>
  <si>
    <t>INE227G01018</t>
  </si>
  <si>
    <t>INDRAMEDCO</t>
  </si>
  <si>
    <t>Indraprastha Medical Corporation Limited</t>
  </si>
  <si>
    <t>INE681B01017</t>
  </si>
  <si>
    <t>INDSWFTLAB</t>
  </si>
  <si>
    <t>Ind-Swift Laboratories Limited</t>
  </si>
  <si>
    <t>INE915B01019</t>
  </si>
  <si>
    <t>INDSWFTLTD</t>
  </si>
  <si>
    <t>Ind-Swift Limited</t>
  </si>
  <si>
    <t>INE788B01028</t>
  </si>
  <si>
    <t>INDTERRAIN</t>
  </si>
  <si>
    <t>Indian Terrain Fashions Limited</t>
  </si>
  <si>
    <t>INE611L01021</t>
  </si>
  <si>
    <t>INDUSINDBK</t>
  </si>
  <si>
    <t>IndusInd Bank Limited</t>
  </si>
  <si>
    <t>INE095A01012</t>
  </si>
  <si>
    <t>INDUSTOWER</t>
  </si>
  <si>
    <t>Indus Towers Limited</t>
  </si>
  <si>
    <t>INE121J01017</t>
  </si>
  <si>
    <t>INFIBEAM</t>
  </si>
  <si>
    <t>Infibeam Avenues Limited</t>
  </si>
  <si>
    <t>INE483S01020</t>
  </si>
  <si>
    <t>INFOBEAN</t>
  </si>
  <si>
    <t>InfoBeans Technologies Limited</t>
  </si>
  <si>
    <t>INE344S01016</t>
  </si>
  <si>
    <t>INFOMEDIA</t>
  </si>
  <si>
    <t>Infomedia Press Limited</t>
  </si>
  <si>
    <t>INE669A01022</t>
  </si>
  <si>
    <t>INFY</t>
  </si>
  <si>
    <t>Infosys Limited</t>
  </si>
  <si>
    <t>INE009A01021</t>
  </si>
  <si>
    <t>INGERRAND</t>
  </si>
  <si>
    <t>Ingersoll Rand (India) Limited</t>
  </si>
  <si>
    <t>INE177A01018</t>
  </si>
  <si>
    <t>INOXGREEN</t>
  </si>
  <si>
    <t>Inox Green Energy Services Limited</t>
  </si>
  <si>
    <t>INE510W01014</t>
  </si>
  <si>
    <t>INOXWIND</t>
  </si>
  <si>
    <t>Inox Wind Limited</t>
  </si>
  <si>
    <t>INE066P01011</t>
  </si>
  <si>
    <t>INSECTICID</t>
  </si>
  <si>
    <t>Insecticides (India) Limited</t>
  </si>
  <si>
    <t>INE070I01018</t>
  </si>
  <si>
    <t>INSPIRISYS</t>
  </si>
  <si>
    <t>Inspirisys Solutions Limited</t>
  </si>
  <si>
    <t>INE020G01017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</si>
  <si>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</si>
  <si>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</si>
  <si>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</si>
  <si>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</si>
  <si>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</si>
  <si>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</si>
  <si>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INTLCONV</t>
  </si>
  <si>
    <t>International Conveyors Limited</t>
  </si>
  <si>
    <t>INE575C01027</t>
  </si>
  <si>
    <t>INVENTURE</t>
  </si>
  <si>
    <t>Inventure Growth &amp; Securities Limited</t>
  </si>
  <si>
    <t>INE878H01024</t>
  </si>
  <si>
    <t>IOB</t>
  </si>
  <si>
    <t>Indian Overseas Bank</t>
  </si>
  <si>
    <t>INE565A01014</t>
  </si>
  <si>
    <t>IOC</t>
  </si>
  <si>
    <t>Indian Oil Corporation Limited</t>
  </si>
  <si>
    <t>INE242A01010</t>
  </si>
  <si>
    <t>IOLCP</t>
  </si>
  <si>
    <t>IOL Chemicals and Pharmaceuticals Limited</t>
  </si>
  <si>
    <t>INE485C01011</t>
  </si>
  <si>
    <t>IONEXCHANG</t>
  </si>
  <si>
    <t>ION Exchange (India) Limited</t>
  </si>
  <si>
    <t>INE570A01022</t>
  </si>
  <si>
    <t>IPCALAB</t>
  </si>
  <si>
    <t>IPCA Laboratories Limited</t>
  </si>
  <si>
    <t>INE571A01038</t>
  </si>
  <si>
    <t>IPL</t>
  </si>
  <si>
    <t>India Pesticides Limited</t>
  </si>
  <si>
    <t>INE0D6701023</t>
  </si>
  <si>
    <t>IRB</t>
  </si>
  <si>
    <t>IRB Infrastructure Developers Limited</t>
  </si>
  <si>
    <t>INE821I01022</t>
  </si>
  <si>
    <t>IRCON</t>
  </si>
  <si>
    <t>Ircon International Limited</t>
  </si>
  <si>
    <t>INE962Y01021</t>
  </si>
  <si>
    <t>IRCTC</t>
  </si>
  <si>
    <t>Indian Railway Catering And Tourism Corporation Limited</t>
  </si>
  <si>
    <t>INE335Y01020</t>
  </si>
  <si>
    <t>IRFC</t>
  </si>
  <si>
    <t>Indian Railway Finance Corporation Limited</t>
  </si>
  <si>
    <t>INE053F01010</t>
  </si>
  <si>
    <t>IRIS</t>
  </si>
  <si>
    <t>Iris Business Services Limited</t>
  </si>
  <si>
    <t>INE864K01010</t>
  </si>
  <si>
    <t>IRISDOREME</t>
  </si>
  <si>
    <t>Iris Clothings Limited</t>
  </si>
  <si>
    <t>INE01GN01025</t>
  </si>
  <si>
    <t>IRMENERGY</t>
  </si>
  <si>
    <t>IRM Energy Limited</t>
  </si>
  <si>
    <t>INE07U701015</t>
  </si>
  <si>
    <t>ISEC</t>
  </si>
  <si>
    <t>ICICI Securities Limited</t>
  </si>
  <si>
    <t>INE763G01038</t>
  </si>
  <si>
    <t>ISFT</t>
  </si>
  <si>
    <t>Intrasoft Technologies Limited</t>
  </si>
  <si>
    <t>INE566K01011</t>
  </si>
  <si>
    <t>ISGEC</t>
  </si>
  <si>
    <t>Isgec Heavy Engineering Limited</t>
  </si>
  <si>
    <t>INE858B01029</t>
  </si>
  <si>
    <t>ISMTLTD</t>
  </si>
  <si>
    <t>ISMT Limited</t>
  </si>
  <si>
    <t>INE732F01019</t>
  </si>
  <si>
    <t>ITC</t>
  </si>
  <si>
    <t>ITC Limited</t>
  </si>
  <si>
    <t>INE154A01025</t>
  </si>
  <si>
    <t>ITDC</t>
  </si>
  <si>
    <t>India Tourism Development Corporation Limited</t>
  </si>
  <si>
    <t>INE353K01014</t>
  </si>
  <si>
    <t>ITDCEM</t>
  </si>
  <si>
    <t>ITD Cementation India Limited</t>
  </si>
  <si>
    <t>INE686A01026</t>
  </si>
  <si>
    <t>ITI</t>
  </si>
  <si>
    <t>ITI Limited</t>
  </si>
  <si>
    <t>INE248A01017</t>
  </si>
  <si>
    <t>IVC</t>
  </si>
  <si>
    <t>IL&amp;FS Investment Managers Limited</t>
  </si>
  <si>
    <t>INE050B01023</t>
  </si>
  <si>
    <t>IVP</t>
  </si>
  <si>
    <t>IVP Limited</t>
  </si>
  <si>
    <t>INE043C01018</t>
  </si>
  <si>
    <t>IWEL</t>
  </si>
  <si>
    <t>Inox Wind Energy Limited</t>
  </si>
  <si>
    <t>INE0FLR01028</t>
  </si>
  <si>
    <t>IZMO</t>
  </si>
  <si>
    <t>IZMO Limited</t>
  </si>
  <si>
    <t>INE848A01014</t>
  </si>
  <si>
    <t>J&amp;KBANK</t>
  </si>
  <si>
    <t>The Jammu &amp; Kashmir Bank Limited</t>
  </si>
  <si>
    <t>INE168A01041</t>
  </si>
  <si>
    <t>JAGRAN</t>
  </si>
  <si>
    <t>Jagran Prakashan Limited</t>
  </si>
  <si>
    <t>INE199G01027</t>
  </si>
  <si>
    <t>JAGSNPHARM</t>
  </si>
  <si>
    <t>Jagsonpal Pharmaceuticals Limited</t>
  </si>
  <si>
    <t>INE048B01027</t>
  </si>
  <si>
    <t>JAIBALAJI</t>
  </si>
  <si>
    <t>Jai Balaji Industries Limited</t>
  </si>
  <si>
    <t>INE091G01018</t>
  </si>
  <si>
    <t>JAICORPLTD</t>
  </si>
  <si>
    <t>Jai Corp Limited</t>
  </si>
  <si>
    <t>INE070D01027</t>
  </si>
  <si>
    <t>JAIPURKURT</t>
  </si>
  <si>
    <t>Nandani Creation Limited</t>
  </si>
  <si>
    <t>INE696V01013</t>
  </si>
  <si>
    <t>JAMNAAUTO</t>
  </si>
  <si>
    <t>Jamna Auto Industries Limited</t>
  </si>
  <si>
    <t>INE039C01032</t>
  </si>
  <si>
    <t>JASH</t>
  </si>
  <si>
    <t>Jash Engineering Limited</t>
  </si>
  <si>
    <t>INE039O01011</t>
  </si>
  <si>
    <t>JAYAGROGN</t>
  </si>
  <si>
    <t>Jayant Agro Organics Limited</t>
  </si>
  <si>
    <t>INE785A01026</t>
  </si>
  <si>
    <t>JAYBARMARU</t>
  </si>
  <si>
    <t>Jay Bharat Maruti Limited</t>
  </si>
  <si>
    <t>INE571B01036</t>
  </si>
  <si>
    <t>JAYNECOIND</t>
  </si>
  <si>
    <t>Jayaswal Neco Industries Limited</t>
  </si>
  <si>
    <t>INE854B01010</t>
  </si>
  <si>
    <t>JAYSREETEA</t>
  </si>
  <si>
    <t>Jayshree Tea &amp; Industries Limited</t>
  </si>
  <si>
    <t>INE364A01020</t>
  </si>
  <si>
    <t>JBCHEPHARM</t>
  </si>
  <si>
    <t>JB Chemicals &amp; Pharmaceuticals Limited</t>
  </si>
  <si>
    <t>INE572A01036</t>
  </si>
  <si>
    <t>JBMA</t>
  </si>
  <si>
    <t>JBM Auto Limited</t>
  </si>
  <si>
    <t>INE927D01044</t>
  </si>
  <si>
    <t>JCHAC</t>
  </si>
  <si>
    <t>Johnson Controls - Hitachi Air Conditioning India Limited</t>
  </si>
  <si>
    <t>INE782A01015</t>
  </si>
  <si>
    <t>JETAIRWAYS</t>
  </si>
  <si>
    <t>Jet Airways (India) Limited</t>
  </si>
  <si>
    <t>INE802G01018</t>
  </si>
  <si>
    <t>JETFREIGHT</t>
  </si>
  <si>
    <t>Jet Freight Logistics Limited</t>
  </si>
  <si>
    <t>INE982V01025</t>
  </si>
  <si>
    <t>JHS</t>
  </si>
  <si>
    <t>JHS Svendgaard Laboratories Limited</t>
  </si>
  <si>
    <t>INE544H01014</t>
  </si>
  <si>
    <t>JINDALPHOT</t>
  </si>
  <si>
    <t>Jindal Photo Limited</t>
  </si>
  <si>
    <t>INE796G01012</t>
  </si>
  <si>
    <t>JINDALPOLY</t>
  </si>
  <si>
    <t>Jindal Poly Films Limited</t>
  </si>
  <si>
    <t>INE197D01010</t>
  </si>
  <si>
    <t>JINDALSAW</t>
  </si>
  <si>
    <t>Jindal Saw Limited</t>
  </si>
  <si>
    <t>INE324A01024</t>
  </si>
  <si>
    <t>JINDALSTEL</t>
  </si>
  <si>
    <t>Jindal Steel &amp; Power Limited</t>
  </si>
  <si>
    <t>INE749A01030</t>
  </si>
  <si>
    <t>JINDRILL</t>
  </si>
  <si>
    <t>Jindal Drilling And Industries Limited</t>
  </si>
  <si>
    <t>INE742C01031</t>
  </si>
  <si>
    <t>JINDWORLD</t>
  </si>
  <si>
    <t>Jindal Worldwide Limited</t>
  </si>
  <si>
    <t>INE247D01039</t>
  </si>
  <si>
    <t>JIOFIN</t>
  </si>
  <si>
    <t>Jio Financial Services Limited</t>
  </si>
  <si>
    <t>INE758E01017</t>
  </si>
  <si>
    <t>JISLDVREQS</t>
  </si>
  <si>
    <t>Jain Irrigation Systems Limited</t>
  </si>
  <si>
    <t>IN9175A01010</t>
  </si>
  <si>
    <t>JISLJALEQS</t>
  </si>
  <si>
    <t>INE175A01038</t>
  </si>
  <si>
    <t>JITFINFRA</t>
  </si>
  <si>
    <t>JITF Infralogistics Limited</t>
  </si>
  <si>
    <t>INE863T01013</t>
  </si>
  <si>
    <t>JKCEMENT</t>
  </si>
  <si>
    <t>JK Cement Limited</t>
  </si>
  <si>
    <t>INE823G01014</t>
  </si>
  <si>
    <t>JKIL</t>
  </si>
  <si>
    <t>J.Kumar Infraprojects Limited</t>
  </si>
  <si>
    <t>INE576I01022</t>
  </si>
  <si>
    <t>JKLAKSHMI</t>
  </si>
  <si>
    <t>JK Lakshmi Cement Limited</t>
  </si>
  <si>
    <t>INE786A01032</t>
  </si>
  <si>
    <t>JKPAPER</t>
  </si>
  <si>
    <t>JK Paper Limited</t>
  </si>
  <si>
    <t>INE789E01012</t>
  </si>
  <si>
    <t>JKTYRE</t>
  </si>
  <si>
    <t>JK Tyre &amp; Industries Limited</t>
  </si>
  <si>
    <t>INE573A01042</t>
  </si>
  <si>
    <t>JLHL</t>
  </si>
  <si>
    <t>Jupiter Life Line Hospitals Limited</t>
  </si>
  <si>
    <t>INE682M01012</t>
  </si>
  <si>
    <t>JMA</t>
  </si>
  <si>
    <t>Jullundur Motor Agency (Delhi) Limited</t>
  </si>
  <si>
    <t>INE412C01023</t>
  </si>
  <si>
    <t>JMFINANCIL</t>
  </si>
  <si>
    <t>JM Financial Limited</t>
  </si>
  <si>
    <t>INE780C01023</t>
  </si>
  <si>
    <t>JOCIL</t>
  </si>
  <si>
    <t>Jocil Limited</t>
  </si>
  <si>
    <t>INE839G01010</t>
  </si>
  <si>
    <t>JPASSOCIAT</t>
  </si>
  <si>
    <t>Jaiprakash Associates Limited</t>
  </si>
  <si>
    <t>INE455F01025</t>
  </si>
  <si>
    <t>JPOLYINVST</t>
  </si>
  <si>
    <t>Jindal Poly Investment and Finance Company Limited</t>
  </si>
  <si>
    <t>INE147P01019</t>
  </si>
  <si>
    <t>JPPOWER</t>
  </si>
  <si>
    <t>Jaiprakash Power Ventures Limited</t>
  </si>
  <si>
    <t>INE351F01018</t>
  </si>
  <si>
    <t>JSL</t>
  </si>
  <si>
    <t>Jindal Stainless Limited</t>
  </si>
  <si>
    <t>INE220G01021</t>
  </si>
  <si>
    <t>JSWENERGY</t>
  </si>
  <si>
    <t>JSW Energy Limited</t>
  </si>
  <si>
    <t>INE121E01018</t>
  </si>
  <si>
    <t>JSWHL</t>
  </si>
  <si>
    <t>JSW Holdings Limited</t>
  </si>
  <si>
    <t>INE824G01012</t>
  </si>
  <si>
    <t>JSWINFRA</t>
  </si>
  <si>
    <t>JSW Infrastructure Limited</t>
  </si>
  <si>
    <t>INE880J01026</t>
  </si>
  <si>
    <t>JSWSTEEL</t>
  </si>
  <si>
    <t>JSW Steel Limited</t>
  </si>
  <si>
    <t>INE019A01038</t>
  </si>
  <si>
    <t>JTEKTINDIA</t>
  </si>
  <si>
    <t>Jtekt India Limited</t>
  </si>
  <si>
    <t>INE643A01035</t>
  </si>
  <si>
    <t>JTLIND</t>
  </si>
  <si>
    <t>JTL INDUSTRIES LIMITED</t>
  </si>
  <si>
    <t>INE391J01024</t>
  </si>
  <si>
    <t>JUBLFOOD</t>
  </si>
  <si>
    <t>Jubilant Foodworks Limited</t>
  </si>
  <si>
    <t>INE797F01020</t>
  </si>
  <si>
    <t>JUBLINDS</t>
  </si>
  <si>
    <t>Jubilant Industries Limited</t>
  </si>
  <si>
    <t>INE645L01011</t>
  </si>
  <si>
    <t>JUBLINGREA</t>
  </si>
  <si>
    <t>Jubilant Ingrevia Limited</t>
  </si>
  <si>
    <t>INE0BY001018</t>
  </si>
  <si>
    <t>JUBLPHARMA</t>
  </si>
  <si>
    <t>Jubilant Pharmova Limited</t>
  </si>
  <si>
    <t>INE700A01033</t>
  </si>
  <si>
    <t>JUSTDIAL</t>
  </si>
  <si>
    <t>Just Dial Limited</t>
  </si>
  <si>
    <t>INE599M01018</t>
  </si>
  <si>
    <t>JWL</t>
  </si>
  <si>
    <t>Jupiter Wagons Limited</t>
  </si>
  <si>
    <t>INE209L01016</t>
  </si>
  <si>
    <t>JYOTHYLAB</t>
  </si>
  <si>
    <t>Jyothy Labs Limited</t>
  </si>
  <si>
    <t>INE668F01031</t>
  </si>
  <si>
    <t>JYOTISTRUC</t>
  </si>
  <si>
    <t>Jyoti Structures Limited</t>
  </si>
  <si>
    <t>INE197A01024</t>
  </si>
  <si>
    <t>KABRAEXTRU</t>
  </si>
  <si>
    <t>Kabra Extrusion Technik Limited</t>
  </si>
  <si>
    <t>INE900B01029</t>
  </si>
  <si>
    <t>KAJARIACER</t>
  </si>
  <si>
    <t>Kajaria Ceramics Limited</t>
  </si>
  <si>
    <t>INE217B01036</t>
  </si>
  <si>
    <t>KAKATCEM</t>
  </si>
  <si>
    <t>Kakatiya Cement Sugar &amp; Industries Limited</t>
  </si>
  <si>
    <t>INE437B01014</t>
  </si>
  <si>
    <t>KALAMANDIR</t>
  </si>
  <si>
    <t>Sai Silks (Kalamandir) Limited</t>
  </si>
  <si>
    <t>INE438K01021</t>
  </si>
  <si>
    <t>KALYANI</t>
  </si>
  <si>
    <t>Kalyani Commercials Limited</t>
  </si>
  <si>
    <t>INE610E01010</t>
  </si>
  <si>
    <t>KALYANIFRG</t>
  </si>
  <si>
    <t>Kalyani Forge Limited</t>
  </si>
  <si>
    <t>INE314G01014</t>
  </si>
  <si>
    <t>KALYANKJIL</t>
  </si>
  <si>
    <t>Kalyan Jewellers India Limited</t>
  </si>
  <si>
    <t>INE303R01014</t>
  </si>
  <si>
    <t>KAMATHOTEL</t>
  </si>
  <si>
    <t>Kamat Hotels (I) Limited</t>
  </si>
  <si>
    <t>INE967C01018</t>
  </si>
  <si>
    <t>KAMDHENU</t>
  </si>
  <si>
    <t>Kamdhenu Limited</t>
  </si>
  <si>
    <t>INE390H01012</t>
  </si>
  <si>
    <t>KAMOPAINTS</t>
  </si>
  <si>
    <t>Kamdhenu Ventures Limited</t>
  </si>
  <si>
    <t>INE0BTI01029</t>
  </si>
  <si>
    <t>KANANIIND</t>
  </si>
  <si>
    <t>Kanani Industries Limited</t>
  </si>
  <si>
    <t>INE879E01037</t>
  </si>
  <si>
    <t>KANORICHEM</t>
  </si>
  <si>
    <t>Kanoria Chemicals &amp; Industries Limited</t>
  </si>
  <si>
    <t>INE138C01024</t>
  </si>
  <si>
    <t>KANPRPLA</t>
  </si>
  <si>
    <t>Kanpur Plastipack Limited</t>
  </si>
  <si>
    <t>INE694E01014</t>
  </si>
  <si>
    <t>KANSAINER</t>
  </si>
  <si>
    <t>Kansai Nerolac Paints Limited</t>
  </si>
  <si>
    <t>INE531A01024</t>
  </si>
  <si>
    <t>KAPSTON</t>
  </si>
  <si>
    <t>Kapston Services Limited</t>
  </si>
  <si>
    <t>INE542Z01010</t>
  </si>
  <si>
    <t>KARMAENG</t>
  </si>
  <si>
    <t>Karma Energy Limited</t>
  </si>
  <si>
    <t>INE725L01011</t>
  </si>
  <si>
    <t>KARURVYSYA</t>
  </si>
  <si>
    <t>Karur Vysya Bank Limited</t>
  </si>
  <si>
    <t>INE036D01028</t>
  </si>
  <si>
    <t>KAUSHALYA</t>
  </si>
  <si>
    <t>Kaushalya Infrastructure Development Corporation Limited</t>
  </si>
  <si>
    <t>INE234I01010</t>
  </si>
  <si>
    <t>KAVVERITEL</t>
  </si>
  <si>
    <t>Kavveri Telecom Products Limited</t>
  </si>
  <si>
    <t>INE641C01019</t>
  </si>
  <si>
    <t>KAYA</t>
  </si>
  <si>
    <t>Kaya Limited</t>
  </si>
  <si>
    <t>INE587G01015</t>
  </si>
  <si>
    <t>KAYNES</t>
  </si>
  <si>
    <t>Kaynes Technology India Limited</t>
  </si>
  <si>
    <t>INE918Z01012</t>
  </si>
  <si>
    <t>KBCGLOBAL</t>
  </si>
  <si>
    <t>KBC Global Limited</t>
  </si>
  <si>
    <t>INE278R01034</t>
  </si>
  <si>
    <t>KCP</t>
  </si>
  <si>
    <t>KCP Limited</t>
  </si>
  <si>
    <t>INE805C01028</t>
  </si>
  <si>
    <t>KCPSUGIND</t>
  </si>
  <si>
    <t>KCP Sugar and Industries Corporation Limited</t>
  </si>
  <si>
    <t>INE790B01024</t>
  </si>
  <si>
    <t>KDDL</t>
  </si>
  <si>
    <t>KDDL Limited</t>
  </si>
  <si>
    <t>INE291D01011</t>
  </si>
  <si>
    <t>KEC</t>
  </si>
  <si>
    <t>KEC International Limited</t>
  </si>
  <si>
    <t>INE389H01022</t>
  </si>
  <si>
    <t>KECL</t>
  </si>
  <si>
    <t>Kirloskar Electric Company Limited</t>
  </si>
  <si>
    <t>INE134B01017</t>
  </si>
  <si>
    <t>KEEPLEARN</t>
  </si>
  <si>
    <t>DSJ Keep Learning Limited</t>
  </si>
  <si>
    <t>INE055C01020</t>
  </si>
  <si>
    <t>KEI</t>
  </si>
  <si>
    <t>KEI Industries Limited</t>
  </si>
  <si>
    <t>INE878B01027</t>
  </si>
  <si>
    <t>KELLTONTEC</t>
  </si>
  <si>
    <t>Kellton Tech Solutions Limited</t>
  </si>
  <si>
    <t>INE164B01022</t>
  </si>
  <si>
    <t>KERNEX</t>
  </si>
  <si>
    <t>Kernex Microsystems (India) Limited</t>
  </si>
  <si>
    <t>INE202H01019</t>
  </si>
  <si>
    <t>KESORAMIND</t>
  </si>
  <si>
    <t>Kesoram Industries Limited</t>
  </si>
  <si>
    <t>INE087A01019</t>
  </si>
  <si>
    <t>KEYFINSERV</t>
  </si>
  <si>
    <t>Keynote Financial Services Limited</t>
  </si>
  <si>
    <t>INE681C01015</t>
  </si>
  <si>
    <t>KFINTECH</t>
  </si>
  <si>
    <t>Kfin Technologies Limited</t>
  </si>
  <si>
    <t>INE138Y01010</t>
  </si>
  <si>
    <t>KHADIM</t>
  </si>
  <si>
    <t>Khadim India Limited</t>
  </si>
  <si>
    <t>INE834I01025</t>
  </si>
  <si>
    <t>KHAICHEM</t>
  </si>
  <si>
    <t>Khaitan Chemicals &amp; Fertilizers Limited</t>
  </si>
  <si>
    <t>INE745B01028</t>
  </si>
  <si>
    <t>KHAITANLTD</t>
  </si>
  <si>
    <t>Khaitan (India) Limited</t>
  </si>
  <si>
    <t>INE731C01018</t>
  </si>
  <si>
    <t>KHANDSE</t>
  </si>
  <si>
    <t>Khandwala Securities Limited</t>
  </si>
  <si>
    <t>INE060B01014</t>
  </si>
  <si>
    <t>KICL</t>
  </si>
  <si>
    <t>Kalyani Investment Company Limited</t>
  </si>
  <si>
    <t>INE029L01018</t>
  </si>
  <si>
    <t>KILITCH</t>
  </si>
  <si>
    <t>Kilitch Drugs (India) Limited</t>
  </si>
  <si>
    <t>INE729D01010</t>
  </si>
  <si>
    <t>KIMS</t>
  </si>
  <si>
    <t>Krishna Institute of Medical Sciences Limited</t>
  </si>
  <si>
    <t>INE967H01017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</si>
  <si>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</si>
  <si>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</si>
  <si>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</si>
  <si>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</si>
  <si>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</si>
  <si>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</si>
  <si>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KIRIINDUS</t>
  </si>
  <si>
    <t>Kiri Industries Limited</t>
  </si>
  <si>
    <t>INE415I01015</t>
  </si>
  <si>
    <t>KIRLOSBROS</t>
  </si>
  <si>
    <t>Kirloskar Brothers Limited</t>
  </si>
  <si>
    <t>INE732A01036</t>
  </si>
  <si>
    <t>KIRLOSENG</t>
  </si>
  <si>
    <t>Kirloskar Oil Engines Limited</t>
  </si>
  <si>
    <t>INE146L01010</t>
  </si>
  <si>
    <t>KIRLOSIND</t>
  </si>
  <si>
    <t>Kirloskar Industries Limited</t>
  </si>
  <si>
    <t>INE250A01039</t>
  </si>
  <si>
    <t>KIRLPNU</t>
  </si>
  <si>
    <t>Kirloskar Pneumatic Company Limited</t>
  </si>
  <si>
    <t>INE811A01020</t>
  </si>
  <si>
    <t>KITEX</t>
  </si>
  <si>
    <t>Kitex Garments Limited</t>
  </si>
  <si>
    <t>INE602G01020</t>
  </si>
  <si>
    <t>KKCL</t>
  </si>
  <si>
    <t>Kewal Kiran Clothing Limited</t>
  </si>
  <si>
    <t>INE401H01017</t>
  </si>
  <si>
    <t>KMSUGAR</t>
  </si>
  <si>
    <t>K.M.Sugar Mills Limited</t>
  </si>
  <si>
    <t>INE157H01023</t>
  </si>
  <si>
    <t>KNRCON</t>
  </si>
  <si>
    <t>KNR Constructions Limited</t>
  </si>
  <si>
    <t>INE634I01029</t>
  </si>
  <si>
    <t>KOHINOOR</t>
  </si>
  <si>
    <t>Kohinoor Foods Limited</t>
  </si>
  <si>
    <t>INE080B01012</t>
  </si>
  <si>
    <t>KOKUYOCMLN</t>
  </si>
  <si>
    <t>Kokuyo Camlin Limited</t>
  </si>
  <si>
    <t>INE760A01029</t>
  </si>
  <si>
    <t>KOLTEPATIL</t>
  </si>
  <si>
    <t>Kolte - Patil Developers Limited</t>
  </si>
  <si>
    <t>INE094I01018</t>
  </si>
  <si>
    <t>KOPRAN</t>
  </si>
  <si>
    <t>Kopran Limited</t>
  </si>
  <si>
    <t>INE082A01010</t>
  </si>
  <si>
    <t>KOTAKBANK</t>
  </si>
  <si>
    <t>Kotak Mahindra Bank Limited</t>
  </si>
  <si>
    <t>INE237A01028</t>
  </si>
  <si>
    <t>KOTARISUG</t>
  </si>
  <si>
    <t>Kothari Sugars And Chemicals Limited</t>
  </si>
  <si>
    <t>INE419A01022</t>
  </si>
  <si>
    <t>KOTHARIPET</t>
  </si>
  <si>
    <t>Kothari Petrochemicals Limited</t>
  </si>
  <si>
    <t>INE720A01015</t>
  </si>
  <si>
    <t>KOTHARIPRO</t>
  </si>
  <si>
    <t>Kothari Products Limited</t>
  </si>
  <si>
    <t>INE823A01017</t>
  </si>
  <si>
    <t>KPIGREEN</t>
  </si>
  <si>
    <t>KPI Green Energy Limited</t>
  </si>
  <si>
    <t>INE542W01017</t>
  </si>
  <si>
    <t>KPIL</t>
  </si>
  <si>
    <t>Kalpataru Projects International Limited</t>
  </si>
  <si>
    <t>INE220B01022</t>
  </si>
  <si>
    <t>KPITTECH</t>
  </si>
  <si>
    <t>KPIT Technologies Limited</t>
  </si>
  <si>
    <t>INE04I401011</t>
  </si>
  <si>
    <t>KPRMILL</t>
  </si>
  <si>
    <t>K.P.R. Mill Limited</t>
  </si>
  <si>
    <t>INE930H01031</t>
  </si>
  <si>
    <t>KRBL</t>
  </si>
  <si>
    <t>KRBL Limited</t>
  </si>
  <si>
    <t>INE001B01026</t>
  </si>
  <si>
    <t>KREBSBIO</t>
  </si>
  <si>
    <t>Krebs Biochemicals and Industries Limited</t>
  </si>
  <si>
    <t>INE268B01013</t>
  </si>
  <si>
    <t>KRIDHANINF</t>
  </si>
  <si>
    <t>Kridhan Infra Limited</t>
  </si>
  <si>
    <t>INE524L01026</t>
  </si>
  <si>
    <t>KRISHANA</t>
  </si>
  <si>
    <t>Krishana Phoschem Limited</t>
  </si>
  <si>
    <t>INE506W01012</t>
  </si>
  <si>
    <t>KRITI</t>
  </si>
  <si>
    <t>Kriti Industries (India) Limited</t>
  </si>
  <si>
    <t>INE479D01038</t>
  </si>
  <si>
    <t>KRITIKA</t>
  </si>
  <si>
    <t>Kritika Wires Limited</t>
  </si>
  <si>
    <t>INE00Z501029</t>
  </si>
  <si>
    <t>KRITINUT</t>
  </si>
  <si>
    <t>Kriti Nutrients Limited</t>
  </si>
  <si>
    <t>INE798K01010</t>
  </si>
  <si>
    <t>KRSNAA</t>
  </si>
  <si>
    <t>Krsnaa Diagnostics Limited</t>
  </si>
  <si>
    <t>INE08LI01020</t>
  </si>
  <si>
    <t>KSB</t>
  </si>
  <si>
    <t>Ksb Limited</t>
  </si>
  <si>
    <t>INE999A01015</t>
  </si>
  <si>
    <t>KSCL</t>
  </si>
  <si>
    <t>Kaveri Seed Company Limited</t>
  </si>
  <si>
    <t>INE455I01029</t>
  </si>
  <si>
    <t>KSHITIJPOL</t>
  </si>
  <si>
    <t>Kshitij Polyline Limited</t>
  </si>
  <si>
    <t>INE013801027</t>
  </si>
  <si>
    <t>KSL</t>
  </si>
  <si>
    <t>Kalyani Steels Limited</t>
  </si>
  <si>
    <t>INE907A01026</t>
  </si>
  <si>
    <t>KSOLVES</t>
  </si>
  <si>
    <t>Ksolves India Limited</t>
  </si>
  <si>
    <t>INE0D6I01015</t>
  </si>
  <si>
    <t>KTKBANK</t>
  </si>
  <si>
    <t>The Karnataka Bank Limited</t>
  </si>
  <si>
    <t>INE614B01018</t>
  </si>
  <si>
    <t>KUANTUM</t>
  </si>
  <si>
    <t>Kuantum Papers Limited</t>
  </si>
  <si>
    <t>INE529I01021</t>
  </si>
  <si>
    <t>L&amp;TFH</t>
  </si>
  <si>
    <t>L&amp;T Finance Holdings Limited</t>
  </si>
  <si>
    <t>INE498L01015</t>
  </si>
  <si>
    <t>LAGNAM</t>
  </si>
  <si>
    <t>Lagnam Spintex Limited</t>
  </si>
  <si>
    <t>INE548Z01017</t>
  </si>
  <si>
    <t>LAKPRE</t>
  </si>
  <si>
    <t>Lakshmi Precision Screws Limited</t>
  </si>
  <si>
    <t>INE651C01018</t>
  </si>
  <si>
    <t>LAL</t>
  </si>
  <si>
    <t>Lorenzini Apparels Limited</t>
  </si>
  <si>
    <t>INE740X01015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</si>
  <si>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</si>
  <si>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</si>
  <si>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</si>
  <si>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</si>
  <si>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</si>
  <si>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</si>
  <si>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LANDMARK</t>
  </si>
  <si>
    <t>Landmark Cars Limited</t>
  </si>
  <si>
    <t>INE559R01029</t>
  </si>
  <si>
    <t>LAOPALA</t>
  </si>
  <si>
    <t>La Opala RG Limited</t>
  </si>
  <si>
    <t>INE059D01020</t>
  </si>
  <si>
    <t>LASA</t>
  </si>
  <si>
    <t>Lasa Supergenerics Limited</t>
  </si>
  <si>
    <t>INE670X01014</t>
  </si>
  <si>
    <t>LATENTVIEW</t>
  </si>
  <si>
    <t>Latent View Analytics Limited</t>
  </si>
  <si>
    <t>INE0I7C01011</t>
  </si>
  <si>
    <t>LATTEYS</t>
  </si>
  <si>
    <t>Latteys Industries Limited</t>
  </si>
  <si>
    <t>INE262Z01023</t>
  </si>
  <si>
    <t>LAURUSLABS</t>
  </si>
  <si>
    <t>Laurus Labs Limited</t>
  </si>
  <si>
    <t>INE947Q01028</t>
  </si>
  <si>
    <t>LAXMICOT</t>
  </si>
  <si>
    <t>Laxmi Cotspin Limited</t>
  </si>
  <si>
    <t>INE801V01019</t>
  </si>
  <si>
    <t>LAXMIMACH</t>
  </si>
  <si>
    <t>Lakshmi Machine Works Limited</t>
  </si>
  <si>
    <t>INE269B01029</t>
  </si>
  <si>
    <t>LCCINFOTEC</t>
  </si>
  <si>
    <t>LCC Infotech Limited</t>
  </si>
  <si>
    <t>INE938A01021</t>
  </si>
  <si>
    <t>LEMONTREE</t>
  </si>
  <si>
    <t>Lemon Tree Hotels Limited</t>
  </si>
  <si>
    <t>INE970X01018</t>
  </si>
  <si>
    <t>LEXUS</t>
  </si>
  <si>
    <t>Lexus Granito (India) Limited</t>
  </si>
  <si>
    <t>INE500X01013</t>
  </si>
  <si>
    <t>LFIC</t>
  </si>
  <si>
    <t>Lakshmi Finance &amp; Industrial Corporation Limited</t>
  </si>
  <si>
    <t>INE850E01012</t>
  </si>
  <si>
    <t>LGBBROSLTD</t>
  </si>
  <si>
    <t>LG Balakrishnan &amp; Bros Limited</t>
  </si>
  <si>
    <t>INE337A01034</t>
  </si>
  <si>
    <t>LGBFORGE</t>
  </si>
  <si>
    <t>LGB Forge Limited</t>
  </si>
  <si>
    <t>INE201J01017</t>
  </si>
  <si>
    <t>LGHL</t>
  </si>
  <si>
    <t>Laxmi Goldorna House Limited</t>
  </si>
  <si>
    <t>INE258Y01016</t>
  </si>
  <si>
    <t>LIBAS</t>
  </si>
  <si>
    <t>Libas Consumer Products Limited</t>
  </si>
  <si>
    <t>INE908V01012</t>
  </si>
  <si>
    <t>LIBERTSHOE</t>
  </si>
  <si>
    <t>Liberty Shoes Limited</t>
  </si>
  <si>
    <t>INE557B01019</t>
  </si>
  <si>
    <t>LICHSGFIN</t>
  </si>
  <si>
    <t>LIC Housing Finance Limited</t>
  </si>
  <si>
    <t>INE115A01026</t>
  </si>
  <si>
    <t>LICI</t>
  </si>
  <si>
    <t>Life Insurance Corporation Of India</t>
  </si>
  <si>
    <t>INE0J1Y01017</t>
  </si>
  <si>
    <t>LIKHITHA</t>
  </si>
  <si>
    <t>Likhitha Infrastructure Limited</t>
  </si>
  <si>
    <t>INE060901027</t>
  </si>
  <si>
    <t>LINC</t>
  </si>
  <si>
    <t>Linc Limited</t>
  </si>
  <si>
    <t>INE802B01019</t>
  </si>
  <si>
    <t>LINCOLN</t>
  </si>
  <si>
    <t>Lincoln Pharmaceuticals Limited</t>
  </si>
  <si>
    <t>INE405C01035</t>
  </si>
  <si>
    <t>LINDEINDIA</t>
  </si>
  <si>
    <t>Linde India Limited</t>
  </si>
  <si>
    <t>INE473A01011</t>
  </si>
  <si>
    <t>LLOYDSENGG</t>
  </si>
  <si>
    <t>LLOYDS ENGINEERING WORKS LIMITED</t>
  </si>
  <si>
    <t>INE093R01011</t>
  </si>
  <si>
    <t>LLOYDSME</t>
  </si>
  <si>
    <t>Lloyds Metals And Energy Limited</t>
  </si>
  <si>
    <t>INE281B01032</t>
  </si>
  <si>
    <t>LODHA</t>
  </si>
  <si>
    <t>Macrotech Developers Limited</t>
  </si>
  <si>
    <t>INE670K01029</t>
  </si>
  <si>
    <t>LOKESHMACH</t>
  </si>
  <si>
    <t>Lokesh Machines Limited</t>
  </si>
  <si>
    <t>INE397H01017</t>
  </si>
  <si>
    <t>LORDSCHLO</t>
  </si>
  <si>
    <t>Lords Chloro Alkali Limited</t>
  </si>
  <si>
    <t>INE846D01012</t>
  </si>
  <si>
    <t>LOTUSEYE</t>
  </si>
  <si>
    <t>Lotus Eye Hospital and Institute Limited</t>
  </si>
  <si>
    <t>INE947I01017</t>
  </si>
  <si>
    <t>LOVABLE</t>
  </si>
  <si>
    <t>Lovable Lingerie Limited</t>
  </si>
  <si>
    <t>INE597L01014</t>
  </si>
  <si>
    <t>LOYALTEX</t>
  </si>
  <si>
    <t>Loyal Textile Mills Limited</t>
  </si>
  <si>
    <t>INE970D01010</t>
  </si>
  <si>
    <t>LPDC</t>
  </si>
  <si>
    <t>Landmark Property Development Company Limited</t>
  </si>
  <si>
    <t>INE197J01017</t>
  </si>
  <si>
    <t>LT</t>
  </si>
  <si>
    <t>Larsen &amp; Toubro Limited</t>
  </si>
  <si>
    <t>INE018A01030</t>
  </si>
  <si>
    <t>LTFOODS</t>
  </si>
  <si>
    <t>LT Foods Limited</t>
  </si>
  <si>
    <t>INE818H01020</t>
  </si>
  <si>
    <t>LTIM</t>
  </si>
  <si>
    <t>LTIMindtree Limited</t>
  </si>
  <si>
    <t>INE214T01019</t>
  </si>
  <si>
    <t>LTTS</t>
  </si>
  <si>
    <t>L&amp;T Technology Services Limited</t>
  </si>
  <si>
    <t>INE010V01017</t>
  </si>
  <si>
    <t>LUMAXIND</t>
  </si>
  <si>
    <t>Lumax Industries Limited</t>
  </si>
  <si>
    <t>INE162B01018</t>
  </si>
  <si>
    <t>LUMAXTECH</t>
  </si>
  <si>
    <t>Lumax Auto Technologies Limited</t>
  </si>
  <si>
    <t>INE872H01027</t>
  </si>
  <si>
    <t>LUPIN</t>
  </si>
  <si>
    <t>Lupin Limited</t>
  </si>
  <si>
    <t>INE326A01037</t>
  </si>
  <si>
    <t>LUXIND</t>
  </si>
  <si>
    <t>Lux Industries Limited</t>
  </si>
  <si>
    <t>INE150G01020</t>
  </si>
  <si>
    <t>LXCHEM</t>
  </si>
  <si>
    <t>Laxmi Organic Industries Limited</t>
  </si>
  <si>
    <t>INE576O01020</t>
  </si>
  <si>
    <t>LYKALABS</t>
  </si>
  <si>
    <t>Lyka Labs Limited</t>
  </si>
  <si>
    <t>INE933A01014</t>
  </si>
  <si>
    <t>LYPSAGEMS</t>
  </si>
  <si>
    <t>Lypsa Gems &amp; Jewellery Limited</t>
  </si>
  <si>
    <t>INE142K01011</t>
  </si>
  <si>
    <t>M&amp;M</t>
  </si>
  <si>
    <t>Mahindra &amp; Mahindra Limited</t>
  </si>
  <si>
    <t>INE101A01026</t>
  </si>
  <si>
    <t>M&amp;MFIN</t>
  </si>
  <si>
    <t>Mahindra &amp; Mahindra Financial Services Limited</t>
  </si>
  <si>
    <t>INE774D01024</t>
  </si>
  <si>
    <t>MAANALU</t>
  </si>
  <si>
    <t>Maan Aluminium Limited</t>
  </si>
  <si>
    <t>INE215I01027</t>
  </si>
  <si>
    <t>MACPOWER</t>
  </si>
  <si>
    <t>Macpower CNC Machines Limited</t>
  </si>
  <si>
    <t>INE155Z01011</t>
  </si>
  <si>
    <t>MADHAV</t>
  </si>
  <si>
    <t>Madhav Marbles and Granites Limited</t>
  </si>
  <si>
    <t>INE925C01016</t>
  </si>
  <si>
    <t>MADHUCON</t>
  </si>
  <si>
    <t>Madhucon Projects Limited</t>
  </si>
  <si>
    <t>INE378D01032</t>
  </si>
  <si>
    <t>MADRASFERT</t>
  </si>
  <si>
    <t>Madras Fertilizers Limited</t>
  </si>
  <si>
    <t>INE414A01015</t>
  </si>
  <si>
    <t>MAGADSUGAR</t>
  </si>
  <si>
    <t>Magadh Sugar &amp; Energy Limited</t>
  </si>
  <si>
    <t>INE347W01011</t>
  </si>
  <si>
    <t>MAGNUM</t>
  </si>
  <si>
    <t>Magnum Ventures Limited</t>
  </si>
  <si>
    <t>INE387I01016</t>
  </si>
  <si>
    <t>MAHABANK</t>
  </si>
  <si>
    <t>Bank of Maharashtra</t>
  </si>
  <si>
    <t>INE457A01014</t>
  </si>
  <si>
    <t>MAHAPEXLTD</t>
  </si>
  <si>
    <t>Maha Rashtra Apex Corporation Limited</t>
  </si>
  <si>
    <t>INE843B01013</t>
  </si>
  <si>
    <t>MAHASTEEL</t>
  </si>
  <si>
    <t>Mahamaya Steel Industries Limited</t>
  </si>
  <si>
    <t>INE451L01014</t>
  </si>
  <si>
    <t>MAHEPC</t>
  </si>
  <si>
    <t>Mahindra EPC Irrigation Limited</t>
  </si>
  <si>
    <t>INE215D01010</t>
  </si>
  <si>
    <t>MAHESHWARI</t>
  </si>
  <si>
    <t>Maheshwari Logistics Limited</t>
  </si>
  <si>
    <t>INE263W01010</t>
  </si>
  <si>
    <t>MAHLIFE</t>
  </si>
  <si>
    <t>Mahindra Lifespace Developers Limited</t>
  </si>
  <si>
    <t>INE813A01018</t>
  </si>
  <si>
    <t>MAHLOG</t>
  </si>
  <si>
    <t>Mahindra Logistics Limited</t>
  </si>
  <si>
    <t>INE766P01016</t>
  </si>
  <si>
    <t>MAHSCOOTER</t>
  </si>
  <si>
    <t>Maharashtra Scooters Limited</t>
  </si>
  <si>
    <t>INE288A01013</t>
  </si>
  <si>
    <t>MAHSEAMLES</t>
  </si>
  <si>
    <t>Maharashtra Seamless Limited</t>
  </si>
  <si>
    <t>INE271B01025</t>
  </si>
  <si>
    <t>MAITHANALL</t>
  </si>
  <si>
    <t>Maithan Alloys Limited</t>
  </si>
  <si>
    <t>INE683C01011</t>
  </si>
  <si>
    <t>MALLCOM</t>
  </si>
  <si>
    <t>Mallcom (India) Limited</t>
  </si>
  <si>
    <t>INE389C01015</t>
  </si>
  <si>
    <t>MALUPAPER</t>
  </si>
  <si>
    <t>Malu Paper Mills Limited</t>
  </si>
  <si>
    <t>INE383H01017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</si>
  <si>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</si>
  <si>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</si>
  <si>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</si>
  <si>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</si>
  <si>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</si>
  <si>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</si>
  <si>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MANAKSIA</t>
  </si>
  <si>
    <t>Manaksia Limited</t>
  </si>
  <si>
    <t>INE015D01022</t>
  </si>
  <si>
    <t>MANAKSTEEL</t>
  </si>
  <si>
    <t>Manaksia Steels Limited</t>
  </si>
  <si>
    <t>INE824Q01011</t>
  </si>
  <si>
    <t>MANALIPETC</t>
  </si>
  <si>
    <t>Manali Petrochemicals Limited</t>
  </si>
  <si>
    <t>INE201A01024</t>
  </si>
  <si>
    <t>MANAPPURAM</t>
  </si>
  <si>
    <t>Manappuram Finance Limited</t>
  </si>
  <si>
    <t>INE522D01027</t>
  </si>
  <si>
    <t>MANGALAM</t>
  </si>
  <si>
    <t>Mangalam Drugs And Organics Limited</t>
  </si>
  <si>
    <t>INE584F01014</t>
  </si>
  <si>
    <t>MANGCHEFER</t>
  </si>
  <si>
    <t>Mangalore Chemicals &amp; Fertilizers Limited</t>
  </si>
  <si>
    <t>INE558B01017</t>
  </si>
  <si>
    <t>MANGLMCEM</t>
  </si>
  <si>
    <t>Mangalam Cement Limited</t>
  </si>
  <si>
    <t>INE347A01017</t>
  </si>
  <si>
    <t>MANINDS</t>
  </si>
  <si>
    <t>Man Industries (India) Limited</t>
  </si>
  <si>
    <t>INE993A01026</t>
  </si>
  <si>
    <t>MANINFRA</t>
  </si>
  <si>
    <t>Man Infraconstruction Limited</t>
  </si>
  <si>
    <t>INE949H01023</t>
  </si>
  <si>
    <t>MANKIND</t>
  </si>
  <si>
    <t>Mankind Pharma Limited</t>
  </si>
  <si>
    <t>INE634S01028</t>
  </si>
  <si>
    <t>MANOMAY</t>
  </si>
  <si>
    <t>Manomay Tex India Limited</t>
  </si>
  <si>
    <t>INE784W01015</t>
  </si>
  <si>
    <t>MANORAMA</t>
  </si>
  <si>
    <t>Manorama Industries Limited</t>
  </si>
  <si>
    <t>INE00VM01010</t>
  </si>
  <si>
    <t>MANORG</t>
  </si>
  <si>
    <t>Mangalam Organics Limited</t>
  </si>
  <si>
    <t>INE370D01013</t>
  </si>
  <si>
    <t>MANUGRAPH</t>
  </si>
  <si>
    <t>Manugraph India Limited</t>
  </si>
  <si>
    <t>INE867A01022</t>
  </si>
  <si>
    <t>MANYAVAR</t>
  </si>
  <si>
    <t>Vedant Fashions Limited</t>
  </si>
  <si>
    <t>INE825V01034</t>
  </si>
  <si>
    <t>MAPMYINDIA</t>
  </si>
  <si>
    <t>C.E. Info Systems Limited</t>
  </si>
  <si>
    <t>INE0BV301023</t>
  </si>
  <si>
    <t>MARALOVER</t>
  </si>
  <si>
    <t>Maral Overseas Limited</t>
  </si>
  <si>
    <t>INE882A01013</t>
  </si>
  <si>
    <t>MARATHON</t>
  </si>
  <si>
    <t>Marathon Nextgen Realty Limited</t>
  </si>
  <si>
    <t>INE182D01020</t>
  </si>
  <si>
    <t>MARICO</t>
  </si>
  <si>
    <t>Marico Limited</t>
  </si>
  <si>
    <t>INE196A01026</t>
  </si>
  <si>
    <t>MARINE</t>
  </si>
  <si>
    <t>Marine Electricals (India) Limited</t>
  </si>
  <si>
    <t>INE01JE01028</t>
  </si>
  <si>
    <t>MARKSANS</t>
  </si>
  <si>
    <t>Marksans Pharma Limited</t>
  </si>
  <si>
    <t>INE750C01026</t>
  </si>
  <si>
    <t>MARSHALL</t>
  </si>
  <si>
    <t>Marshall Machines Limited</t>
  </si>
  <si>
    <t>INE00SZ01018</t>
  </si>
  <si>
    <t>MARUTI</t>
  </si>
  <si>
    <t>Maruti Suzuki India Limited</t>
  </si>
  <si>
    <t>INE585B01010</t>
  </si>
  <si>
    <t>MASFIN</t>
  </si>
  <si>
    <t>MAS Financial Services Limited</t>
  </si>
  <si>
    <t>INE348L01012</t>
  </si>
  <si>
    <t>MASKINVEST</t>
  </si>
  <si>
    <t>Mask Investments Limited</t>
  </si>
  <si>
    <t>INE885F01015</t>
  </si>
  <si>
    <t>MASTEK</t>
  </si>
  <si>
    <t>Mastek Limited</t>
  </si>
  <si>
    <t>INE759A01021</t>
  </si>
  <si>
    <t>MATRIMONY</t>
  </si>
  <si>
    <t>Matrimony.Com Limited</t>
  </si>
  <si>
    <t>INE866R01028</t>
  </si>
  <si>
    <t>MAWANASUG</t>
  </si>
  <si>
    <t>Mawana Sugars Limited</t>
  </si>
  <si>
    <t>INE636A01039</t>
  </si>
  <si>
    <t>MAXESTATES</t>
  </si>
  <si>
    <t>Max Estates Limited</t>
  </si>
  <si>
    <t>INE03EI01018</t>
  </si>
  <si>
    <t>MAXHEALTH</t>
  </si>
  <si>
    <t>Max Healthcare Institute Limited</t>
  </si>
  <si>
    <t>INE027H01010</t>
  </si>
  <si>
    <t>MAXIND</t>
  </si>
  <si>
    <t>Max India Limited</t>
  </si>
  <si>
    <t>INE0CG601016</t>
  </si>
  <si>
    <t>MAYURUNIQ</t>
  </si>
  <si>
    <t>Mayur Uniquoters Ltd</t>
  </si>
  <si>
    <t>INE040D01038</t>
  </si>
  <si>
    <t>MAZDA</t>
  </si>
  <si>
    <t>Mazda Limited</t>
  </si>
  <si>
    <t>INE885E01034</t>
  </si>
  <si>
    <t>MAZDOCK</t>
  </si>
  <si>
    <t>Mazagon Dock Shipbuilders Limited</t>
  </si>
  <si>
    <t>INE249Z01012</t>
  </si>
  <si>
    <t>MBAPL</t>
  </si>
  <si>
    <t>Madhya Bharat Agro Products Limited</t>
  </si>
  <si>
    <t>INE900L01010</t>
  </si>
  <si>
    <t>MBLINFRA</t>
  </si>
  <si>
    <t>MBL Infrastructure Limited</t>
  </si>
  <si>
    <t>INE912H01013</t>
  </si>
  <si>
    <t>MCDOWELL-N</t>
  </si>
  <si>
    <t>United Spirits Limited</t>
  </si>
  <si>
    <t>INE854D01024</t>
  </si>
  <si>
    <t>MCL</t>
  </si>
  <si>
    <t>Madhav Copper Limited</t>
  </si>
  <si>
    <t>INE813V01022</t>
  </si>
  <si>
    <t>MCLEODRUSS</t>
  </si>
  <si>
    <t>Mcleod Russel India Limited</t>
  </si>
  <si>
    <t>INE942G01012</t>
  </si>
  <si>
    <t>MCX</t>
  </si>
  <si>
    <t>Multi Commodity Exchange of India Limited</t>
  </si>
  <si>
    <t>INE745G01035</t>
  </si>
  <si>
    <t>MEDANTA</t>
  </si>
  <si>
    <t>Global Health Limited</t>
  </si>
  <si>
    <t>INE474Q01031</t>
  </si>
  <si>
    <t>MEDICAMEQ</t>
  </si>
  <si>
    <t>Medicamen Biotech Limited</t>
  </si>
  <si>
    <t>INE646B01010</t>
  </si>
  <si>
    <t>MEDICO</t>
  </si>
  <si>
    <t>Medico Remedies Limited</t>
  </si>
  <si>
    <t>INE630Y01024</t>
  </si>
  <si>
    <t>MEDPLUS</t>
  </si>
  <si>
    <t>Medplus Health Services Limited</t>
  </si>
  <si>
    <t>INE804L01022</t>
  </si>
  <si>
    <t>MEGASOFT</t>
  </si>
  <si>
    <t>Megasoft Limited</t>
  </si>
  <si>
    <t>INE933B01012</t>
  </si>
  <si>
    <t>MEGASTAR</t>
  </si>
  <si>
    <t>Megastar Foods Limited</t>
  </si>
  <si>
    <t>INE00EM01016</t>
  </si>
  <si>
    <t>MELSTAR</t>
  </si>
  <si>
    <t>Melstar Information Technologies Limited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</si>
  <si>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</si>
  <si>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</si>
  <si>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</si>
  <si>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</si>
  <si>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</si>
  <si>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</si>
  <si>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</si>
  <si>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METALFORGE</t>
  </si>
  <si>
    <t>Metalyst Forgings Limited</t>
  </si>
  <si>
    <t>INE425A01011</t>
  </si>
  <si>
    <t>METROBRAND</t>
  </si>
  <si>
    <t>Metro Brands Limited</t>
  </si>
  <si>
    <t>INE317I01021</t>
  </si>
  <si>
    <t>METROPOLIS</t>
  </si>
  <si>
    <t>Metropolis Healthcare Limited</t>
  </si>
  <si>
    <t>INE112L01020</t>
  </si>
  <si>
    <t>MFSL</t>
  </si>
  <si>
    <t>Max Financial Services Limited</t>
  </si>
  <si>
    <t>INE180A01020</t>
  </si>
  <si>
    <t>MGEL</t>
  </si>
  <si>
    <t>Mangalam Global Enterprise Limited</t>
  </si>
  <si>
    <t>INE0APB01024</t>
  </si>
  <si>
    <t>MGL</t>
  </si>
  <si>
    <t>Mahanagar Gas Limited</t>
  </si>
  <si>
    <t>INE002S01010</t>
  </si>
  <si>
    <t>MHLXMIRU</t>
  </si>
  <si>
    <t>Mahalaxmi Rubtech Limited</t>
  </si>
  <si>
    <t>INE112D01035</t>
  </si>
  <si>
    <t>MHRIL</t>
  </si>
  <si>
    <t>Mahindra Holidays &amp; Resorts India Limited</t>
  </si>
  <si>
    <t>INE998I01010</t>
  </si>
  <si>
    <t>MICEL</t>
  </si>
  <si>
    <t>MIC Electronics Limited</t>
  </si>
  <si>
    <t>INE287C01037</t>
  </si>
  <si>
    <t>MIDHANI</t>
  </si>
  <si>
    <t>Mishra Dhatu Nigam Limited</t>
  </si>
  <si>
    <t>INE099Z01011</t>
  </si>
  <si>
    <t>MINDACORP</t>
  </si>
  <si>
    <t>Minda Corporation Limited</t>
  </si>
  <si>
    <t>INE842C01021</t>
  </si>
  <si>
    <t>MINDTECK</t>
  </si>
  <si>
    <t>Mindteck (India) Limited</t>
  </si>
  <si>
    <t>INE110B01017</t>
  </si>
  <si>
    <t>MIRCELECTR</t>
  </si>
  <si>
    <t>MIRC Electronics Limited</t>
  </si>
  <si>
    <t>INE831A01028</t>
  </si>
  <si>
    <t>MIRZAINT</t>
  </si>
  <si>
    <t>Mirza International Limited</t>
  </si>
  <si>
    <t>INE771A01026</t>
  </si>
  <si>
    <t>MITCON</t>
  </si>
  <si>
    <t>MITCON Consultancy &amp; Engineering Services Limited</t>
  </si>
  <si>
    <t>INE828O01033</t>
  </si>
  <si>
    <t>MITTAL</t>
  </si>
  <si>
    <t>Mittal Life Style Limited</t>
  </si>
  <si>
    <t>INE997Y01027</t>
  </si>
  <si>
    <t>MKPL</t>
  </si>
  <si>
    <t>M K Proteins Limited</t>
  </si>
  <si>
    <t>INE964W01021</t>
  </si>
  <si>
    <t>MMFL</t>
  </si>
  <si>
    <t>MM Forgings Limited</t>
  </si>
  <si>
    <t>INE227C01017</t>
  </si>
  <si>
    <t>MMP</t>
  </si>
  <si>
    <t>MMP Industries Limited</t>
  </si>
  <si>
    <t>INE511Y01018</t>
  </si>
  <si>
    <t>MMTC</t>
  </si>
  <si>
    <t>MMTC Limited</t>
  </si>
  <si>
    <t>INE123F01029</t>
  </si>
  <si>
    <t>MODIRUBBER</t>
  </si>
  <si>
    <t>Modi Rubber Limited</t>
  </si>
  <si>
    <t>INE832A01018</t>
  </si>
  <si>
    <t>MODISONLTD</t>
  </si>
  <si>
    <t>MODISON LIMITED</t>
  </si>
  <si>
    <t>INE737D01021</t>
  </si>
  <si>
    <t>MOHITIND</t>
  </si>
  <si>
    <t>Mohit Industries Limited</t>
  </si>
  <si>
    <t>INE954E01012</t>
  </si>
  <si>
    <t>MOIL</t>
  </si>
  <si>
    <t>MOIL Limited</t>
  </si>
  <si>
    <t>INE490G01020</t>
  </si>
  <si>
    <t>MOKSH</t>
  </si>
  <si>
    <t>Moksh Ornaments Limited</t>
  </si>
  <si>
    <t>INE514Y01020</t>
  </si>
  <si>
    <t>MOL</t>
  </si>
  <si>
    <t>Meghmani Organics Limited</t>
  </si>
  <si>
    <t>INE0CT101020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</si>
  <si>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</si>
  <si>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</si>
  <si>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</si>
  <si>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</si>
  <si>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</si>
  <si>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</si>
  <si>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MONARCH</t>
  </si>
  <si>
    <t>Monarch Networth Capital Limited</t>
  </si>
  <si>
    <t>INE903D01011</t>
  </si>
  <si>
    <t>MONTECARLO</t>
  </si>
  <si>
    <t>Monte Carlo Fashions Limited</t>
  </si>
  <si>
    <t>INE950M01013</t>
  </si>
  <si>
    <t>MORARJEE</t>
  </si>
  <si>
    <t>Morarjee Textiles Limited</t>
  </si>
  <si>
    <t>INE161G01027</t>
  </si>
  <si>
    <t>MOREPENLAB</t>
  </si>
  <si>
    <t>Morepen Laboratories Limited</t>
  </si>
  <si>
    <t>INE083A01026</t>
  </si>
  <si>
    <t>MOTHERSON</t>
  </si>
  <si>
    <t>Samvardhana Motherson International Limited</t>
  </si>
  <si>
    <t>INE775A01035</t>
  </si>
  <si>
    <t>MOTILALOFS</t>
  </si>
  <si>
    <t>Motilal Oswal Financial Services Limited</t>
  </si>
  <si>
    <t>INE338I01027</t>
  </si>
  <si>
    <t>MOTOGENFIN</t>
  </si>
  <si>
    <t>The Motor &amp; General Finance Limited</t>
  </si>
  <si>
    <t>INE861B01023</t>
  </si>
  <si>
    <t>MPHASIS</t>
  </si>
  <si>
    <t>MphasiS Limited</t>
  </si>
  <si>
    <t>INE356A01018</t>
  </si>
  <si>
    <t>MPSLTD</t>
  </si>
  <si>
    <t>MPS Limited</t>
  </si>
  <si>
    <t>INE943D01017</t>
  </si>
  <si>
    <t>MRF</t>
  </si>
  <si>
    <t>MRF Limited</t>
  </si>
  <si>
    <t>INE883A01011</t>
  </si>
  <si>
    <t>MRO-TEK</t>
  </si>
  <si>
    <t>MRO-TEK Realty Limited</t>
  </si>
  <si>
    <t>INE398B01018</t>
  </si>
  <si>
    <t>MRPL</t>
  </si>
  <si>
    <t>Mangalore Refinery and Petrochemicals Limited</t>
  </si>
  <si>
    <t>INE103A01014</t>
  </si>
  <si>
    <t>MSPL</t>
  </si>
  <si>
    <t>MSP Steel &amp; Power Limited</t>
  </si>
  <si>
    <t>INE752G01015</t>
  </si>
  <si>
    <t>MSTCLTD</t>
  </si>
  <si>
    <t>Mstc Limited</t>
  </si>
  <si>
    <t>INE255X01014</t>
  </si>
  <si>
    <t>MSUMI</t>
  </si>
  <si>
    <t>Motherson Sumi Wiring India Limited</t>
  </si>
  <si>
    <t>INE0FS801015</t>
  </si>
  <si>
    <t>MTARTECH</t>
  </si>
  <si>
    <t>Mtar Technologies Limited</t>
  </si>
  <si>
    <t>INE864I01014</t>
  </si>
  <si>
    <t>MTEDUCARE</t>
  </si>
  <si>
    <t>MT Educare Limited</t>
  </si>
  <si>
    <t>INE472M01018</t>
  </si>
  <si>
    <t>MTNL</t>
  </si>
  <si>
    <t>Mahanagar Telephone Nigam Limited</t>
  </si>
  <si>
    <t>INE153A01019</t>
  </si>
  <si>
    <t>MUFIN</t>
  </si>
  <si>
    <t>Mufin Green Finance Limited</t>
  </si>
  <si>
    <t>INE08KJ01020</t>
  </si>
  <si>
    <t>MUKANDLTD</t>
  </si>
  <si>
    <t>Mukand Limited</t>
  </si>
  <si>
    <t>INE304A01026</t>
  </si>
  <si>
    <t>MUKTAARTS</t>
  </si>
  <si>
    <t>Mukta Arts Limited</t>
  </si>
  <si>
    <t>INE374B01019</t>
  </si>
  <si>
    <t>MUNJALAU</t>
  </si>
  <si>
    <t>Munjal Auto Industries Limited</t>
  </si>
  <si>
    <t>INE672B01032</t>
  </si>
  <si>
    <t>MUNJALSHOW</t>
  </si>
  <si>
    <t>Munjal Showa Limited</t>
  </si>
  <si>
    <t>INE577A01027</t>
  </si>
  <si>
    <t>MURUDCERA</t>
  </si>
  <si>
    <t>Murudeshwar Ceramics Limited</t>
  </si>
  <si>
    <t>INE692B01014</t>
  </si>
  <si>
    <t>MUTHOOTCAP</t>
  </si>
  <si>
    <t>Muthoot Capital Services Limited</t>
  </si>
  <si>
    <t>INE296G01013</t>
  </si>
  <si>
    <t>MUTHOOTFIN</t>
  </si>
  <si>
    <t>Muthoot Finance Limited</t>
  </si>
  <si>
    <t>INE414G01012</t>
  </si>
  <si>
    <t>MVGJL</t>
  </si>
  <si>
    <t>Manoj Vaibhav Gems N Jewellers Limited</t>
  </si>
  <si>
    <t>INE0KNT01012</t>
  </si>
  <si>
    <t>NACLIND</t>
  </si>
  <si>
    <t>NACL Industries Limited</t>
  </si>
  <si>
    <t>INE295D01020</t>
  </si>
  <si>
    <t>NAGAFERT</t>
  </si>
  <si>
    <t>Nagarjuna Fertilizers and Chemicals Limited</t>
  </si>
  <si>
    <t>INE454M01024</t>
  </si>
  <si>
    <t>NAGREEKCAP</t>
  </si>
  <si>
    <t>Nagreeka Capital &amp; Infrastructure Limited</t>
  </si>
  <si>
    <t>INE245I01016</t>
  </si>
  <si>
    <t>NAGREEKEXP</t>
  </si>
  <si>
    <t>Nagreeka Exports Limited</t>
  </si>
  <si>
    <t>INE123B01028</t>
  </si>
  <si>
    <t>NAHARCAP</t>
  </si>
  <si>
    <t>Nahar Capital and Financial Services Limited</t>
  </si>
  <si>
    <t>INE049I01012</t>
  </si>
  <si>
    <t>NAHARINDUS</t>
  </si>
  <si>
    <t>Nahar Industrial Enterprises Limited</t>
  </si>
  <si>
    <t>INE289A01011</t>
  </si>
  <si>
    <t>NAHARPOLY</t>
  </si>
  <si>
    <t>Nahar Poly Films Limited</t>
  </si>
  <si>
    <t>INE308A01027</t>
  </si>
  <si>
    <t>NAHARSPING</t>
  </si>
  <si>
    <t>Nahar Spinning Mills Limited</t>
  </si>
  <si>
    <t>INE290A01027</t>
  </si>
  <si>
    <t>NAM-INDIA</t>
  </si>
  <si>
    <t>Nippon Life India Asset Management Limited</t>
  </si>
  <si>
    <t>INE298J01013</t>
  </si>
  <si>
    <t>NARMADA</t>
  </si>
  <si>
    <t>Narmada Agrobase Limited</t>
  </si>
  <si>
    <t>INE117Z01011</t>
  </si>
  <si>
    <t>NATCOPHARM</t>
  </si>
  <si>
    <t>Natco Pharma Limited</t>
  </si>
  <si>
    <t>INE987B01026</t>
  </si>
  <si>
    <t>NATHBIOGEN</t>
  </si>
  <si>
    <t>Nath Bio-Genes (India) Limited</t>
  </si>
  <si>
    <t>INE448G01010</t>
  </si>
  <si>
    <t>NATIONALUM</t>
  </si>
  <si>
    <t>National Aluminium Company Limited</t>
  </si>
  <si>
    <t>INE139A01034</t>
  </si>
  <si>
    <t>NAUKRI</t>
  </si>
  <si>
    <t>Info Edge (India) Limited</t>
  </si>
  <si>
    <t>INE663F01024</t>
  </si>
  <si>
    <t>NAVA</t>
  </si>
  <si>
    <t>NAVA LIMITED</t>
  </si>
  <si>
    <t>INE725A01022</t>
  </si>
  <si>
    <t>NAVINFLUOR</t>
  </si>
  <si>
    <t>Navin Fluorine International Limited</t>
  </si>
  <si>
    <t>INE048G01026</t>
  </si>
  <si>
    <t>NAVKARCORP</t>
  </si>
  <si>
    <t>Navkar Corporation Limited</t>
  </si>
  <si>
    <t>INE278M01019</t>
  </si>
  <si>
    <t>NAVNETEDUL</t>
  </si>
  <si>
    <t>Navneet Education Limited</t>
  </si>
  <si>
    <t>INE060A01024</t>
  </si>
  <si>
    <t>NAZARA</t>
  </si>
  <si>
    <t>Nazara Technologies Limited</t>
  </si>
  <si>
    <t>INE418L01021</t>
  </si>
  <si>
    <t>NBCC</t>
  </si>
  <si>
    <t>NBCC (India) Limited</t>
  </si>
  <si>
    <t>INE095N01031</t>
  </si>
  <si>
    <t>NBIFIN</t>
  </si>
  <si>
    <t>N. B. I. Industrial Finance Company Limited</t>
  </si>
  <si>
    <t>INE365I01020</t>
  </si>
  <si>
    <t>NCC</t>
  </si>
  <si>
    <t>NCC Limited</t>
  </si>
  <si>
    <t>INE868B01028</t>
  </si>
  <si>
    <t>NCLIND</t>
  </si>
  <si>
    <t>NCL Industries Limited</t>
  </si>
  <si>
    <t>INE732C01016</t>
  </si>
  <si>
    <t>NDGL</t>
  </si>
  <si>
    <t>Naga Dhunseri Group Limited</t>
  </si>
  <si>
    <t>INE756C01015</t>
  </si>
  <si>
    <t>NDL</t>
  </si>
  <si>
    <t>Nandan Denim Limited</t>
  </si>
  <si>
    <t>INE875G01030</t>
  </si>
  <si>
    <t>NDLVENTURE</t>
  </si>
  <si>
    <t>NDL Ventures Limited</t>
  </si>
  <si>
    <t>INE353A01023</t>
  </si>
  <si>
    <t>NDRAUTO</t>
  </si>
  <si>
    <t>Ndr Auto Components Limited</t>
  </si>
  <si>
    <t>INE07OG01012</t>
  </si>
  <si>
    <t>NDTV</t>
  </si>
  <si>
    <t>New Delhi Television Limited</t>
  </si>
  <si>
    <t>INE155G01029</t>
  </si>
  <si>
    <t>NECCLTD</t>
  </si>
  <si>
    <t>North Eastern Carrying Corporation Limited</t>
  </si>
  <si>
    <t>INE553C01016</t>
  </si>
  <si>
    <t>NECLIFE</t>
  </si>
  <si>
    <t>Nectar Lifesciences Limited</t>
  </si>
  <si>
    <t>INE023H01027</t>
  </si>
  <si>
    <t>NELCAST</t>
  </si>
  <si>
    <t>Nelcast Limited</t>
  </si>
  <si>
    <t>INE189I01024</t>
  </si>
  <si>
    <t>NELCO</t>
  </si>
  <si>
    <t>NELCO Limited</t>
  </si>
  <si>
    <t>INE045B01015</t>
  </si>
  <si>
    <t>NEOGEN</t>
  </si>
  <si>
    <t>Neogen Chemicals Limited</t>
  </si>
  <si>
    <t>INE136S01016</t>
  </si>
  <si>
    <t>NESCO</t>
  </si>
  <si>
    <t>Nesco Limited</t>
  </si>
  <si>
    <t>INE317F01035</t>
  </si>
  <si>
    <t>NESTLEIND</t>
  </si>
  <si>
    <t>Nestle India Limited</t>
  </si>
  <si>
    <t>INE239A01016</t>
  </si>
  <si>
    <t>NETWEB</t>
  </si>
  <si>
    <t>Netweb Technologies India Limited</t>
  </si>
  <si>
    <t>INE0NT901020</t>
  </si>
  <si>
    <t>NETWORK18</t>
  </si>
  <si>
    <t>Network18 Media &amp; Investments Limited</t>
  </si>
  <si>
    <t>INE870H01013</t>
  </si>
  <si>
    <t>NEULANDLAB</t>
  </si>
  <si>
    <t>Neuland Laboratories Limited</t>
  </si>
  <si>
    <t>INE794A01010</t>
  </si>
  <si>
    <t>NEWGEN</t>
  </si>
  <si>
    <t>Newgen Software Technologies Limited</t>
  </si>
  <si>
    <t>INE619B01017</t>
  </si>
  <si>
    <t>NEXTMEDIA</t>
  </si>
  <si>
    <t>Next Mediaworks Limited</t>
  </si>
  <si>
    <t>INE747B01016</t>
  </si>
  <si>
    <t>NFL</t>
  </si>
  <si>
    <t>National Fertilizers Limited</t>
  </si>
  <si>
    <t>INE870D01012</t>
  </si>
  <si>
    <t>NGIL</t>
  </si>
  <si>
    <t>Nakoda Group of Industries Limited</t>
  </si>
  <si>
    <t>INE236Y01012</t>
  </si>
  <si>
    <t>NGLFINE</t>
  </si>
  <si>
    <t>NGL Fine-Chem Limited</t>
  </si>
  <si>
    <t>INE887E01022</t>
  </si>
  <si>
    <t>NH</t>
  </si>
  <si>
    <t>Narayana Hrudayalaya Ltd.</t>
  </si>
  <si>
    <t>INE410P01011</t>
  </si>
  <si>
    <t>NHPC</t>
  </si>
  <si>
    <t>NHPC Limited</t>
  </si>
  <si>
    <t>INE848E01016</t>
  </si>
  <si>
    <t>NIACL</t>
  </si>
  <si>
    <t>The New India Assurance Company Limited</t>
  </si>
  <si>
    <t>INE470Y01017</t>
  </si>
  <si>
    <t>NIBL</t>
  </si>
  <si>
    <t>NRB Industrial Bearings Limited</t>
  </si>
  <si>
    <t>INE047O01014</t>
  </si>
  <si>
    <t>NIITLTD</t>
  </si>
  <si>
    <t>NIIT Limited</t>
  </si>
  <si>
    <t>INE161A01038</t>
  </si>
  <si>
    <t>NIITMTS</t>
  </si>
  <si>
    <t>NIIT Learning Systems Limited</t>
  </si>
  <si>
    <t>INE342G01023</t>
  </si>
  <si>
    <t>NILAINFRA</t>
  </si>
  <si>
    <t>Nila Infrastructures Limited</t>
  </si>
  <si>
    <t>INE937C01029</t>
  </si>
  <si>
    <t>NILASPACES</t>
  </si>
  <si>
    <t>Nila Spaces Limited</t>
  </si>
  <si>
    <t>INE00S901012</t>
  </si>
  <si>
    <t>NILKAMAL</t>
  </si>
  <si>
    <t>Nilkamal Limited</t>
  </si>
  <si>
    <t>INE310A01015</t>
  </si>
  <si>
    <t>NINSYS</t>
  </si>
  <si>
    <t>NINtec Systems Limited</t>
  </si>
  <si>
    <t>INE395U01014</t>
  </si>
  <si>
    <t>NIPPOBATRY</t>
  </si>
  <si>
    <t>Indo-National Limited</t>
  </si>
  <si>
    <t>INE567A01028</t>
  </si>
  <si>
    <t>NIRAJ</t>
  </si>
  <si>
    <t>Niraj Cement Structurals Limited</t>
  </si>
  <si>
    <t>INE368I01016</t>
  </si>
  <si>
    <t>NIRAJISPAT</t>
  </si>
  <si>
    <t>Niraj Ispat Industries Limited</t>
  </si>
  <si>
    <t>INE326T01011</t>
  </si>
  <si>
    <t>NITCO</t>
  </si>
  <si>
    <t>Nitco Limited</t>
  </si>
  <si>
    <t>INE858F01012</t>
  </si>
  <si>
    <t>NITINSPIN</t>
  </si>
  <si>
    <t>Nitin Spinners Limited</t>
  </si>
  <si>
    <t>INE229H01012</t>
  </si>
  <si>
    <t>NITIRAJ</t>
  </si>
  <si>
    <t>Nitiraj Engineers Limited</t>
  </si>
  <si>
    <t>INE439T01012</t>
  </si>
  <si>
    <t>NKIND</t>
  </si>
  <si>
    <t>NK Industries Limited</t>
  </si>
  <si>
    <t>INE542C01019</t>
  </si>
  <si>
    <t>NLCINDIA</t>
  </si>
  <si>
    <t>NLC India Limited</t>
  </si>
  <si>
    <t>INE589A01014</t>
  </si>
  <si>
    <t>NMDC</t>
  </si>
  <si>
    <t>NMDC Limited</t>
  </si>
  <si>
    <t>INE584A01023</t>
  </si>
  <si>
    <t>NOCIL</t>
  </si>
  <si>
    <t>NOCIL Limited</t>
  </si>
  <si>
    <t>INE163A01018</t>
  </si>
  <si>
    <t>NOIDATOLL</t>
  </si>
  <si>
    <t>Noida Toll Bridge Company Limited</t>
  </si>
  <si>
    <t>INE781B01015</t>
  </si>
  <si>
    <t>NORBTEAEXP</t>
  </si>
  <si>
    <t>Norben Tea &amp; Exports Limited</t>
  </si>
  <si>
    <t>INE369C01017</t>
  </si>
  <si>
    <t>NRAIL</t>
  </si>
  <si>
    <t>N R Agarwal Industries Limited</t>
  </si>
  <si>
    <t>INE740D01017</t>
  </si>
  <si>
    <t>NRBBEARING</t>
  </si>
  <si>
    <t>NRB Bearing Limited</t>
  </si>
  <si>
    <t>INE349A01021</t>
  </si>
  <si>
    <t>NRL</t>
  </si>
  <si>
    <t>Nupur Recyclers Limited</t>
  </si>
  <si>
    <t>INE0JM501013</t>
  </si>
  <si>
    <t>NSIL</t>
  </si>
  <si>
    <t>Nalwa Sons Investments Limited</t>
  </si>
  <si>
    <t>INE023A01030</t>
  </si>
  <si>
    <t>NSLNISP</t>
  </si>
  <si>
    <t>NMDC Steel Limited</t>
  </si>
  <si>
    <t>INE0NNS01018</t>
  </si>
  <si>
    <t>NTPC</t>
  </si>
  <si>
    <t>NTPC Limited</t>
  </si>
  <si>
    <t>INE733E01010</t>
  </si>
  <si>
    <t>NUCLEUS</t>
  </si>
  <si>
    <t>Nucleus Software Exports Limited</t>
  </si>
  <si>
    <t>INE096B01018</t>
  </si>
  <si>
    <t>NURECA</t>
  </si>
  <si>
    <t>Nureca Limited</t>
  </si>
  <si>
    <t>INE0DSF01015</t>
  </si>
  <si>
    <t>NUVAMA</t>
  </si>
  <si>
    <t>Nuvama Wealth Management Limited</t>
  </si>
  <si>
    <t>INE531F01015</t>
  </si>
  <si>
    <t>NUVOCO</t>
  </si>
  <si>
    <t>Nuvoco Vistas Corporation Limited</t>
  </si>
  <si>
    <t>INE118D01016</t>
  </si>
  <si>
    <t>NYKAA</t>
  </si>
  <si>
    <t>FSN E-Commerce Ventures Limited</t>
  </si>
  <si>
    <t>INE388Y01029</t>
  </si>
  <si>
    <t>OAL</t>
  </si>
  <si>
    <t>Oriental Aromatics Limited</t>
  </si>
  <si>
    <t>INE959C01023</t>
  </si>
  <si>
    <t>OBCL</t>
  </si>
  <si>
    <t>Orissa Bengal Carrier Limited</t>
  </si>
  <si>
    <t>INE426Z01016</t>
  </si>
  <si>
    <t>OBEROIRLTY</t>
  </si>
  <si>
    <t>Oberoi Realty Limited</t>
  </si>
  <si>
    <t>INE093I01010</t>
  </si>
  <si>
    <t>OCCL</t>
  </si>
  <si>
    <t>Oriental Carbon &amp; Chemicals Limited</t>
  </si>
  <si>
    <t>INE321D01016</t>
  </si>
  <si>
    <t>OFSS</t>
  </si>
  <si>
    <t>Oracle Financial Services Software Limited</t>
  </si>
  <si>
    <t>INE881D01027</t>
  </si>
  <si>
    <t>OIL</t>
  </si>
  <si>
    <t>Oil India Limited</t>
  </si>
  <si>
    <t>INE274J01014</t>
  </si>
  <si>
    <t>OILCOUNTUB</t>
  </si>
  <si>
    <t>Oil Country Tubular Limited</t>
  </si>
  <si>
    <t>INE591A01010</t>
  </si>
  <si>
    <t>OLECTRA</t>
  </si>
  <si>
    <t>Olectra Greentech Limited</t>
  </si>
  <si>
    <t>INE260D01016</t>
  </si>
  <si>
    <t>OMAXAUTO</t>
  </si>
  <si>
    <t>Omax Autos Limited</t>
  </si>
  <si>
    <t>INE090B01011</t>
  </si>
  <si>
    <t>OMAXE</t>
  </si>
  <si>
    <t>Omaxe Limited</t>
  </si>
  <si>
    <t>INE800H01010</t>
  </si>
  <si>
    <t>OMINFRAL</t>
  </si>
  <si>
    <t>OM INFRA LIMITED</t>
  </si>
  <si>
    <t>INE239D01028</t>
  </si>
  <si>
    <t>OMKARCHEM</t>
  </si>
  <si>
    <t>Omkar Speciality Chemicals Limited</t>
  </si>
  <si>
    <t>INE474L01016</t>
  </si>
  <si>
    <t>ONELIFECAP</t>
  </si>
  <si>
    <t>Onelife Capital Advisors Limited</t>
  </si>
  <si>
    <t>INE912L01015</t>
  </si>
  <si>
    <t>ONEPOINT</t>
  </si>
  <si>
    <t>One Point One Solutions Limited</t>
  </si>
  <si>
    <t>INE840Y01029</t>
  </si>
  <si>
    <t>ONGC</t>
  </si>
  <si>
    <t>Oil &amp; Natural Gas Corporation Limited</t>
  </si>
  <si>
    <t>INE213A01029</t>
  </si>
  <si>
    <t>ONMOBILE</t>
  </si>
  <si>
    <t>OnMobile Global Limited</t>
  </si>
  <si>
    <t>INE809I01019</t>
  </si>
  <si>
    <t>ONWARDTEC</t>
  </si>
  <si>
    <t>Onward Technologies Limited</t>
  </si>
  <si>
    <t>INE229A01017</t>
  </si>
  <si>
    <t>OPTIEMUS</t>
  </si>
  <si>
    <t>Optiemus Infracom Limited</t>
  </si>
  <si>
    <t>INE350C01017</t>
  </si>
  <si>
    <t>ORBTEXP</t>
  </si>
  <si>
    <t>Orbit Exports Limited</t>
  </si>
  <si>
    <t>INE231G01010</t>
  </si>
  <si>
    <t>ORCHPHARMA</t>
  </si>
  <si>
    <t>Orchid Pharma Limited</t>
  </si>
  <si>
    <t>INE191A01027</t>
  </si>
  <si>
    <t>ORICONENT</t>
  </si>
  <si>
    <t>Oricon Enterprises Limited</t>
  </si>
  <si>
    <t>INE730A01022</t>
  </si>
  <si>
    <t>ORIENTALTL</t>
  </si>
  <si>
    <t>Oriental Trimex Limited</t>
  </si>
  <si>
    <t>INE998H01012</t>
  </si>
  <si>
    <t>ORIENTBELL</t>
  </si>
  <si>
    <t>Orient Bell Limited</t>
  </si>
  <si>
    <t>INE607D01018</t>
  </si>
  <si>
    <t>ORIENTCEM</t>
  </si>
  <si>
    <t>Orient Cement Limited</t>
  </si>
  <si>
    <t>INE876N01018</t>
  </si>
  <si>
    <t>ORIENTCER</t>
  </si>
  <si>
    <t>ORIENT CERATECH LIMITED</t>
  </si>
  <si>
    <t>INE569C01020</t>
  </si>
  <si>
    <t>ORIENTELEC</t>
  </si>
  <si>
    <t>Orient Electric Limited</t>
  </si>
  <si>
    <t>INE142Z01019</t>
  </si>
  <si>
    <t>ORIENTHOT</t>
  </si>
  <si>
    <t>Oriental Hotels Limited</t>
  </si>
  <si>
    <t>INE750A01020</t>
  </si>
  <si>
    <t>ORIENTLTD</t>
  </si>
  <si>
    <t>Orient Press Limited</t>
  </si>
  <si>
    <t>INE609C01024</t>
  </si>
  <si>
    <t>ORIENTPPR</t>
  </si>
  <si>
    <t>Orient Paper &amp; Industries Limited</t>
  </si>
  <si>
    <t>INE592A01026</t>
  </si>
  <si>
    <t>ORISSAMINE</t>
  </si>
  <si>
    <t>The Orissa Minerals Development Company Limited</t>
  </si>
  <si>
    <t>INE725E01024</t>
  </si>
  <si>
    <t>ORTEL</t>
  </si>
  <si>
    <t>Ortel Communications Limited</t>
  </si>
  <si>
    <t>INE849L01019</t>
  </si>
  <si>
    <t>ORTINLAB</t>
  </si>
  <si>
    <t>Ortin Laboratories Limited</t>
  </si>
  <si>
    <t>INE749B01020</t>
  </si>
  <si>
    <t>OSIAHYPER</t>
  </si>
  <si>
    <t>Osia Hyper Retail Limited</t>
  </si>
  <si>
    <t>INE06IR01021</t>
  </si>
  <si>
    <t>OSWALAGRO</t>
  </si>
  <si>
    <t>Oswal Agro Mills Limited</t>
  </si>
  <si>
    <t>INE142A01012</t>
  </si>
  <si>
    <t>OSWALGREEN</t>
  </si>
  <si>
    <t>Oswal Greentech Limited</t>
  </si>
  <si>
    <t>INE143A01010</t>
  </si>
  <si>
    <t>OSWALSEEDS</t>
  </si>
  <si>
    <t>ShreeOswal Seeds And Chemicals Limited</t>
  </si>
  <si>
    <t>INE00IK01029</t>
  </si>
  <si>
    <t>PAGEIND</t>
  </si>
  <si>
    <t>Page Industries Limited</t>
  </si>
  <si>
    <t>INE761H01022</t>
  </si>
  <si>
    <t>PAISALO</t>
  </si>
  <si>
    <t>Paisalo Digital Limited</t>
  </si>
  <si>
    <t>INE420C01059</t>
  </si>
  <si>
    <t>PAKKA</t>
  </si>
  <si>
    <t>PAKKA LIMITED</t>
  </si>
  <si>
    <t>INE551D01018</t>
  </si>
  <si>
    <t>PALASHSECU</t>
  </si>
  <si>
    <t>Palash Securities Limited</t>
  </si>
  <si>
    <t>INE471W01019</t>
  </si>
  <si>
    <t>PALREDTEC</t>
  </si>
  <si>
    <t>Palred Technologies Limited</t>
  </si>
  <si>
    <t>INE218G01033</t>
  </si>
  <si>
    <t>PANACEABIO</t>
  </si>
  <si>
    <t>Panacea Biotec Limited</t>
  </si>
  <si>
    <t>INE922B01023</t>
  </si>
  <si>
    <t>PANACHE</t>
  </si>
  <si>
    <t>Panache Digilife Limited</t>
  </si>
  <si>
    <t>INE895W01019</t>
  </si>
  <si>
    <t>PANAMAPET</t>
  </si>
  <si>
    <t>Panama Petrochem Limited</t>
  </si>
  <si>
    <t>INE305C01029</t>
  </si>
  <si>
    <t>PANSARI</t>
  </si>
  <si>
    <t>Pansari Developers Limited</t>
  </si>
  <si>
    <t>INE697V01011</t>
  </si>
  <si>
    <t>PAR</t>
  </si>
  <si>
    <t>Par Drugs And Chemicals Limited</t>
  </si>
  <si>
    <t>INE04LG01015</t>
  </si>
  <si>
    <t>PARACABLES</t>
  </si>
  <si>
    <t>Paramount Communications Limited</t>
  </si>
  <si>
    <t>INE074B01023</t>
  </si>
  <si>
    <t>PARADEEP</t>
  </si>
  <si>
    <t>Paradeep Phosphates Limited</t>
  </si>
  <si>
    <t>INE088F01024</t>
  </si>
  <si>
    <t>PARAGMILK</t>
  </si>
  <si>
    <t>Parag Milk Foods Limited</t>
  </si>
  <si>
    <t>INE883N01014</t>
  </si>
  <si>
    <t>PARAS</t>
  </si>
  <si>
    <t>Paras Defence and Space Technologies Limited</t>
  </si>
  <si>
    <t>INE045601015</t>
  </si>
  <si>
    <t>PARASPETRO</t>
  </si>
  <si>
    <t>Paras Petrofils Limited</t>
  </si>
  <si>
    <t>INE162C01024</t>
  </si>
  <si>
    <t>PARSVNATH</t>
  </si>
  <si>
    <t>Parsvnath Developers Limited</t>
  </si>
  <si>
    <t>INE561H01026</t>
  </si>
  <si>
    <t>PASUPTAC</t>
  </si>
  <si>
    <t>Pasupati Acrylon Limited</t>
  </si>
  <si>
    <t>INE818B01023</t>
  </si>
  <si>
    <t>PATANJALI</t>
  </si>
  <si>
    <t>Patanjali Foods Limited</t>
  </si>
  <si>
    <t>INE619A01035</t>
  </si>
  <si>
    <t>PATELENG</t>
  </si>
  <si>
    <t>Patel Engineering Limited</t>
  </si>
  <si>
    <t>INE244B01030</t>
  </si>
  <si>
    <t>PATINTLOG</t>
  </si>
  <si>
    <t>Patel Integrated Logistics Limited</t>
  </si>
  <si>
    <t>INE529D01014</t>
  </si>
  <si>
    <t>PAVNAIND</t>
  </si>
  <si>
    <t>Pavna Industries Limited</t>
  </si>
  <si>
    <t>INE07S101020</t>
  </si>
  <si>
    <t>PAYTM</t>
  </si>
  <si>
    <t>One 97 Communications Limited</t>
  </si>
  <si>
    <t>INE982J01020</t>
  </si>
  <si>
    <t>PCBL</t>
  </si>
  <si>
    <t>PCBL LIMITED</t>
  </si>
  <si>
    <t>INE602A01031</t>
  </si>
  <si>
    <t>PCJEWELLER</t>
  </si>
  <si>
    <t>PC Jeweller Limited</t>
  </si>
  <si>
    <t>INE785M01013</t>
  </si>
  <si>
    <t>PDMJEPAPER</t>
  </si>
  <si>
    <t>Pudumjee Paper Products Limited</t>
  </si>
  <si>
    <t>INE865T01018</t>
  </si>
  <si>
    <t>PDSL</t>
  </si>
  <si>
    <t>PDS Limited</t>
  </si>
  <si>
    <t>INE111Q01021</t>
  </si>
  <si>
    <t>PEARLPOLY</t>
  </si>
  <si>
    <t>Pearl Polymers Limited</t>
  </si>
  <si>
    <t>INE844A01013</t>
  </si>
  <si>
    <t>PEL</t>
  </si>
  <si>
    <t>Piramal Enterprises Limited</t>
  </si>
  <si>
    <t>INE140A01024</t>
  </si>
  <si>
    <t>PENIND</t>
  </si>
  <si>
    <t>Pennar Industries Limited</t>
  </si>
  <si>
    <t>INE932A01024</t>
  </si>
  <si>
    <t>PENINLAND</t>
  </si>
  <si>
    <t>Peninsula Land Limited</t>
  </si>
  <si>
    <t>INE138A01028</t>
  </si>
  <si>
    <t>PERSISTENT</t>
  </si>
  <si>
    <t>Persistent Systems Limited</t>
  </si>
  <si>
    <t>INE262H01013</t>
  </si>
  <si>
    <t>PETRONET</t>
  </si>
  <si>
    <t>Petronet LNG Limited</t>
  </si>
  <si>
    <t>INE347G01014</t>
  </si>
  <si>
    <t>PFC</t>
  </si>
  <si>
    <t>Power Finance Corporation Limited</t>
  </si>
  <si>
    <t>INE134E01011</t>
  </si>
  <si>
    <t>PFIZER</t>
  </si>
  <si>
    <t>Pfizer Limited</t>
  </si>
  <si>
    <t>INE182A01018</t>
  </si>
  <si>
    <t>PFOCUS</t>
  </si>
  <si>
    <t>Prime Focus Limited</t>
  </si>
  <si>
    <t>INE367G01038</t>
  </si>
  <si>
    <t>PFS</t>
  </si>
  <si>
    <t>PTC India Financial Services Limited</t>
  </si>
  <si>
    <t>INE560K01014</t>
  </si>
  <si>
    <t>PGEL</t>
  </si>
  <si>
    <t>PG Electroplast Limited</t>
  </si>
  <si>
    <t>INE457L01011</t>
  </si>
  <si>
    <t>PGHH</t>
  </si>
  <si>
    <t>Procter &amp; Gamble Hygiene and Health Care Limited</t>
  </si>
  <si>
    <t>INE179A01014</t>
  </si>
  <si>
    <t>PGHL</t>
  </si>
  <si>
    <t>Procter &amp; Gamble Health Limited</t>
  </si>
  <si>
    <t>INE199A01012</t>
  </si>
  <si>
    <t>PGIL</t>
  </si>
  <si>
    <t>Pearl Global Industries Limited</t>
  </si>
  <si>
    <t>INE940H01014</t>
  </si>
  <si>
    <t>PHOENIXLTD</t>
  </si>
  <si>
    <t>The Phoenix Mills Limited</t>
  </si>
  <si>
    <t>INE211B01039</t>
  </si>
  <si>
    <t>PIDILITIND</t>
  </si>
  <si>
    <t>Pidilite Industries Limited</t>
  </si>
  <si>
    <t>INE318A01026</t>
  </si>
  <si>
    <t>PIGL</t>
  </si>
  <si>
    <t>Power &amp; Instrumentation (Gujarat) Limited</t>
  </si>
  <si>
    <t>INE557Z01018</t>
  </si>
  <si>
    <t>PIIND</t>
  </si>
  <si>
    <t>PI Industries Limited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</si>
  <si>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</si>
  <si>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</si>
  <si>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</si>
  <si>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</si>
  <si>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</si>
  <si>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</si>
  <si>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</si>
  <si>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PIONEEREMB</t>
  </si>
  <si>
    <t>Pioneer Embroideries Limited</t>
  </si>
  <si>
    <t>INE156C01018</t>
  </si>
  <si>
    <t>PITTIENG</t>
  </si>
  <si>
    <t>Pitti Engineering Limited</t>
  </si>
  <si>
    <t>INE450D01021</t>
  </si>
  <si>
    <t>PIXTRANS</t>
  </si>
  <si>
    <t>Pix Transmissions Limited</t>
  </si>
  <si>
    <t>INE751B01018</t>
  </si>
  <si>
    <t>PKTEA</t>
  </si>
  <si>
    <t>The Peria Karamalai Tea &amp; Produce Company Limited</t>
  </si>
  <si>
    <t>INE431F01018</t>
  </si>
  <si>
    <t>PLASTIBLEN</t>
  </si>
  <si>
    <t>Plastiblends India Limited</t>
  </si>
  <si>
    <t>INE083C01022</t>
  </si>
  <si>
    <t>PLAZACABLE</t>
  </si>
  <si>
    <t>Plaza Wires Limited</t>
  </si>
  <si>
    <t>INE0INJ01017</t>
  </si>
  <si>
    <t>PNB</t>
  </si>
  <si>
    <t>Punjab National Bank</t>
  </si>
  <si>
    <t>INE160A01022</t>
  </si>
  <si>
    <t>PNBGILTS</t>
  </si>
  <si>
    <t>PNB Gilts Limited</t>
  </si>
  <si>
    <t>INE859A01011</t>
  </si>
  <si>
    <t>PNBHOUSING</t>
  </si>
  <si>
    <t>PNB Housing Finance Limited</t>
  </si>
  <si>
    <t>INE572E01012</t>
  </si>
  <si>
    <t>PNC</t>
  </si>
  <si>
    <t>Pritish Nandy Communications Limited</t>
  </si>
  <si>
    <t>INE392B01011</t>
  </si>
  <si>
    <t>PNCINFRA</t>
  </si>
  <si>
    <t>PNC Infratech Limited</t>
  </si>
  <si>
    <t>INE195J01029</t>
  </si>
  <si>
    <t>POCL</t>
  </si>
  <si>
    <t>Pondy Oxides &amp; Chemicals Limited</t>
  </si>
  <si>
    <t>INE063E01046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</si>
  <si>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</si>
  <si>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</si>
  <si>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</si>
  <si>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</si>
  <si>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</si>
  <si>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</si>
  <si>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</si>
  <si>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</si>
  <si>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INE637C01025</t>
  </si>
  <si>
    <t>POLICYBZR</t>
  </si>
  <si>
    <t>PB Fintech Limited</t>
  </si>
  <si>
    <t>INE417T01026</t>
  </si>
  <si>
    <t>POLYCAB</t>
  </si>
  <si>
    <t>Polycab India Limited</t>
  </si>
  <si>
    <t>INE455K01017</t>
  </si>
  <si>
    <t>POLYMED</t>
  </si>
  <si>
    <t>Poly Medicure Limited</t>
  </si>
  <si>
    <t>INE205C01021</t>
  </si>
  <si>
    <t>POLYPLEX</t>
  </si>
  <si>
    <t>Polyplex Corporation Limited</t>
  </si>
  <si>
    <t>INE633B01018</t>
  </si>
  <si>
    <t>PONNIERODE</t>
  </si>
  <si>
    <t>Ponni Sugars (Erode) Limited</t>
  </si>
  <si>
    <t>INE838E01017</t>
  </si>
  <si>
    <t>POONAWALLA</t>
  </si>
  <si>
    <t>Poonawalla Fincorp Limited</t>
  </si>
  <si>
    <t>INE511C01022</t>
  </si>
  <si>
    <t>POWERGRID</t>
  </si>
  <si>
    <t>Power Grid Corporation of India Limited</t>
  </si>
  <si>
    <t>INE752E01010</t>
  </si>
  <si>
    <t>POWERINDIA</t>
  </si>
  <si>
    <t>Hitachi Energy India Limited</t>
  </si>
  <si>
    <t>INE07Y701011</t>
  </si>
  <si>
    <t>POWERMECH</t>
  </si>
  <si>
    <t>Power Mech Projects Limited</t>
  </si>
  <si>
    <t>INE211R01019</t>
  </si>
  <si>
    <t>PPAP</t>
  </si>
  <si>
    <t>PPAP Automotive Limited</t>
  </si>
  <si>
    <t>INE095I01015</t>
  </si>
  <si>
    <t>PPL</t>
  </si>
  <si>
    <t>Prakash Pipes Limited</t>
  </si>
  <si>
    <t>INE050001010</t>
  </si>
  <si>
    <t>PPLPHARMA</t>
  </si>
  <si>
    <t>Piramal Pharma Limited</t>
  </si>
  <si>
    <t>INE0DK501011</t>
  </si>
  <si>
    <t>PRAENG</t>
  </si>
  <si>
    <t>Prajay Engineers Syndicate Limited</t>
  </si>
  <si>
    <t>INE505C01016</t>
  </si>
  <si>
    <t>PRAJIND</t>
  </si>
  <si>
    <t>Praj Industries Limited</t>
  </si>
  <si>
    <t>INE074A01025</t>
  </si>
  <si>
    <t>PRAKASH</t>
  </si>
  <si>
    <t>Prakash Industries Limited</t>
  </si>
  <si>
    <t>INE603A01013</t>
  </si>
  <si>
    <t>PRAKASHSTL</t>
  </si>
  <si>
    <t>Prakash Steelage Limited</t>
  </si>
  <si>
    <t>INE696K01024</t>
  </si>
  <si>
    <t>PRAXIS</t>
  </si>
  <si>
    <t>Praxis Home Retail Limited</t>
  </si>
  <si>
    <t>INE546Y01022</t>
  </si>
  <si>
    <t>PRECAM</t>
  </si>
  <si>
    <t>Precision Camshafts Limited</t>
  </si>
  <si>
    <t>INE484I01029</t>
  </si>
  <si>
    <t>PRECOT</t>
  </si>
  <si>
    <t>Precot Limited</t>
  </si>
  <si>
    <t>INE283A01014</t>
  </si>
  <si>
    <t>PRECWIRE</t>
  </si>
  <si>
    <t>Precision Wires India Limited</t>
  </si>
  <si>
    <t>INE372C01037</t>
  </si>
  <si>
    <t>PREMEXPLN</t>
  </si>
  <si>
    <t>Premier Explosives Limited</t>
  </si>
  <si>
    <t>INE863B01011</t>
  </si>
  <si>
    <t>PREMIERPOL</t>
  </si>
  <si>
    <t>Premier Polyfilm Limited</t>
  </si>
  <si>
    <t>INE309M01012</t>
  </si>
  <si>
    <t>PRESTIGE</t>
  </si>
  <si>
    <t>Prestige Estates Projects Limited</t>
  </si>
  <si>
    <t>INE811K01011</t>
  </si>
  <si>
    <t>PRICOLLTD</t>
  </si>
  <si>
    <t>Pricol Limited</t>
  </si>
  <si>
    <t>INE726V01018</t>
  </si>
  <si>
    <t>PRIMESECU</t>
  </si>
  <si>
    <t>Prime Securities Limited</t>
  </si>
  <si>
    <t>INE032B01021</t>
  </si>
  <si>
    <t>PRINCEPIPE</t>
  </si>
  <si>
    <t>Prince Pipes And Fittings Limited</t>
  </si>
  <si>
    <t>INE689W01016</t>
  </si>
  <si>
    <t>PRITI</t>
  </si>
  <si>
    <t>Priti International Limited</t>
  </si>
  <si>
    <t>INE974Z01015</t>
  </si>
  <si>
    <t>PRITIKAUTO</t>
  </si>
  <si>
    <t>Pritika Auto Industries Limited</t>
  </si>
  <si>
    <t>INE583R01029</t>
  </si>
  <si>
    <t>PRIVISCL</t>
  </si>
  <si>
    <t>Privi Speciality Chemicals Limited</t>
  </si>
  <si>
    <t>INE959A01019</t>
  </si>
  <si>
    <t>PROZONER</t>
  </si>
  <si>
    <t>Prozone Realty Limited</t>
  </si>
  <si>
    <t>INE195N01013</t>
  </si>
  <si>
    <t>PRSMJOHNSN</t>
  </si>
  <si>
    <t>Prism Johnson Limited</t>
  </si>
  <si>
    <t>INE010A01011</t>
  </si>
  <si>
    <t>PRUDENT</t>
  </si>
  <si>
    <t>Prudent Corporate Advisory Services Limited</t>
  </si>
  <si>
    <t>INE00F201020</t>
  </si>
  <si>
    <t>PSB</t>
  </si>
  <si>
    <t>Punjab &amp; Sind Bank</t>
  </si>
  <si>
    <t>INE608A01012</t>
  </si>
  <si>
    <t>PSPPROJECT</t>
  </si>
  <si>
    <t>PSP Projects Limited</t>
  </si>
  <si>
    <t>INE488V01015</t>
  </si>
  <si>
    <t>PTC</t>
  </si>
  <si>
    <t>PTC India Limited</t>
  </si>
  <si>
    <t>INE877F01012</t>
  </si>
  <si>
    <t>PTCIL</t>
  </si>
  <si>
    <t>PTC Industries Limited</t>
  </si>
  <si>
    <t>INE596F01018</t>
  </si>
  <si>
    <t>PTL</t>
  </si>
  <si>
    <t>PTL Enterprises Limited</t>
  </si>
  <si>
    <t>INE034D01049</t>
  </si>
  <si>
    <t>PUNJABCHEM</t>
  </si>
  <si>
    <t>Punjab Chemicals &amp; Crop Protection Limited</t>
  </si>
  <si>
    <t>INE277B01014</t>
  </si>
  <si>
    <t>PURVA</t>
  </si>
  <si>
    <t>Puravankara Limited</t>
  </si>
  <si>
    <t>INE323I01011</t>
  </si>
  <si>
    <t>PVP</t>
  </si>
  <si>
    <t>PVP Ventures Limited</t>
  </si>
  <si>
    <t>INE362A01016</t>
  </si>
  <si>
    <t>PVRINOX</t>
  </si>
  <si>
    <t>PVR INOX Limited</t>
  </si>
  <si>
    <t>INE191H01014</t>
  </si>
  <si>
    <t>PYRAMID</t>
  </si>
  <si>
    <t>Pyramid Technoplast Limited</t>
  </si>
  <si>
    <t>INE0MIS01010</t>
  </si>
  <si>
    <t>QUESS</t>
  </si>
  <si>
    <t>Quess Corp Limited</t>
  </si>
  <si>
    <t>INE615P01015</t>
  </si>
  <si>
    <t>QUICKHEAL</t>
  </si>
  <si>
    <t>Quick Heal Technologies Limited</t>
  </si>
  <si>
    <t>INE306L01010</t>
  </si>
  <si>
    <t>RACE</t>
  </si>
  <si>
    <t>Race Eco Chain Limited</t>
  </si>
  <si>
    <t>INE084Q01012</t>
  </si>
  <si>
    <t>RADAAN</t>
  </si>
  <si>
    <t>Radaan Mediaworks India Limited</t>
  </si>
  <si>
    <t>INE874F01027</t>
  </si>
  <si>
    <t>RADHIKAJWE</t>
  </si>
  <si>
    <t>Radhika Jeweltech Limited</t>
  </si>
  <si>
    <t>INE583V01021</t>
  </si>
  <si>
    <t>RADIANTCMS</t>
  </si>
  <si>
    <t>Radiant Cash Management Services Limited</t>
  </si>
  <si>
    <t>INE855R01021</t>
  </si>
  <si>
    <t>RADICO</t>
  </si>
  <si>
    <t>Radico Khaitan Limited</t>
  </si>
  <si>
    <t>INE944F01028</t>
  </si>
  <si>
    <t>RADIOCITY</t>
  </si>
  <si>
    <t>Music Broadcast Limited</t>
  </si>
  <si>
    <t>INE919I01024</t>
  </si>
  <si>
    <t>RAILTEL</t>
  </si>
  <si>
    <t>Railtel Corporation Of India Limited</t>
  </si>
  <si>
    <t>INE0DD101019</t>
  </si>
  <si>
    <t>RAIN</t>
  </si>
  <si>
    <t>Rain Industries Limited</t>
  </si>
  <si>
    <t>INE855B01025</t>
  </si>
  <si>
    <t>RAINBOW</t>
  </si>
  <si>
    <t>Rainbow Childrens Medicare Limited</t>
  </si>
  <si>
    <t>INE961O01016</t>
  </si>
  <si>
    <t>RAJESHEXPO</t>
  </si>
  <si>
    <t>Rajesh Exports Limited</t>
  </si>
  <si>
    <t>INE343B01030</t>
  </si>
  <si>
    <t>RAJMET</t>
  </si>
  <si>
    <t>Rajnandini Metal Limited</t>
  </si>
  <si>
    <t>INE00KV01022</t>
  </si>
  <si>
    <t>RAJRATAN</t>
  </si>
  <si>
    <t>Rajratan Global Wire Limited</t>
  </si>
  <si>
    <t>INE451D01029</t>
  </si>
  <si>
    <t>RAJRILTD</t>
  </si>
  <si>
    <t>Raj Rayon Industries Limited</t>
  </si>
  <si>
    <t>INE533D01032</t>
  </si>
  <si>
    <t>RAJSREESUG</t>
  </si>
  <si>
    <t>Rajshree Sugars &amp; Chemicals Limited</t>
  </si>
  <si>
    <t>INE562B01019</t>
  </si>
  <si>
    <t>RAJTV</t>
  </si>
  <si>
    <t>Raj Television Network Limited</t>
  </si>
  <si>
    <t>INE952H01027</t>
  </si>
  <si>
    <t>RALLIS</t>
  </si>
  <si>
    <t>Rallis India Limited</t>
  </si>
  <si>
    <t>INE613A01020</t>
  </si>
  <si>
    <t>RAMANEWS</t>
  </si>
  <si>
    <t>Shree Rama Newsprint Limited</t>
  </si>
  <si>
    <t>INE278B01020</t>
  </si>
  <si>
    <t>RAMAPHO</t>
  </si>
  <si>
    <t>Rama Phosphates Limited</t>
  </si>
  <si>
    <t>INE809A01024</t>
  </si>
  <si>
    <t>RAMASTEEL</t>
  </si>
  <si>
    <t>Rama Steel Tubes Limited</t>
  </si>
  <si>
    <t>INE230R01035</t>
  </si>
  <si>
    <t>RAMCOCEM</t>
  </si>
  <si>
    <t>The Ramco Cements Limited</t>
  </si>
  <si>
    <t>INE331A01037</t>
  </si>
  <si>
    <t>RAMCOIND</t>
  </si>
  <si>
    <t>Ramco Industries Limited</t>
  </si>
  <si>
    <t>INE614A01028</t>
  </si>
  <si>
    <t>RAMCOSYS</t>
  </si>
  <si>
    <t>Ramco Systems Limited</t>
  </si>
  <si>
    <t>INE246B01019</t>
  </si>
  <si>
    <t>RAMKY</t>
  </si>
  <si>
    <t>Ramky Infrastructure Limited</t>
  </si>
  <si>
    <t>INE874I01013</t>
  </si>
  <si>
    <t>RAMRAT</t>
  </si>
  <si>
    <t>Ram Ratna Wires Limited</t>
  </si>
  <si>
    <t>INE207E01023</t>
  </si>
  <si>
    <t>RANASUG</t>
  </si>
  <si>
    <t>Rana Sugars Limited</t>
  </si>
  <si>
    <t>INE625B01014</t>
  </si>
  <si>
    <t>RANEENGINE</t>
  </si>
  <si>
    <t>Rane Engine Valve Limited</t>
  </si>
  <si>
    <t>INE222J01013</t>
  </si>
  <si>
    <t>RANEHOLDIN</t>
  </si>
  <si>
    <t>Rane Holdings Limited</t>
  </si>
  <si>
    <t>INE384A01010</t>
  </si>
  <si>
    <t>RATEGAIN</t>
  </si>
  <si>
    <t>Rategain Travel Technologies Limited</t>
  </si>
  <si>
    <t>INE0CLI01024</t>
  </si>
  <si>
    <t>RATNAMANI</t>
  </si>
  <si>
    <t>Ratnamani Metals &amp; Tubes Limited</t>
  </si>
  <si>
    <t>INE703B01027</t>
  </si>
  <si>
    <t>RATNAVEER</t>
  </si>
  <si>
    <t>Ratnaveer Precision Engineering Limited</t>
  </si>
  <si>
    <t>INE05CZ01011</t>
  </si>
  <si>
    <t>RAYMOND</t>
  </si>
  <si>
    <t>Raymond Limited</t>
  </si>
  <si>
    <t>INE301A01014</t>
  </si>
  <si>
    <t>RBA</t>
  </si>
  <si>
    <t>Restaurant Brands Asia Limited</t>
  </si>
  <si>
    <t>INE07T201019</t>
  </si>
  <si>
    <t>RBL</t>
  </si>
  <si>
    <t>Rane Brake Lining Limited</t>
  </si>
  <si>
    <t>INE244J01017</t>
  </si>
  <si>
    <t>RBLBANK</t>
  </si>
  <si>
    <t>RBL Bank Limited</t>
  </si>
  <si>
    <t>INE976G01028</t>
  </si>
  <si>
    <t>RCF</t>
  </si>
  <si>
    <t>Rashtriya Chemicals and Fertilizers Limited</t>
  </si>
  <si>
    <t>INE027A01015</t>
  </si>
  <si>
    <t>RCOM</t>
  </si>
  <si>
    <t>Reliance Communications Limited</t>
  </si>
  <si>
    <t>INE330H01018</t>
  </si>
  <si>
    <t>RECLTD</t>
  </si>
  <si>
    <t>REC Limited</t>
  </si>
  <si>
    <t>INE020B01018</t>
  </si>
  <si>
    <t>REDINGTON</t>
  </si>
  <si>
    <t>Redington Limited</t>
  </si>
  <si>
    <t>INE891D01026</t>
  </si>
  <si>
    <t>REDTAPE</t>
  </si>
  <si>
    <t>Redtape Limited</t>
  </si>
  <si>
    <t>INE0LXT01019</t>
  </si>
  <si>
    <t>REFEX</t>
  </si>
  <si>
    <t>Refex Industries Limited</t>
  </si>
  <si>
    <t>INE056I01017</t>
  </si>
  <si>
    <t>REGENCERAM</t>
  </si>
  <si>
    <t>Regency Ceramics Limited</t>
  </si>
  <si>
    <t>INE277C01012</t>
  </si>
  <si>
    <t>RELAXO</t>
  </si>
  <si>
    <t>Relaxo Footwears Limited</t>
  </si>
  <si>
    <t>INE131B01039</t>
  </si>
  <si>
    <t>RELCHEMQ</t>
  </si>
  <si>
    <t>Reliance Chemotex Industries Limited</t>
  </si>
  <si>
    <t>INE750D01016</t>
  </si>
  <si>
    <t>RELIANCE</t>
  </si>
  <si>
    <t>Reliance Industries Limited</t>
  </si>
  <si>
    <t>INE002A01018</t>
  </si>
  <si>
    <t>RELIGARE</t>
  </si>
  <si>
    <t>Religare Enterprises Limited</t>
  </si>
  <si>
    <t>INE621H01010</t>
  </si>
  <si>
    <t>RELINFRA</t>
  </si>
  <si>
    <t>Reliance Infrastructure Limited</t>
  </si>
  <si>
    <t>INE036A01016</t>
  </si>
  <si>
    <t>REMSONSIND</t>
  </si>
  <si>
    <t>Remsons Industries Limited</t>
  </si>
  <si>
    <t>INE474C01015</t>
  </si>
  <si>
    <t>RENUKA</t>
  </si>
  <si>
    <t>Shree Renuka Sugars Limited</t>
  </si>
  <si>
    <t>INE087H01022</t>
  </si>
  <si>
    <t>REPCOHOME</t>
  </si>
  <si>
    <t>Repco Home Finance Limited</t>
  </si>
  <si>
    <t>INE612J01015</t>
  </si>
  <si>
    <t>REPL</t>
  </si>
  <si>
    <t>Rudrabhishek Enterprises Limited</t>
  </si>
  <si>
    <t>INE364Z01019</t>
  </si>
  <si>
    <t>REPRO</t>
  </si>
  <si>
    <t>Repro India Limited</t>
  </si>
  <si>
    <t>INE461B01014</t>
  </si>
  <si>
    <t>RESPONIND</t>
  </si>
  <si>
    <t>Responsive Industries Limited</t>
  </si>
  <si>
    <t>INE688D01026</t>
  </si>
  <si>
    <t>RGL</t>
  </si>
  <si>
    <t>Renaissance Global Limited</t>
  </si>
  <si>
    <t>INE722H01024</t>
  </si>
  <si>
    <t>RHFL</t>
  </si>
  <si>
    <t>Reliance Home Finance Limited</t>
  </si>
  <si>
    <t>INE217K01011</t>
  </si>
  <si>
    <t>RHIM</t>
  </si>
  <si>
    <t>RHI MAGNESITA INDIA LIMITED</t>
  </si>
  <si>
    <t>INE743M01012</t>
  </si>
  <si>
    <t>RHL</t>
  </si>
  <si>
    <t>Robust Hotels Limited</t>
  </si>
  <si>
    <t>INE508K01013</t>
  </si>
  <si>
    <t>RICOAUTO</t>
  </si>
  <si>
    <t>Rico Auto Industries Limited</t>
  </si>
  <si>
    <t>INE209B01025</t>
  </si>
  <si>
    <t>RIIL</t>
  </si>
  <si>
    <t>Reliance Industrial Infrastructure Limited</t>
  </si>
  <si>
    <t>INE046A01015</t>
  </si>
  <si>
    <t>RISHABH</t>
  </si>
  <si>
    <t>Rishabh Instruments Limited</t>
  </si>
  <si>
    <t>INE0N2P01017</t>
  </si>
  <si>
    <t>RITCO</t>
  </si>
  <si>
    <t>Ritco Logistics Limited</t>
  </si>
  <si>
    <t>INE01EG01016</t>
  </si>
  <si>
    <t>RITES</t>
  </si>
  <si>
    <t>RITES Limited</t>
  </si>
  <si>
    <t>INE320J01015</t>
  </si>
  <si>
    <t>RKDL</t>
  </si>
  <si>
    <t>Ravi Kumar Distilleries Limited</t>
  </si>
  <si>
    <t>INE722J01012</t>
  </si>
  <si>
    <t>RKEC</t>
  </si>
  <si>
    <t>RKEC Projects Limited</t>
  </si>
  <si>
    <t>INE786W01010</t>
  </si>
  <si>
    <t>RKFORGE</t>
  </si>
  <si>
    <t>Ramkrishna Forgings Limited</t>
  </si>
  <si>
    <t>INE399G01023</t>
  </si>
  <si>
    <t>RMCL</t>
  </si>
  <si>
    <t>Radha Madhav Corporation Limited</t>
  </si>
  <si>
    <t>INE172H01014</t>
  </si>
  <si>
    <t>RML</t>
  </si>
  <si>
    <t>Rane (Madras) Limited</t>
  </si>
  <si>
    <t>INE050H01012</t>
  </si>
  <si>
    <t>ROHLTD</t>
  </si>
  <si>
    <t>Royal Orchid Hotels Limited</t>
  </si>
  <si>
    <t>INE283H01019</t>
  </si>
  <si>
    <t>ROLEXRINGS</t>
  </si>
  <si>
    <t>Rolex Rings Limited</t>
  </si>
  <si>
    <t>INE645S01016</t>
  </si>
  <si>
    <t>ROLLT</t>
  </si>
  <si>
    <t>Rollatainers Limited</t>
  </si>
  <si>
    <t>INE927A01040</t>
  </si>
  <si>
    <t>ROML</t>
  </si>
  <si>
    <t>Raj Oil Mills Limited</t>
  </si>
  <si>
    <t>INE294G01026</t>
  </si>
  <si>
    <t>ROSSARI</t>
  </si>
  <si>
    <t>Rossari Biotech Limited</t>
  </si>
  <si>
    <t>INE02A801020</t>
  </si>
  <si>
    <t>ROSSELLIND</t>
  </si>
  <si>
    <t>Rossell India Limited</t>
  </si>
  <si>
    <t>INE847C01020</t>
  </si>
  <si>
    <t>ROTO</t>
  </si>
  <si>
    <t>Roto Pumps Limited</t>
  </si>
  <si>
    <t>INE535D01029</t>
  </si>
  <si>
    <t>ROUTE</t>
  </si>
  <si>
    <t>ROUTE MOBILE LIMITED</t>
  </si>
  <si>
    <t>INE450U01017</t>
  </si>
  <si>
    <t>RPGLIFE</t>
  </si>
  <si>
    <t>RPG Life Sciences Limited</t>
  </si>
  <si>
    <t>INE105J01010</t>
  </si>
  <si>
    <t>RPOWER</t>
  </si>
  <si>
    <t>Reliance Power Limited</t>
  </si>
  <si>
    <t>INE614G01033</t>
  </si>
  <si>
    <t>RPPINFRA</t>
  </si>
  <si>
    <t>R.P.P. Infra Projects Limited</t>
  </si>
  <si>
    <t>INE324L01013</t>
  </si>
  <si>
    <t>RPPL</t>
  </si>
  <si>
    <t>Rajshree Polypack Limited</t>
  </si>
  <si>
    <t>INE760W01015</t>
  </si>
  <si>
    <t>RPSGVENT</t>
  </si>
  <si>
    <t>RPSG VENTURES LIMITED</t>
  </si>
  <si>
    <t>INE425Y01011</t>
  </si>
  <si>
    <t>RRKABEL</t>
  </si>
  <si>
    <t>R R Kabel Limited</t>
  </si>
  <si>
    <t>INE777K01022</t>
  </si>
  <si>
    <t>RSSOFTWARE</t>
  </si>
  <si>
    <t>R. S. Software (India) Limited</t>
  </si>
  <si>
    <t>INE165B01029</t>
  </si>
  <si>
    <t>RSWM</t>
  </si>
  <si>
    <t>RSWM Limited</t>
  </si>
  <si>
    <t>INE611A01016</t>
  </si>
  <si>
    <t>RSYSTEMS</t>
  </si>
  <si>
    <t>R Systems International Limited</t>
  </si>
  <si>
    <t>INE411H01032</t>
  </si>
  <si>
    <t>RTNINDIA</t>
  </si>
  <si>
    <t>RattanIndia Enterprises Limited</t>
  </si>
  <si>
    <t>INE834M01019</t>
  </si>
  <si>
    <t>RTNPOWER</t>
  </si>
  <si>
    <t>RattanIndia Power Limited</t>
  </si>
  <si>
    <t>INE399K01017</t>
  </si>
  <si>
    <t>RUBYMILLS</t>
  </si>
  <si>
    <t>The Ruby Mills Limited</t>
  </si>
  <si>
    <t>INE301D01026</t>
  </si>
  <si>
    <t>RUCHINFRA</t>
  </si>
  <si>
    <t>Ruchi Infrastructure Limited</t>
  </si>
  <si>
    <t>INE413B01023</t>
  </si>
  <si>
    <t>RUCHIRA</t>
  </si>
  <si>
    <t>Ruchira Papers Limited</t>
  </si>
  <si>
    <t>INE803H01014</t>
  </si>
  <si>
    <t>RUPA</t>
  </si>
  <si>
    <t>Rupa &amp; Company Limited</t>
  </si>
  <si>
    <t>INE895B01021</t>
  </si>
  <si>
    <t>RUSHIL</t>
  </si>
  <si>
    <t>Rushil Decor Limited</t>
  </si>
  <si>
    <t>INE573K01017</t>
  </si>
  <si>
    <t>RUSTOMJEE</t>
  </si>
  <si>
    <t>Keystone Realtors Limited</t>
  </si>
  <si>
    <t>INE263M01029</t>
  </si>
  <si>
    <t>RVHL</t>
  </si>
  <si>
    <t>Ravinder Heights Limited</t>
  </si>
  <si>
    <t>INE09E501017</t>
  </si>
  <si>
    <t>RVNL</t>
  </si>
  <si>
    <t>Rail Vikas Nigam Limited</t>
  </si>
  <si>
    <t>INE415G01027</t>
  </si>
  <si>
    <t>S&amp;SPOWER</t>
  </si>
  <si>
    <t>S&amp;S Power Switchgears Limited</t>
  </si>
  <si>
    <t>INE902B01017</t>
  </si>
  <si>
    <t>SABEVENTS</t>
  </si>
  <si>
    <t>Sab Events &amp; Governance Now Media Limited</t>
  </si>
  <si>
    <t>INE860T01019</t>
  </si>
  <si>
    <t>SADBHAV</t>
  </si>
  <si>
    <t>Sadbhav Engineering Limited</t>
  </si>
  <si>
    <t>INE226H01026</t>
  </si>
  <si>
    <t>SADBHIN</t>
  </si>
  <si>
    <t>Sadbhav Infrastructure Project Limited</t>
  </si>
  <si>
    <t>INE764L01010</t>
  </si>
  <si>
    <t>SADHNANIQ</t>
  </si>
  <si>
    <t>Sadhana Nitrochem Limited</t>
  </si>
  <si>
    <t>INE888C01040</t>
  </si>
  <si>
    <t>SAFARI</t>
  </si>
  <si>
    <t>Safari Industries (India) Limited</t>
  </si>
  <si>
    <t>INE429E01023</t>
  </si>
  <si>
    <t>SAGARDEEP</t>
  </si>
  <si>
    <t>Sagardeep Alloys Limited</t>
  </si>
  <si>
    <t>INE976T01013</t>
  </si>
  <si>
    <t>SAGCEM</t>
  </si>
  <si>
    <t>Sagar Cements Limited</t>
  </si>
  <si>
    <t>INE229C01021</t>
  </si>
  <si>
    <t>SAH</t>
  </si>
  <si>
    <t>Sah Polymers Limited</t>
  </si>
  <si>
    <t>INE035801013</t>
  </si>
  <si>
    <t>SAHYADRI</t>
  </si>
  <si>
    <t>Sahyadri Industries Limited</t>
  </si>
  <si>
    <t>INE280H01015</t>
  </si>
  <si>
    <t>SAIL</t>
  </si>
  <si>
    <t>Steel Authority of India Limited</t>
  </si>
  <si>
    <t>INE114A01011</t>
  </si>
  <si>
    <t>SAKAR</t>
  </si>
  <si>
    <t>Sakar Healthcare Limited</t>
  </si>
  <si>
    <t>INE732S01012</t>
  </si>
  <si>
    <t>SAKHTISUG</t>
  </si>
  <si>
    <t>Sakthi Sugars Limited</t>
  </si>
  <si>
    <t>INE623A01011</t>
  </si>
  <si>
    <t>SAKSOFT</t>
  </si>
  <si>
    <t>Saksoft Limited</t>
  </si>
  <si>
    <t>INE667G01023</t>
  </si>
  <si>
    <t>SAKUMA</t>
  </si>
  <si>
    <t>Sakuma Exports Limited</t>
  </si>
  <si>
    <t>INE190H01024</t>
  </si>
  <si>
    <t>SALASAR</t>
  </si>
  <si>
    <t>Salasar Techno Engineering Limited</t>
  </si>
  <si>
    <t>INE170V01027</t>
  </si>
  <si>
    <t>SALONA</t>
  </si>
  <si>
    <t>Salona Cotspin Limited</t>
  </si>
  <si>
    <t>INE498E01010</t>
  </si>
  <si>
    <t>SALSTEEL</t>
  </si>
  <si>
    <t>S.A.L. Steel Limited</t>
  </si>
  <si>
    <t>INE658G01014</t>
  </si>
  <si>
    <t>SALZERELEC</t>
  </si>
  <si>
    <t>Salzer Electronics Limited</t>
  </si>
  <si>
    <t>INE457F01013</t>
  </si>
  <si>
    <t>SAMBHAAV</t>
  </si>
  <si>
    <t>Sambhaav Media Limited</t>
  </si>
  <si>
    <t>INE699B01027</t>
  </si>
  <si>
    <t>SAMHI</t>
  </si>
  <si>
    <t>Samhi Hotels Limited</t>
  </si>
  <si>
    <t>INE08U801020</t>
  </si>
  <si>
    <t>SAMPANN</t>
  </si>
  <si>
    <t>Sampann Utpadan India Limited</t>
  </si>
  <si>
    <t>INE735M01018</t>
  </si>
  <si>
    <t>SANCO</t>
  </si>
  <si>
    <t>Sanco Industries Limited</t>
  </si>
  <si>
    <t>INE782L01012</t>
  </si>
  <si>
    <t>SANDESH</t>
  </si>
  <si>
    <t>The Sandesh Limited</t>
  </si>
  <si>
    <t>INE583B01015</t>
  </si>
  <si>
    <t>SANDHAR</t>
  </si>
  <si>
    <t>Sandhar Technologies Limited</t>
  </si>
  <si>
    <t>INE278H01035</t>
  </si>
  <si>
    <t>SANDUMA</t>
  </si>
  <si>
    <t>Sandur Manganese &amp; Iron Ores Limited</t>
  </si>
  <si>
    <t>INE149K01016</t>
  </si>
  <si>
    <t>SANGAMIND</t>
  </si>
  <si>
    <t>Sangam (India) Limited</t>
  </si>
  <si>
    <t>INE495C01010</t>
  </si>
  <si>
    <t>SANGHIIND</t>
  </si>
  <si>
    <t>Sanghi Industries Limited</t>
  </si>
  <si>
    <t>INE999B01013</t>
  </si>
  <si>
    <t>SANGHVIMOV</t>
  </si>
  <si>
    <t>Sanghvi Movers Limited</t>
  </si>
  <si>
    <t>INE989A01024</t>
  </si>
  <si>
    <t>SANGINITA</t>
  </si>
  <si>
    <t>Sanginita Chemicals Limited</t>
  </si>
  <si>
    <t>INE753W01010</t>
  </si>
  <si>
    <t>SANOFI</t>
  </si>
  <si>
    <t>Sanofi India Limited</t>
  </si>
  <si>
    <t>INE058A01010</t>
  </si>
  <si>
    <t>SANSERA</t>
  </si>
  <si>
    <t>Sansera Engineering Limited</t>
  </si>
  <si>
    <t>INE953O01021</t>
  </si>
  <si>
    <t>SAPPHIRE</t>
  </si>
  <si>
    <t>Sapphire Foods India Limited</t>
  </si>
  <si>
    <t>INE806T01012</t>
  </si>
  <si>
    <t>SARDAEN</t>
  </si>
  <si>
    <t>Sarda Energy &amp; Minerals Limited</t>
  </si>
  <si>
    <t>INE385C01021</t>
  </si>
  <si>
    <t>SAREGAMA</t>
  </si>
  <si>
    <t>Saregama India Limited</t>
  </si>
  <si>
    <t>INE979A01025</t>
  </si>
  <si>
    <t>SARLAPOLY</t>
  </si>
  <si>
    <t>Sarla Performance Fibers Limited</t>
  </si>
  <si>
    <t>INE453D01025</t>
  </si>
  <si>
    <t>SARVESHWAR</t>
  </si>
  <si>
    <t>Sarveshwar Foods Limited</t>
  </si>
  <si>
    <t>INE324X01026</t>
  </si>
  <si>
    <t>SASKEN</t>
  </si>
  <si>
    <t>Sasken Technologies Limited</t>
  </si>
  <si>
    <t>INE231F01020</t>
  </si>
  <si>
    <t>SASTASUNDR</t>
  </si>
  <si>
    <t>Sastasundar Ventures Limited</t>
  </si>
  <si>
    <t>INE019J01013</t>
  </si>
  <si>
    <t>SATIA</t>
  </si>
  <si>
    <t>Satia Industries Limited</t>
  </si>
  <si>
    <t>INE170E01023</t>
  </si>
  <si>
    <t>SATIN</t>
  </si>
  <si>
    <t>Satin Creditcare Network Limited</t>
  </si>
  <si>
    <t>INE836B01017</t>
  </si>
  <si>
    <t>SATINDLTD</t>
  </si>
  <si>
    <t>Sat Industries Limited</t>
  </si>
  <si>
    <t>INE065D01027</t>
  </si>
  <si>
    <t>SBC</t>
  </si>
  <si>
    <t>SBC Exports Limited</t>
  </si>
  <si>
    <t>INE04AK01028</t>
  </si>
  <si>
    <t>SBCL</t>
  </si>
  <si>
    <t>Shivalik Bimetal Controls Limited</t>
  </si>
  <si>
    <t>INE386D01027</t>
  </si>
  <si>
    <t>SBFC</t>
  </si>
  <si>
    <t>SBFC Finance Limited</t>
  </si>
  <si>
    <t>INE423Y01016</t>
  </si>
  <si>
    <t>SBGLP</t>
  </si>
  <si>
    <t>Suratwwala Business Group Limited</t>
  </si>
  <si>
    <t>INE05ST01010</t>
  </si>
  <si>
    <t>SBICARD</t>
  </si>
  <si>
    <t>SBI Cards and Payment Services Limited</t>
  </si>
  <si>
    <t>INE018E01016</t>
  </si>
  <si>
    <t>SBILIFE</t>
  </si>
  <si>
    <t>SBI Life Insurance Company Limited</t>
  </si>
  <si>
    <t>INE123W01016</t>
  </si>
  <si>
    <t>SBIN</t>
  </si>
  <si>
    <t>State Bank of India</t>
  </si>
  <si>
    <t>INE062A01020</t>
  </si>
  <si>
    <t>SCHAEFFLER</t>
  </si>
  <si>
    <t>Schaeffler India Limited</t>
  </si>
  <si>
    <t>INE513A01022</t>
  </si>
  <si>
    <t>SCHAND</t>
  </si>
  <si>
    <t>S Chand And Company Limited</t>
  </si>
  <si>
    <t>INE807K01035</t>
  </si>
  <si>
    <t>SCHNEIDER</t>
  </si>
  <si>
    <t>Schneider Electric Infrastructure Limited</t>
  </si>
  <si>
    <t>INE839M01018</t>
  </si>
  <si>
    <t>SCI</t>
  </si>
  <si>
    <t>Shipping Corporation Of India Limited</t>
  </si>
  <si>
    <t>INE109A01011</t>
  </si>
  <si>
    <t>SCPL</t>
  </si>
  <si>
    <t>Sheetal Cool Products Limited</t>
  </si>
  <si>
    <t>INE501Y01019</t>
  </si>
  <si>
    <t>SDBL</t>
  </si>
  <si>
    <t>Som Distilleries &amp; Breweries Limited</t>
  </si>
  <si>
    <t>INE480C01020</t>
  </si>
  <si>
    <t>SEAMECLTD</t>
  </si>
  <si>
    <t>Seamec Limited</t>
  </si>
  <si>
    <t>INE497B01018</t>
  </si>
  <si>
    <t>SECMARK</t>
  </si>
  <si>
    <t>SecMark Consultancy Limited</t>
  </si>
  <si>
    <t>INE0BTM01013</t>
  </si>
  <si>
    <t>SECURCRED</t>
  </si>
  <si>
    <t>SecUR Credentials Limited</t>
  </si>
  <si>
    <t>INE195Y01010</t>
  </si>
  <si>
    <t>SECURKLOUD</t>
  </si>
  <si>
    <t>SECUREKLOUD TECHNOLOGIES LIMITED</t>
  </si>
  <si>
    <t>INE650K01021</t>
  </si>
  <si>
    <t>SEJALLTD</t>
  </si>
  <si>
    <t>Sejal Glass Limited</t>
  </si>
  <si>
    <t>INE955I01044</t>
  </si>
  <si>
    <t>SELAN</t>
  </si>
  <si>
    <t>Selan Exploration Technology Limited</t>
  </si>
  <si>
    <t>INE818A01017</t>
  </si>
  <si>
    <t>SELMC</t>
  </si>
  <si>
    <t>SEL Manufacturing Company Limited</t>
  </si>
  <si>
    <t>INE105I01020</t>
  </si>
  <si>
    <t>SEMAC</t>
  </si>
  <si>
    <t>SEMAC CONSULTANTS LIMITED</t>
  </si>
  <si>
    <t>INE617A01013</t>
  </si>
  <si>
    <t>SENCO</t>
  </si>
  <si>
    <t>Senco Gold Limited</t>
  </si>
  <si>
    <t>INE602W01019</t>
  </si>
  <si>
    <t>SEPC</t>
  </si>
  <si>
    <t>SEPC Limited</t>
  </si>
  <si>
    <t>INE964H01014</t>
  </si>
  <si>
    <t>SEQUENT</t>
  </si>
  <si>
    <t>Sequent Scientific Limited</t>
  </si>
  <si>
    <t>INE807F01027</t>
  </si>
  <si>
    <t>SERVOTECH</t>
  </si>
  <si>
    <t>Servotech Power Systems Limited</t>
  </si>
  <si>
    <t>INE782X01033</t>
  </si>
  <si>
    <t>SESHAPAPER</t>
  </si>
  <si>
    <t>Seshasayee Paper and Boards Limited</t>
  </si>
  <si>
    <t>INE630A01024</t>
  </si>
  <si>
    <t>SETCO</t>
  </si>
  <si>
    <t>Setco Automotive Limited</t>
  </si>
  <si>
    <t>INE878E01021</t>
  </si>
  <si>
    <t>SEYAIND</t>
  </si>
  <si>
    <t>Seya Industries Limited</t>
  </si>
  <si>
    <t>INE573R01012</t>
  </si>
  <si>
    <t>SFL</t>
  </si>
  <si>
    <t>Sheela Foam Limited</t>
  </si>
  <si>
    <t>INE916U01025</t>
  </si>
  <si>
    <t>SGIL</t>
  </si>
  <si>
    <t>Synergy Green Industries Limited</t>
  </si>
  <si>
    <t>INE00QT01015</t>
  </si>
  <si>
    <t>SGL</t>
  </si>
  <si>
    <t>STL Global Limited</t>
  </si>
  <si>
    <t>INE353H01010</t>
  </si>
  <si>
    <t>SHAH</t>
  </si>
  <si>
    <t>Shah Metacorp Limited</t>
  </si>
  <si>
    <t>INE482J01021</t>
  </si>
  <si>
    <t>SHAHALLOYS</t>
  </si>
  <si>
    <t>Shah Alloys Limited</t>
  </si>
  <si>
    <t>INE640C01011</t>
  </si>
  <si>
    <t>SHAILY</t>
  </si>
  <si>
    <t>Shaily Engineering Plastics Limited</t>
  </si>
  <si>
    <t>INE151G01010</t>
  </si>
  <si>
    <t>SHAKTIPUMP</t>
  </si>
  <si>
    <t>Shakti Pumps (India) Limited</t>
  </si>
  <si>
    <t>INE908D01010</t>
  </si>
  <si>
    <t>SHALBY</t>
  </si>
  <si>
    <t>Shalby Limited</t>
  </si>
  <si>
    <t>INE597J01018</t>
  </si>
  <si>
    <t>SHALPAINTS</t>
  </si>
  <si>
    <t>Shalimar Paints Limited</t>
  </si>
  <si>
    <t>INE849C01026</t>
  </si>
  <si>
    <t>SHANKARA</t>
  </si>
  <si>
    <t>Shankara Building Products Limited</t>
  </si>
  <si>
    <t>INE274V01019</t>
  </si>
  <si>
    <t>SHANTI</t>
  </si>
  <si>
    <t>Shanti Overseas (India) Limited</t>
  </si>
  <si>
    <t>INE933X01016</t>
  </si>
  <si>
    <t>SHANTIGEAR</t>
  </si>
  <si>
    <t>Shanthi Gears Limited</t>
  </si>
  <si>
    <t>INE631A01022</t>
  </si>
  <si>
    <t>SHARDACROP</t>
  </si>
  <si>
    <t>Sharda Cropchem Limited</t>
  </si>
  <si>
    <t>INE221J01015</t>
  </si>
  <si>
    <t>SHARDAMOTR</t>
  </si>
  <si>
    <t>Sharda Motor Industries Limited</t>
  </si>
  <si>
    <t>INE597I01028</t>
  </si>
  <si>
    <t>SHAREINDIA</t>
  </si>
  <si>
    <t>Share India Securities Limited</t>
  </si>
  <si>
    <t>INE932X01018</t>
  </si>
  <si>
    <t>SHEMAROO</t>
  </si>
  <si>
    <t>Shemaroo Entertainment Limited</t>
  </si>
  <si>
    <t>INE363M01019</t>
  </si>
  <si>
    <t>SHILPAMED</t>
  </si>
  <si>
    <t>Shilpa Medicare Limited</t>
  </si>
  <si>
    <t>INE790G01031</t>
  </si>
  <si>
    <t>SHIVALIK</t>
  </si>
  <si>
    <t>Shivalik Rasayan Limited</t>
  </si>
  <si>
    <t>INE788J01021</t>
  </si>
  <si>
    <t>SHIVAMAUTO</t>
  </si>
  <si>
    <t>Shivam Autotech Limited</t>
  </si>
  <si>
    <t>INE637H01024</t>
  </si>
  <si>
    <t>SHIVAMILLS</t>
  </si>
  <si>
    <t>Shiva Mills Limited</t>
  </si>
  <si>
    <t>INE644Y01017</t>
  </si>
  <si>
    <t>SHIVATEX</t>
  </si>
  <si>
    <t>Shiva Texyarn Limited</t>
  </si>
  <si>
    <t>INE705C01020</t>
  </si>
  <si>
    <t>SHK</t>
  </si>
  <si>
    <t>S H Kelkar and Company Limited</t>
  </si>
  <si>
    <t>INE500L01026</t>
  </si>
  <si>
    <t>SHOPERSTOP</t>
  </si>
  <si>
    <t>Shoppers Stop Limited</t>
  </si>
  <si>
    <t>INE498B01024</t>
  </si>
  <si>
    <t>SHRADHA</t>
  </si>
  <si>
    <t>Shradha Infraprojects Limited</t>
  </si>
  <si>
    <t>INE715Y01023</t>
  </si>
  <si>
    <t>SHREDIGCEM</t>
  </si>
  <si>
    <t>Shree Digvijay Cement Co.Ltd</t>
  </si>
  <si>
    <t>INE232A01011</t>
  </si>
  <si>
    <t>SHREECEM</t>
  </si>
  <si>
    <t>SHREE CEMENT LIMITED</t>
  </si>
  <si>
    <t>INE070A01015</t>
  </si>
  <si>
    <t>SHREEPUSHK</t>
  </si>
  <si>
    <t>Shree Pushkar Chemicals &amp; Fertilisers Limited</t>
  </si>
  <si>
    <t>INE712K01011</t>
  </si>
  <si>
    <t>SHREERAMA</t>
  </si>
  <si>
    <t>Shree Rama Multi-Tech Limited</t>
  </si>
  <si>
    <t>INE879A01019</t>
  </si>
  <si>
    <t>SHRENIK</t>
  </si>
  <si>
    <t>Shrenik Limited</t>
  </si>
  <si>
    <t>INE632X01030</t>
  </si>
  <si>
    <t>SHREYANIND</t>
  </si>
  <si>
    <t>Shreyans Industries Limited</t>
  </si>
  <si>
    <t>INE231C01019</t>
  </si>
  <si>
    <t>SHREYAS</t>
  </si>
  <si>
    <t>Shreyas Shipping &amp; Logistics Limited</t>
  </si>
  <si>
    <t>INE757B01015</t>
  </si>
  <si>
    <t>SHRIPISTON</t>
  </si>
  <si>
    <t>Shriram Pistons &amp; Rings Limited</t>
  </si>
  <si>
    <t>INE526E01018</t>
  </si>
  <si>
    <t>SHRIRAMFIN</t>
  </si>
  <si>
    <t>Shriram Finance Limited</t>
  </si>
  <si>
    <t>INE721A01013</t>
  </si>
  <si>
    <t>SHRIRAMPPS</t>
  </si>
  <si>
    <t>Shriram Properties Limited</t>
  </si>
  <si>
    <t>INE217L01019</t>
  </si>
  <si>
    <t>SHYAMCENT</t>
  </si>
  <si>
    <t>Shyam Century Ferrous Limited</t>
  </si>
  <si>
    <t>INE979R01011</t>
  </si>
  <si>
    <t>SHYAMMETL</t>
  </si>
  <si>
    <t>Shyam Metalics and Energy Limited</t>
  </si>
  <si>
    <t>INE810G01011</t>
  </si>
  <si>
    <t>SHYAMTEL</t>
  </si>
  <si>
    <t>Shyam Telecom Limited</t>
  </si>
  <si>
    <t>INE635A01023</t>
  </si>
  <si>
    <t>SICALLOG</t>
  </si>
  <si>
    <t>Sical Logistics Limited</t>
  </si>
  <si>
    <t>INE075B01020</t>
  </si>
  <si>
    <t>SIEMENS</t>
  </si>
  <si>
    <t>Siemens Limited</t>
  </si>
  <si>
    <t>INE003A01024</t>
  </si>
  <si>
    <t>SIGACHI</t>
  </si>
  <si>
    <t>Sigachi Industries Limited</t>
  </si>
  <si>
    <t>INE0D0K01022</t>
  </si>
  <si>
    <t>SIGIND</t>
  </si>
  <si>
    <t>Signet Industries Limited</t>
  </si>
  <si>
    <t>INE529F01035</t>
  </si>
  <si>
    <t>SIGMA</t>
  </si>
  <si>
    <t>Sigma Solve Limited</t>
  </si>
  <si>
    <t>INE0A0S01010</t>
  </si>
  <si>
    <t>SIGNATURE</t>
  </si>
  <si>
    <t>Signatureglobal (India) Limited</t>
  </si>
  <si>
    <t>INE903U01023</t>
  </si>
  <si>
    <t>SIKKO</t>
  </si>
  <si>
    <t>Sikko Industries Limited</t>
  </si>
  <si>
    <t>INE112X01017</t>
  </si>
  <si>
    <t>SIL</t>
  </si>
  <si>
    <t>Standard Industries Limited</t>
  </si>
  <si>
    <t>INE173A01025</t>
  </si>
  <si>
    <t>SILGO</t>
  </si>
  <si>
    <t>Silgo Retail Limited</t>
  </si>
  <si>
    <t>INE01II01013</t>
  </si>
  <si>
    <t>SILINV</t>
  </si>
  <si>
    <t>SIL Investments Limited</t>
  </si>
  <si>
    <t>INE923A01015</t>
  </si>
  <si>
    <t>SILLYMONKS</t>
  </si>
  <si>
    <t>Silly Monks Entertainment Limited</t>
  </si>
  <si>
    <t>INE203Y01012</t>
  </si>
  <si>
    <t>SILVERTUC</t>
  </si>
  <si>
    <t>Silver Touch Technologies Limited</t>
  </si>
  <si>
    <t>INE625X01018</t>
  </si>
  <si>
    <t>SIMBHALS</t>
  </si>
  <si>
    <t>Simbhaoli Sugars Limited</t>
  </si>
  <si>
    <t>INE748T01016</t>
  </si>
  <si>
    <t>SIMPLEXINF</t>
  </si>
  <si>
    <t>Simplex Infrastructures Limited</t>
  </si>
  <si>
    <t>INE059B01024</t>
  </si>
  <si>
    <t>SINDHUTRAD</t>
  </si>
  <si>
    <t>Sindhu Trade Links Limited</t>
  </si>
  <si>
    <t>INE325D01025</t>
  </si>
  <si>
    <t>SINTERCOM</t>
  </si>
  <si>
    <t>Sintercom India Limited</t>
  </si>
  <si>
    <t>INE129Z01016</t>
  </si>
  <si>
    <t>SIRCA</t>
  </si>
  <si>
    <t>Sirca Paints India Limited</t>
  </si>
  <si>
    <t>INE792Z01011</t>
  </si>
  <si>
    <t>SIS</t>
  </si>
  <si>
    <t>SIS LIMITED</t>
  </si>
  <si>
    <t>INE285J01028</t>
  </si>
  <si>
    <t>SITINET</t>
  </si>
  <si>
    <t>Siti Networks Limited</t>
  </si>
  <si>
    <t>INE965H01011</t>
  </si>
  <si>
    <t>SIYSIL</t>
  </si>
  <si>
    <t>Siyaram Silk Mills Limited</t>
  </si>
  <si>
    <t>INE076B01028</t>
  </si>
  <si>
    <t>SJS</t>
  </si>
  <si>
    <t>S.J.S. Enterprises Limited</t>
  </si>
  <si>
    <t>INE284S01014</t>
  </si>
  <si>
    <t>SJVN</t>
  </si>
  <si>
    <t>SJVN Limited</t>
  </si>
  <si>
    <t>INE002L01015</t>
  </si>
  <si>
    <t>SKFINDIA</t>
  </si>
  <si>
    <t>SKF India Limited</t>
  </si>
  <si>
    <t>INE640A01023</t>
  </si>
  <si>
    <t>SKIPPER</t>
  </si>
  <si>
    <t>Skipper Limited</t>
  </si>
  <si>
    <t>INE439E01022</t>
  </si>
  <si>
    <t>SKMEGGPROD</t>
  </si>
  <si>
    <t>SKM Egg Products Export (India) Limited</t>
  </si>
  <si>
    <t>INE411D01015</t>
  </si>
  <si>
    <t>SKYGOLD</t>
  </si>
  <si>
    <t>Sky Gold Limited</t>
  </si>
  <si>
    <t>INE01IU01018</t>
  </si>
  <si>
    <t>SMARTLINK</t>
  </si>
  <si>
    <t>Smartlink Holdings Limited</t>
  </si>
  <si>
    <t>INE178C01020</t>
  </si>
  <si>
    <t>SMCGLOBAL</t>
  </si>
  <si>
    <t>SMC Global Securities Limited</t>
  </si>
  <si>
    <t>INE103C01036</t>
  </si>
  <si>
    <t>SMLISUZU</t>
  </si>
  <si>
    <t>SML Isuzu Limited</t>
  </si>
  <si>
    <t>INE294B01019</t>
  </si>
  <si>
    <t>SMLT</t>
  </si>
  <si>
    <t>Sarthak Metals Limited</t>
  </si>
  <si>
    <t>INE017W01010</t>
  </si>
  <si>
    <t>SMSLIFE</t>
  </si>
  <si>
    <t>SMS Lifesciences India Limited</t>
  </si>
  <si>
    <t>INE320X01016</t>
  </si>
  <si>
    <t>SMSPHARMA</t>
  </si>
  <si>
    <t>SMS Pharmaceuticals Limited</t>
  </si>
  <si>
    <t>INE812G01025</t>
  </si>
  <si>
    <t>SNOWMAN</t>
  </si>
  <si>
    <t>Snowman Logistics Limited</t>
  </si>
  <si>
    <t>INE734N01019</t>
  </si>
  <si>
    <t>SOBHA</t>
  </si>
  <si>
    <t>Sobha Limited</t>
  </si>
  <si>
    <t>INE671H01015</t>
  </si>
  <si>
    <t>SOFTTECH</t>
  </si>
  <si>
    <t>Softtech Engineers Limited</t>
  </si>
  <si>
    <t>INE728Z01015</t>
  </si>
  <si>
    <t>SOLARA</t>
  </si>
  <si>
    <t>Solara Active Pharma Sciences Limited</t>
  </si>
  <si>
    <t>INE624Z01016</t>
  </si>
  <si>
    <t>SOLARINDS</t>
  </si>
  <si>
    <t>Solar Industries India Limited</t>
  </si>
  <si>
    <t>INE343H01029</t>
  </si>
  <si>
    <t>SOMANYCERA</t>
  </si>
  <si>
    <t>Somany Ceramics Limited</t>
  </si>
  <si>
    <t>INE355A01028</t>
  </si>
  <si>
    <t>SOMATEX</t>
  </si>
  <si>
    <t>Soma Textiles &amp; Industries Limited</t>
  </si>
  <si>
    <t>INE314C01013</t>
  </si>
  <si>
    <t>SOMICONVEY</t>
  </si>
  <si>
    <t>Somi Conveyor Beltings Limited</t>
  </si>
  <si>
    <t>INE323J01019</t>
  </si>
  <si>
    <t>SONACOMS</t>
  </si>
  <si>
    <t>Sona BLW Precision Forgings Limited</t>
  </si>
  <si>
    <t>INE073K01018</t>
  </si>
  <si>
    <t>SONAMCLOCK</t>
  </si>
  <si>
    <t>Sonam Clock Limited</t>
  </si>
  <si>
    <t>INE00LM01011</t>
  </si>
  <si>
    <t>SONATSOFTW</t>
  </si>
  <si>
    <t>Sonata Software Limited</t>
  </si>
  <si>
    <t>INE269A01021</t>
  </si>
  <si>
    <t>SOTL</t>
  </si>
  <si>
    <t>Savita Oil Technologies Limited</t>
  </si>
  <si>
    <t>INE035D01020</t>
  </si>
  <si>
    <t>SOUTHBANK</t>
  </si>
  <si>
    <t>The South Indian Bank Limited</t>
  </si>
  <si>
    <t>INE683A01023</t>
  </si>
  <si>
    <t>SOUTHWEST</t>
  </si>
  <si>
    <t>South West Pinnacle Exploration Limited</t>
  </si>
  <si>
    <t>INE980Y01015</t>
  </si>
  <si>
    <t>SPAL</t>
  </si>
  <si>
    <t>S. P. Apparels Limited</t>
  </si>
  <si>
    <t>INE212I01016</t>
  </si>
  <si>
    <t>SPANDANA</t>
  </si>
  <si>
    <t>Spandana Sphoorty Financial Limited</t>
  </si>
  <si>
    <t>INE572J01011</t>
  </si>
  <si>
    <t>SPARC</t>
  </si>
  <si>
    <t>Sun Pharma Advanced Research Company Limited</t>
  </si>
  <si>
    <t>INE232I01014</t>
  </si>
  <si>
    <t>SPCENET</t>
  </si>
  <si>
    <t>Spacenet Enterprises India Limited</t>
  </si>
  <si>
    <t>INE970N01027</t>
  </si>
  <si>
    <t>SPECIALITY</t>
  </si>
  <si>
    <t>Speciality Restaurants Limited</t>
  </si>
  <si>
    <t>INE247M01014</t>
  </si>
  <si>
    <t>SPENCERS</t>
  </si>
  <si>
    <t>Spencer's Retail Limited</t>
  </si>
  <si>
    <t>INE020801028</t>
  </si>
  <si>
    <t>SPENTEX</t>
  </si>
  <si>
    <t>Spentex Industries Limited</t>
  </si>
  <si>
    <t>INE376C01020</t>
  </si>
  <si>
    <t>SPIC</t>
  </si>
  <si>
    <t>Southern Petrochemicals Industries Corporation  Limited</t>
  </si>
  <si>
    <t>INE147A01011</t>
  </si>
  <si>
    <t>SPLIL</t>
  </si>
  <si>
    <t>SPL Industries Limited</t>
  </si>
  <si>
    <t>INE978G01016</t>
  </si>
  <si>
    <t>SPLPETRO</t>
  </si>
  <si>
    <t>Supreme Petrochem Limited</t>
  </si>
  <si>
    <t>INE663A01033</t>
  </si>
  <si>
    <t>SPMLINFRA</t>
  </si>
  <si>
    <t>SPML Infra Limited</t>
  </si>
  <si>
    <t>INE937A01023</t>
  </si>
  <si>
    <t>SPORTKING</t>
  </si>
  <si>
    <t>Sportking India Limited</t>
  </si>
  <si>
    <t>INE885H01011</t>
  </si>
  <si>
    <t>SPYL</t>
  </si>
  <si>
    <t>Shekhawati Poly-Yarn Limited</t>
  </si>
  <si>
    <t>INE268L01020</t>
  </si>
  <si>
    <t>SREEL</t>
  </si>
  <si>
    <t>Sreeleathers Limited</t>
  </si>
  <si>
    <t>INE099F01013</t>
  </si>
  <si>
    <t>SRF</t>
  </si>
  <si>
    <t>SRF Limited</t>
  </si>
  <si>
    <t>INE647A01010</t>
  </si>
  <si>
    <t>SRGHFL</t>
  </si>
  <si>
    <t>SRG Housing Finance Limited</t>
  </si>
  <si>
    <t>INE559N01010</t>
  </si>
  <si>
    <t>SRHHYPOLTD</t>
  </si>
  <si>
    <t>Sree Rayalaseema Hi-Strength Hypo Limited</t>
  </si>
  <si>
    <t>INE917H01012</t>
  </si>
  <si>
    <t>SRPL</t>
  </si>
  <si>
    <t>Shree Ram Proteins Limited</t>
  </si>
  <si>
    <t>INE008Z01020</t>
  </si>
  <si>
    <t>SSWL</t>
  </si>
  <si>
    <t>Steel Strips Wheels Limited</t>
  </si>
  <si>
    <t>INE802C01033</t>
  </si>
  <si>
    <t>STAR</t>
  </si>
  <si>
    <t>Strides Pharma Science Limited</t>
  </si>
  <si>
    <t>INE939A01011</t>
  </si>
  <si>
    <t>STARCEMENT</t>
  </si>
  <si>
    <t>Star Cement Limited</t>
  </si>
  <si>
    <t>INE460H01021</t>
  </si>
  <si>
    <t>STARHEALTH</t>
  </si>
  <si>
    <t>Star Health and Allied Insurance Company Limited</t>
  </si>
  <si>
    <t>INE575P01011</t>
  </si>
  <si>
    <t>STARPAPER</t>
  </si>
  <si>
    <t>Star Paper Mills Limited</t>
  </si>
  <si>
    <t>INE733A01018</t>
  </si>
  <si>
    <t>STARTECK</t>
  </si>
  <si>
    <t>Starteck Finance Limited</t>
  </si>
  <si>
    <t>INE992I01013</t>
  </si>
  <si>
    <t>STCINDIA</t>
  </si>
  <si>
    <t>The State Trading Corporation of India Limited</t>
  </si>
  <si>
    <t>INE655A01013</t>
  </si>
  <si>
    <t>STEELCAS</t>
  </si>
  <si>
    <t>Steelcast Limited</t>
  </si>
  <si>
    <t>INE124E01020</t>
  </si>
  <si>
    <t>STEELCITY</t>
  </si>
  <si>
    <t>Steel City Securities Limited</t>
  </si>
  <si>
    <t>INE395H01011</t>
  </si>
  <si>
    <t>STEELXIND</t>
  </si>
  <si>
    <t>STEEL EXCHANGE INDIA LIMITED</t>
  </si>
  <si>
    <t>INE503B01021</t>
  </si>
  <si>
    <t>STEL</t>
  </si>
  <si>
    <t>Stel Holdings Limited</t>
  </si>
  <si>
    <t>INE577L01016</t>
  </si>
  <si>
    <t>STERTOOLS</t>
  </si>
  <si>
    <t>Sterling Tools Limited</t>
  </si>
  <si>
    <t>INE334A01023</t>
  </si>
  <si>
    <t>STLTECH</t>
  </si>
  <si>
    <t>Sterlite Technologies Limited</t>
  </si>
  <si>
    <t>INE089C01029</t>
  </si>
  <si>
    <t>STOVEKRAFT</t>
  </si>
  <si>
    <t>Stove Kraft Limited</t>
  </si>
  <si>
    <t>INE00IN01015</t>
  </si>
  <si>
    <t>STYLAMIND</t>
  </si>
  <si>
    <t>Stylam Industries Limited</t>
  </si>
  <si>
    <t>INE239C01020</t>
  </si>
  <si>
    <t>STYRENIX</t>
  </si>
  <si>
    <t>Styrenix Performance Materials Limited</t>
  </si>
  <si>
    <t>INE189B01011</t>
  </si>
  <si>
    <t>SUBEXLTD</t>
  </si>
  <si>
    <t>Subex Limited</t>
  </si>
  <si>
    <t>INE754A01055</t>
  </si>
  <si>
    <t>SUBROS</t>
  </si>
  <si>
    <t>Subros Limited</t>
  </si>
  <si>
    <t>INE287B01021</t>
  </si>
  <si>
    <t>SUDARSCHEM</t>
  </si>
  <si>
    <t>Sudarshan Chemical Industries Limited</t>
  </si>
  <si>
    <t>INE659A01023</t>
  </si>
  <si>
    <t>SUKHJITS</t>
  </si>
  <si>
    <t>Sukhjit Starch &amp; Chemicals Limited</t>
  </si>
  <si>
    <t>INE450E01011</t>
  </si>
  <si>
    <t>SULA</t>
  </si>
  <si>
    <t>Sula Vineyards Limited</t>
  </si>
  <si>
    <t>INE142Q01026</t>
  </si>
  <si>
    <t>SUMEETINDS</t>
  </si>
  <si>
    <t>Sumeet Industries Limited</t>
  </si>
  <si>
    <t>INE235C01010</t>
  </si>
  <si>
    <t>SUMICHEM</t>
  </si>
  <si>
    <t>Sumitomo Chemical India Limited</t>
  </si>
  <si>
    <t>INE258G01013</t>
  </si>
  <si>
    <t>SUMIT</t>
  </si>
  <si>
    <t>Sumit Woods Limited</t>
  </si>
  <si>
    <t>INE748Z01013</t>
  </si>
  <si>
    <t>SUMMITSEC</t>
  </si>
  <si>
    <t>Summit Securities Limited</t>
  </si>
  <si>
    <t>INE519C01017</t>
  </si>
  <si>
    <t>SUNDARAM</t>
  </si>
  <si>
    <t>Sundaram Multi Pap Limited</t>
  </si>
  <si>
    <t>INE108E01023</t>
  </si>
  <si>
    <t>SUNDARMFIN</t>
  </si>
  <si>
    <t>Sundaram Finance Limited</t>
  </si>
  <si>
    <t>INE660A01013</t>
  </si>
  <si>
    <t>SUNDARMHLD</t>
  </si>
  <si>
    <t>Sundaram Finance Holdings Limited</t>
  </si>
  <si>
    <t>INE202Z01029</t>
  </si>
  <si>
    <t>SUNDRMBRAK</t>
  </si>
  <si>
    <t>Sundaram Brake Linings Limited</t>
  </si>
  <si>
    <t>INE073D01013</t>
  </si>
  <si>
    <t>SUNDRMFAST</t>
  </si>
  <si>
    <t>Sundram Fasteners Limited</t>
  </si>
  <si>
    <t>INE387A01021</t>
  </si>
  <si>
    <t>SUNFLAG</t>
  </si>
  <si>
    <t>Sunflag Iron And Steel Company Limited</t>
  </si>
  <si>
    <t>INE947A01014</t>
  </si>
  <si>
    <t>SUNPHARMA</t>
  </si>
  <si>
    <t>Sun Pharmaceutical Industries Limited</t>
  </si>
  <si>
    <t>INE044A01036</t>
  </si>
  <si>
    <t>SUNTECK</t>
  </si>
  <si>
    <t>Sunteck Realty Limited</t>
  </si>
  <si>
    <t>INE805D01034</t>
  </si>
  <si>
    <t>SUNTV</t>
  </si>
  <si>
    <t>Sun TV Network Limited</t>
  </si>
  <si>
    <t>INE424H01027</t>
  </si>
  <si>
    <t>SUPERHOUSE</t>
  </si>
  <si>
    <t>Superhouse Limited</t>
  </si>
  <si>
    <t>INE712B01010</t>
  </si>
  <si>
    <t>SUPERSPIN</t>
  </si>
  <si>
    <t>Super Spinning Mills Limited</t>
  </si>
  <si>
    <t>INE662A01027</t>
  </si>
  <si>
    <t>SUPRAJIT</t>
  </si>
  <si>
    <t>Suprajit Engineering Limited</t>
  </si>
  <si>
    <t>INE399C01030</t>
  </si>
  <si>
    <t>SUPREMEENG</t>
  </si>
  <si>
    <t>Supreme Engineering Limited</t>
  </si>
  <si>
    <t>INE319Z01021</t>
  </si>
  <si>
    <t>SUPREMEIND</t>
  </si>
  <si>
    <t>Supreme Industries Limited</t>
  </si>
  <si>
    <t>INE195A01028</t>
  </si>
  <si>
    <t>SUPREMEINF</t>
  </si>
  <si>
    <t>Supreme Infrastructure India Limited</t>
  </si>
  <si>
    <t>INE550H01011</t>
  </si>
  <si>
    <t>SUPRIYA</t>
  </si>
  <si>
    <t>Supriya Lifescience Limited</t>
  </si>
  <si>
    <t>INE07RO01027</t>
  </si>
  <si>
    <t>SURANASOL</t>
  </si>
  <si>
    <t>Surana Solar Limited</t>
  </si>
  <si>
    <t>INE272L01022</t>
  </si>
  <si>
    <t>SURANAT&amp;P</t>
  </si>
  <si>
    <t>Surana Telecom and Power Limited</t>
  </si>
  <si>
    <t>INE130B01031</t>
  </si>
  <si>
    <t>SURYALAXMI</t>
  </si>
  <si>
    <t>Suryalakshmi Cotton Mills Limited</t>
  </si>
  <si>
    <t>INE713B01026</t>
  </si>
  <si>
    <t>SURYAROSNI</t>
  </si>
  <si>
    <t>Surya Roshni Limited</t>
  </si>
  <si>
    <t>INE335A01020</t>
  </si>
  <si>
    <t>SURYODAY</t>
  </si>
  <si>
    <t>Suryoday Small Finance Bank Limited</t>
  </si>
  <si>
    <t>INE428Q01011</t>
  </si>
  <si>
    <t>SUTLEJTEX</t>
  </si>
  <si>
    <t>Sutlej Textiles and Industries Limited</t>
  </si>
  <si>
    <t>INE645H01027</t>
  </si>
  <si>
    <t>SUULD</t>
  </si>
  <si>
    <t>Suumaya Industries Limited</t>
  </si>
  <si>
    <t>INE591Q01016</t>
  </si>
  <si>
    <t>SUVEN</t>
  </si>
  <si>
    <t>Suven Life Sciences Limited</t>
  </si>
  <si>
    <t>INE495B01038</t>
  </si>
  <si>
    <t>SUVENPHAR</t>
  </si>
  <si>
    <t>Suven Pharmaceuticals Limited</t>
  </si>
  <si>
    <t>INE03QK01018</t>
  </si>
  <si>
    <t>SUVIDHAA</t>
  </si>
  <si>
    <t>Suvidhaa Infoserve Limited</t>
  </si>
  <si>
    <t>INE018401013</t>
  </si>
  <si>
    <t>SUZLON</t>
  </si>
  <si>
    <t>Suzlon Energy Limited</t>
  </si>
  <si>
    <t>INE040H01021</t>
  </si>
  <si>
    <t>SVLL</t>
  </si>
  <si>
    <t>Shree Vasu Logistics Limited</t>
  </si>
  <si>
    <t>INE00CE01017</t>
  </si>
  <si>
    <t>SVPGLOB</t>
  </si>
  <si>
    <t>SVP GLOBAL TEXTILES LIMITED</t>
  </si>
  <si>
    <t>INE308E01029</t>
  </si>
  <si>
    <t>SWANENERGY</t>
  </si>
  <si>
    <t>Swan Energy Limited</t>
  </si>
  <si>
    <t>INE665A01038</t>
  </si>
  <si>
    <t>SWARAJENG</t>
  </si>
  <si>
    <t>Swaraj Engines Limited</t>
  </si>
  <si>
    <t>INE277A01016</t>
  </si>
  <si>
    <t>SWELECTES</t>
  </si>
  <si>
    <t>Swelect Energy Systems Limited</t>
  </si>
  <si>
    <t>INE409B01013</t>
  </si>
  <si>
    <t>SWSOLAR</t>
  </si>
  <si>
    <t>Sterling and Wilson Renewable Energy Limited</t>
  </si>
  <si>
    <t>INE00M201021</t>
  </si>
  <si>
    <t>SYMPHONY</t>
  </si>
  <si>
    <t>Symphony Limited</t>
  </si>
  <si>
    <t>INE225D01027</t>
  </si>
  <si>
    <t>SYNCOMF</t>
  </si>
  <si>
    <t>Syncom Formulations (India) Limited</t>
  </si>
  <si>
    <t>INE312C01025</t>
  </si>
  <si>
    <t>SYNGENE</t>
  </si>
  <si>
    <t>Syngene International Limited</t>
  </si>
  <si>
    <t>INE398R01022</t>
  </si>
  <si>
    <t>SYRMA</t>
  </si>
  <si>
    <t>Syrma SGS Technology Limited</t>
  </si>
  <si>
    <t>INE0DYJ01015</t>
  </si>
  <si>
    <t>TAINWALCHM</t>
  </si>
  <si>
    <t>Tainwala Chemical and Plastic (I) Limited</t>
  </si>
  <si>
    <t>INE123C01018</t>
  </si>
  <si>
    <t>TAJGVK</t>
  </si>
  <si>
    <t>Taj GVK Hotels &amp; Resorts Limited</t>
  </si>
  <si>
    <t>INE586B01026</t>
  </si>
  <si>
    <t>TAKE</t>
  </si>
  <si>
    <t>Take Solutions Limited</t>
  </si>
  <si>
    <t>INE142I01023</t>
  </si>
  <si>
    <t>TALBROAUTO</t>
  </si>
  <si>
    <t>Talbros Automotive Components Limited</t>
  </si>
  <si>
    <t>INE187D01029</t>
  </si>
  <si>
    <t>TANLA</t>
  </si>
  <si>
    <t>Tanla Platforms Limited</t>
  </si>
  <si>
    <t>INE483C01032</t>
  </si>
  <si>
    <t>TARAPUR</t>
  </si>
  <si>
    <t>Tarapur Transformers Limited</t>
  </si>
  <si>
    <t>INE747K01017</t>
  </si>
  <si>
    <t>TARC</t>
  </si>
  <si>
    <t>TARC Limited</t>
  </si>
  <si>
    <t>INE0EK901012</t>
  </si>
  <si>
    <t>TARMAT</t>
  </si>
  <si>
    <t>Tarmat Limited</t>
  </si>
  <si>
    <t>INE924H01018</t>
  </si>
  <si>
    <t>TARSONS</t>
  </si>
  <si>
    <t>Tarsons Products Limited</t>
  </si>
  <si>
    <t>INE144Z01023</t>
  </si>
  <si>
    <t>TASTYBITE</t>
  </si>
  <si>
    <t>Tasty Bite Eatables Limited</t>
  </si>
  <si>
    <t>INE488B01017</t>
  </si>
  <si>
    <t>TATACHEM</t>
  </si>
  <si>
    <t>Tata Chemicals Limited</t>
  </si>
  <si>
    <t>INE092A01019</t>
  </si>
  <si>
    <t>TATACOFFEE</t>
  </si>
  <si>
    <t>Tata Coffee Limited</t>
  </si>
  <si>
    <t>INE493A01027</t>
  </si>
  <si>
    <t>TATACOMM</t>
  </si>
  <si>
    <t>Tata Communications Limited</t>
  </si>
  <si>
    <t>INE151A01013</t>
  </si>
  <si>
    <t>TATACONSUM</t>
  </si>
  <si>
    <t>TATA CONSUMER PRODUCTS LIMITED</t>
  </si>
  <si>
    <t>INE192A01025</t>
  </si>
  <si>
    <t>TATAELXSI</t>
  </si>
  <si>
    <t>Tata Elxsi Limited</t>
  </si>
  <si>
    <t>INE670A01012</t>
  </si>
  <si>
    <t>TATAINVEST</t>
  </si>
  <si>
    <t>Tata Investment Corporation Limited</t>
  </si>
  <si>
    <t>INE672A01018</t>
  </si>
  <si>
    <t>TATAMETALI</t>
  </si>
  <si>
    <t>Tata Metaliks Limited</t>
  </si>
  <si>
    <t>INE056C01010</t>
  </si>
  <si>
    <t>TATAMOTORS</t>
  </si>
  <si>
    <t>Tata Motors Limited</t>
  </si>
  <si>
    <t>INE155A01022</t>
  </si>
  <si>
    <t>TATAMTRDVR</t>
  </si>
  <si>
    <t>IN9155A01020</t>
  </si>
  <si>
    <t>TATAPOWER</t>
  </si>
  <si>
    <t>Tata Power Company Limited</t>
  </si>
  <si>
    <t>INE245A01021</t>
  </si>
  <si>
    <t>TATASTEEL</t>
  </si>
  <si>
    <t>Tata Steel Limited</t>
  </si>
  <si>
    <t>INE081A01020</t>
  </si>
  <si>
    <t>TATASTLLP</t>
  </si>
  <si>
    <t>Tata Steel Long Products Limited</t>
  </si>
  <si>
    <t>INE674A01014</t>
  </si>
  <si>
    <t>TATVA</t>
  </si>
  <si>
    <t>Tatva Chintan Pharma Chem Limited</t>
  </si>
  <si>
    <t>INE0GK401011</t>
  </si>
  <si>
    <t>TBZ</t>
  </si>
  <si>
    <t>Tribhovandas Bhimji Zaveri Limited</t>
  </si>
  <si>
    <t>INE760L01018</t>
  </si>
  <si>
    <t>TCI</t>
  </si>
  <si>
    <t>Transport Corporation of India Limited</t>
  </si>
  <si>
    <t>INE688A01022</t>
  </si>
  <si>
    <t>TCIEXP</t>
  </si>
  <si>
    <t>TCI Express Limited</t>
  </si>
  <si>
    <t>INE586V01016</t>
  </si>
  <si>
    <t>TCLCONS</t>
  </si>
  <si>
    <t>Tantia Constructions Limited</t>
  </si>
  <si>
    <t>INE388G01026</t>
  </si>
  <si>
    <t>TCNSBRANDS</t>
  </si>
  <si>
    <t>TCNS Clothing Co. Limited</t>
  </si>
  <si>
    <t>INE778U01029</t>
  </si>
  <si>
    <t>TCPLPACK</t>
  </si>
  <si>
    <t>TCPL Packaging Limited</t>
  </si>
  <si>
    <t>INE822C01015</t>
  </si>
  <si>
    <t>TCS</t>
  </si>
  <si>
    <t>Tata Consultancy Services Limited</t>
  </si>
  <si>
    <t>INE467B01029</t>
  </si>
  <si>
    <t>TDPOWERSYS</t>
  </si>
  <si>
    <t>TD Power Systems Limited</t>
  </si>
  <si>
    <t>INE419M01027</t>
  </si>
  <si>
    <t>TEAMLEASE</t>
  </si>
  <si>
    <t>Teamlease Services Limited</t>
  </si>
  <si>
    <t>INE985S01024</t>
  </si>
  <si>
    <t>TECHIN</t>
  </si>
  <si>
    <t>Techindia Nirman Limited</t>
  </si>
  <si>
    <t>INE778A01021</t>
  </si>
  <si>
    <t>TECHM</t>
  </si>
  <si>
    <t>Tech Mahindra Limited</t>
  </si>
  <si>
    <t>INE669C01036</t>
  </si>
  <si>
    <t>TECHNOE</t>
  </si>
  <si>
    <t>Techno Electric &amp; Engineering Company Limited</t>
  </si>
  <si>
    <t>INE285K01026</t>
  </si>
  <si>
    <t>TECILCHEM</t>
  </si>
  <si>
    <t>TECIL Chemicals and Hydro Power Limited</t>
  </si>
  <si>
    <t>INE014B01011</t>
  </si>
  <si>
    <t>TEGA</t>
  </si>
  <si>
    <t>Tega Industries Limited</t>
  </si>
  <si>
    <t>INE011K01018</t>
  </si>
  <si>
    <t>TEJASNET</t>
  </si>
  <si>
    <t>Tejas Networks Limited</t>
  </si>
  <si>
    <t>INE010J01012</t>
  </si>
  <si>
    <t>TEMBO</t>
  </si>
  <si>
    <t>Tembo Global Industries Limited</t>
  </si>
  <si>
    <t>INE869Y01010</t>
  </si>
  <si>
    <t>TERASOFT</t>
  </si>
  <si>
    <t>Tera Software Limited</t>
  </si>
  <si>
    <t>INE482B01010</t>
  </si>
  <si>
    <t>TEXINFRA</t>
  </si>
  <si>
    <t>Texmaco Infrastructure &amp; Holdings Limited</t>
  </si>
  <si>
    <t>INE435C01024</t>
  </si>
  <si>
    <t>TEXMOPIPES</t>
  </si>
  <si>
    <t>Texmo Pipes and Products Limited</t>
  </si>
  <si>
    <t>INE141K01013</t>
  </si>
  <si>
    <t>TEXRAIL</t>
  </si>
  <si>
    <t>Texmaco Rail &amp; Engineering Limited</t>
  </si>
  <si>
    <t>INE621L01012</t>
  </si>
  <si>
    <t>TFCILTD</t>
  </si>
  <si>
    <t>Tourism Finance Corporation of India Limited</t>
  </si>
  <si>
    <t>INE305A01015</t>
  </si>
  <si>
    <t>TFL</t>
  </si>
  <si>
    <t>Transwarranty Finance Limited</t>
  </si>
  <si>
    <t>INE804H01012</t>
  </si>
  <si>
    <t>TGBHOTELS</t>
  </si>
  <si>
    <t>TGB Banquets And Hotels Limited</t>
  </si>
  <si>
    <t>INE797H01018</t>
  </si>
  <si>
    <t>THANGAMAYL</t>
  </si>
  <si>
    <t>Thangamayil Jewellery Limited</t>
  </si>
  <si>
    <t>INE085J01014</t>
  </si>
  <si>
    <t>THEINVEST</t>
  </si>
  <si>
    <t>The Investment Trust Of India Limited</t>
  </si>
  <si>
    <t>INE924D01017</t>
  </si>
  <si>
    <t>THEJO</t>
  </si>
  <si>
    <t>Thejo Engineering Limited</t>
  </si>
  <si>
    <t>INE121N01019</t>
  </si>
  <si>
    <t>THEMISMED</t>
  </si>
  <si>
    <t>Themis Medicare Limited</t>
  </si>
  <si>
    <t>INE083B01024</t>
  </si>
  <si>
    <t>THERMAX</t>
  </si>
  <si>
    <t>Thermax Limited</t>
  </si>
  <si>
    <t>INE152A01029</t>
  </si>
  <si>
    <t>THOMASCOOK</t>
  </si>
  <si>
    <t>Thomas Cook  (India)  Limited</t>
  </si>
  <si>
    <t>INE332A01027</t>
  </si>
  <si>
    <t>THOMASCOTT</t>
  </si>
  <si>
    <t>Thomas Scott (India) Limited</t>
  </si>
  <si>
    <t>INE480M01011</t>
  </si>
  <si>
    <t>THYROCARE</t>
  </si>
  <si>
    <t>Thyrocare Technologies Limited</t>
  </si>
  <si>
    <t>INE594H01019</t>
  </si>
  <si>
    <t>TI</t>
  </si>
  <si>
    <t>Tilaknagar Industries Limited</t>
  </si>
  <si>
    <t>INE133E01013</t>
  </si>
  <si>
    <t>TIDEWATER</t>
  </si>
  <si>
    <t>Tide Water Oil Company (India) Limited</t>
  </si>
  <si>
    <t>INE484C01030</t>
  </si>
  <si>
    <t>TIIL</t>
  </si>
  <si>
    <t>Technocraft Industries (India) Limited</t>
  </si>
  <si>
    <t>INE545H01011</t>
  </si>
  <si>
    <t>TIINDIA</t>
  </si>
  <si>
    <t>Tube Investments of India Limited</t>
  </si>
  <si>
    <t>INE974X01010</t>
  </si>
  <si>
    <t>TIJARIA</t>
  </si>
  <si>
    <t>Tijaria Polypipes Limited</t>
  </si>
  <si>
    <t>INE440L01017</t>
  </si>
  <si>
    <t>TIL</t>
  </si>
  <si>
    <t>TIL Limited</t>
  </si>
  <si>
    <t>INE806C01018</t>
  </si>
  <si>
    <t>TIMESGTY</t>
  </si>
  <si>
    <t>Times Guaranty Limited</t>
  </si>
  <si>
    <t>INE289C01025</t>
  </si>
  <si>
    <t>TIMETECHNO</t>
  </si>
  <si>
    <t>Time Technoplast Limited</t>
  </si>
  <si>
    <t>INE508G01029</t>
  </si>
  <si>
    <t>TIMKEN</t>
  </si>
  <si>
    <t>Timken India Limited</t>
  </si>
  <si>
    <t>INE325A01013</t>
  </si>
  <si>
    <t>TINPLATE</t>
  </si>
  <si>
    <t>The Tinplate Company of India Limited</t>
  </si>
  <si>
    <t>INE422C01014</t>
  </si>
  <si>
    <t>TIPSFILMS</t>
  </si>
  <si>
    <t>Tips Films Limited</t>
  </si>
  <si>
    <t>INE0LQS01015</t>
  </si>
  <si>
    <t>TIPSINDLTD</t>
  </si>
  <si>
    <t>TIPS Industries Limited</t>
  </si>
  <si>
    <t>INE716B01029</t>
  </si>
  <si>
    <t>TIRUMALCHM</t>
  </si>
  <si>
    <t>Thirumalai Chemicals Limited</t>
  </si>
  <si>
    <t>INE338A01024</t>
  </si>
  <si>
    <t>TIRUPATIFL</t>
  </si>
  <si>
    <t>Tirupati Forge Limited</t>
  </si>
  <si>
    <t>INE319Y01024</t>
  </si>
  <si>
    <t>TITAGARH</t>
  </si>
  <si>
    <t>TITAGARH RAIL SYSTEMS LIMITED</t>
  </si>
  <si>
    <t>INE615H01020</t>
  </si>
  <si>
    <t>TITAN</t>
  </si>
  <si>
    <t>Titan Company Limited</t>
  </si>
  <si>
    <t>INE280A01028</t>
  </si>
  <si>
    <t>TMB</t>
  </si>
  <si>
    <t>Tamilnad Mercantile Bank Limited</t>
  </si>
  <si>
    <t>INE668A01016</t>
  </si>
  <si>
    <t>TNPETRO</t>
  </si>
  <si>
    <t>Tamilnadu PetroProducts Limited</t>
  </si>
  <si>
    <t>INE148A01019</t>
  </si>
  <si>
    <t>TNPL</t>
  </si>
  <si>
    <t>Tamil Nadu Newsprint &amp; Papers Limited</t>
  </si>
  <si>
    <t>INE107A01015</t>
  </si>
  <si>
    <t>TNTELE</t>
  </si>
  <si>
    <t>Tamilnadu Telecommunication Limited</t>
  </si>
  <si>
    <t>INE141D01018</t>
  </si>
  <si>
    <t>TOKYOPLAST</t>
  </si>
  <si>
    <t>Tokyo Plast International Limited</t>
  </si>
  <si>
    <t>INE932C01012</t>
  </si>
  <si>
    <t>TORNTPHARM</t>
  </si>
  <si>
    <t>Torrent Pharmaceuticals Limited</t>
  </si>
  <si>
    <t>INE685A01028</t>
  </si>
  <si>
    <t>TORNTPOWER</t>
  </si>
  <si>
    <t>Torrent Power Limited</t>
  </si>
  <si>
    <t>INE813H01021</t>
  </si>
  <si>
    <t>TOTAL</t>
  </si>
  <si>
    <t>Total Transport Systems Limited</t>
  </si>
  <si>
    <t>INE336X01012</t>
  </si>
  <si>
    <t>TOUCHWOOD</t>
  </si>
  <si>
    <t>Touchwood Entertainment Limited</t>
  </si>
  <si>
    <t>INE486Y01013</t>
  </si>
  <si>
    <t>TPHQ</t>
  </si>
  <si>
    <t>Teamo Productions HQ Limited</t>
  </si>
  <si>
    <t>INE065J01016</t>
  </si>
  <si>
    <t>TPLPLASTEH</t>
  </si>
  <si>
    <t>TPL Plastech Limited</t>
  </si>
  <si>
    <t>INE413G01022</t>
  </si>
  <si>
    <t>TRACXN</t>
  </si>
  <si>
    <t>Tracxn Technologies Limited</t>
  </si>
  <si>
    <t>INE0HMF01019</t>
  </si>
  <si>
    <t>TREEHOUSE</t>
  </si>
  <si>
    <t>Tree House Education &amp; Accessories Limited</t>
  </si>
  <si>
    <t>INE040M01013</t>
  </si>
  <si>
    <t>TREJHARA</t>
  </si>
  <si>
    <t>TREJHARA SOLUTIONS LIMITED</t>
  </si>
  <si>
    <t>INE00CA01015</t>
  </si>
  <si>
    <t>TREL</t>
  </si>
  <si>
    <t>Transindia Real Estate Limited</t>
  </si>
  <si>
    <t>INE0O3901029</t>
  </si>
  <si>
    <t>TRENT</t>
  </si>
  <si>
    <t>Trent Limited</t>
  </si>
  <si>
    <t>INE849A01020</t>
  </si>
  <si>
    <t>TRF</t>
  </si>
  <si>
    <t>TRF Limited</t>
  </si>
  <si>
    <t>INE391D01019</t>
  </si>
  <si>
    <t>TRIDENT</t>
  </si>
  <si>
    <t>Trident Limited</t>
  </si>
  <si>
    <t>INE064C01022</t>
  </si>
  <si>
    <t>TRIGYN</t>
  </si>
  <si>
    <t>Trigyn Technologies Limited</t>
  </si>
  <si>
    <t>INE948A01012</t>
  </si>
  <si>
    <t>TRIL</t>
  </si>
  <si>
    <t>Transformers And Rectifiers (India) Limited</t>
  </si>
  <si>
    <t>INE763I01026</t>
  </si>
  <si>
    <t>TRITURBINE</t>
  </si>
  <si>
    <t>Triveni Turbine Limited</t>
  </si>
  <si>
    <t>INE152M01016</t>
  </si>
  <si>
    <t>TRIVENI</t>
  </si>
  <si>
    <t>Triveni Engineering &amp; Industries Limited</t>
  </si>
  <si>
    <t>INE256C01024</t>
  </si>
  <si>
    <t>TRU</t>
  </si>
  <si>
    <t>TruCap Finance Limited</t>
  </si>
  <si>
    <t>INE615R01029</t>
  </si>
  <si>
    <t>TTKHLTCARE</t>
  </si>
  <si>
    <t>TTK Healthcare Limited</t>
  </si>
  <si>
    <t>INE910C01018</t>
  </si>
  <si>
    <t>TTKPRESTIG</t>
  </si>
  <si>
    <t>TTK Prestige Limited</t>
  </si>
  <si>
    <t>INE690A01028</t>
  </si>
  <si>
    <t>TTL</t>
  </si>
  <si>
    <t>T T Limited</t>
  </si>
  <si>
    <t>INE592B01016</t>
  </si>
  <si>
    <t>TTML</t>
  </si>
  <si>
    <t>Tata Teleservices (Maharashtra) Limited</t>
  </si>
  <si>
    <t>INE517B01013</t>
  </si>
  <si>
    <t>TV18BRDCST</t>
  </si>
  <si>
    <t>TV18 Broadcast Limited</t>
  </si>
  <si>
    <t>INE886H01027</t>
  </si>
  <si>
    <t>TVSELECT</t>
  </si>
  <si>
    <t>TVS Electronics Limited</t>
  </si>
  <si>
    <t>INE236G01019</t>
  </si>
  <si>
    <t>TVSHLTD</t>
  </si>
  <si>
    <t>TVS Holdings Limited</t>
  </si>
  <si>
    <t>INE105A01035</t>
  </si>
  <si>
    <t>TVSMOTOR</t>
  </si>
  <si>
    <t>TVS Motor Company Limited</t>
  </si>
  <si>
    <t>INE494B01023</t>
  </si>
  <si>
    <t>TVSSCS</t>
  </si>
  <si>
    <t>TVS Supply Chain Solutions Limited</t>
  </si>
  <si>
    <t>INE395N01027</t>
  </si>
  <si>
    <t>TVSSRICHAK</t>
  </si>
  <si>
    <t>TVS Srichakra Limited</t>
  </si>
  <si>
    <t>INE421C01016</t>
  </si>
  <si>
    <t>TVTODAY</t>
  </si>
  <si>
    <t>TV Today Network Limited</t>
  </si>
  <si>
    <t>INE038F01029</t>
  </si>
  <si>
    <t>TVVISION</t>
  </si>
  <si>
    <t>TV Vision Limited</t>
  </si>
  <si>
    <t>INE871L01013</t>
  </si>
  <si>
    <t>UBL</t>
  </si>
  <si>
    <t>United Breweries Limited</t>
  </si>
  <si>
    <t>INE686F01025</t>
  </si>
  <si>
    <t>UCAL</t>
  </si>
  <si>
    <t>UCAL LIMITED</t>
  </si>
  <si>
    <t>INE139B01016</t>
  </si>
  <si>
    <t>UCOBANK</t>
  </si>
  <si>
    <t>UCO Bank</t>
  </si>
  <si>
    <t>INE691A01018</t>
  </si>
  <si>
    <t>UDS</t>
  </si>
  <si>
    <t>Updater Services Limited</t>
  </si>
  <si>
    <t>INE851I01011</t>
  </si>
  <si>
    <t>UFLEX</t>
  </si>
  <si>
    <t>UFLEX Limited</t>
  </si>
  <si>
    <t>INE516A01017</t>
  </si>
  <si>
    <t>UFO</t>
  </si>
  <si>
    <t>UFO Moviez India Limited</t>
  </si>
  <si>
    <t>INE527H01019</t>
  </si>
  <si>
    <t>UGARSUGAR</t>
  </si>
  <si>
    <t>The Ugar Sugar Works Limited</t>
  </si>
  <si>
    <t>INE071E01023</t>
  </si>
  <si>
    <t>UGROCAP</t>
  </si>
  <si>
    <t>Ugro Capital Limited</t>
  </si>
  <si>
    <t>INE583D01011</t>
  </si>
  <si>
    <t>UJJIVAN</t>
  </si>
  <si>
    <t>Ujjivan Financial Services Limited</t>
  </si>
  <si>
    <t>INE334L01012</t>
  </si>
  <si>
    <t>UJJIVANSFB</t>
  </si>
  <si>
    <t>Ujjivan Small Finance Bank Limited</t>
  </si>
  <si>
    <t>INE551W01018</t>
  </si>
  <si>
    <t>ULTRACEMCO</t>
  </si>
  <si>
    <t>UltraTech Cement Limited</t>
  </si>
  <si>
    <t>INE481G01011</t>
  </si>
  <si>
    <t>UMAEXPORTS</t>
  </si>
  <si>
    <t>Uma Exports Limited</t>
  </si>
  <si>
    <t>INE0GIU01018</t>
  </si>
  <si>
    <t>UMANGDAIRY</t>
  </si>
  <si>
    <t>Umang Dairies Limited</t>
  </si>
  <si>
    <t>INE864B01027</t>
  </si>
  <si>
    <t>UMESLTD</t>
  </si>
  <si>
    <t>Usha Martin Education &amp; Solutions Limited</t>
  </si>
  <si>
    <t>INE240C01028</t>
  </si>
  <si>
    <t>UNICHEMLAB</t>
  </si>
  <si>
    <t>Unichem Laboratories Limited</t>
  </si>
  <si>
    <t>INE351A01035</t>
  </si>
  <si>
    <t>UNIDT</t>
  </si>
  <si>
    <t>United Drilling Tools Limited</t>
  </si>
  <si>
    <t>INE961D01019</t>
  </si>
  <si>
    <t>UNIENTER</t>
  </si>
  <si>
    <t>Uniphos Enterprises Limited</t>
  </si>
  <si>
    <t>INE037A01022</t>
  </si>
  <si>
    <t>UNIINFO</t>
  </si>
  <si>
    <t>Uniinfo Telecom Services Limited</t>
  </si>
  <si>
    <t>INE481Z01011</t>
  </si>
  <si>
    <t>UNIONBANK</t>
  </si>
  <si>
    <t>Union Bank of India</t>
  </si>
  <si>
    <t>INE692A01016</t>
  </si>
  <si>
    <t>UNIPARTS</t>
  </si>
  <si>
    <t>Uniparts India Limited</t>
  </si>
  <si>
    <t>INE244O01017</t>
  </si>
  <si>
    <t>UNITECH</t>
  </si>
  <si>
    <t>Unitech Limited</t>
  </si>
  <si>
    <t>INE694A01020</t>
  </si>
  <si>
    <t>UNITEDPOLY</t>
  </si>
  <si>
    <t>United Polyfab Gujarat Limited</t>
  </si>
  <si>
    <t>INE368U01011</t>
  </si>
  <si>
    <t>UNITEDTEA</t>
  </si>
  <si>
    <t>The United Nilgiri Tea Estates Company Limited</t>
  </si>
  <si>
    <t>INE458F01011</t>
  </si>
  <si>
    <t>UNIVAFOODS</t>
  </si>
  <si>
    <t>Univa Foods Limited</t>
  </si>
  <si>
    <t>INE275F01019</t>
  </si>
  <si>
    <t>UNIVASTU</t>
  </si>
  <si>
    <t>Univastu India Limited</t>
  </si>
  <si>
    <t>INE562X01013</t>
  </si>
  <si>
    <t>UNIVCABLES</t>
  </si>
  <si>
    <t>Universal Cables Limited</t>
  </si>
  <si>
    <t>INE279A01012</t>
  </si>
  <si>
    <t>UNIVPHOTO</t>
  </si>
  <si>
    <t>Universus Photo Imagings Limited</t>
  </si>
  <si>
    <t>INE03V001013</t>
  </si>
  <si>
    <t>UNOMINDA</t>
  </si>
  <si>
    <t>UNO Minda Limited</t>
  </si>
  <si>
    <t>INE405E01023</t>
  </si>
  <si>
    <t>UPL</t>
  </si>
  <si>
    <t>UPL Limited</t>
  </si>
  <si>
    <t>INE628A01036</t>
  </si>
  <si>
    <t>URAVI</t>
  </si>
  <si>
    <t>Uravi T and Wedge Lamps Limited</t>
  </si>
  <si>
    <t>INE568Z01015</t>
  </si>
  <si>
    <t>URJA</t>
  </si>
  <si>
    <t>Urja Global Limited</t>
  </si>
  <si>
    <t>INE550C01020</t>
  </si>
  <si>
    <t>USHAMART</t>
  </si>
  <si>
    <t>Usha Martin Limited</t>
  </si>
  <si>
    <t>INE228A01035</t>
  </si>
  <si>
    <t>USK</t>
  </si>
  <si>
    <t>Udayshivakumar Infra Limited</t>
  </si>
  <si>
    <t>INE0N0Y01013</t>
  </si>
  <si>
    <t>UTIAMC</t>
  </si>
  <si>
    <t>UTI Asset Management Company Limited</t>
  </si>
  <si>
    <t>INE094J01016</t>
  </si>
  <si>
    <t>UTKARSHBNK</t>
  </si>
  <si>
    <t>Utkarsh Small Finance Bank Limited</t>
  </si>
  <si>
    <t>INE735W01017</t>
  </si>
  <si>
    <t>UTTAMSUGAR</t>
  </si>
  <si>
    <t>Uttam Sugar Mills Limited</t>
  </si>
  <si>
    <t>INE786F01031</t>
  </si>
  <si>
    <t>V2RETAIL</t>
  </si>
  <si>
    <t>V2 Retail Limited</t>
  </si>
  <si>
    <t>INE945H01013</t>
  </si>
  <si>
    <t>VADILALIND</t>
  </si>
  <si>
    <t>Vadilal Industries Limited</t>
  </si>
  <si>
    <t>INE694D01016</t>
  </si>
  <si>
    <t>VAIBHAVGBL</t>
  </si>
  <si>
    <t>Vaibhav Global Limited</t>
  </si>
  <si>
    <t>INE884A01027</t>
  </si>
  <si>
    <t>VAISHALI</t>
  </si>
  <si>
    <t>Vaishali Pharma Limited</t>
  </si>
  <si>
    <t>INE972X01014</t>
  </si>
  <si>
    <t>VAKRANGEE</t>
  </si>
  <si>
    <t>Vakrangee Limited</t>
  </si>
  <si>
    <t>INE051B01021</t>
  </si>
  <si>
    <t>VALIANTLAB</t>
  </si>
  <si>
    <t>Valiant Laboratories Limited</t>
  </si>
  <si>
    <t>INE0JWS01017</t>
  </si>
  <si>
    <t>VALIANTORG</t>
  </si>
  <si>
    <t>Valiant Organics Limited</t>
  </si>
  <si>
    <t>INE565V01010</t>
  </si>
  <si>
    <t>VARDHACRLC</t>
  </si>
  <si>
    <t>Vardhman Acrylics Limited</t>
  </si>
  <si>
    <t>INE116G01013</t>
  </si>
  <si>
    <t>VARDMNPOLY</t>
  </si>
  <si>
    <t>Vardhman Polytex Limited</t>
  </si>
  <si>
    <t>INE835A01011</t>
  </si>
  <si>
    <t>VARROC</t>
  </si>
  <si>
    <t>Varroc Engineering Limited</t>
  </si>
  <si>
    <t>INE665L01035</t>
  </si>
  <si>
    <t>VASCONEQ</t>
  </si>
  <si>
    <t>Vascon Engineers Limited</t>
  </si>
  <si>
    <t>INE893I01013</t>
  </si>
  <si>
    <t>VASWANI</t>
  </si>
  <si>
    <t>Vaswani Industries Limited</t>
  </si>
  <si>
    <t>INE590L01019</t>
  </si>
  <si>
    <t>VBL</t>
  </si>
  <si>
    <t>Varun Beverages Limited</t>
  </si>
  <si>
    <t>INE200M01021</t>
  </si>
  <si>
    <t>VCL</t>
  </si>
  <si>
    <t>Vaxtex Cotfab Limited</t>
  </si>
  <si>
    <t>INE098201036</t>
  </si>
  <si>
    <t>VEDL</t>
  </si>
  <si>
    <t>Vedanta Limited</t>
  </si>
  <si>
    <t>INE205A01025</t>
  </si>
  <si>
    <t>VENKEYS</t>
  </si>
  <si>
    <t>Venky's (India) Limited</t>
  </si>
  <si>
    <t>INE398A01010</t>
  </si>
  <si>
    <t>VENUSPIPES</t>
  </si>
  <si>
    <t>Venus Pipes &amp; Tubes Limited</t>
  </si>
  <si>
    <t>INE0JA001018</t>
  </si>
  <si>
    <t>VENUSREM</t>
  </si>
  <si>
    <t>Venus Remedies Limited</t>
  </si>
  <si>
    <t>INE411B01019</t>
  </si>
  <si>
    <t>VERANDA</t>
  </si>
  <si>
    <t>Veranda Learning Solutions Limited</t>
  </si>
  <si>
    <t>INE0IQ001011</t>
  </si>
  <si>
    <t>VERTOZ</t>
  </si>
  <si>
    <t>Vertoz Advertising Limited</t>
  </si>
  <si>
    <t>INE188Y01015</t>
  </si>
  <si>
    <t>VESUVIUS</t>
  </si>
  <si>
    <t>Vesuvius India Limited</t>
  </si>
  <si>
    <t>INE386A01015</t>
  </si>
  <si>
    <t>VETO</t>
  </si>
  <si>
    <t>Veto Switchgears And Cables Limited</t>
  </si>
  <si>
    <t>INE918N01018</t>
  </si>
  <si>
    <t>VGUARD</t>
  </si>
  <si>
    <t>V-Guard Industries Limited</t>
  </si>
  <si>
    <t>INE951I01027</t>
  </si>
  <si>
    <t>VHL</t>
  </si>
  <si>
    <t>Vardhman Holdings Limited</t>
  </si>
  <si>
    <t>INE701A01023</t>
  </si>
  <si>
    <t>VIDHIING</t>
  </si>
  <si>
    <t>Vidhi Specialty Food Ingredients Limited</t>
  </si>
  <si>
    <t>INE632C01026</t>
  </si>
  <si>
    <t>VIJAYA</t>
  </si>
  <si>
    <t>Vijaya Diagnostic Centre Limited</t>
  </si>
  <si>
    <t>INE043W01024</t>
  </si>
  <si>
    <t>VIJIFIN</t>
  </si>
  <si>
    <t>Viji Finance Limited</t>
  </si>
  <si>
    <t>INE159N01027</t>
  </si>
  <si>
    <t>VIKASECO</t>
  </si>
  <si>
    <t>Vikas EcoTech Limited</t>
  </si>
  <si>
    <t>INE806A01020</t>
  </si>
  <si>
    <t>VIKASLIFE</t>
  </si>
  <si>
    <t>Vikas Lifecare Limited</t>
  </si>
  <si>
    <t>INE161L01027</t>
  </si>
  <si>
    <t>VIMTALABS</t>
  </si>
  <si>
    <t>Vimta Labs Limited</t>
  </si>
  <si>
    <t>INE579C01029</t>
  </si>
  <si>
    <t>VINATIORGA</t>
  </si>
  <si>
    <t>Vinati Organics Limited</t>
  </si>
  <si>
    <t>INE410B01037</t>
  </si>
  <si>
    <t>VINDHYATEL</t>
  </si>
  <si>
    <t>Vindhya Telelinks Limited</t>
  </si>
  <si>
    <t>INE707A01012</t>
  </si>
  <si>
    <t>VINEETLAB</t>
  </si>
  <si>
    <t>Vineet Laboratories Limited</t>
  </si>
  <si>
    <t>INE505Y01010</t>
  </si>
  <si>
    <t>VINNY</t>
  </si>
  <si>
    <t>Vinny Overseas Limited</t>
  </si>
  <si>
    <t>INE01KI01027</t>
  </si>
  <si>
    <t>VINYLINDIA</t>
  </si>
  <si>
    <t>Vinyl Chemicals (India) Limited</t>
  </si>
  <si>
    <t>INE250B01029</t>
  </si>
  <si>
    <t>VIPCLOTHNG</t>
  </si>
  <si>
    <t>VIP Clothing Limited</t>
  </si>
  <si>
    <t>INE450G01024</t>
  </si>
  <si>
    <t>VIPIND</t>
  </si>
  <si>
    <t>VIP Industries Limited</t>
  </si>
  <si>
    <t>INE054A01027</t>
  </si>
  <si>
    <t>VIPULLTD</t>
  </si>
  <si>
    <t>Vipul Limited</t>
  </si>
  <si>
    <t>INE946H01037</t>
  </si>
  <si>
    <t>VIRINCHI</t>
  </si>
  <si>
    <t>Virinchi Limited</t>
  </si>
  <si>
    <t>INE539B01017</t>
  </si>
  <si>
    <t>VISAKAIND</t>
  </si>
  <si>
    <t>Visaka Industries Limited</t>
  </si>
  <si>
    <t>INE392A01021</t>
  </si>
  <si>
    <t>VISESHINFO</t>
  </si>
  <si>
    <t>Visesh Infotecnics Limited</t>
  </si>
  <si>
    <t>INE861A01058</t>
  </si>
  <si>
    <t>VISHAL</t>
  </si>
  <si>
    <t>Vishal Fabrics Limited</t>
  </si>
  <si>
    <t>INE755Q01025</t>
  </si>
  <si>
    <t>VISHNU</t>
  </si>
  <si>
    <t>Vishnu Chemicals Limited</t>
  </si>
  <si>
    <t>INE270I01022</t>
  </si>
  <si>
    <t>VISHWARAJ</t>
  </si>
  <si>
    <t>Vishwaraj Sugar Industries Limited</t>
  </si>
  <si>
    <t>INE430N01022</t>
  </si>
  <si>
    <t>VIVIDHA</t>
  </si>
  <si>
    <t>Visagar Polytex Limited</t>
  </si>
  <si>
    <t>INE370E01029</t>
  </si>
  <si>
    <t>VLEGOV</t>
  </si>
  <si>
    <t>VL E-Governance &amp; IT Solutions Limited</t>
  </si>
  <si>
    <t>INE03HW01020</t>
  </si>
  <si>
    <t>VLSFINANCE</t>
  </si>
  <si>
    <t>VLS Finance Limited</t>
  </si>
  <si>
    <t>INE709A01018</t>
  </si>
  <si>
    <t>VMART</t>
  </si>
  <si>
    <t>V-Mart Retail Limited</t>
  </si>
  <si>
    <t>INE665J01013</t>
  </si>
  <si>
    <t>VOLTAMP</t>
  </si>
  <si>
    <t>Voltamp Transformers Limited</t>
  </si>
  <si>
    <t>INE540H01012</t>
  </si>
  <si>
    <t>VOLTAS</t>
  </si>
  <si>
    <t>Voltas Limited</t>
  </si>
  <si>
    <t>INE226A01021</t>
  </si>
  <si>
    <t>VPRPL</t>
  </si>
  <si>
    <t>Vishnu Prakash R Punglia Limited</t>
  </si>
  <si>
    <t>INE0AE001013</t>
  </si>
  <si>
    <t>VRLLOG</t>
  </si>
  <si>
    <t>VRL Logistics Limited</t>
  </si>
  <si>
    <t>INE366I01010</t>
  </si>
  <si>
    <t>VSSL</t>
  </si>
  <si>
    <t>Vardhman Special Steels Limited</t>
  </si>
  <si>
    <t>INE050M01012</t>
  </si>
  <si>
    <t>VSTIND</t>
  </si>
  <si>
    <t>VST Industries Limited</t>
  </si>
  <si>
    <t>INE710A01016</t>
  </si>
  <si>
    <t>VSTTILLERS</t>
  </si>
  <si>
    <t>V.S.T Tillers Tractors Limited</t>
  </si>
  <si>
    <t>INE764D01017</t>
  </si>
  <si>
    <t>VTL</t>
  </si>
  <si>
    <t>Vardhman Textiles Limited</t>
  </si>
  <si>
    <t>INE825A01020</t>
  </si>
  <si>
    <t>WABAG</t>
  </si>
  <si>
    <t>VA Tech Wabag Limited</t>
  </si>
  <si>
    <t>INE956G01038</t>
  </si>
  <si>
    <t>WALCHANNAG</t>
  </si>
  <si>
    <t>Walchandnagar Industries Limited</t>
  </si>
  <si>
    <t>INE711A01022</t>
  </si>
  <si>
    <t>WANBURY</t>
  </si>
  <si>
    <t>Wanbury Limited</t>
  </si>
  <si>
    <t>INE107F01022</t>
  </si>
  <si>
    <t>WEALTH</t>
  </si>
  <si>
    <t>Wealth First Portfolio Managers Limited</t>
  </si>
  <si>
    <t>INE658T01017</t>
  </si>
  <si>
    <t>WEBELSOLAR</t>
  </si>
  <si>
    <t>Websol Energy System Limited</t>
  </si>
  <si>
    <t>INE855C01015</t>
  </si>
  <si>
    <t>WEIZMANIND</t>
  </si>
  <si>
    <t>Weizmann Limited</t>
  </si>
  <si>
    <t>INE080A01014</t>
  </si>
  <si>
    <t>WEL</t>
  </si>
  <si>
    <t>Wonder Electricals Limited</t>
  </si>
  <si>
    <t>INE02WG01016</t>
  </si>
  <si>
    <t>WELCORP</t>
  </si>
  <si>
    <t>Welspun Corp Limited</t>
  </si>
  <si>
    <t>INE191B01025</t>
  </si>
  <si>
    <t>WELENT</t>
  </si>
  <si>
    <t>Welspun Enterprises Limited</t>
  </si>
  <si>
    <t>INE625G01013</t>
  </si>
  <si>
    <t>WELINV</t>
  </si>
  <si>
    <t>Welspun Investments and Commercials Limited</t>
  </si>
  <si>
    <t>INE389K01018</t>
  </si>
  <si>
    <t>WELSPUNIND</t>
  </si>
  <si>
    <t>Welspun India Limited</t>
  </si>
  <si>
    <t>INE192B01031</t>
  </si>
  <si>
    <t>WENDT</t>
  </si>
  <si>
    <t>Wendt (India) Limited</t>
  </si>
  <si>
    <t>INE274C01019</t>
  </si>
  <si>
    <t>WESTLIFE</t>
  </si>
  <si>
    <t>WESTLIFE FOODWORLD LIMITED</t>
  </si>
  <si>
    <t>INE274F01020</t>
  </si>
  <si>
    <t>WEWIN</t>
  </si>
  <si>
    <t>WE WIN LIMITED</t>
  </si>
  <si>
    <t>INE082W01014</t>
  </si>
  <si>
    <t>WHEELS</t>
  </si>
  <si>
    <t>Wheels India Limited</t>
  </si>
  <si>
    <t>INE715A01015</t>
  </si>
  <si>
    <t>WHIRLPOOL</t>
  </si>
  <si>
    <t>Whirlpool of India Limited</t>
  </si>
  <si>
    <t>INE716A01013</t>
  </si>
  <si>
    <t>WILLAMAGOR</t>
  </si>
  <si>
    <t>Williamson Magor &amp; Company Limited</t>
  </si>
  <si>
    <t>INE210A01017</t>
  </si>
  <si>
    <t>WINDLAS</t>
  </si>
  <si>
    <t>Windlas Biotech Limited</t>
  </si>
  <si>
    <t>INE0H5O01029</t>
  </si>
  <si>
    <t>WINDMACHIN</t>
  </si>
  <si>
    <t>Windsor Machines Limited</t>
  </si>
  <si>
    <t>INE052A01021</t>
  </si>
  <si>
    <t>WINSOME</t>
  </si>
  <si>
    <t>Winsome Yarns Limited</t>
  </si>
  <si>
    <t>INE784B01035</t>
  </si>
  <si>
    <t>WIPL</t>
  </si>
  <si>
    <t>The Western India Plywoods Limited</t>
  </si>
  <si>
    <t>INE215F01023</t>
  </si>
  <si>
    <t>WIPRO</t>
  </si>
  <si>
    <t>Wipro Limited</t>
  </si>
  <si>
    <t>INE075A01022</t>
  </si>
  <si>
    <t>WOCKPHARMA</t>
  </si>
  <si>
    <t>Wockhardt Limited</t>
  </si>
  <si>
    <t>INE049B01025</t>
  </si>
  <si>
    <t>WONDERLA</t>
  </si>
  <si>
    <t>Wonderla Holidays Limited</t>
  </si>
  <si>
    <t>INE066O01014</t>
  </si>
  <si>
    <t>WORTH</t>
  </si>
  <si>
    <t>Worth Peripherals Limited</t>
  </si>
  <si>
    <t>INE196Y01018</t>
  </si>
  <si>
    <t>WSI</t>
  </si>
  <si>
    <t>W S Industries (I) Limited</t>
  </si>
  <si>
    <t>INE100D01014</t>
  </si>
  <si>
    <t>WSTCSTPAPR</t>
  </si>
  <si>
    <t>West Coast Paper Mills Limited</t>
  </si>
  <si>
    <t>INE976A01021</t>
  </si>
  <si>
    <t>XCHANGING</t>
  </si>
  <si>
    <t>Xchanging Solutions Limited</t>
  </si>
  <si>
    <t>INE692G01013</t>
  </si>
  <si>
    <t>XELPMOC</t>
  </si>
  <si>
    <t>Xelpmoc Design And Tech Limited</t>
  </si>
  <si>
    <t>INE01P501012</t>
  </si>
  <si>
    <t>XPROINDIA</t>
  </si>
  <si>
    <t>Xpro India Limited</t>
  </si>
  <si>
    <t>INE445C01015</t>
  </si>
  <si>
    <t>YAARI</t>
  </si>
  <si>
    <t>Yaari Digital Integrated Services Limited</t>
  </si>
  <si>
    <t>INE126M01010</t>
  </si>
  <si>
    <t>YASHO</t>
  </si>
  <si>
    <t>Yasho Industries Limited</t>
  </si>
  <si>
    <t>INE616Z01012</t>
  </si>
  <si>
    <t>YATHARTH</t>
  </si>
  <si>
    <t>Yatharth Hospital &amp; Trauma Care Services Limited</t>
  </si>
  <si>
    <t>INE0JO301016</t>
  </si>
  <si>
    <t>YATRA</t>
  </si>
  <si>
    <t>Yatra Online Limited</t>
  </si>
  <si>
    <t>INE0JR601024</t>
  </si>
  <si>
    <t>YESBANK</t>
  </si>
  <si>
    <t>Yes Bank Limited</t>
  </si>
  <si>
    <t>INE528G01035</t>
  </si>
  <si>
    <t>YUKEN</t>
  </si>
  <si>
    <t>Yuken India Limited</t>
  </si>
  <si>
    <t>INE384C01016</t>
  </si>
  <si>
    <t>ZAGGLE</t>
  </si>
  <si>
    <t>Zaggle Prepaid Ocean Services Limited</t>
  </si>
  <si>
    <t>INE07K301024</t>
  </si>
  <si>
    <t>ZEEL</t>
  </si>
  <si>
    <t>Zee Entertainment Enterprises Limited</t>
  </si>
  <si>
    <t>INE256A01028</t>
  </si>
  <si>
    <t>ZEELEARN</t>
  </si>
  <si>
    <t>Zee Learn Limited</t>
  </si>
  <si>
    <t>INE565L01011</t>
  </si>
  <si>
    <t>ZEEMEDIA</t>
  </si>
  <si>
    <t>Zee Media Corporation Limited</t>
  </si>
  <si>
    <t>INE966H01019</t>
  </si>
  <si>
    <t>ZENITHEXPO</t>
  </si>
  <si>
    <t>Zenith Exports Limited</t>
  </si>
  <si>
    <t>INE058B01018</t>
  </si>
  <si>
    <t>ZENITHSTL</t>
  </si>
  <si>
    <t>Zenith Steel Pipes &amp; Industries Limited</t>
  </si>
  <si>
    <t>INE318D01020</t>
  </si>
  <si>
    <t>ZENSARTECH</t>
  </si>
  <si>
    <t>Zensar Technologies Limited</t>
  </si>
  <si>
    <t>INE520A01027</t>
  </si>
  <si>
    <t>ZENTEC</t>
  </si>
  <si>
    <t>Zen Technologies Limited</t>
  </si>
  <si>
    <t>INE251B01027</t>
  </si>
  <si>
    <t>ZFCVINDIA</t>
  </si>
  <si>
    <t>ZF Commercial Vehicle Control Systems India Limited</t>
  </si>
  <si>
    <t>INE342J01019</t>
  </si>
  <si>
    <t>ZIMLAB</t>
  </si>
  <si>
    <t>Zim Laboratories Limited</t>
  </si>
  <si>
    <t>INE518E01015</t>
  </si>
  <si>
    <t>ZODIAC</t>
  </si>
  <si>
    <t>Zodiac Energy Limited</t>
  </si>
  <si>
    <t>INE761Y01019</t>
  </si>
  <si>
    <t>ZODIACLOTH</t>
  </si>
  <si>
    <t>Zodiac Clothing Company Limited</t>
  </si>
  <si>
    <t>INE206B01013</t>
  </si>
  <si>
    <t>ZOMATO</t>
  </si>
  <si>
    <t>Zomato Limited</t>
  </si>
  <si>
    <t>INE758T01015</t>
  </si>
  <si>
    <t>ZOTA</t>
  </si>
  <si>
    <t>Zota Health Care LImited</t>
  </si>
  <si>
    <t>INE358U01012</t>
  </si>
  <si>
    <t>ZUARI</t>
  </si>
  <si>
    <t>Zuari Agro Chemicals Limited</t>
  </si>
  <si>
    <t>INE840M01016</t>
  </si>
  <si>
    <t>ZUARIIND</t>
  </si>
  <si>
    <t>ZUARI INDUSTRIES LIMITED</t>
  </si>
  <si>
    <t>INE217A01012</t>
  </si>
  <si>
    <t>ZYDUSLIFE</t>
  </si>
  <si>
    <t>Zydus Lifesciences Limited</t>
  </si>
  <si>
    <t>INE010B01027</t>
  </si>
  <si>
    <t>ZYDUSWELL</t>
  </si>
  <si>
    <t>Zydus Wellness Limited</t>
  </si>
  <si>
    <t>INE768C01010</t>
  </si>
  <si>
    <t>INE0PPS01018</t>
  </si>
  <si>
    <t>SM</t>
  </si>
  <si>
    <t>ZEAL</t>
  </si>
  <si>
    <t>INE09FA01019</t>
  </si>
  <si>
    <t>YUDIZ</t>
  </si>
  <si>
    <t>INE08S201019</t>
  </si>
  <si>
    <t>YCCL</t>
  </si>
  <si>
    <t>INE0Q9601016</t>
  </si>
  <si>
    <t>WOMANCART</t>
  </si>
  <si>
    <t>INE0G2G01015</t>
  </si>
  <si>
    <t>WALPAR</t>
  </si>
  <si>
    <t>INE551Q01028</t>
  </si>
  <si>
    <t>VSCL</t>
  </si>
  <si>
    <t>INE0GXK01018</t>
  </si>
  <si>
    <t>VMARCIND</t>
  </si>
  <si>
    <t>INE0IA701014</t>
  </si>
  <si>
    <t>VIVO</t>
  </si>
  <si>
    <t>INE0MEG01014</t>
  </si>
  <si>
    <t>VIVIANA</t>
  </si>
  <si>
    <t>INE0L4K01016</t>
  </si>
  <si>
    <t>VITAL</t>
  </si>
  <si>
    <t>INE0PQ001012</t>
  </si>
  <si>
    <t>VISHNUINFR</t>
  </si>
  <si>
    <t>INE0OLS01010</t>
  </si>
  <si>
    <t>VINYAS</t>
  </si>
  <si>
    <t>INE0OSJ01014</t>
  </si>
  <si>
    <t>VINSYS</t>
  </si>
  <si>
    <t>INE0L4V01013</t>
  </si>
  <si>
    <t>VILINBIO</t>
  </si>
  <si>
    <t>INE0MO401019</t>
  </si>
  <si>
    <t>VIAZ</t>
  </si>
  <si>
    <t>INE0NLB01018</t>
  </si>
  <si>
    <t>VERTEXPLUS</t>
  </si>
  <si>
    <t>INE0I3H01019</t>
  </si>
  <si>
    <t>VELS</t>
  </si>
  <si>
    <t>INE068Z01016</t>
  </si>
  <si>
    <t>VASA</t>
  </si>
  <si>
    <t>INF789F1AUU3</t>
  </si>
  <si>
    <t>UTISXN50</t>
  </si>
  <si>
    <t>INF789FB1X58</t>
  </si>
  <si>
    <t>UTISENSETF</t>
  </si>
  <si>
    <t>INF789F1AZC0</t>
  </si>
  <si>
    <t>UTINIFTETF</t>
  </si>
  <si>
    <t>INF789F1AUW9</t>
  </si>
  <si>
    <t>UTINEXT50</t>
  </si>
  <si>
    <t>INF789F1AUV1</t>
  </si>
  <si>
    <t>UTIBANKETF</t>
  </si>
  <si>
    <t>INE0CBM01019</t>
  </si>
  <si>
    <t>USASEEDS</t>
  </si>
  <si>
    <t>INE0O0201019</t>
  </si>
  <si>
    <t>URBAN</t>
  </si>
  <si>
    <t>INE0PRF01011</t>
  </si>
  <si>
    <t>UNIHEALTH</t>
  </si>
  <si>
    <t>INE067901012</t>
  </si>
  <si>
    <t>UMA</t>
  </si>
  <si>
    <t>INE583D07307</t>
  </si>
  <si>
    <t>N6</t>
  </si>
  <si>
    <t>INE583D07174</t>
  </si>
  <si>
    <t>N1</t>
  </si>
  <si>
    <t>INE105A04013</t>
  </si>
  <si>
    <t>P1</t>
  </si>
  <si>
    <t>INE0LWY01029</t>
  </si>
  <si>
    <t>TRIDHYA</t>
  </si>
  <si>
    <t>INE792X01016</t>
  </si>
  <si>
    <t>TRANSWIND</t>
  </si>
  <si>
    <t>INE0NVI01020</t>
  </si>
  <si>
    <t>ST</t>
  </si>
  <si>
    <t>TRANSTEEL</t>
  </si>
  <si>
    <t>INF277KA1364</t>
  </si>
  <si>
    <t>TNIDETF</t>
  </si>
  <si>
    <t>INE238Y01018</t>
  </si>
  <si>
    <t>TIRUPATI</t>
  </si>
  <si>
    <t>INE0IJY01014</t>
  </si>
  <si>
    <t>TIMESCAN</t>
  </si>
  <si>
    <t>BL</t>
  </si>
  <si>
    <t>INF209KB11D8</t>
  </si>
  <si>
    <t>TECH</t>
  </si>
  <si>
    <t>INE306N08342</t>
  </si>
  <si>
    <t>NN</t>
  </si>
  <si>
    <t>TCFSL</t>
  </si>
  <si>
    <t>INE306N07LM5</t>
  </si>
  <si>
    <t>NL</t>
  </si>
  <si>
    <t>INE306N07LK9</t>
  </si>
  <si>
    <t>NJ</t>
  </si>
  <si>
    <t>INE306N08292</t>
  </si>
  <si>
    <t>NF</t>
  </si>
  <si>
    <t>INE033L07GS6</t>
  </si>
  <si>
    <t>N8</t>
  </si>
  <si>
    <t>TATACAPHSG</t>
  </si>
  <si>
    <t>INE555Z01012</t>
  </si>
  <si>
    <t>TARACHAND</t>
  </si>
  <si>
    <t>INE0M7001010</t>
  </si>
  <si>
    <t>TAPIFRUIT</t>
  </si>
  <si>
    <t>INE0O7R01011</t>
  </si>
  <si>
    <t>SYSTANGO</t>
  </si>
  <si>
    <t>INE0BTR01012</t>
  </si>
  <si>
    <t>SYNOPTICS</t>
  </si>
  <si>
    <t>INE0DGC01025</t>
  </si>
  <si>
    <t>SWASTIK</t>
  </si>
  <si>
    <t>INE0GMR01016</t>
  </si>
  <si>
    <t>SWARAJ</t>
  </si>
  <si>
    <t>INE01ZJ01015</t>
  </si>
  <si>
    <t>SURANI</t>
  </si>
  <si>
    <t>INE0ON201012</t>
  </si>
  <si>
    <t>SSFL</t>
  </si>
  <si>
    <t>INE0NPI01014</t>
  </si>
  <si>
    <t>SRIVASAVI</t>
  </si>
  <si>
    <t>INE501W01021</t>
  </si>
  <si>
    <t>SPTL</t>
  </si>
  <si>
    <t>INE0OL001018</t>
  </si>
  <si>
    <t>SPECTSTM</t>
  </si>
  <si>
    <t>INE01EO01010</t>
  </si>
  <si>
    <t>SPECTRUM</t>
  </si>
  <si>
    <t>INE0O2D01012</t>
  </si>
  <si>
    <t>SOTAC</t>
  </si>
  <si>
    <t>INE0JZA01018</t>
  </si>
  <si>
    <t>SONUINFRA</t>
  </si>
  <si>
    <t>INE880Y01017</t>
  </si>
  <si>
    <t>SOLEX</t>
  </si>
  <si>
    <t>INE507Y01016</t>
  </si>
  <si>
    <t>SKSTEXTILE</t>
  </si>
  <si>
    <t>INE0KZA01016</t>
  </si>
  <si>
    <t>SKP</t>
  </si>
  <si>
    <t>INF769K01KG6</t>
  </si>
  <si>
    <t>SILVRETF</t>
  </si>
  <si>
    <t>INF789F1AYK6</t>
  </si>
  <si>
    <t>SILVERETF</t>
  </si>
  <si>
    <t>INF204KC1402</t>
  </si>
  <si>
    <t>SILVERBEES</t>
  </si>
  <si>
    <t>INF209KB19F6</t>
  </si>
  <si>
    <t>SILVER</t>
  </si>
  <si>
    <t>INE0A1E01018</t>
  </si>
  <si>
    <t>SIDDHIKA</t>
  </si>
  <si>
    <t>INE01Z401013</t>
  </si>
  <si>
    <t>SHUBHLAXMI</t>
  </si>
  <si>
    <t>INE0OMF01015</t>
  </si>
  <si>
    <t>SHRITECH</t>
  </si>
  <si>
    <t>INE721A07PP6</t>
  </si>
  <si>
    <t>ZK</t>
  </si>
  <si>
    <t>INE721A07PK7</t>
  </si>
  <si>
    <t>ZF</t>
  </si>
  <si>
    <t>INE721A07PJ9</t>
  </si>
  <si>
    <t>ZE</t>
  </si>
  <si>
    <t>INE721A07OZ8</t>
  </si>
  <si>
    <t>Z4</t>
  </si>
  <si>
    <t>INE721A07OS3</t>
  </si>
  <si>
    <t>Z2</t>
  </si>
  <si>
    <t>INE721A07OM6</t>
  </si>
  <si>
    <t>YV</t>
  </si>
  <si>
    <t>INE721A07OF0</t>
  </si>
  <si>
    <t>YS</t>
  </si>
  <si>
    <t>INE721A07OC7</t>
  </si>
  <si>
    <t>YP</t>
  </si>
  <si>
    <t>INE721A07NX5</t>
  </si>
  <si>
    <t>YL</t>
  </si>
  <si>
    <t>INE03KJ01013</t>
  </si>
  <si>
    <t>SHIGAN</t>
  </si>
  <si>
    <t>INE0MM001019</t>
  </si>
  <si>
    <t>SHERA</t>
  </si>
  <si>
    <t>INF732E01128</t>
  </si>
  <si>
    <t>SHARIABEES</t>
  </si>
  <si>
    <t>INE932X13013</t>
  </si>
  <si>
    <t>W1</t>
  </si>
  <si>
    <t>INE0Q9Q01017</t>
  </si>
  <si>
    <t>SHANTHALA</t>
  </si>
  <si>
    <t>IN0020230093</t>
  </si>
  <si>
    <t>GB</t>
  </si>
  <si>
    <t>SGBSEP31II</t>
  </si>
  <si>
    <t>IN0020210145</t>
  </si>
  <si>
    <t>SGBSEP29VI</t>
  </si>
  <si>
    <t>IN0020200195</t>
  </si>
  <si>
    <t>SGBSEP28VI</t>
  </si>
  <si>
    <t>IN0020190115</t>
  </si>
  <si>
    <t>SGBSEP27</t>
  </si>
  <si>
    <t>IN0020160043</t>
  </si>
  <si>
    <t>SGBSEP24</t>
  </si>
  <si>
    <t>IN0020190388</t>
  </si>
  <si>
    <t>SGBOCT27VI</t>
  </si>
  <si>
    <t>IN0020190370</t>
  </si>
  <si>
    <t>SGBOCT27</t>
  </si>
  <si>
    <t>IN0020170075</t>
  </si>
  <si>
    <t>SGBOCT25V</t>
  </si>
  <si>
    <t>IN0020170067</t>
  </si>
  <si>
    <t>SGBOCT25IV</t>
  </si>
  <si>
    <t>IN0020170059</t>
  </si>
  <si>
    <t>SGBOCT25</t>
  </si>
  <si>
    <t>IN0020200203</t>
  </si>
  <si>
    <t>SGBOC28VII</t>
  </si>
  <si>
    <t>IN0020210178</t>
  </si>
  <si>
    <t>SGBNV29VII</t>
  </si>
  <si>
    <t>IN0020180314</t>
  </si>
  <si>
    <t>SGBNOV26</t>
  </si>
  <si>
    <t>IN0020170117</t>
  </si>
  <si>
    <t>SGBNOV25IX</t>
  </si>
  <si>
    <t>IN0020170109</t>
  </si>
  <si>
    <t>SGBNOV258</t>
  </si>
  <si>
    <t>IN0020170091</t>
  </si>
  <si>
    <t>SGBNOV25</t>
  </si>
  <si>
    <t>IN0020160076</t>
  </si>
  <si>
    <t>SGBNOV24</t>
  </si>
  <si>
    <t>IN0020150085</t>
  </si>
  <si>
    <t>SGBNOV23</t>
  </si>
  <si>
    <t>IN0020200286</t>
  </si>
  <si>
    <t>SGBN28VIII</t>
  </si>
  <si>
    <t>IN0020200427</t>
  </si>
  <si>
    <t>SGBMR29XII</t>
  </si>
  <si>
    <t>IN0020210053</t>
  </si>
  <si>
    <t>SGBMAY29I</t>
  </si>
  <si>
    <t>IN0020200088</t>
  </si>
  <si>
    <t>SGBMAY28</t>
  </si>
  <si>
    <t>IN0020180033</t>
  </si>
  <si>
    <t>SGBMAY26</t>
  </si>
  <si>
    <t>IN0020170018</t>
  </si>
  <si>
    <t>SGBMAY25</t>
  </si>
  <si>
    <t>IN0020220169</t>
  </si>
  <si>
    <t>SGBMAR31IV</t>
  </si>
  <si>
    <t>IN0020210319</t>
  </si>
  <si>
    <t>SGBMAR30X</t>
  </si>
  <si>
    <t>IN0020190552</t>
  </si>
  <si>
    <t>SGBMAR28X</t>
  </si>
  <si>
    <t>IN0020160126</t>
  </si>
  <si>
    <t>SGBMAR25</t>
  </si>
  <si>
    <t>IN0020150119</t>
  </si>
  <si>
    <t>SGBMAR24</t>
  </si>
  <si>
    <t>IN0020230069</t>
  </si>
  <si>
    <t>SGBJUN31I</t>
  </si>
  <si>
    <t>IN0020220045</t>
  </si>
  <si>
    <t>SGBJUN30</t>
  </si>
  <si>
    <t>IN0020210061</t>
  </si>
  <si>
    <t>SGBJUN29II</t>
  </si>
  <si>
    <t>IN0020200104</t>
  </si>
  <si>
    <t>SGBJUN28</t>
  </si>
  <si>
    <t>IN0020190073</t>
  </si>
  <si>
    <t>SGBJUN27</t>
  </si>
  <si>
    <t>IN0020210111</t>
  </si>
  <si>
    <t>SGBJUL29IV</t>
  </si>
  <si>
    <t>IN0020200146</t>
  </si>
  <si>
    <t>SGBJUL28IV</t>
  </si>
  <si>
    <t>IN0020190081</t>
  </si>
  <si>
    <t>SGBJUL27</t>
  </si>
  <si>
    <t>IN0020170034</t>
  </si>
  <si>
    <t>SGBJUL25</t>
  </si>
  <si>
    <t>IN0020210087</t>
  </si>
  <si>
    <t>SGBJU29III</t>
  </si>
  <si>
    <t>IN0020210236</t>
  </si>
  <si>
    <t>SGBJAN30IX</t>
  </si>
  <si>
    <t>IN0020200385</t>
  </si>
  <si>
    <t>SGBJAN29X</t>
  </si>
  <si>
    <t>IN0020200377</t>
  </si>
  <si>
    <t>SGBJAN29IX</t>
  </si>
  <si>
    <t>IN0020180462</t>
  </si>
  <si>
    <t>SGBJAN27</t>
  </si>
  <si>
    <t>IN0020170166</t>
  </si>
  <si>
    <t>SGBJAN26</t>
  </si>
  <si>
    <t>IN0020190537</t>
  </si>
  <si>
    <t>SGBJ28VIII</t>
  </si>
  <si>
    <t>IN0020200393</t>
  </si>
  <si>
    <t>SGBFEB29XI</t>
  </si>
  <si>
    <t>IN0020190545</t>
  </si>
  <si>
    <t>SGBFEB28IX</t>
  </si>
  <si>
    <t>IN0020180561</t>
  </si>
  <si>
    <t>SGBFEB27</t>
  </si>
  <si>
    <t>IN0020150101</t>
  </si>
  <si>
    <t>SGBFEB24</t>
  </si>
  <si>
    <t>IN0020170158</t>
  </si>
  <si>
    <t>SGBDEC2513</t>
  </si>
  <si>
    <t>IN0020170141</t>
  </si>
  <si>
    <t>SGBDEC2512</t>
  </si>
  <si>
    <t>IN0020170125</t>
  </si>
  <si>
    <t>SGBDEC25</t>
  </si>
  <si>
    <t>IN0020220110</t>
  </si>
  <si>
    <t>SGBDE30III</t>
  </si>
  <si>
    <t>IN0020190461</t>
  </si>
  <si>
    <t>SGBDC27VII</t>
  </si>
  <si>
    <t>IN0020210228</t>
  </si>
  <si>
    <t>SGBD29VIII</t>
  </si>
  <si>
    <t>IN0020220078</t>
  </si>
  <si>
    <t>SGBAUG30</t>
  </si>
  <si>
    <t>IN0020210129</t>
  </si>
  <si>
    <t>SGBAUG29V</t>
  </si>
  <si>
    <t>IN0020200161</t>
  </si>
  <si>
    <t>SGBAUG28V</t>
  </si>
  <si>
    <t>IN0020190107</t>
  </si>
  <si>
    <t>SGBAUG27</t>
  </si>
  <si>
    <t>IN0020160027</t>
  </si>
  <si>
    <t>SGBAUG24</t>
  </si>
  <si>
    <t>IN0020200062</t>
  </si>
  <si>
    <t>SGBAPR28I</t>
  </si>
  <si>
    <t>INF200KA1598</t>
  </si>
  <si>
    <t>SETFNN50</t>
  </si>
  <si>
    <t>INF200KA1580</t>
  </si>
  <si>
    <t>SETFNIFBK</t>
  </si>
  <si>
    <t>INF200KA1FS1</t>
  </si>
  <si>
    <t>SETFNIF50</t>
  </si>
  <si>
    <t>INF200KA16D8</t>
  </si>
  <si>
    <t>SETFGOLD</t>
  </si>
  <si>
    <t>INF200KA1JT1</t>
  </si>
  <si>
    <t>SETF10GILT</t>
  </si>
  <si>
    <t>INF769K01KT9</t>
  </si>
  <si>
    <t>SENSEXETF</t>
  </si>
  <si>
    <t>INE0O3O01017</t>
  </si>
  <si>
    <t>SEL</t>
  </si>
  <si>
    <t>INE00Y701026</t>
  </si>
  <si>
    <t>SECL</t>
  </si>
  <si>
    <t>INF204KC1022</t>
  </si>
  <si>
    <t>SDL26BEES</t>
  </si>
  <si>
    <t>INF204KB18W4</t>
  </si>
  <si>
    <t>SDL24BEES</t>
  </si>
  <si>
    <t>INE460Q01014</t>
  </si>
  <si>
    <t>SCML</t>
  </si>
  <si>
    <t>INF200KA1WX6</t>
  </si>
  <si>
    <t>SBIETFQLTY</t>
  </si>
  <si>
    <t>INF200KA1S22</t>
  </si>
  <si>
    <t>SBIETFPB</t>
  </si>
  <si>
    <t>INF200KA1S14</t>
  </si>
  <si>
    <t>SBIETFIT</t>
  </si>
  <si>
    <t>INF200KA1X17</t>
  </si>
  <si>
    <t>SBIETFCON</t>
  </si>
  <si>
    <t>INE0PUC01020</t>
  </si>
  <si>
    <t>SARTELE</t>
  </si>
  <si>
    <t>INE0PCL01011</t>
  </si>
  <si>
    <t>SAROJA</t>
  </si>
  <si>
    <t>INE0OVI01010</t>
  </si>
  <si>
    <t>SANGANI</t>
  </si>
  <si>
    <t>INE0LEX01011</t>
  </si>
  <si>
    <t>SAHANA</t>
  </si>
  <si>
    <t>INE0DZ101013</t>
  </si>
  <si>
    <t>SABAR</t>
  </si>
  <si>
    <t>INE0PSK01027</t>
  </si>
  <si>
    <t>SAAKSHI</t>
  </si>
  <si>
    <t>INE219Y01018</t>
  </si>
  <si>
    <t>RMDRIP</t>
  </si>
  <si>
    <t>INE02OY01016</t>
  </si>
  <si>
    <t>RILINFRA</t>
  </si>
  <si>
    <t>INE0J1P01015</t>
  </si>
  <si>
    <t>RICHA</t>
  </si>
  <si>
    <t>INE00D001018</t>
  </si>
  <si>
    <t>REXPIPES</t>
  </si>
  <si>
    <t>INE0O5T01011</t>
  </si>
  <si>
    <t>REMUS</t>
  </si>
  <si>
    <t>INE375Y01018</t>
  </si>
  <si>
    <t>RELIABLE</t>
  </si>
  <si>
    <t>INE020B07HS2</t>
  </si>
  <si>
    <t>N9</t>
  </si>
  <si>
    <t>INE0BZQ01011</t>
  </si>
  <si>
    <t>RCDL</t>
  </si>
  <si>
    <t>INE0NA301016</t>
  </si>
  <si>
    <t>RBMINFRA</t>
  </si>
  <si>
    <t>INE919I04010</t>
  </si>
  <si>
    <t>INE0K4D01020</t>
  </si>
  <si>
    <t>QUICKTOUCH</t>
  </si>
  <si>
    <t>INF082J01028</t>
  </si>
  <si>
    <t>QNIFTY</t>
  </si>
  <si>
    <t>INE0FMW01018</t>
  </si>
  <si>
    <t>QMSMEDI</t>
  </si>
  <si>
    <t>INF082J01408</t>
  </si>
  <si>
    <t>QGOLDHALF</t>
  </si>
  <si>
    <t>INE0O1M01015</t>
  </si>
  <si>
    <t>QFIL</t>
  </si>
  <si>
    <t>INE335X01014</t>
  </si>
  <si>
    <t>PULZ</t>
  </si>
  <si>
    <t>INF204KB16I7</t>
  </si>
  <si>
    <t>PSUBNKBEES</t>
  </si>
  <si>
    <t>INF109KC10S8</t>
  </si>
  <si>
    <t>PSUBANKICI</t>
  </si>
  <si>
    <t>INE0ONE01016</t>
  </si>
  <si>
    <t>PROV</t>
  </si>
  <si>
    <t>INE0KN801013</t>
  </si>
  <si>
    <t>PROPEQUITY</t>
  </si>
  <si>
    <t>INE994V01012</t>
  </si>
  <si>
    <t>PROLIFE</t>
  </si>
  <si>
    <t>INE0MJQ01012</t>
  </si>
  <si>
    <t>PRITIKA</t>
  </si>
  <si>
    <t>INE0HKW01018</t>
  </si>
  <si>
    <t>PRECISION</t>
  </si>
  <si>
    <t>INE0O7A01017</t>
  </si>
  <si>
    <t>PRAMARA</t>
  </si>
  <si>
    <t>INE0PXD01014</t>
  </si>
  <si>
    <t>PLADAINFO</t>
  </si>
  <si>
    <t>INF204KC1089</t>
  </si>
  <si>
    <t>PHARMABEES</t>
  </si>
  <si>
    <t>INE0MLZ01019</t>
  </si>
  <si>
    <t>PHANTOMFX</t>
  </si>
  <si>
    <t>INE0GGX23010</t>
  </si>
  <si>
    <t>IV</t>
  </si>
  <si>
    <t>PGINVIT</t>
  </si>
  <si>
    <t>INE134E07208</t>
  </si>
  <si>
    <t>N5</t>
  </si>
  <si>
    <t>INE134E07349</t>
  </si>
  <si>
    <t>N2</t>
  </si>
  <si>
    <t>INE925S01012</t>
  </si>
  <si>
    <t>PERFECT</t>
  </si>
  <si>
    <t>INE0ORS01017</t>
  </si>
  <si>
    <t>PENTAGON</t>
  </si>
  <si>
    <t>INE140A07773</t>
  </si>
  <si>
    <t>N3</t>
  </si>
  <si>
    <t>INE140A07765</t>
  </si>
  <si>
    <t>INE140A07740</t>
  </si>
  <si>
    <t>INE516Y07402</t>
  </si>
  <si>
    <t>PCHFL</t>
  </si>
  <si>
    <t>INE0NZW01014</t>
  </si>
  <si>
    <t>PATTECH</t>
  </si>
  <si>
    <t>INE06ZX01015</t>
  </si>
  <si>
    <t>PARTYCRUS</t>
  </si>
  <si>
    <t>INE00U801010</t>
  </si>
  <si>
    <t>PARIN</t>
  </si>
  <si>
    <t>INE0N4G01012</t>
  </si>
  <si>
    <t>PARAGON</t>
  </si>
  <si>
    <t>INE0OUT01019</t>
  </si>
  <si>
    <t>ORIANA</t>
  </si>
  <si>
    <t>INE00ER01015</t>
  </si>
  <si>
    <t>ONDOOR</t>
  </si>
  <si>
    <t>INE0OPS01011</t>
  </si>
  <si>
    <t>OLIL</t>
  </si>
  <si>
    <t>INE0NDH25011</t>
  </si>
  <si>
    <t>RR</t>
  </si>
  <si>
    <t>NXST</t>
  </si>
  <si>
    <t>INF204KB18I3</t>
  </si>
  <si>
    <t>NV20BEES</t>
  </si>
  <si>
    <t>INE733E07JP6</t>
  </si>
  <si>
    <t>N7</t>
  </si>
  <si>
    <t>INE733E07JJ9</t>
  </si>
  <si>
    <t>INE733E07JH3</t>
  </si>
  <si>
    <t>N4</t>
  </si>
  <si>
    <t>INE0FFK01017</t>
  </si>
  <si>
    <t>NPST</t>
  </si>
  <si>
    <t>INF277K010X4</t>
  </si>
  <si>
    <t>NPBET</t>
  </si>
  <si>
    <t>INE0OK701014</t>
  </si>
  <si>
    <t>NIRMAN</t>
  </si>
  <si>
    <t>INF209KB15K4</t>
  </si>
  <si>
    <t>NIFTYQLITY</t>
  </si>
  <si>
    <t>INF769K01EG9</t>
  </si>
  <si>
    <t>NIFTYETF</t>
  </si>
  <si>
    <t>INF204KB14I2</t>
  </si>
  <si>
    <t>NIFTYBEES</t>
  </si>
  <si>
    <t>INF789F1AYX9</t>
  </si>
  <si>
    <t>NIFMID150</t>
  </si>
  <si>
    <t>INF204K014N5</t>
  </si>
  <si>
    <t>NIF100BEES</t>
  </si>
  <si>
    <t>INE530L07210</t>
  </si>
  <si>
    <t>NIDO</t>
  </si>
  <si>
    <t>INE0J6L01013</t>
  </si>
  <si>
    <t>NIDAN</t>
  </si>
  <si>
    <t>INE0H7R07033</t>
  </si>
  <si>
    <t>NHIT</t>
  </si>
  <si>
    <t>INE0H7R07025</t>
  </si>
  <si>
    <t>INE0H7R07017</t>
  </si>
  <si>
    <t>INE557F07181</t>
  </si>
  <si>
    <t>NHBTF2023</t>
  </si>
  <si>
    <t>INE557F07132</t>
  </si>
  <si>
    <t>NHBTF2014</t>
  </si>
  <si>
    <t>INE906B07EP5</t>
  </si>
  <si>
    <t>NE</t>
  </si>
  <si>
    <t>NHAI</t>
  </si>
  <si>
    <t>INE906B07EO8</t>
  </si>
  <si>
    <t>ND</t>
  </si>
  <si>
    <t>INE906B07EN0</t>
  </si>
  <si>
    <t>NC</t>
  </si>
  <si>
    <t>INE906B07EJ8</t>
  </si>
  <si>
    <t>NA</t>
  </si>
  <si>
    <t>INE906B07EI0</t>
  </si>
  <si>
    <t>INE906B07EH2</t>
  </si>
  <si>
    <t>INE906B07DF8</t>
  </si>
  <si>
    <t>INE906B07DD3</t>
  </si>
  <si>
    <t>INE906B07CB9</t>
  </si>
  <si>
    <t>INF769K01FN2</t>
  </si>
  <si>
    <t>NEXT50</t>
  </si>
  <si>
    <t>INE0PW501021</t>
  </si>
  <si>
    <t>NEWJAISA</t>
  </si>
  <si>
    <t>INF277K015R5</t>
  </si>
  <si>
    <t>NETF</t>
  </si>
  <si>
    <t>INE342T07403</t>
  </si>
  <si>
    <t>NAVIFIN</t>
  </si>
  <si>
    <t>INE342T07387</t>
  </si>
  <si>
    <t>INE342T07379</t>
  </si>
  <si>
    <t>INE342T07189</t>
  </si>
  <si>
    <t>INE342T07411</t>
  </si>
  <si>
    <t>N0</t>
  </si>
  <si>
    <t>INE261F07032</t>
  </si>
  <si>
    <t>NABARD</t>
  </si>
  <si>
    <t>INE0JYY01011</t>
  </si>
  <si>
    <t>MWL</t>
  </si>
  <si>
    <t>INE0N6D01014</t>
  </si>
  <si>
    <t>MOXSH</t>
  </si>
  <si>
    <t>INF247L01BE5</t>
  </si>
  <si>
    <t>MOVALUE</t>
  </si>
  <si>
    <t>INE0N7S01010</t>
  </si>
  <si>
    <t>MOS</t>
  </si>
  <si>
    <t>INF247L01BH8</t>
  </si>
  <si>
    <t>MOQUALITY</t>
  </si>
  <si>
    <t>INF247L01AU3</t>
  </si>
  <si>
    <t>MONQ50</t>
  </si>
  <si>
    <t>INE0OIP01012</t>
  </si>
  <si>
    <t>MONOPHARMA</t>
  </si>
  <si>
    <t>INF247L01BU1</t>
  </si>
  <si>
    <t>MONIFTY500</t>
  </si>
  <si>
    <t>INF247L01AP3</t>
  </si>
  <si>
    <t>MON100</t>
  </si>
  <si>
    <t>INF247L01BK2</t>
  </si>
  <si>
    <t>MOMOMENTUM</t>
  </si>
  <si>
    <t>INF209KB14K7</t>
  </si>
  <si>
    <t>MOMENTUM</t>
  </si>
  <si>
    <t>INF247L01536</t>
  </si>
  <si>
    <t>MOM50</t>
  </si>
  <si>
    <t>INF247L01023</t>
  </si>
  <si>
    <t>MOM100</t>
  </si>
  <si>
    <t>INF247L01BL0</t>
  </si>
  <si>
    <t>MOLOWVOL</t>
  </si>
  <si>
    <t>INF247L01BB1</t>
  </si>
  <si>
    <t>MOHEALTH</t>
  </si>
  <si>
    <t>INF247L01AK4</t>
  </si>
  <si>
    <t>MOGSEC</t>
  </si>
  <si>
    <t>INE0CCU25019</t>
  </si>
  <si>
    <t>MINDSPACE</t>
  </si>
  <si>
    <t>INE376Y01016</t>
  </si>
  <si>
    <t>MILTON</t>
  </si>
  <si>
    <t>INF769K01IC9</t>
  </si>
  <si>
    <t>MIDCAPETF</t>
  </si>
  <si>
    <t>INF204KB1V68</t>
  </si>
  <si>
    <t>MID150BEES</t>
  </si>
  <si>
    <t>INE0PZK01014</t>
  </si>
  <si>
    <t>MICROPRO</t>
  </si>
  <si>
    <t>INE450S01011</t>
  </si>
  <si>
    <t>MHHL</t>
  </si>
  <si>
    <t>INE0G1D01014</t>
  </si>
  <si>
    <t>MEGAFLEX</t>
  </si>
  <si>
    <t>INE575Z01010</t>
  </si>
  <si>
    <t>MDL</t>
  </si>
  <si>
    <t>INE0O4M01019</t>
  </si>
  <si>
    <t>MCON</t>
  </si>
  <si>
    <t>INE0OJM01017</t>
  </si>
  <si>
    <t>MASTER</t>
  </si>
  <si>
    <t>INF769K01HP3</t>
  </si>
  <si>
    <t>MASPTOP50</t>
  </si>
  <si>
    <t>INE0QP001012</t>
  </si>
  <si>
    <t>MARCO</t>
  </si>
  <si>
    <t>INE00C401011</t>
  </si>
  <si>
    <t>MAL</t>
  </si>
  <si>
    <t>INE0CDK01019</t>
  </si>
  <si>
    <t>MAKS</t>
  </si>
  <si>
    <t>INF769K01IB1</t>
  </si>
  <si>
    <t>MAKEINDIA</t>
  </si>
  <si>
    <t>INE0PLQ01011</t>
  </si>
  <si>
    <t>MAITREYA</t>
  </si>
  <si>
    <t>INF769K01HS7</t>
  </si>
  <si>
    <t>MAHKTECH</t>
  </si>
  <si>
    <t>INE961Y01015</t>
  </si>
  <si>
    <t>MAHICKRA</t>
  </si>
  <si>
    <t>INE0O1S01012</t>
  </si>
  <si>
    <t>MAGSON</t>
  </si>
  <si>
    <t>INF769K01HF4</t>
  </si>
  <si>
    <t>MAFANG</t>
  </si>
  <si>
    <t>INE0P6701019</t>
  </si>
  <si>
    <t>MADHUSUDAN</t>
  </si>
  <si>
    <t>INE0JR301013</t>
  </si>
  <si>
    <t>MADHAVBAUG</t>
  </si>
  <si>
    <t>INE774D08MA6</t>
  </si>
  <si>
    <t>INF204KB1882</t>
  </si>
  <si>
    <t>LTGILTBEES</t>
  </si>
  <si>
    <t>INE0H4B01011</t>
  </si>
  <si>
    <t>LRRPL</t>
  </si>
  <si>
    <t>INF769K01JU9</t>
  </si>
  <si>
    <t>LOWVOL</t>
  </si>
  <si>
    <t>INE0DTQ01028</t>
  </si>
  <si>
    <t>LLOYDS</t>
  </si>
  <si>
    <t>INF200KA13Z8</t>
  </si>
  <si>
    <t>LIQUIDSBI</t>
  </si>
  <si>
    <t>INF740KA1EU7</t>
  </si>
  <si>
    <t>LIQUIDETF</t>
  </si>
  <si>
    <t>INF732E01037</t>
  </si>
  <si>
    <t>LIQUIDBEES</t>
  </si>
  <si>
    <t>INF769K01KS1</t>
  </si>
  <si>
    <t>LIQUID</t>
  </si>
  <si>
    <t>INF767K01PC8</t>
  </si>
  <si>
    <t>LICNFNHGP</t>
  </si>
  <si>
    <t>INF767K01OT5</t>
  </si>
  <si>
    <t>LICNETFSEN</t>
  </si>
  <si>
    <t>INF767K01OS7</t>
  </si>
  <si>
    <t>LICNETFN50</t>
  </si>
  <si>
    <t>INF767K01MV5</t>
  </si>
  <si>
    <t>LICNETFGSC</t>
  </si>
  <si>
    <t>INF397L01554</t>
  </si>
  <si>
    <t>LICMFGOLD</t>
  </si>
  <si>
    <t>INE0G1L01017</t>
  </si>
  <si>
    <t>LEMERITE</t>
  </si>
  <si>
    <t>INE027E07BC8</t>
  </si>
  <si>
    <t>Y9</t>
  </si>
  <si>
    <t>L&amp;TFINANCE</t>
  </si>
  <si>
    <t>INE027E07BA2</t>
  </si>
  <si>
    <t>Y7</t>
  </si>
  <si>
    <t>INE027E07AY4</t>
  </si>
  <si>
    <t>Y5</t>
  </si>
  <si>
    <t>INE027E07AH9</t>
  </si>
  <si>
    <t>NQ</t>
  </si>
  <si>
    <t>INE027E07998</t>
  </si>
  <si>
    <t>NI</t>
  </si>
  <si>
    <t>INE027E07972</t>
  </si>
  <si>
    <t>NG</t>
  </si>
  <si>
    <t>INE0J5601015</t>
  </si>
  <si>
    <t>KRISHNADEF</t>
  </si>
  <si>
    <t>INE0GGO01015</t>
  </si>
  <si>
    <t>KRISHIVAL</t>
  </si>
  <si>
    <t>INE0NR701018</t>
  </si>
  <si>
    <t>KRISHCA</t>
  </si>
  <si>
    <t>INE0J0B01017</t>
  </si>
  <si>
    <t>KOTYARK</t>
  </si>
  <si>
    <t>INF174KA1KU9</t>
  </si>
  <si>
    <t>KOTAKSILVE</t>
  </si>
  <si>
    <t>INF373I01023</t>
  </si>
  <si>
    <t>KOTAKPSUBK</t>
  </si>
  <si>
    <t>INF174K01Z71</t>
  </si>
  <si>
    <t>KOTAKNV20</t>
  </si>
  <si>
    <t>INF174K014P6</t>
  </si>
  <si>
    <t>KOTAKNIFTY</t>
  </si>
  <si>
    <t>INF174KA1JF2</t>
  </si>
  <si>
    <t>KOTAKMNC</t>
  </si>
  <si>
    <t>INF174KA1IB3</t>
  </si>
  <si>
    <t>KOTAKMID50</t>
  </si>
  <si>
    <t>INF174KA1IY5</t>
  </si>
  <si>
    <t>KOTAKLOVOL</t>
  </si>
  <si>
    <t>INF174KA1LV5</t>
  </si>
  <si>
    <t>KOTAKLIQ</t>
  </si>
  <si>
    <t>INF174KA1GC5</t>
  </si>
  <si>
    <t>KOTAKIT</t>
  </si>
  <si>
    <t>INF174KA1HJ8</t>
  </si>
  <si>
    <t>KOTAKGOLD</t>
  </si>
  <si>
    <t>INF174KA1JE5</t>
  </si>
  <si>
    <t>KOTAKCONS</t>
  </si>
  <si>
    <t>INF174K01F59</t>
  </si>
  <si>
    <t>KOTAKBKETF</t>
  </si>
  <si>
    <t>INF174KA1IA5</t>
  </si>
  <si>
    <t>KOTAKALPHA</t>
  </si>
  <si>
    <t>INE0J6801010</t>
  </si>
  <si>
    <t>KORE</t>
  </si>
  <si>
    <t>INE0KZ301010</t>
  </si>
  <si>
    <t>KONTOR</t>
  </si>
  <si>
    <t>INE0Q7P01013</t>
  </si>
  <si>
    <t>KODYTECH</t>
  </si>
  <si>
    <t>INE0KNW01016</t>
  </si>
  <si>
    <t>KNAGRI</t>
  </si>
  <si>
    <t>INE00UG01014</t>
  </si>
  <si>
    <t>KHFM</t>
  </si>
  <si>
    <t>INE0OWX01025</t>
  </si>
  <si>
    <t>KEL</t>
  </si>
  <si>
    <t>INE0O4R01018</t>
  </si>
  <si>
    <t>KDL</t>
  </si>
  <si>
    <t>INE0MGA01012</t>
  </si>
  <si>
    <t>KARNIKA</t>
  </si>
  <si>
    <t>INF732E01045</t>
  </si>
  <si>
    <t>JUNIORBEES</t>
  </si>
  <si>
    <t>INE0J5801011</t>
  </si>
  <si>
    <t>JSLL</t>
  </si>
  <si>
    <t>INE0N5H01017</t>
  </si>
  <si>
    <t>JIWANRAM</t>
  </si>
  <si>
    <t>INE0LA901015</t>
  </si>
  <si>
    <t>JFLLIFE</t>
  </si>
  <si>
    <t>INE349X01015</t>
  </si>
  <si>
    <t>JALAN</t>
  </si>
  <si>
    <t>INE02KC01010</t>
  </si>
  <si>
    <t>JAINAM</t>
  </si>
  <si>
    <t>INF205K01DA9</t>
  </si>
  <si>
    <t>IVZINNIFTY</t>
  </si>
  <si>
    <t>INF205K01361</t>
  </si>
  <si>
    <t>IVZINGOLD</t>
  </si>
  <si>
    <t>INF769K01KV5</t>
  </si>
  <si>
    <t>ITETF</t>
  </si>
  <si>
    <t>INF204KB15V2</t>
  </si>
  <si>
    <t>ITBEES</t>
  </si>
  <si>
    <t>INE0LCW01017</t>
  </si>
  <si>
    <t>ISHAN</t>
  </si>
  <si>
    <t>INE053F07900</t>
  </si>
  <si>
    <t>NO</t>
  </si>
  <si>
    <t>INE053F07843</t>
  </si>
  <si>
    <t>NK</t>
  </si>
  <si>
    <t>INE053F07835</t>
  </si>
  <si>
    <t>INE053F07793</t>
  </si>
  <si>
    <t>INE053F07744</t>
  </si>
  <si>
    <t>INE053F07686</t>
  </si>
  <si>
    <t>INE053F07678</t>
  </si>
  <si>
    <t>INE053F07652</t>
  </si>
  <si>
    <t>INE053F07595</t>
  </si>
  <si>
    <t>INE202E07138</t>
  </si>
  <si>
    <t>IREDA</t>
  </si>
  <si>
    <t>INE183W23014</t>
  </si>
  <si>
    <t>IRBINVIT</t>
  </si>
  <si>
    <t>INE02EE01019</t>
  </si>
  <si>
    <t>IPSL</t>
  </si>
  <si>
    <t>INE0NDX01019</t>
  </si>
  <si>
    <t>INSPIRE</t>
  </si>
  <si>
    <t>INE070Y01015</t>
  </si>
  <si>
    <t>INNOVATIVE</t>
  </si>
  <si>
    <t>INE403Y01018</t>
  </si>
  <si>
    <t>INNOVANA</t>
  </si>
  <si>
    <t>INF732E01268</t>
  </si>
  <si>
    <t>INFRABEES</t>
  </si>
  <si>
    <t>INE0NNZ01013</t>
  </si>
  <si>
    <t>INFOLLION</t>
  </si>
  <si>
    <t>INE0MRE01011</t>
  </si>
  <si>
    <t>INFINIUM</t>
  </si>
  <si>
    <t>INE219X07280</t>
  </si>
  <si>
    <t>INDIGRID</t>
  </si>
  <si>
    <t>INE219X07223</t>
  </si>
  <si>
    <t>INE219X23014</t>
  </si>
  <si>
    <t>INE321N07301</t>
  </si>
  <si>
    <t>INCREDFIN</t>
  </si>
  <si>
    <t>INE945W07399</t>
  </si>
  <si>
    <t>INE00QS24027</t>
  </si>
  <si>
    <t>IMC1</t>
  </si>
  <si>
    <t>INE00QS24019</t>
  </si>
  <si>
    <t>INE477L07AQ2</t>
  </si>
  <si>
    <t>IIHFL</t>
  </si>
  <si>
    <t>INE477L07AN9</t>
  </si>
  <si>
    <t>INE477L07AL3</t>
  </si>
  <si>
    <t>INE477L08162</t>
  </si>
  <si>
    <t>INE477L08154</t>
  </si>
  <si>
    <t>INE477L08147</t>
  </si>
  <si>
    <t>INE530B07278</t>
  </si>
  <si>
    <t>NU</t>
  </si>
  <si>
    <t>INE530B07310</t>
  </si>
  <si>
    <t>NS</t>
  </si>
  <si>
    <t>INE530B07302</t>
  </si>
  <si>
    <t>NP</t>
  </si>
  <si>
    <t>INE530B07252</t>
  </si>
  <si>
    <t>INE530B07161</t>
  </si>
  <si>
    <t>INE530B08102</t>
  </si>
  <si>
    <t>INE530B08094</t>
  </si>
  <si>
    <t>INE866I08303</t>
  </si>
  <si>
    <t>INE866I08295</t>
  </si>
  <si>
    <t>INE866I08279</t>
  </si>
  <si>
    <t>INE787H07347</t>
  </si>
  <si>
    <t>IIFCL</t>
  </si>
  <si>
    <t>INE787H07354</t>
  </si>
  <si>
    <t>INE787H07156</t>
  </si>
  <si>
    <t>INE039A07850</t>
  </si>
  <si>
    <t>NM</t>
  </si>
  <si>
    <t>INE039A07843</t>
  </si>
  <si>
    <t>INF194KA1U07</t>
  </si>
  <si>
    <t>IDFNIFTYET</t>
  </si>
  <si>
    <t>INF109KC16I6</t>
  </si>
  <si>
    <t>ICICITECH</t>
  </si>
  <si>
    <t>INF109KC1Y56</t>
  </si>
  <si>
    <t>ICICISILVE</t>
  </si>
  <si>
    <t>INF346A01034</t>
  </si>
  <si>
    <t>ICICISENSX</t>
  </si>
  <si>
    <t>INF109KC15T5</t>
  </si>
  <si>
    <t>ICICIQTY30</t>
  </si>
  <si>
    <t>INF109KC1Q72</t>
  </si>
  <si>
    <t>ICICIPHARM</t>
  </si>
  <si>
    <t>INF109KC1NS5</t>
  </si>
  <si>
    <t>ICICINXT50</t>
  </si>
  <si>
    <t>INF109KB1WY5</t>
  </si>
  <si>
    <t>ICICINV20</t>
  </si>
  <si>
    <t>INF109K012R6</t>
  </si>
  <si>
    <t>ICICINIFTY</t>
  </si>
  <si>
    <t>INF109KA1962</t>
  </si>
  <si>
    <t>ICICINF100</t>
  </si>
  <si>
    <t>INF109KC17C7</t>
  </si>
  <si>
    <t>ICICIMOM30</t>
  </si>
  <si>
    <t>INF109KB1XT3</t>
  </si>
  <si>
    <t>ICICIMCAP</t>
  </si>
  <si>
    <t>INF109KC1G82</t>
  </si>
  <si>
    <t>ICICIM150</t>
  </si>
  <si>
    <t>INF109KB10T8</t>
  </si>
  <si>
    <t>ICICILOVOL</t>
  </si>
  <si>
    <t>INF109KC1KT9</t>
  </si>
  <si>
    <t>ICICILIQ</t>
  </si>
  <si>
    <t>INF109KC16E5</t>
  </si>
  <si>
    <t>ICICIINFRA</t>
  </si>
  <si>
    <t>INF109KC1NT3</t>
  </si>
  <si>
    <t>ICICIGOLD</t>
  </si>
  <si>
    <t>INF109KC1R48</t>
  </si>
  <si>
    <t>ICICIFMCG</t>
  </si>
  <si>
    <t>INF109KC17L8</t>
  </si>
  <si>
    <t>ICICIFIN</t>
  </si>
  <si>
    <t>INF109KC1V42</t>
  </si>
  <si>
    <t>ICICICONSU</t>
  </si>
  <si>
    <t>INF109KC19O8</t>
  </si>
  <si>
    <t>ICICICOMMO</t>
  </si>
  <si>
    <t>INF109KC1E35</t>
  </si>
  <si>
    <t>ICICIBANKP</t>
  </si>
  <si>
    <t>INF109KC15I8</t>
  </si>
  <si>
    <t>ICICIBANKN</t>
  </si>
  <si>
    <t>INF109KB15Y7</t>
  </si>
  <si>
    <t>ICICIB22</t>
  </si>
  <si>
    <t>INF109KC1Y49</t>
  </si>
  <si>
    <t>ICICIAUTO</t>
  </si>
  <si>
    <t>INF109KC1N59</t>
  </si>
  <si>
    <t>ICICIALPLV</t>
  </si>
  <si>
    <t>INF109KC14A8</t>
  </si>
  <si>
    <t>ICICI5GSEC</t>
  </si>
  <si>
    <t>INF109KC1V59</t>
  </si>
  <si>
    <t>ICICI500</t>
  </si>
  <si>
    <t>INE148I07NQ8</t>
  </si>
  <si>
    <t>ZR</t>
  </si>
  <si>
    <t>INE148I07NC8</t>
  </si>
  <si>
    <t>ZP</t>
  </si>
  <si>
    <t>INE148I07MX6</t>
  </si>
  <si>
    <t>INE148I07MJ5</t>
  </si>
  <si>
    <t>Z5</t>
  </si>
  <si>
    <t>INE148I07MF3</t>
  </si>
  <si>
    <t>Z3</t>
  </si>
  <si>
    <t>INE148I07LE8</t>
  </si>
  <si>
    <t>YC</t>
  </si>
  <si>
    <t>INE148I07KV4</t>
  </si>
  <si>
    <t>Y3</t>
  </si>
  <si>
    <t>INE148I07KT8</t>
  </si>
  <si>
    <t>Y1</t>
  </si>
  <si>
    <t>INE148I07KH3</t>
  </si>
  <si>
    <t>INE148I07GL3</t>
  </si>
  <si>
    <t>INE148I07GK5</t>
  </si>
  <si>
    <t>INE148I07GJ7</t>
  </si>
  <si>
    <t>INE148I07PO8</t>
  </si>
  <si>
    <t>BV</t>
  </si>
  <si>
    <t>INE148I07PD1</t>
  </si>
  <si>
    <t>BF</t>
  </si>
  <si>
    <t>INE148I07NV8</t>
  </si>
  <si>
    <t>AN</t>
  </si>
  <si>
    <t>INE148I07PY7</t>
  </si>
  <si>
    <t>IBULHSG</t>
  </si>
  <si>
    <t>INE244L07275</t>
  </si>
  <si>
    <t>IBUCCREDIT</t>
  </si>
  <si>
    <t>INE031A07AB2</t>
  </si>
  <si>
    <t>INE031A07915</t>
  </si>
  <si>
    <t>NB</t>
  </si>
  <si>
    <t>INE031A07AO5</t>
  </si>
  <si>
    <t>INE031A07840</t>
  </si>
  <si>
    <t>INE0N7F01017</t>
  </si>
  <si>
    <t>HOMESFY</t>
  </si>
  <si>
    <t>INE0LXA01019</t>
  </si>
  <si>
    <t>HOLMARC</t>
  </si>
  <si>
    <t>INF204KB19I1</t>
  </si>
  <si>
    <t>HNGSNGBEES</t>
  </si>
  <si>
    <t>INE0PIC01017</t>
  </si>
  <si>
    <t>HIGREEN</t>
  </si>
  <si>
    <t>INF209KB10C2</t>
  </si>
  <si>
    <t>HEALTHY</t>
  </si>
  <si>
    <t>INF179KC1DK8</t>
  </si>
  <si>
    <t>HDFCVALUE</t>
  </si>
  <si>
    <t>INF179KC1FB2</t>
  </si>
  <si>
    <t>HDFCSML250</t>
  </si>
  <si>
    <t>INF179KC1DI2</t>
  </si>
  <si>
    <t>HDFCSILVER</t>
  </si>
  <si>
    <t>INF179KC1973</t>
  </si>
  <si>
    <t>HDFCSENSEX</t>
  </si>
  <si>
    <t>INF179KC1DL6</t>
  </si>
  <si>
    <t>HDFCQUAL</t>
  </si>
  <si>
    <t>INF179KC1DW3</t>
  </si>
  <si>
    <t>HDFCPVTBAN</t>
  </si>
  <si>
    <t>INF179KC1965</t>
  </si>
  <si>
    <t>HDFCNIFTY</t>
  </si>
  <si>
    <t>INF179KC1DX1</t>
  </si>
  <si>
    <t>HDFCNIFIT</t>
  </si>
  <si>
    <t>INF179KC1AN8</t>
  </si>
  <si>
    <t>HDFCNIFBAN</t>
  </si>
  <si>
    <t>INF179KC1HR4</t>
  </si>
  <si>
    <t>HDFCNIF100</t>
  </si>
  <si>
    <t>INF179KC1HS2</t>
  </si>
  <si>
    <t>HDFCNEXT50</t>
  </si>
  <si>
    <t>INF179KC1HV6</t>
  </si>
  <si>
    <t>HDFCMOMENT</t>
  </si>
  <si>
    <t>INF179KC1HT0</t>
  </si>
  <si>
    <t>HDFCMID150</t>
  </si>
  <si>
    <t>INF179KC1HU8</t>
  </si>
  <si>
    <t>HDFCLOWVOL</t>
  </si>
  <si>
    <t>INF179KC1HE2</t>
  </si>
  <si>
    <t>HDFCLIQUID</t>
  </si>
  <si>
    <t>INF179KC1DJ0</t>
  </si>
  <si>
    <t>HDFCGROWTH</t>
  </si>
  <si>
    <t>INF179KC1981</t>
  </si>
  <si>
    <t>HDFCGOLD</t>
  </si>
  <si>
    <t>INF179KC1EZ4</t>
  </si>
  <si>
    <t>HDFCBSE500</t>
  </si>
  <si>
    <t>INE00WS01056</t>
  </si>
  <si>
    <t>GSTL</t>
  </si>
  <si>
    <t>INF769K01KF8</t>
  </si>
  <si>
    <t>GSEC10YEAR</t>
  </si>
  <si>
    <t>INE0O7P01015</t>
  </si>
  <si>
    <t>GREENCHEF</t>
  </si>
  <si>
    <t>INE0LVM01018</t>
  </si>
  <si>
    <t>GRCL</t>
  </si>
  <si>
    <t>INE0QFE01017</t>
  </si>
  <si>
    <t>GOYALSALT</t>
  </si>
  <si>
    <t>INE405Y01021</t>
  </si>
  <si>
    <t>GOLDSTAR</t>
  </si>
  <si>
    <t>INF789F1AUX7</t>
  </si>
  <si>
    <t>GOLDSHARE</t>
  </si>
  <si>
    <t>INF769K01JP9</t>
  </si>
  <si>
    <t>GOLDETF</t>
  </si>
  <si>
    <t>INF204KB17I5</t>
  </si>
  <si>
    <t>GOLDBEES</t>
  </si>
  <si>
    <t>INE0PS501019</t>
  </si>
  <si>
    <t>GLOBALPET</t>
  </si>
  <si>
    <t>INE614Z01017</t>
  </si>
  <si>
    <t>GIRIRAJ</t>
  </si>
  <si>
    <t>INF204KC1030</t>
  </si>
  <si>
    <t>GILT5YBEES</t>
  </si>
  <si>
    <t>INE947T01014</t>
  </si>
  <si>
    <t>GICL</t>
  </si>
  <si>
    <t>INE385O01018</t>
  </si>
  <si>
    <t>FROG</t>
  </si>
  <si>
    <t>INE0I7D01019</t>
  </si>
  <si>
    <t>FOCE</t>
  </si>
  <si>
    <t>INE0LQQ01019</t>
  </si>
  <si>
    <t>FIDEL</t>
  </si>
  <si>
    <t>INE901X01013</t>
  </si>
  <si>
    <t>FELIX</t>
  </si>
  <si>
    <t>IN9623B01058</t>
  </si>
  <si>
    <t>FELDVR</t>
  </si>
  <si>
    <t>INE505V01016</t>
  </si>
  <si>
    <t>EUROBOND</t>
  </si>
  <si>
    <t>INF769K01GS9</t>
  </si>
  <si>
    <t>ESG</t>
  </si>
  <si>
    <t>INE0ITO01014</t>
  </si>
  <si>
    <t>ESFL</t>
  </si>
  <si>
    <t>INE332S01011</t>
  </si>
  <si>
    <t>EMKAYTOOLS</t>
  </si>
  <si>
    <t>INE041025011</t>
  </si>
  <si>
    <t>EMBASSY</t>
  </si>
  <si>
    <t>INF754K01SE6</t>
  </si>
  <si>
    <t>EGOLD</t>
  </si>
  <si>
    <t>INE0KFF01017</t>
  </si>
  <si>
    <t>EFACTOR</t>
  </si>
  <si>
    <t>INE804IA7022</t>
  </si>
  <si>
    <t>ECLFINANCE</t>
  </si>
  <si>
    <t>INE804IA7014</t>
  </si>
  <si>
    <t>NR</t>
  </si>
  <si>
    <t>INE804I079Z3</t>
  </si>
  <si>
    <t>INE804I078Z5</t>
  </si>
  <si>
    <t>INE804I077Z7</t>
  </si>
  <si>
    <t>INE804I079Y6</t>
  </si>
  <si>
    <t>INE804I078Y8</t>
  </si>
  <si>
    <t>INF754K01QX0</t>
  </si>
  <si>
    <t>EBBETF0433</t>
  </si>
  <si>
    <t>INF754K01LE1</t>
  </si>
  <si>
    <t>EBBETF0431</t>
  </si>
  <si>
    <t>INF754K01KO2</t>
  </si>
  <si>
    <t>EBBETF0430</t>
  </si>
  <si>
    <t>INF754K01LD3</t>
  </si>
  <si>
    <t>EBBETF0425</t>
  </si>
  <si>
    <t>INE0DZ701010</t>
  </si>
  <si>
    <t>DYNAMIC</t>
  </si>
  <si>
    <t>INE0HPK01020</t>
  </si>
  <si>
    <t>DUGLOBAL</t>
  </si>
  <si>
    <t>INE0LZO01015</t>
  </si>
  <si>
    <t>DUCOL</t>
  </si>
  <si>
    <t>INF740KA1RE3</t>
  </si>
  <si>
    <t>DSPSILVETF</t>
  </si>
  <si>
    <t>INF740KA1SZ6</t>
  </si>
  <si>
    <t>DSPSENXETF</t>
  </si>
  <si>
    <t>INF740KA1QL0</t>
  </si>
  <si>
    <t>DSPQ50ETF</t>
  </si>
  <si>
    <t>INF740KA1TA7</t>
  </si>
  <si>
    <t>DSPPVBKETF</t>
  </si>
  <si>
    <t>INF740KA1SY9</t>
  </si>
  <si>
    <t>DSPPSBKETF</t>
  </si>
  <si>
    <t>INF740KA1QK2</t>
  </si>
  <si>
    <t>DSPNEWETF</t>
  </si>
  <si>
    <t>INF740KA1CL0</t>
  </si>
  <si>
    <t>DSPN50ETF</t>
  </si>
  <si>
    <t>INF740KA1SX1</t>
  </si>
  <si>
    <t>DSPITETF</t>
  </si>
  <si>
    <t>INF740KA1SW3</t>
  </si>
  <si>
    <t>DSPGOLDETF</t>
  </si>
  <si>
    <t>INF740KA1RX3</t>
  </si>
  <si>
    <t>DSPBANKETF</t>
  </si>
  <si>
    <t>INE0P7201019</t>
  </si>
  <si>
    <t>DRONE</t>
  </si>
  <si>
    <t>INE0JHH01011</t>
  </si>
  <si>
    <t>DOLLEX</t>
  </si>
  <si>
    <t>INE0GN101014</t>
  </si>
  <si>
    <t>DKEGL</t>
  </si>
  <si>
    <t>INF204KA1MS3</t>
  </si>
  <si>
    <t>DIVOPPBEES</t>
  </si>
  <si>
    <t>INE0QJ901011</t>
  </si>
  <si>
    <t>DIGIKORE</t>
  </si>
  <si>
    <t>INE614X07431</t>
  </si>
  <si>
    <t>Y4</t>
  </si>
  <si>
    <t>DHANILOANS</t>
  </si>
  <si>
    <t>INE614X07092</t>
  </si>
  <si>
    <t>INE614X07084</t>
  </si>
  <si>
    <t>INE0IGO01011</t>
  </si>
  <si>
    <t>DESTINY</t>
  </si>
  <si>
    <t>INE0N5801013</t>
  </si>
  <si>
    <t>DENTALKART</t>
  </si>
  <si>
    <t>INE0JWV01011</t>
  </si>
  <si>
    <t>DENEERS</t>
  </si>
  <si>
    <t>INE741K07546</t>
  </si>
  <si>
    <t>INE741K07579</t>
  </si>
  <si>
    <t>INE741K07470</t>
  </si>
  <si>
    <t>INE0OFK01019</t>
  </si>
  <si>
    <t>CRAYONS</t>
  </si>
  <si>
    <t>INF457M01133</t>
  </si>
  <si>
    <t>CPSEETF</t>
  </si>
  <si>
    <t>INE0QBU01012</t>
  </si>
  <si>
    <t>CPS</t>
  </si>
  <si>
    <t>INE0HS001010</t>
  </si>
  <si>
    <t>COOLCAPS</t>
  </si>
  <si>
    <t>INF204KA1LD7</t>
  </si>
  <si>
    <t>CONSUMBEES</t>
  </si>
  <si>
    <t>INE597Z01014</t>
  </si>
  <si>
    <t>COMMITTED</t>
  </si>
  <si>
    <t>INE075Z01011</t>
  </si>
  <si>
    <t>CMRSL</t>
  </si>
  <si>
    <t>INE06PV01010</t>
  </si>
  <si>
    <t>CMNL</t>
  </si>
  <si>
    <t>INE00NH01017</t>
  </si>
  <si>
    <t>CLSL</t>
  </si>
  <si>
    <t>IN90JOO01011</t>
  </si>
  <si>
    <t>E1</t>
  </si>
  <si>
    <t>CLOUDPP</t>
  </si>
  <si>
    <t>INE0JOO01021</t>
  </si>
  <si>
    <t>CLOUD</t>
  </si>
  <si>
    <t>BO</t>
  </si>
  <si>
    <t>INE121A07RI0</t>
  </si>
  <si>
    <t>INE0PT101017</t>
  </si>
  <si>
    <t>CHAVDA</t>
  </si>
  <si>
    <t>INE0O0001013</t>
  </si>
  <si>
    <t>CELLPOINT</t>
  </si>
  <si>
    <t>INE0OMO01017</t>
  </si>
  <si>
    <t>CELLECOR</t>
  </si>
  <si>
    <t>INE0QG301017</t>
  </si>
  <si>
    <t>CANARYS</t>
  </si>
  <si>
    <t>INE090Y01013</t>
  </si>
  <si>
    <t>CADSYS</t>
  </si>
  <si>
    <t>INF209KB10E8</t>
  </si>
  <si>
    <t>BSLSENETFG</t>
  </si>
  <si>
    <t>INF209KB19D1</t>
  </si>
  <si>
    <t>BSLNIFTY</t>
  </si>
  <si>
    <t>INF209KB18D3</t>
  </si>
  <si>
    <t>BSLGOLDETF</t>
  </si>
  <si>
    <t>INE216A08027</t>
  </si>
  <si>
    <t>INE684Z01010</t>
  </si>
  <si>
    <t>BRIGHT</t>
  </si>
  <si>
    <t>INE0I3Y01014</t>
  </si>
  <si>
    <t>BMETRICS</t>
  </si>
  <si>
    <t>INE0FDU25010</t>
  </si>
  <si>
    <t>BIRET</t>
  </si>
  <si>
    <t>INF769K01HI8</t>
  </si>
  <si>
    <t>BFSI</t>
  </si>
  <si>
    <t>INE0HQI01014</t>
  </si>
  <si>
    <t>BEWLTD</t>
  </si>
  <si>
    <t>INE351Y01019</t>
  </si>
  <si>
    <t>BETA</t>
  </si>
  <si>
    <t>INF754K01OB1</t>
  </si>
  <si>
    <t>BBETF0432</t>
  </si>
  <si>
    <t>INE0OCC01013</t>
  </si>
  <si>
    <t>BASILIC</t>
  </si>
  <si>
    <t>INF769K01KR3</t>
  </si>
  <si>
    <t>BANKETF</t>
  </si>
  <si>
    <t>INF204KB15I9</t>
  </si>
  <si>
    <t>BANKBEES</t>
  </si>
  <si>
    <t>INE029Q01017</t>
  </si>
  <si>
    <t>BAHETI</t>
  </si>
  <si>
    <t>INF846K010Q0</t>
  </si>
  <si>
    <t>AXSENSEX</t>
  </si>
  <si>
    <t>INF846K01Y96</t>
  </si>
  <si>
    <t>AXISTECETF</t>
  </si>
  <si>
    <t>INF846K01W98</t>
  </si>
  <si>
    <t>AXISNIFTY</t>
  </si>
  <si>
    <t>INF846K011K1</t>
  </si>
  <si>
    <t>AXISILVER</t>
  </si>
  <si>
    <t>INF846K01Z12</t>
  </si>
  <si>
    <t>AXISHCETF</t>
  </si>
  <si>
    <t>INF846K01W80</t>
  </si>
  <si>
    <t>AXISGOLD</t>
  </si>
  <si>
    <t>INF846K016C7</t>
  </si>
  <si>
    <t>AXISCETF</t>
  </si>
  <si>
    <t>INF846K01Z04</t>
  </si>
  <si>
    <t>AXISBPSETF</t>
  </si>
  <si>
    <t>INF846K01X63</t>
  </si>
  <si>
    <t>AXISBNKETF</t>
  </si>
  <si>
    <t>INF204KC1337</t>
  </si>
  <si>
    <t>AUTOBEES</t>
  </si>
  <si>
    <t>IN9898S01019</t>
  </si>
  <si>
    <t>AURUMPP</t>
  </si>
  <si>
    <t>INE0NUL01018</t>
  </si>
  <si>
    <t>AUROIMPEX</t>
  </si>
  <si>
    <t>INE448V01019</t>
  </si>
  <si>
    <t>AURDIS</t>
  </si>
  <si>
    <t>INE617I01024</t>
  </si>
  <si>
    <t>ASLIND</t>
  </si>
  <si>
    <t>INE082101010</t>
  </si>
  <si>
    <t>ARISTO</t>
  </si>
  <si>
    <t>INE0NCC01015</t>
  </si>
  <si>
    <t>ARIHANTACA</t>
  </si>
  <si>
    <t>INE0L2Y01011</t>
  </si>
  <si>
    <t>ARHAM</t>
  </si>
  <si>
    <t>INE08NJ01024</t>
  </si>
  <si>
    <t>ARABIAN</t>
  </si>
  <si>
    <t>INE0MGM01017</t>
  </si>
  <si>
    <t>ANNAPURNA</t>
  </si>
  <si>
    <t>INE0LR101013</t>
  </si>
  <si>
    <t>ANLON</t>
  </si>
  <si>
    <t>INE0MTP01013</t>
  </si>
  <si>
    <t>AMIABLE</t>
  </si>
  <si>
    <t>INE00C501018</t>
  </si>
  <si>
    <t>AMBANIORG</t>
  </si>
  <si>
    <t>INF769K01KU7</t>
  </si>
  <si>
    <t>ALPHAETF</t>
  </si>
  <si>
    <t>INE0M2X01012</t>
  </si>
  <si>
    <t>ALLETEC</t>
  </si>
  <si>
    <t>INE635Y01015</t>
  </si>
  <si>
    <t>AISL</t>
  </si>
  <si>
    <t>IN9397D01014</t>
  </si>
  <si>
    <t>AIRTELPP</t>
  </si>
  <si>
    <t>INE0CAJ01017</t>
  </si>
  <si>
    <t>AILIMITED</t>
  </si>
  <si>
    <t>INE0O6N01012</t>
  </si>
  <si>
    <t>AGUL</t>
  </si>
  <si>
    <t>INE0LF301013</t>
  </si>
  <si>
    <t>AGNI</t>
  </si>
  <si>
    <t>INE0MLA01012</t>
  </si>
  <si>
    <t>AGARWALFT</t>
  </si>
  <si>
    <t>INE0P4T01013</t>
  </si>
  <si>
    <t>ACSAL</t>
  </si>
  <si>
    <t>INE113X01015</t>
  </si>
  <si>
    <t>ACCORD</t>
  </si>
  <si>
    <t>INF209KB16D7</t>
  </si>
  <si>
    <t>ABSLNN50ET</t>
  </si>
  <si>
    <t>INF209KB18T9</t>
  </si>
  <si>
    <t>ABSLLIQUID</t>
  </si>
  <si>
    <t>INF209KB17D5</t>
  </si>
  <si>
    <t>ABSLBANETF</t>
  </si>
  <si>
    <t>INE00YB01017</t>
  </si>
  <si>
    <t>ABINFRA</t>
  </si>
  <si>
    <t>INE860H07IS6</t>
  </si>
  <si>
    <t>ABFL</t>
  </si>
  <si>
    <t>INE0OB201016</t>
  </si>
  <si>
    <t>AATMAJ</t>
  </si>
  <si>
    <t>IN909EO01012</t>
  </si>
  <si>
    <t>AARTIPP</t>
  </si>
  <si>
    <t>IN0020130053</t>
  </si>
  <si>
    <t>GS</t>
  </si>
  <si>
    <t>92GS2030</t>
  </si>
  <si>
    <t>IN002023X278</t>
  </si>
  <si>
    <t>TB</t>
  </si>
  <si>
    <t>91D291223</t>
  </si>
  <si>
    <t>IN002023X260</t>
  </si>
  <si>
    <t>91D211223</t>
  </si>
  <si>
    <t>IN002023X336</t>
  </si>
  <si>
    <t>91D080224</t>
  </si>
  <si>
    <t>IN002023X245</t>
  </si>
  <si>
    <t>91D071223</t>
  </si>
  <si>
    <t>IN002023X286</t>
  </si>
  <si>
    <t>91D040124</t>
  </si>
  <si>
    <t>IN0020120039</t>
  </si>
  <si>
    <t>833GS2026</t>
  </si>
  <si>
    <t>IN0020060086</t>
  </si>
  <si>
    <t>828GS2032</t>
  </si>
  <si>
    <t>IN0020020106</t>
  </si>
  <si>
    <t>795GS2032</t>
  </si>
  <si>
    <t>IN1020220225</t>
  </si>
  <si>
    <t>SG</t>
  </si>
  <si>
    <t>785AP37</t>
  </si>
  <si>
    <t>IN1620220096</t>
  </si>
  <si>
    <t>769HR27</t>
  </si>
  <si>
    <t>IN0020150010</t>
  </si>
  <si>
    <t>768GS2023</t>
  </si>
  <si>
    <t>IN0020190024</t>
  </si>
  <si>
    <t>762GS2039</t>
  </si>
  <si>
    <t>IN0020190065</t>
  </si>
  <si>
    <t>757GS2033</t>
  </si>
  <si>
    <t>IN0020220029</t>
  </si>
  <si>
    <t>754GS2036</t>
  </si>
  <si>
    <t>IN0020220094</t>
  </si>
  <si>
    <t>74GS2062</t>
  </si>
  <si>
    <t>IN0020220102</t>
  </si>
  <si>
    <t>741GS2036</t>
  </si>
  <si>
    <t>IN0020230051</t>
  </si>
  <si>
    <t>73GS2053</t>
  </si>
  <si>
    <t>IN0020220037</t>
  </si>
  <si>
    <t>738GS2027</t>
  </si>
  <si>
    <t>IN0020220086</t>
  </si>
  <si>
    <t>736GS2052</t>
  </si>
  <si>
    <t>IN0020220151</t>
  </si>
  <si>
    <t>726GS2033</t>
  </si>
  <si>
    <t>IN0020220060</t>
  </si>
  <si>
    <t>726GS2032</t>
  </si>
  <si>
    <t>IN0020230044</t>
  </si>
  <si>
    <t>725GS2063</t>
  </si>
  <si>
    <t>IN0020230077</t>
  </si>
  <si>
    <t>718GS2037</t>
  </si>
  <si>
    <t>IN0020230085</t>
  </si>
  <si>
    <t>718GS2033</t>
  </si>
  <si>
    <t>IN0020230036</t>
  </si>
  <si>
    <t>717GS2030</t>
  </si>
  <si>
    <t>IN0020220011</t>
  </si>
  <si>
    <t>710GS2029</t>
  </si>
  <si>
    <t>IN0020230010</t>
  </si>
  <si>
    <t>706GS2028</t>
  </si>
  <si>
    <t>IN0020210194</t>
  </si>
  <si>
    <t>699GS2051</t>
  </si>
  <si>
    <t>IN0020230028</t>
  </si>
  <si>
    <t>699GS2026</t>
  </si>
  <si>
    <t>IN0020210202</t>
  </si>
  <si>
    <t>695GS2061</t>
  </si>
  <si>
    <t>IN0020200187</t>
  </si>
  <si>
    <t>68GS2060</t>
  </si>
  <si>
    <t>IN0020200401</t>
  </si>
  <si>
    <t>676GS2061</t>
  </si>
  <si>
    <t>IN0020220052</t>
  </si>
  <si>
    <t>669GS2024</t>
  </si>
  <si>
    <t>IN0020210152</t>
  </si>
  <si>
    <t>667GS2035</t>
  </si>
  <si>
    <t>IN0020210244</t>
  </si>
  <si>
    <t>654GS2032</t>
  </si>
  <si>
    <t>IN0020210095</t>
  </si>
  <si>
    <t>610GS2031</t>
  </si>
  <si>
    <t>IN0020210186</t>
  </si>
  <si>
    <t>574GS2026</t>
  </si>
  <si>
    <t>IN002023Z331</t>
  </si>
  <si>
    <t>364D311024</t>
  </si>
  <si>
    <t>IN002022Z382</t>
  </si>
  <si>
    <t>364D211223</t>
  </si>
  <si>
    <t>IN002023Z042</t>
  </si>
  <si>
    <t>364D180424</t>
  </si>
  <si>
    <t>IN002022Z374</t>
  </si>
  <si>
    <t>364D141223</t>
  </si>
  <si>
    <t>IN002023Z307</t>
  </si>
  <si>
    <t>364D101024</t>
  </si>
  <si>
    <t>IN002023Z349</t>
  </si>
  <si>
    <t>364D071124</t>
  </si>
  <si>
    <t>IN002023Y318</t>
  </si>
  <si>
    <t>182D250424</t>
  </si>
  <si>
    <t>IN002023Y250</t>
  </si>
  <si>
    <t>182D140324</t>
  </si>
  <si>
    <t>IN002023Y334</t>
  </si>
  <si>
    <t>182D090524</t>
  </si>
  <si>
    <t>IN002023Y284</t>
  </si>
  <si>
    <t>182D040424</t>
  </si>
  <si>
    <t>ISIN</t>
  </si>
  <si>
    <t>TOTALTRADES</t>
  </si>
  <si>
    <t>TIMESTAMP</t>
  </si>
  <si>
    <t>TOTTRDVAL</t>
  </si>
  <si>
    <t>TOTTRDQTY</t>
  </si>
  <si>
    <t>PREVCLOSE</t>
  </si>
  <si>
    <t>LAST</t>
  </si>
  <si>
    <t>CLOSE</t>
  </si>
  <si>
    <t>LOW</t>
  </si>
  <si>
    <t>HIGH</t>
  </si>
  <si>
    <t>OPEN</t>
  </si>
  <si>
    <t>SERIES</t>
  </si>
  <si>
    <t>NAME</t>
  </si>
  <si>
    <t>Date</t>
  </si>
  <si>
    <t>ZUARIGLOB</t>
  </si>
  <si>
    <t>INE077B01018</t>
  </si>
  <si>
    <t>ZODJRDMKJ</t>
  </si>
  <si>
    <t>INE871B01014</t>
  </si>
  <si>
    <t>ZICOM</t>
  </si>
  <si>
    <t>ZENITHBIR</t>
  </si>
  <si>
    <t>INE256A04022</t>
  </si>
  <si>
    <t>P2</t>
  </si>
  <si>
    <t>INE528G01027</t>
  </si>
  <si>
    <t>INE183H01011</t>
  </si>
  <si>
    <t>XLENERGY</t>
  </si>
  <si>
    <t>WEIZFOREX</t>
  </si>
  <si>
    <t>INE054C01015</t>
  </si>
  <si>
    <t>WATERBASE</t>
  </si>
  <si>
    <t>WABCOINDIA</t>
  </si>
  <si>
    <t>INE825A01012</t>
  </si>
  <si>
    <t>INE526G01021</t>
  </si>
  <si>
    <t>VIVIMEDLAB</t>
  </si>
  <si>
    <t>INE430N01014</t>
  </si>
  <si>
    <t>INE270I01014</t>
  </si>
  <si>
    <t>INE286H01012</t>
  </si>
  <si>
    <t>VISASTEEL</t>
  </si>
  <si>
    <t>INE392A01013</t>
  </si>
  <si>
    <t>INE410B01029</t>
  </si>
  <si>
    <t>INE067D01015</t>
  </si>
  <si>
    <t>VIMALOIL</t>
  </si>
  <si>
    <t>INE706A01022</t>
  </si>
  <si>
    <t>VIKASWSP</t>
  </si>
  <si>
    <t>INE767B01022</t>
  </si>
  <si>
    <t>VIKASPROP</t>
  </si>
  <si>
    <t>VIKASMCORP</t>
  </si>
  <si>
    <t>INE703A01011</t>
  </si>
  <si>
    <t>VIDEOIND</t>
  </si>
  <si>
    <t>INE048C01017</t>
  </si>
  <si>
    <t>VICEROY</t>
  </si>
  <si>
    <t>INE200M01013</t>
  </si>
  <si>
    <t>INE884A01019</t>
  </si>
  <si>
    <t>INE292A01023</t>
  </si>
  <si>
    <t>UVSL</t>
  </si>
  <si>
    <t>INE699A01011</t>
  </si>
  <si>
    <t>UTTAMSTL</t>
  </si>
  <si>
    <t>INF789FB1X41</t>
  </si>
  <si>
    <t>INF789FC1N82</t>
  </si>
  <si>
    <t>INF789FC1X07</t>
  </si>
  <si>
    <t>MF</t>
  </si>
  <si>
    <t>UTIFEFRGR5</t>
  </si>
  <si>
    <t>INF789FC1T29</t>
  </si>
  <si>
    <t>UTIFEFRGR4</t>
  </si>
  <si>
    <t>INE466H01028</t>
  </si>
  <si>
    <t>UNITY</t>
  </si>
  <si>
    <t>INE695A01019</t>
  </si>
  <si>
    <t>UNITEDBNK</t>
  </si>
  <si>
    <t>INE950G01023</t>
  </si>
  <si>
    <t>UNIPLY</t>
  </si>
  <si>
    <t>INE899L01022</t>
  </si>
  <si>
    <t>UJAAS</t>
  </si>
  <si>
    <t>UCALFUEL</t>
  </si>
  <si>
    <t>TWL</t>
  </si>
  <si>
    <t>INE690A01010</t>
  </si>
  <si>
    <t>INE064C01014</t>
  </si>
  <si>
    <t>INE413G01014</t>
  </si>
  <si>
    <t>TMRVL</t>
  </si>
  <si>
    <t>INE319Y01016</t>
  </si>
  <si>
    <t>INE716B01011</t>
  </si>
  <si>
    <t>INE484C01022</t>
  </si>
  <si>
    <t>INE409A01015</t>
  </si>
  <si>
    <t>THIRUSUGAR</t>
  </si>
  <si>
    <t>INE083B01016</t>
  </si>
  <si>
    <t>INE509K01011</t>
  </si>
  <si>
    <t>TECHNOFAB</t>
  </si>
  <si>
    <t>INE419M01019</t>
  </si>
  <si>
    <t>INE911B01018</t>
  </si>
  <si>
    <t>TCIFINANCE</t>
  </si>
  <si>
    <t>INE306N07LI3</t>
  </si>
  <si>
    <t>INE306N07KF1</t>
  </si>
  <si>
    <t>INE306N07KD6</t>
  </si>
  <si>
    <t>INE824B01021</t>
  </si>
  <si>
    <t>TATASTLBSL</t>
  </si>
  <si>
    <t>INE081A01012</t>
  </si>
  <si>
    <t>IN9081A01010</t>
  </si>
  <si>
    <t>TATAGLOBAL</t>
  </si>
  <si>
    <t>INE388G01018</t>
  </si>
  <si>
    <t>TANTIACONS</t>
  </si>
  <si>
    <t>INE627Z01019</t>
  </si>
  <si>
    <t>TALWGYM</t>
  </si>
  <si>
    <t>INE502K01016</t>
  </si>
  <si>
    <t>TALWALKARS</t>
  </si>
  <si>
    <t>INE187D01011</t>
  </si>
  <si>
    <t>INE667A01018</t>
  </si>
  <si>
    <t>SYNDIBANK</t>
  </si>
  <si>
    <t>INE602K01014</t>
  </si>
  <si>
    <t>SYNCOM</t>
  </si>
  <si>
    <t>INE335A01012</t>
  </si>
  <si>
    <t>INE663A01017</t>
  </si>
  <si>
    <t>SUPPETRO</t>
  </si>
  <si>
    <t>SUNCLAYLTD</t>
  </si>
  <si>
    <t>INE216G01011</t>
  </si>
  <si>
    <t>SUJANAUNI</t>
  </si>
  <si>
    <t>INE754A01014</t>
  </si>
  <si>
    <t>SUBEX</t>
  </si>
  <si>
    <t>INE845C01016</t>
  </si>
  <si>
    <t>SUBCAPCITY</t>
  </si>
  <si>
    <t>STRTECH</t>
  </si>
  <si>
    <t>INE090C01019</t>
  </si>
  <si>
    <t>STINDIA</t>
  </si>
  <si>
    <t>INE503B01013</t>
  </si>
  <si>
    <t>INE028L21018</t>
  </si>
  <si>
    <t>DR</t>
  </si>
  <si>
    <t>STAN</t>
  </si>
  <si>
    <t>INE224E01028</t>
  </si>
  <si>
    <t>STAMPEDE</t>
  </si>
  <si>
    <t>INE802C01017</t>
  </si>
  <si>
    <t>INE182Z01015</t>
  </si>
  <si>
    <t>SSINFRA</t>
  </si>
  <si>
    <t>INE721A07PD2</t>
  </si>
  <si>
    <t>Z8</t>
  </si>
  <si>
    <t>SRTRANSFIN</t>
  </si>
  <si>
    <t>INE721A07PA8</t>
  </si>
  <si>
    <t>INE721A07OP9</t>
  </si>
  <si>
    <t>YY</t>
  </si>
  <si>
    <t>INE721A07OG8</t>
  </si>
  <si>
    <t>YT</t>
  </si>
  <si>
    <t>INE721A07OD5</t>
  </si>
  <si>
    <t>YQ</t>
  </si>
  <si>
    <t>INE721A07OB9</t>
  </si>
  <si>
    <t>YO</t>
  </si>
  <si>
    <t>INE721A07NW7</t>
  </si>
  <si>
    <t>YK</t>
  </si>
  <si>
    <t>INE721A07NV9</t>
  </si>
  <si>
    <t>YJ</t>
  </si>
  <si>
    <t>INE721A07NU1</t>
  </si>
  <si>
    <t>YI</t>
  </si>
  <si>
    <t>INE721A07HL2</t>
  </si>
  <si>
    <t>YB</t>
  </si>
  <si>
    <t>INE721A07HJ6</t>
  </si>
  <si>
    <t>INE943C01027</t>
  </si>
  <si>
    <t>SRIPIPES</t>
  </si>
  <si>
    <t>INE872A07UQ5</t>
  </si>
  <si>
    <t>SREINFRA</t>
  </si>
  <si>
    <t>INE872A07UN2</t>
  </si>
  <si>
    <t>YG</t>
  </si>
  <si>
    <t>INE872A07UJ0</t>
  </si>
  <si>
    <t>INE872A07UH4</t>
  </si>
  <si>
    <t>INE872A07UG6</t>
  </si>
  <si>
    <t>Y6</t>
  </si>
  <si>
    <t>INE872A07UF8</t>
  </si>
  <si>
    <t>INE872A07UB7</t>
  </si>
  <si>
    <t>INE872A07UA9</t>
  </si>
  <si>
    <t>NZ</t>
  </si>
  <si>
    <t>INE872A01014</t>
  </si>
  <si>
    <t>INE881J08615</t>
  </si>
  <si>
    <t>SREIBNPNCD</t>
  </si>
  <si>
    <t>INE881J08573</t>
  </si>
  <si>
    <t>INE881J07EN8</t>
  </si>
  <si>
    <t>INE881J07EL2</t>
  </si>
  <si>
    <t>INE881J07EC1</t>
  </si>
  <si>
    <t>INE285B01017</t>
  </si>
  <si>
    <t>SPICEJET</t>
  </si>
  <si>
    <t>INE035D01012</t>
  </si>
  <si>
    <t>INE034H01016</t>
  </si>
  <si>
    <t>SORILINFRA</t>
  </si>
  <si>
    <t>INE215G01021</t>
  </si>
  <si>
    <t>SMPL</t>
  </si>
  <si>
    <t>INE429F01012</t>
  </si>
  <si>
    <t>SKIL</t>
  </si>
  <si>
    <t>INE285J01010</t>
  </si>
  <si>
    <t>INE429C01035</t>
  </si>
  <si>
    <t>SINTEX</t>
  </si>
  <si>
    <t>INE075B01012</t>
  </si>
  <si>
    <t>SICAL</t>
  </si>
  <si>
    <t>INE176J01011</t>
  </si>
  <si>
    <t>SICAGEN</t>
  </si>
  <si>
    <t>SHRIRAMEPC</t>
  </si>
  <si>
    <t>INE722A01011</t>
  </si>
  <si>
    <t>SHRIRAMCIT</t>
  </si>
  <si>
    <t>INE632X01022</t>
  </si>
  <si>
    <t>INE719F01016</t>
  </si>
  <si>
    <t>SHIVAUM</t>
  </si>
  <si>
    <t>INE196B01016</t>
  </si>
  <si>
    <t>SHIRPUR-G</t>
  </si>
  <si>
    <t>INE597I01010</t>
  </si>
  <si>
    <t>IN0020170083</t>
  </si>
  <si>
    <t>SGBNOV25VI</t>
  </si>
  <si>
    <t>IN0020180389</t>
  </si>
  <si>
    <t>SGBDEC26</t>
  </si>
  <si>
    <t>INE023M01027</t>
  </si>
  <si>
    <t>SETUINFRA</t>
  </si>
  <si>
    <t>INF200K01099</t>
  </si>
  <si>
    <t>SEPOWER</t>
  </si>
  <si>
    <t>INE105I01012</t>
  </si>
  <si>
    <t>SELMCL</t>
  </si>
  <si>
    <t>INE00Y701018</t>
  </si>
  <si>
    <t>INE480C01012</t>
  </si>
  <si>
    <t>INE513A01014</t>
  </si>
  <si>
    <t>SCAPDVR</t>
  </si>
  <si>
    <t>INE062A08066</t>
  </si>
  <si>
    <t>INE062A08058</t>
  </si>
  <si>
    <t>INE062A08025</t>
  </si>
  <si>
    <t>INE176C01016</t>
  </si>
  <si>
    <t>SATHAISPAT</t>
  </si>
  <si>
    <t>INE979A01017</t>
  </si>
  <si>
    <t>INE385C01013</t>
  </si>
  <si>
    <t>INE890C01046</t>
  </si>
  <si>
    <t>SANWARIA</t>
  </si>
  <si>
    <t>INE263L01013</t>
  </si>
  <si>
    <t>SANGHVIFOR</t>
  </si>
  <si>
    <t>INE170V01019</t>
  </si>
  <si>
    <t>INE667G01015</t>
  </si>
  <si>
    <t>SAKETH</t>
  </si>
  <si>
    <t>INE229C01013</t>
  </si>
  <si>
    <t>INE416A01036</t>
  </si>
  <si>
    <t>SABTN</t>
  </si>
  <si>
    <t>INE619A01027</t>
  </si>
  <si>
    <t>RUCHISOYA</t>
  </si>
  <si>
    <t>RTNINFRA</t>
  </si>
  <si>
    <t>INE293A01013</t>
  </si>
  <si>
    <t>ROLTA</t>
  </si>
  <si>
    <t>INE248H01012</t>
  </si>
  <si>
    <t>ROHITFERRO</t>
  </si>
  <si>
    <t>INE542F01012</t>
  </si>
  <si>
    <t>RNAVAL</t>
  </si>
  <si>
    <t>RNAM</t>
  </si>
  <si>
    <t>INE399G01015</t>
  </si>
  <si>
    <t>INE217K08289</t>
  </si>
  <si>
    <t>INE217K07AG5</t>
  </si>
  <si>
    <t>INE217K07AE0</t>
  </si>
  <si>
    <t>INE217K07AC4</t>
  </si>
  <si>
    <t>INE722H01016</t>
  </si>
  <si>
    <t>REVATHI</t>
  </si>
  <si>
    <t>INE013A01015</t>
  </si>
  <si>
    <t>RELCAPITAL</t>
  </si>
  <si>
    <t>INE020B07GH7</t>
  </si>
  <si>
    <t>INE020B07JU4</t>
  </si>
  <si>
    <t>INE020B07IG5</t>
  </si>
  <si>
    <t>INE020B07HR4</t>
  </si>
  <si>
    <t>INE020B07HP8</t>
  </si>
  <si>
    <t>INE020B07GX4</t>
  </si>
  <si>
    <t>INE020B07GW6</t>
  </si>
  <si>
    <t>INE230R01027</t>
  </si>
  <si>
    <t>INE533D01024</t>
  </si>
  <si>
    <t>RAJRAYON</t>
  </si>
  <si>
    <t>INF082J01010</t>
  </si>
  <si>
    <t>PVR</t>
  </si>
  <si>
    <t>INE701B01021</t>
  </si>
  <si>
    <t>PUNJLLOYD</t>
  </si>
  <si>
    <t>INE034D01031</t>
  </si>
  <si>
    <t>INF732E01110</t>
  </si>
  <si>
    <t>INE474B01017</t>
  </si>
  <si>
    <t>PSL</t>
  </si>
  <si>
    <t>PROZONINTU</t>
  </si>
  <si>
    <t>INE968G01033</t>
  </si>
  <si>
    <t>PROVOGE</t>
  </si>
  <si>
    <t>INE217G01027</t>
  </si>
  <si>
    <t>PROSEED</t>
  </si>
  <si>
    <t>INE980A01023</t>
  </si>
  <si>
    <t>PRESSMN</t>
  </si>
  <si>
    <t>INE342A01018</t>
  </si>
  <si>
    <t>PREMIER</t>
  </si>
  <si>
    <t>INE372C01029</t>
  </si>
  <si>
    <t>INE495J01015</t>
  </si>
  <si>
    <t>PRADIP</t>
  </si>
  <si>
    <t>INE302M01033</t>
  </si>
  <si>
    <t>PRABHAT</t>
  </si>
  <si>
    <t>INE650Z01011</t>
  </si>
  <si>
    <t>POWERFUL</t>
  </si>
  <si>
    <t>INE122J01015</t>
  </si>
  <si>
    <t>PIRPHYTO</t>
  </si>
  <si>
    <t>INE889E01010</t>
  </si>
  <si>
    <t>PIONDIST</t>
  </si>
  <si>
    <t>INE602A01023</t>
  </si>
  <si>
    <t>PHILIPCARB</t>
  </si>
  <si>
    <t>INE134E07463</t>
  </si>
  <si>
    <t>INE134E07190</t>
  </si>
  <si>
    <t>INE742A01019</t>
  </si>
  <si>
    <t>PETRONENGG</t>
  </si>
  <si>
    <t>INE175Y01012</t>
  </si>
  <si>
    <t>PENTAGOLD</t>
  </si>
  <si>
    <t>INE111Q01013</t>
  </si>
  <si>
    <t>PDSMFL</t>
  </si>
  <si>
    <t>INE904D01019</t>
  </si>
  <si>
    <t>PDPL</t>
  </si>
  <si>
    <t>INE790C01014</t>
  </si>
  <si>
    <t>PATSPINLTD</t>
  </si>
  <si>
    <t>INE618H01016</t>
  </si>
  <si>
    <t>PARABDRUGS</t>
  </si>
  <si>
    <t>PAPERPROD</t>
  </si>
  <si>
    <t>INE420C01042</t>
  </si>
  <si>
    <t>INE766A01018</t>
  </si>
  <si>
    <t>PAEL</t>
  </si>
  <si>
    <t>INE749B01012</t>
  </si>
  <si>
    <t>ORTINLABSS</t>
  </si>
  <si>
    <t>ORIENTREF</t>
  </si>
  <si>
    <t>INE141A01014</t>
  </si>
  <si>
    <t>ORIENTBANK</t>
  </si>
  <si>
    <t>ORIENTABRA</t>
  </si>
  <si>
    <t>INE808B01016</t>
  </si>
  <si>
    <t>OPTOCIRCUI</t>
  </si>
  <si>
    <t>INE840Y01011</t>
  </si>
  <si>
    <t>OMMETALS</t>
  </si>
  <si>
    <t>INE196J01019</t>
  </si>
  <si>
    <t>OISL</t>
  </si>
  <si>
    <t>INE733E07JW2</t>
  </si>
  <si>
    <t>INE733E07JV4</t>
  </si>
  <si>
    <t>INE733E07JU6</t>
  </si>
  <si>
    <t>INE333I01036</t>
  </si>
  <si>
    <t>NTL</t>
  </si>
  <si>
    <t>INE489H01020</t>
  </si>
  <si>
    <t>NITINFIRE</t>
  </si>
  <si>
    <t>INE567A01010</t>
  </si>
  <si>
    <t>NIITTECH</t>
  </si>
  <si>
    <t>INF754K01EK3</t>
  </si>
  <si>
    <t>NIFTYEES</t>
  </si>
  <si>
    <t>INF732E01011</t>
  </si>
  <si>
    <t>INE557F07124</t>
  </si>
  <si>
    <t>INE906B07CA1</t>
  </si>
  <si>
    <t>INF204KA17D8</t>
  </si>
  <si>
    <t>NETFNV20</t>
  </si>
  <si>
    <t>NETFNIF100</t>
  </si>
  <si>
    <t>NETFMID150</t>
  </si>
  <si>
    <t>NETFLTGILT</t>
  </si>
  <si>
    <t>NETFDIVOPP</t>
  </si>
  <si>
    <t>NETFCONSUM</t>
  </si>
  <si>
    <t>NBVENTURES</t>
  </si>
  <si>
    <t>INE088B01015</t>
  </si>
  <si>
    <t>NATNLSTEEL</t>
  </si>
  <si>
    <t>NANDANI</t>
  </si>
  <si>
    <t>INE453M01018</t>
  </si>
  <si>
    <t>NAGAROIL</t>
  </si>
  <si>
    <t>INF247L01031</t>
  </si>
  <si>
    <t>N100</t>
  </si>
  <si>
    <t>INE744I01034</t>
  </si>
  <si>
    <t>MVL</t>
  </si>
  <si>
    <t>INE304A04012</t>
  </si>
  <si>
    <t>INE022B01014</t>
  </si>
  <si>
    <t>MUKANDENGG</t>
  </si>
  <si>
    <t>INE861B01015</t>
  </si>
  <si>
    <t>MOTHERSUMI</t>
  </si>
  <si>
    <t>INE313D01013</t>
  </si>
  <si>
    <t>MOHOTAIND</t>
  </si>
  <si>
    <t>INE997Y01019</t>
  </si>
  <si>
    <t>INE018I01017</t>
  </si>
  <si>
    <t>MINDTREE</t>
  </si>
  <si>
    <t>MINDAIND</t>
  </si>
  <si>
    <t>INE287C01029</t>
  </si>
  <si>
    <t>MIC</t>
  </si>
  <si>
    <t>INE592I01029</t>
  </si>
  <si>
    <t>METKORE</t>
  </si>
  <si>
    <t>INE934B01028</t>
  </si>
  <si>
    <t>MERCATOR</t>
  </si>
  <si>
    <t>INE974H01013</t>
  </si>
  <si>
    <t>MEGH</t>
  </si>
  <si>
    <t>INE836H01014</t>
  </si>
  <si>
    <t>MCDHOLDING</t>
  </si>
  <si>
    <t>INF903JA1DR1</t>
  </si>
  <si>
    <t>MC1RG</t>
  </si>
  <si>
    <t>INE748A01016</t>
  </si>
  <si>
    <t>MBECL</t>
  </si>
  <si>
    <t>INE154U01015</t>
  </si>
  <si>
    <t>MAXVIL</t>
  </si>
  <si>
    <t>INE153U01017</t>
  </si>
  <si>
    <t>MAXINDIA</t>
  </si>
  <si>
    <t>INE01JE01010</t>
  </si>
  <si>
    <t>INE122R01018</t>
  </si>
  <si>
    <t>MANPASAND</t>
  </si>
  <si>
    <t>INE805B01012</t>
  </si>
  <si>
    <t>MANGTIMBER</t>
  </si>
  <si>
    <t>MAN50ETF</t>
  </si>
  <si>
    <t>MAJESCO</t>
  </si>
  <si>
    <t>MAHINDCIE</t>
  </si>
  <si>
    <t>INE511C07706</t>
  </si>
  <si>
    <t>MAGMA</t>
  </si>
  <si>
    <t>INE215I01019</t>
  </si>
  <si>
    <t>M50</t>
  </si>
  <si>
    <t>INF903JA1971</t>
  </si>
  <si>
    <t>M14RG</t>
  </si>
  <si>
    <t>M100</t>
  </si>
  <si>
    <t>INE774D08MG3</t>
  </si>
  <si>
    <t>LTI</t>
  </si>
  <si>
    <t>LSIL</t>
  </si>
  <si>
    <t>LINCPEN</t>
  </si>
  <si>
    <t>INE947Q01010</t>
  </si>
  <si>
    <t>INE694C01018</t>
  </si>
  <si>
    <t>LAKSHVILAS</t>
  </si>
  <si>
    <t>INE691I07232</t>
  </si>
  <si>
    <t>L&amp;TINFRA</t>
  </si>
  <si>
    <t>INE691I07224</t>
  </si>
  <si>
    <t>INE691I07190</t>
  </si>
  <si>
    <t>INE691I07182</t>
  </si>
  <si>
    <t>INE691I07174</t>
  </si>
  <si>
    <t>INE691I07166</t>
  </si>
  <si>
    <t>INE027E07AL1</t>
  </si>
  <si>
    <t>INE027E07AF3</t>
  </si>
  <si>
    <t>INE027E07956</t>
  </si>
  <si>
    <t>INE027E07899</t>
  </si>
  <si>
    <t>INE775B01025</t>
  </si>
  <si>
    <t>KWALITY</t>
  </si>
  <si>
    <t>INE529I01013</t>
  </si>
  <si>
    <t>INE096L01025</t>
  </si>
  <si>
    <t>KTIL</t>
  </si>
  <si>
    <t>INE143H01015</t>
  </si>
  <si>
    <t>KSK</t>
  </si>
  <si>
    <t>INE216D01026</t>
  </si>
  <si>
    <t>KSERASERA</t>
  </si>
  <si>
    <t>INE00Z501011</t>
  </si>
  <si>
    <t>INE930H01023</t>
  </si>
  <si>
    <t>INF373I01049</t>
  </si>
  <si>
    <t>INE299C01024</t>
  </si>
  <si>
    <t>KGL</t>
  </si>
  <si>
    <t>INE133B01019</t>
  </si>
  <si>
    <t>KESARENT</t>
  </si>
  <si>
    <t>INE717A01029</t>
  </si>
  <si>
    <t>KENNAMET</t>
  </si>
  <si>
    <t>INE278R01018</t>
  </si>
  <si>
    <t>KARDA</t>
  </si>
  <si>
    <t>KALPATPOWR</t>
  </si>
  <si>
    <t>INE430G01026</t>
  </si>
  <si>
    <t>JVLAGRO</t>
  </si>
  <si>
    <t>INE974C01022</t>
  </si>
  <si>
    <t>JUMPNET</t>
  </si>
  <si>
    <t>INE797F01012</t>
  </si>
  <si>
    <t>JUBILANT</t>
  </si>
  <si>
    <t>INE019A04024</t>
  </si>
  <si>
    <t>INE455T01018</t>
  </si>
  <si>
    <t>JSLHISAR</t>
  </si>
  <si>
    <t>INE099J01015</t>
  </si>
  <si>
    <t>JPINFRATEC</t>
  </si>
  <si>
    <t>INE988E01036</t>
  </si>
  <si>
    <t>JMTAUTOLTD</t>
  </si>
  <si>
    <t>INE890A01024</t>
  </si>
  <si>
    <t>JMCPROJECT</t>
  </si>
  <si>
    <t>INE023S01016</t>
  </si>
  <si>
    <t>JIYAECO</t>
  </si>
  <si>
    <t>INE904J01016</t>
  </si>
  <si>
    <t>JINDCOT</t>
  </si>
  <si>
    <t>INE026B01049</t>
  </si>
  <si>
    <t>JIKIND</t>
  </si>
  <si>
    <t>INE927D01028</t>
  </si>
  <si>
    <t>INE187A01017</t>
  </si>
  <si>
    <t>JBFIND</t>
  </si>
  <si>
    <t>INE572A01028</t>
  </si>
  <si>
    <t>INE571B01028</t>
  </si>
  <si>
    <t>INE00N401018</t>
  </si>
  <si>
    <t>JAKHARIA</t>
  </si>
  <si>
    <t>INE486B01011</t>
  </si>
  <si>
    <t>JAINSTUDIO</t>
  </si>
  <si>
    <t>INE053F07827</t>
  </si>
  <si>
    <t>INE053F07660</t>
  </si>
  <si>
    <t>INE053F07579</t>
  </si>
  <si>
    <t>INE053F07538</t>
  </si>
  <si>
    <t>INE053F07520</t>
  </si>
  <si>
    <t>INE202E07229</t>
  </si>
  <si>
    <t>INE335Y01012</t>
  </si>
  <si>
    <t>INE962Y01013</t>
  </si>
  <si>
    <t>INE821I01014</t>
  </si>
  <si>
    <t>INE571A01020</t>
  </si>
  <si>
    <t>IPAPPM</t>
  </si>
  <si>
    <t>INE878H01016</t>
  </si>
  <si>
    <t>INE418N01027</t>
  </si>
  <si>
    <t>INTEGRA</t>
  </si>
  <si>
    <t>INE312H01016</t>
  </si>
  <si>
    <t>INOXLEISUR</t>
  </si>
  <si>
    <t>INFRATEL</t>
  </si>
  <si>
    <t>INEOSSTYRO</t>
  </si>
  <si>
    <t>INE866K01015</t>
  </si>
  <si>
    <t>INDOSOLAR</t>
  </si>
  <si>
    <t>INE477L08022</t>
  </si>
  <si>
    <t>INE477L08014</t>
  </si>
  <si>
    <t>INE466L01020</t>
  </si>
  <si>
    <t>IIFLWAM</t>
  </si>
  <si>
    <t>IIFLFIN</t>
  </si>
  <si>
    <t>INE866I07CJ3</t>
  </si>
  <si>
    <t>INE866I07CF1</t>
  </si>
  <si>
    <t>INE866I07CD6</t>
  </si>
  <si>
    <t>INE787H07370</t>
  </si>
  <si>
    <t>INE039A07827</t>
  </si>
  <si>
    <t>INE039A07801</t>
  </si>
  <si>
    <t>INE039A07785</t>
  </si>
  <si>
    <t>INE039A07777</t>
  </si>
  <si>
    <t>INE092T08CN3</t>
  </si>
  <si>
    <t>INE092T08CM5</t>
  </si>
  <si>
    <t>INE092T08CL7</t>
  </si>
  <si>
    <t>INE092T08CK9</t>
  </si>
  <si>
    <t>INE092T08CD4</t>
  </si>
  <si>
    <t>INE092T08CC6</t>
  </si>
  <si>
    <t>IDBIGOLD</t>
  </si>
  <si>
    <t>INF109KC1E27</t>
  </si>
  <si>
    <t>INF109KC1CZ3</t>
  </si>
  <si>
    <t>INE614X07126</t>
  </si>
  <si>
    <t>ICFL</t>
  </si>
  <si>
    <t>INE614X07076</t>
  </si>
  <si>
    <t>INE614X07043</t>
  </si>
  <si>
    <t>INE614X07035</t>
  </si>
  <si>
    <t>INE614X07027</t>
  </si>
  <si>
    <t>IBVENTURES</t>
  </si>
  <si>
    <t>IN9274G01034</t>
  </si>
  <si>
    <t>E3</t>
  </si>
  <si>
    <t>IBULISL</t>
  </si>
  <si>
    <t>INE148I08256</t>
  </si>
  <si>
    <t>INE148I07GH1</t>
  </si>
  <si>
    <t>INE148I07GF5</t>
  </si>
  <si>
    <t>INE244L07143</t>
  </si>
  <si>
    <t>INE244L07085</t>
  </si>
  <si>
    <t>INF666M01FS5</t>
  </si>
  <si>
    <t>IBMFNIFTY</t>
  </si>
  <si>
    <t>INE031A07949</t>
  </si>
  <si>
    <t>INE031A07AT4</t>
  </si>
  <si>
    <t>INE031A07865</t>
  </si>
  <si>
    <t>INE031A07857</t>
  </si>
  <si>
    <t>INE031A07832</t>
  </si>
  <si>
    <t>HSIL</t>
  </si>
  <si>
    <t>HOTELRUGBY</t>
  </si>
  <si>
    <t>HOTELEELA</t>
  </si>
  <si>
    <t>INF732E01227</t>
  </si>
  <si>
    <t>INE254N01018</t>
  </si>
  <si>
    <t>INE106T01017</t>
  </si>
  <si>
    <t>HINDUJAVEN</t>
  </si>
  <si>
    <t>INE155B01012</t>
  </si>
  <si>
    <t>HINDSYNTEX</t>
  </si>
  <si>
    <t>INE952A01022</t>
  </si>
  <si>
    <t>HINDNATGLS</t>
  </si>
  <si>
    <t>INF179KB1W87</t>
  </si>
  <si>
    <t>HHOF1140RG</t>
  </si>
  <si>
    <t>INE093A01033</t>
  </si>
  <si>
    <t>HEXAWARE</t>
  </si>
  <si>
    <t>INF179KB1T82</t>
  </si>
  <si>
    <t>HEOF1126RG</t>
  </si>
  <si>
    <t>INF179KB1V39</t>
  </si>
  <si>
    <t>HEOF1100RG</t>
  </si>
  <si>
    <t>INE191I01012</t>
  </si>
  <si>
    <t>HDIL</t>
  </si>
  <si>
    <t>INF179KB1KQ1</t>
  </si>
  <si>
    <t>HDFCSENETF</t>
  </si>
  <si>
    <t>INF179KB1KP3</t>
  </si>
  <si>
    <t>HDFCNIFETF</t>
  </si>
  <si>
    <t>INF179K01CN1</t>
  </si>
  <si>
    <t>HDFCMFGETF</t>
  </si>
  <si>
    <t>INE001A01036</t>
  </si>
  <si>
    <t>HDFC</t>
  </si>
  <si>
    <t>INE939D01015</t>
  </si>
  <si>
    <t>HARITASEAT</t>
  </si>
  <si>
    <t>INE066F01012</t>
  </si>
  <si>
    <t>INE302H01017</t>
  </si>
  <si>
    <t>GTNTEX</t>
  </si>
  <si>
    <t>INE537A01013</t>
  </si>
  <si>
    <t>GTNIND</t>
  </si>
  <si>
    <t>INE264A01014</t>
  </si>
  <si>
    <t>GSKCONS</t>
  </si>
  <si>
    <t>INE542A01039</t>
  </si>
  <si>
    <t>GSCLCEMENT</t>
  </si>
  <si>
    <t>INE544R01013</t>
  </si>
  <si>
    <t>INE177H01013</t>
  </si>
  <si>
    <t>INF789F01059</t>
  </si>
  <si>
    <t>INE025B01017</t>
  </si>
  <si>
    <t>INF732E01102</t>
  </si>
  <si>
    <t>INE516K01024</t>
  </si>
  <si>
    <t>GOENKA</t>
  </si>
  <si>
    <t>INE446C01013</t>
  </si>
  <si>
    <t>GLOBOFFS</t>
  </si>
  <si>
    <t>INE669X01016</t>
  </si>
  <si>
    <t>INE852F01015</t>
  </si>
  <si>
    <t>GDL</t>
  </si>
  <si>
    <t>INE526A01016</t>
  </si>
  <si>
    <t>GARDENSILK</t>
  </si>
  <si>
    <t>INE670B01028</t>
  </si>
  <si>
    <t>GANGOTRI</t>
  </si>
  <si>
    <t>INE181G01025</t>
  </si>
  <si>
    <t>GAMMNINFRA</t>
  </si>
  <si>
    <t>INE528K01029</t>
  </si>
  <si>
    <t>GALLISPAT</t>
  </si>
  <si>
    <t>GAL</t>
  </si>
  <si>
    <t>INE036B01022</t>
  </si>
  <si>
    <t>INE382T01014</t>
  </si>
  <si>
    <t>FOURTHDIM</t>
  </si>
  <si>
    <t>INE451A01017</t>
  </si>
  <si>
    <t>FORCEMOT</t>
  </si>
  <si>
    <t>INE183A01016</t>
  </si>
  <si>
    <t>INE816B01027</t>
  </si>
  <si>
    <t>FAIRCHEM</t>
  </si>
  <si>
    <t>INE688J01015</t>
  </si>
  <si>
    <t>INE063J01011</t>
  </si>
  <si>
    <t>EUROMULTI</t>
  </si>
  <si>
    <t>INE649H01011</t>
  </si>
  <si>
    <t>EUROCERA</t>
  </si>
  <si>
    <t>ESSELPACK</t>
  </si>
  <si>
    <t>INE528S07128</t>
  </si>
  <si>
    <t>ERFLNCDI</t>
  </si>
  <si>
    <t>INE528S07110</t>
  </si>
  <si>
    <t>INE528S07094</t>
  </si>
  <si>
    <t>INE528S07086</t>
  </si>
  <si>
    <t>INE988K01017</t>
  </si>
  <si>
    <t>EQUITAS</t>
  </si>
  <si>
    <t>INF754K01EM9</t>
  </si>
  <si>
    <t>EQ30</t>
  </si>
  <si>
    <t>INE076H01025</t>
  </si>
  <si>
    <t>EON</t>
  </si>
  <si>
    <t>INF754K01IR9</t>
  </si>
  <si>
    <t>EMOFSR1RGG</t>
  </si>
  <si>
    <t>INF754K01IS7</t>
  </si>
  <si>
    <t>EMOFSR1RDP</t>
  </si>
  <si>
    <t>INE078A01026</t>
  </si>
  <si>
    <t>EMCO</t>
  </si>
  <si>
    <t>INE066A01013</t>
  </si>
  <si>
    <t>INE530L07236</t>
  </si>
  <si>
    <t>EHFLNCD</t>
  </si>
  <si>
    <t>INE530L07228</t>
  </si>
  <si>
    <t>INE180G01019</t>
  </si>
  <si>
    <t>EDL</t>
  </si>
  <si>
    <t>INE804I075Z1</t>
  </si>
  <si>
    <t>INE804I075Y4</t>
  </si>
  <si>
    <t>INE804I074Y7</t>
  </si>
  <si>
    <t>INE804I073Y9</t>
  </si>
  <si>
    <t>INE804I07ZL1</t>
  </si>
  <si>
    <t>INE804I08601</t>
  </si>
  <si>
    <t>INF754K01EL1</t>
  </si>
  <si>
    <t>EBANK</t>
  </si>
  <si>
    <t>INE268C01029</t>
  </si>
  <si>
    <t>EASUNREYRL</t>
  </si>
  <si>
    <t>INE02CV01017</t>
  </si>
  <si>
    <t>DRSDILIP</t>
  </si>
  <si>
    <t>INE656K01010</t>
  </si>
  <si>
    <t>DQE</t>
  </si>
  <si>
    <t>DOLAT</t>
  </si>
  <si>
    <t>INE935N01012</t>
  </si>
  <si>
    <t>INE731U01010</t>
  </si>
  <si>
    <t>DIGJAMLTD</t>
  </si>
  <si>
    <t>INE989C01012</t>
  </si>
  <si>
    <t>DIAPOWER</t>
  </si>
  <si>
    <t>INE202B07JE2</t>
  </si>
  <si>
    <t>NX</t>
  </si>
  <si>
    <t>DHFL</t>
  </si>
  <si>
    <t>INE202B07IY2</t>
  </si>
  <si>
    <t>INE202B07IO3</t>
  </si>
  <si>
    <t>INE202B07IM7</t>
  </si>
  <si>
    <t>INE202B07HV0</t>
  </si>
  <si>
    <t>INE202B07HT4</t>
  </si>
  <si>
    <t>INE202B07HP2</t>
  </si>
  <si>
    <t>INE202B01012</t>
  </si>
  <si>
    <t>INE988C01014</t>
  </si>
  <si>
    <t>DHARSUGAR</t>
  </si>
  <si>
    <t>INE456C01020</t>
  </si>
  <si>
    <t>DFMFOODS</t>
  </si>
  <si>
    <t>INE060X01018</t>
  </si>
  <si>
    <t>DEEPIND</t>
  </si>
  <si>
    <t>DAAWAT</t>
  </si>
  <si>
    <t>INE117B01012</t>
  </si>
  <si>
    <t>CURATECH</t>
  </si>
  <si>
    <t>INE008I01026</t>
  </si>
  <si>
    <t>COX&amp;KINGS</t>
  </si>
  <si>
    <t>COSMOFILMS</t>
  </si>
  <si>
    <t>INE112A01023</t>
  </si>
  <si>
    <t>CORPBANK</t>
  </si>
  <si>
    <t>INE672K01025</t>
  </si>
  <si>
    <t>CNOVAPETRO</t>
  </si>
  <si>
    <t>INE289S01013</t>
  </si>
  <si>
    <t>CMMIPL</t>
  </si>
  <si>
    <t>INE981B01011</t>
  </si>
  <si>
    <t>CMICABLES</t>
  </si>
  <si>
    <t>CLNINDIA</t>
  </si>
  <si>
    <t>INE201M01011</t>
  </si>
  <si>
    <t>INE418Y01016</t>
  </si>
  <si>
    <t>CKPLEISURE</t>
  </si>
  <si>
    <t>INE391Z01012</t>
  </si>
  <si>
    <t>CKFSL</t>
  </si>
  <si>
    <t>INE184C01028</t>
  </si>
  <si>
    <t>CIMMCO</t>
  </si>
  <si>
    <t>INE662C01015</t>
  </si>
  <si>
    <t>CHROMATIC</t>
  </si>
  <si>
    <t>CESCVENT</t>
  </si>
  <si>
    <t>INE486A01013</t>
  </si>
  <si>
    <t>INE221I01017</t>
  </si>
  <si>
    <t>CELESTIAL</t>
  </si>
  <si>
    <t>CEBBCO</t>
  </si>
  <si>
    <t>INE068D01021</t>
  </si>
  <si>
    <t>CASTEXTECH</t>
  </si>
  <si>
    <t>INE068L01016</t>
  </si>
  <si>
    <t>INE874H01015</t>
  </si>
  <si>
    <t>CANDC</t>
  </si>
  <si>
    <t>CADILAHC</t>
  </si>
  <si>
    <t>INF209K01IR4</t>
  </si>
  <si>
    <t>INF209K01HT2</t>
  </si>
  <si>
    <t>INE032Z01012</t>
  </si>
  <si>
    <t>INE395A01016</t>
  </si>
  <si>
    <t>BSELINFRA</t>
  </si>
  <si>
    <t>INE216A07052</t>
  </si>
  <si>
    <t>INE589G01011</t>
  </si>
  <si>
    <t>BRFL</t>
  </si>
  <si>
    <t>BOROSIL</t>
  </si>
  <si>
    <t>INE802W01015</t>
  </si>
  <si>
    <t>BOHRA</t>
  </si>
  <si>
    <t>INE113O01014</t>
  </si>
  <si>
    <t>BLUEBLENDS</t>
  </si>
  <si>
    <t>BINDALAGRO</t>
  </si>
  <si>
    <t>INE607L01029</t>
  </si>
  <si>
    <t>BILENERGY</t>
  </si>
  <si>
    <t>INE412U01017</t>
  </si>
  <si>
    <t>INE363W01018</t>
  </si>
  <si>
    <t>BHAGYAPROP</t>
  </si>
  <si>
    <t>INE224M01013</t>
  </si>
  <si>
    <t>BGLOBAL</t>
  </si>
  <si>
    <t>INE905P01028</t>
  </si>
  <si>
    <t>BCP</t>
  </si>
  <si>
    <t>INE186H01014</t>
  </si>
  <si>
    <t>INE855F01034</t>
  </si>
  <si>
    <t>BARTRONICS</t>
  </si>
  <si>
    <t>INE629D01012</t>
  </si>
  <si>
    <t>INF732E01078</t>
  </si>
  <si>
    <t>INE294A01037</t>
  </si>
  <si>
    <t>BALLARPUR</t>
  </si>
  <si>
    <t>INE918I01018</t>
  </si>
  <si>
    <t>INF846K01ZL0</t>
  </si>
  <si>
    <t>INF846K01347</t>
  </si>
  <si>
    <t>INE448A01013</t>
  </si>
  <si>
    <t>AUTOLITIND</t>
  </si>
  <si>
    <t>INE446A01025</t>
  </si>
  <si>
    <t>ATLASCYCLE</t>
  </si>
  <si>
    <t>INE933J01015</t>
  </si>
  <si>
    <t>ARROWTEX</t>
  </si>
  <si>
    <t>INE413D01011</t>
  </si>
  <si>
    <t>ARIHANT</t>
  </si>
  <si>
    <t>INE574I01035</t>
  </si>
  <si>
    <t>ARCOTECH</t>
  </si>
  <si>
    <t>INE713T01010</t>
  </si>
  <si>
    <t>INE702C01019</t>
  </si>
  <si>
    <t>INE880B01015</t>
  </si>
  <si>
    <t>ANSALHSG</t>
  </si>
  <si>
    <t>INE436A01026</t>
  </si>
  <si>
    <t>ANSALAPI</t>
  </si>
  <si>
    <t>INE715B01013</t>
  </si>
  <si>
    <t>INE666E01012</t>
  </si>
  <si>
    <t>ANDHRACEMT</t>
  </si>
  <si>
    <t>INE434A01013</t>
  </si>
  <si>
    <t>ANDHRABANK</t>
  </si>
  <si>
    <t>INE749Y01014</t>
  </si>
  <si>
    <t>AMJUMBO</t>
  </si>
  <si>
    <t>AMARAJABAT</t>
  </si>
  <si>
    <t>INE270A01011</t>
  </si>
  <si>
    <t>ALOKTEXT</t>
  </si>
  <si>
    <t>INE150B01021</t>
  </si>
  <si>
    <t>INE964B01033</t>
  </si>
  <si>
    <t>ALCHEM</t>
  </si>
  <si>
    <t>INE428A01015</t>
  </si>
  <si>
    <t>ALBK</t>
  </si>
  <si>
    <t>INE743C01021</t>
  </si>
  <si>
    <t>AIONJSW</t>
  </si>
  <si>
    <t>INE915K01010</t>
  </si>
  <si>
    <t>AHLWEST</t>
  </si>
  <si>
    <t>INE676A01019</t>
  </si>
  <si>
    <t>AGCNET</t>
  </si>
  <si>
    <t>INE00WC01019</t>
  </si>
  <si>
    <t>ADLABS</t>
  </si>
  <si>
    <t>ADHUNIKIND</t>
  </si>
  <si>
    <t>INE400H01019</t>
  </si>
  <si>
    <t>ADHUNIK</t>
  </si>
  <si>
    <t>INE982B01019</t>
  </si>
  <si>
    <t>ADANITRANS</t>
  </si>
  <si>
    <t>ADANIGAS</t>
  </si>
  <si>
    <t>INF209KB1LL4</t>
  </si>
  <si>
    <t>ABSLRIF6RG</t>
  </si>
  <si>
    <t>INF209KB1B87</t>
  </si>
  <si>
    <t>INF209KB1O58</t>
  </si>
  <si>
    <t>INE087Z01016</t>
  </si>
  <si>
    <t>IN0020190032</t>
  </si>
  <si>
    <t>772GS2049</t>
  </si>
  <si>
    <t>INE748C01020</t>
  </si>
  <si>
    <t>3IINFOTECH</t>
  </si>
  <si>
    <t>CLOSE 08-11-2019</t>
  </si>
  <si>
    <t>Not Found</t>
  </si>
  <si>
    <t>Days</t>
  </si>
  <si>
    <t>Quarters</t>
  </si>
  <si>
    <t>Quarterly Compounded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</si>
</sst>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%"/>
    <numFmt numFmtId="166" formatCode="0.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15" fontId="0" fillId="0" borderId="0" xfId="0" applyNumberFormat="1"/>
    <xf numFmtId="14" fontId="0" fillId="0" borderId="0" xfId="0" applyNumberFormat="1"/>
    <xf numFmtId="2" fontId="0" fillId="33" borderId="0" xfId="0" applyNumberFormat="1" applyFill="1"/>
    <xf numFmtId="0" fontId="0" fillId="33" borderId="0" xfId="0" applyFill="1"/>
    <xf numFmtId="14" fontId="0" fillId="33" borderId="0" xfId="0" applyNumberFormat="1" applyFill="1"/>
    <xf numFmtId="165" fontId="0" fillId="0" borderId="0" xfId="42" applyNumberFormat="1" applyFont="1"/>
    <xf numFmtId="166" fontId="0" fillId="0" borderId="0" xfId="42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27"/>
  <sheetViews>
    <sheetView topLeftCell="A1907" workbookViewId="0"/>
  </sheetViews>
  <sheetFormatPr defaultRowHeight="15" x14ac:dyDescent="0.25"/>
  <cols>
    <col min="1" max="1" width="14.5703125" bestFit="1" customWidth="1"/>
    <col min="2" max="2" width="54.7109375" bestFit="1" customWidth="1"/>
    <col min="4" max="4" width="16.140625" bestFit="1" customWidth="1"/>
    <col min="5" max="5" width="14.85546875" bestFit="1" customWidth="1"/>
    <col min="7" max="7" width="14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 t="s">
        <v>10</v>
      </c>
      <c r="D2" s="1">
        <v>39727</v>
      </c>
      <c r="E2">
        <v>5</v>
      </c>
      <c r="F2">
        <v>1</v>
      </c>
      <c r="G2" t="s">
        <v>11</v>
      </c>
      <c r="H2">
        <v>5</v>
      </c>
    </row>
    <row r="3" spans="1:8" x14ac:dyDescent="0.25">
      <c r="A3" t="s">
        <v>12</v>
      </c>
      <c r="B3" t="s">
        <v>13</v>
      </c>
      <c r="C3" t="s">
        <v>14</v>
      </c>
      <c r="D3" s="1">
        <v>34822</v>
      </c>
      <c r="E3">
        <v>10</v>
      </c>
      <c r="F3">
        <v>1</v>
      </c>
      <c r="G3" t="s">
        <v>15</v>
      </c>
      <c r="H3">
        <v>10</v>
      </c>
    </row>
    <row r="4" spans="1:8" x14ac:dyDescent="0.25">
      <c r="A4" t="s">
        <v>16</v>
      </c>
      <c r="B4" t="s">
        <v>17</v>
      </c>
      <c r="C4" t="s">
        <v>14</v>
      </c>
      <c r="D4" s="1">
        <v>43727</v>
      </c>
      <c r="E4">
        <v>1</v>
      </c>
      <c r="F4">
        <v>1</v>
      </c>
      <c r="G4" t="s">
        <v>18</v>
      </c>
      <c r="H4">
        <v>1</v>
      </c>
    </row>
    <row r="5" spans="1:8" x14ac:dyDescent="0.25">
      <c r="A5" t="s">
        <v>19</v>
      </c>
      <c r="B5" t="s">
        <v>20</v>
      </c>
      <c r="C5" t="s">
        <v>14</v>
      </c>
      <c r="D5" s="1">
        <v>44491</v>
      </c>
      <c r="E5">
        <v>10</v>
      </c>
      <c r="F5">
        <v>1</v>
      </c>
      <c r="G5" t="s">
        <v>21</v>
      </c>
      <c r="H5">
        <v>10</v>
      </c>
    </row>
    <row r="6" spans="1:8" x14ac:dyDescent="0.25">
      <c r="A6" t="s">
        <v>22</v>
      </c>
      <c r="B6" t="s">
        <v>23</v>
      </c>
      <c r="C6" t="s">
        <v>14</v>
      </c>
      <c r="D6" s="1">
        <v>38212</v>
      </c>
      <c r="E6">
        <v>10</v>
      </c>
      <c r="F6">
        <v>1</v>
      </c>
      <c r="G6" t="s">
        <v>24</v>
      </c>
      <c r="H6">
        <v>10</v>
      </c>
    </row>
    <row r="7" spans="1:8" x14ac:dyDescent="0.25">
      <c r="A7" t="s">
        <v>25</v>
      </c>
      <c r="B7" t="s">
        <v>26</v>
      </c>
      <c r="C7" t="s">
        <v>14</v>
      </c>
      <c r="D7" s="1">
        <v>34899</v>
      </c>
      <c r="E7">
        <v>2</v>
      </c>
      <c r="F7">
        <v>1</v>
      </c>
      <c r="G7" t="s">
        <v>27</v>
      </c>
      <c r="H7">
        <v>2</v>
      </c>
    </row>
    <row r="8" spans="1:8" x14ac:dyDescent="0.25">
      <c r="A8" t="s">
        <v>28</v>
      </c>
      <c r="B8" t="s">
        <v>29</v>
      </c>
      <c r="C8" t="s">
        <v>14</v>
      </c>
      <c r="D8" s="1">
        <v>43055</v>
      </c>
      <c r="E8">
        <v>10</v>
      </c>
      <c r="F8">
        <v>1</v>
      </c>
      <c r="G8" t="s">
        <v>30</v>
      </c>
      <c r="H8">
        <v>10</v>
      </c>
    </row>
    <row r="9" spans="1:8" x14ac:dyDescent="0.25">
      <c r="A9" t="s">
        <v>31</v>
      </c>
      <c r="B9" t="s">
        <v>32</v>
      </c>
      <c r="C9" t="s">
        <v>14</v>
      </c>
      <c r="D9" s="1">
        <v>38523</v>
      </c>
      <c r="E9">
        <v>2</v>
      </c>
      <c r="F9">
        <v>1</v>
      </c>
      <c r="G9" t="s">
        <v>33</v>
      </c>
      <c r="H9">
        <v>2</v>
      </c>
    </row>
    <row r="10" spans="1:8" x14ac:dyDescent="0.25">
      <c r="A10" t="s">
        <v>34</v>
      </c>
      <c r="B10" t="s">
        <v>35</v>
      </c>
      <c r="C10" t="s">
        <v>10</v>
      </c>
      <c r="D10" s="1">
        <v>40535</v>
      </c>
      <c r="E10">
        <v>10</v>
      </c>
      <c r="F10">
        <v>1</v>
      </c>
      <c r="G10" t="s">
        <v>36</v>
      </c>
      <c r="H10">
        <v>10</v>
      </c>
    </row>
    <row r="11" spans="1:8" x14ac:dyDescent="0.25">
      <c r="A11" t="s">
        <v>37</v>
      </c>
      <c r="B11" t="s">
        <v>38</v>
      </c>
      <c r="C11" t="s">
        <v>14</v>
      </c>
      <c r="D11" s="1">
        <v>44893</v>
      </c>
      <c r="E11">
        <v>10</v>
      </c>
      <c r="F11">
        <v>1</v>
      </c>
      <c r="G11" t="s">
        <v>39</v>
      </c>
      <c r="H11">
        <v>10</v>
      </c>
    </row>
    <row r="12" spans="1:8" x14ac:dyDescent="0.25">
      <c r="A12" t="s">
        <v>40</v>
      </c>
      <c r="B12" t="s">
        <v>41</v>
      </c>
      <c r="C12" t="s">
        <v>14</v>
      </c>
      <c r="D12" s="1">
        <v>44103</v>
      </c>
      <c r="E12">
        <v>1</v>
      </c>
      <c r="F12">
        <v>1</v>
      </c>
      <c r="G12" t="s">
        <v>42</v>
      </c>
      <c r="H12">
        <v>1</v>
      </c>
    </row>
    <row r="13" spans="1:8" x14ac:dyDescent="0.25">
      <c r="A13" t="s">
        <v>43</v>
      </c>
      <c r="B13" t="s">
        <v>44</v>
      </c>
      <c r="C13" t="s">
        <v>10</v>
      </c>
      <c r="D13" s="1">
        <v>44414</v>
      </c>
      <c r="E13">
        <v>10</v>
      </c>
      <c r="F13">
        <v>1</v>
      </c>
      <c r="G13" t="s">
        <v>45</v>
      </c>
      <c r="H13">
        <v>10</v>
      </c>
    </row>
    <row r="14" spans="1:8" x14ac:dyDescent="0.25">
      <c r="A14" t="s">
        <v>46</v>
      </c>
      <c r="B14" t="s">
        <v>47</v>
      </c>
      <c r="C14" t="s">
        <v>14</v>
      </c>
      <c r="D14" s="1">
        <v>44141</v>
      </c>
      <c r="E14">
        <v>10</v>
      </c>
      <c r="F14">
        <v>1</v>
      </c>
      <c r="G14" t="s">
        <v>48</v>
      </c>
      <c r="H14">
        <v>10</v>
      </c>
    </row>
    <row r="15" spans="1:8" x14ac:dyDescent="0.25">
      <c r="A15" t="s">
        <v>49</v>
      </c>
      <c r="B15" t="s">
        <v>50</v>
      </c>
      <c r="C15" t="s">
        <v>10</v>
      </c>
      <c r="D15" s="1">
        <v>45117</v>
      </c>
      <c r="E15">
        <v>10</v>
      </c>
      <c r="F15">
        <v>1</v>
      </c>
      <c r="G15" t="s">
        <v>51</v>
      </c>
      <c r="H15">
        <v>10</v>
      </c>
    </row>
    <row r="16" spans="1:8" x14ac:dyDescent="0.25">
      <c r="A16" t="s">
        <v>52</v>
      </c>
      <c r="B16" t="s">
        <v>53</v>
      </c>
      <c r="C16" t="s">
        <v>14</v>
      </c>
      <c r="D16" s="1">
        <v>37883</v>
      </c>
      <c r="E16">
        <v>10</v>
      </c>
      <c r="F16">
        <v>1</v>
      </c>
      <c r="G16" t="s">
        <v>54</v>
      </c>
      <c r="H16">
        <v>10</v>
      </c>
    </row>
    <row r="17" spans="1:8" x14ac:dyDescent="0.25">
      <c r="A17" t="s">
        <v>55</v>
      </c>
      <c r="B17" t="s">
        <v>56</v>
      </c>
      <c r="C17" t="s">
        <v>14</v>
      </c>
      <c r="D17" s="1">
        <v>34738</v>
      </c>
      <c r="E17">
        <v>5</v>
      </c>
      <c r="F17">
        <v>1</v>
      </c>
      <c r="G17" t="s">
        <v>57</v>
      </c>
      <c r="H17">
        <v>5</v>
      </c>
    </row>
    <row r="18" spans="1:8" x14ac:dyDescent="0.25">
      <c r="A18" t="s">
        <v>58</v>
      </c>
      <c r="B18" t="s">
        <v>59</v>
      </c>
      <c r="C18" t="s">
        <v>14</v>
      </c>
      <c r="D18" s="1">
        <v>44956</v>
      </c>
      <c r="E18">
        <v>5</v>
      </c>
      <c r="F18">
        <v>1</v>
      </c>
      <c r="G18" t="s">
        <v>60</v>
      </c>
      <c r="H18">
        <v>5</v>
      </c>
    </row>
    <row r="19" spans="1:8" x14ac:dyDescent="0.25">
      <c r="A19" t="s">
        <v>61</v>
      </c>
      <c r="B19" t="s">
        <v>62</v>
      </c>
      <c r="C19" t="s">
        <v>14</v>
      </c>
      <c r="D19" s="1">
        <v>44026</v>
      </c>
      <c r="E19">
        <v>10</v>
      </c>
      <c r="F19">
        <v>1</v>
      </c>
      <c r="G19" t="s">
        <v>63</v>
      </c>
      <c r="H19">
        <v>10</v>
      </c>
    </row>
    <row r="20" spans="1:8" x14ac:dyDescent="0.25">
      <c r="A20" t="s">
        <v>64</v>
      </c>
      <c r="B20" t="s">
        <v>65</v>
      </c>
      <c r="C20" t="s">
        <v>14</v>
      </c>
      <c r="D20" s="1">
        <v>39042</v>
      </c>
      <c r="E20">
        <v>10</v>
      </c>
      <c r="F20">
        <v>1</v>
      </c>
      <c r="G20" t="s">
        <v>66</v>
      </c>
      <c r="H20">
        <v>10</v>
      </c>
    </row>
    <row r="21" spans="1:8" x14ac:dyDescent="0.25">
      <c r="A21" t="s">
        <v>67</v>
      </c>
      <c r="B21" t="s">
        <v>68</v>
      </c>
      <c r="C21" t="s">
        <v>14</v>
      </c>
      <c r="D21" s="1">
        <v>44006</v>
      </c>
      <c r="E21">
        <v>10</v>
      </c>
      <c r="F21">
        <v>1</v>
      </c>
      <c r="G21" t="s">
        <v>69</v>
      </c>
      <c r="H21">
        <v>10</v>
      </c>
    </row>
    <row r="22" spans="1:8" x14ac:dyDescent="0.25">
      <c r="A22" t="s">
        <v>70</v>
      </c>
      <c r="B22" t="s">
        <v>71</v>
      </c>
      <c r="C22" t="s">
        <v>14</v>
      </c>
      <c r="D22" s="1">
        <v>43381</v>
      </c>
      <c r="E22">
        <v>10</v>
      </c>
      <c r="F22">
        <v>1</v>
      </c>
      <c r="G22" t="s">
        <v>72</v>
      </c>
      <c r="H22">
        <v>10</v>
      </c>
    </row>
    <row r="23" spans="1:8" x14ac:dyDescent="0.25">
      <c r="A23" t="s">
        <v>73</v>
      </c>
      <c r="B23" t="s">
        <v>74</v>
      </c>
      <c r="C23" t="s">
        <v>10</v>
      </c>
      <c r="D23" s="1">
        <v>34787</v>
      </c>
      <c r="E23">
        <v>2</v>
      </c>
      <c r="F23">
        <v>1</v>
      </c>
      <c r="G23" t="s">
        <v>75</v>
      </c>
      <c r="H23">
        <v>2</v>
      </c>
    </row>
    <row r="24" spans="1:8" x14ac:dyDescent="0.25">
      <c r="A24" t="s">
        <v>76</v>
      </c>
      <c r="B24" t="s">
        <v>77</v>
      </c>
      <c r="C24" t="s">
        <v>14</v>
      </c>
      <c r="D24" s="1">
        <v>34738</v>
      </c>
      <c r="E24">
        <v>2</v>
      </c>
      <c r="F24">
        <v>1</v>
      </c>
      <c r="G24" t="s">
        <v>78</v>
      </c>
      <c r="H24">
        <v>2</v>
      </c>
    </row>
    <row r="25" spans="1:8" x14ac:dyDescent="0.25">
      <c r="A25" t="s">
        <v>79</v>
      </c>
      <c r="B25" t="s">
        <v>80</v>
      </c>
      <c r="C25" t="s">
        <v>14</v>
      </c>
      <c r="D25" s="1">
        <v>40186</v>
      </c>
      <c r="E25">
        <v>10</v>
      </c>
      <c r="F25">
        <v>1</v>
      </c>
      <c r="G25" t="s">
        <v>81</v>
      </c>
      <c r="H25">
        <v>10</v>
      </c>
    </row>
    <row r="26" spans="1:8" x14ac:dyDescent="0.25">
      <c r="A26" t="s">
        <v>82</v>
      </c>
      <c r="B26" t="s">
        <v>83</v>
      </c>
      <c r="C26" t="s">
        <v>14</v>
      </c>
      <c r="D26" s="1">
        <v>42979</v>
      </c>
      <c r="E26">
        <v>10</v>
      </c>
      <c r="F26">
        <v>1</v>
      </c>
      <c r="G26" t="s">
        <v>84</v>
      </c>
      <c r="H26">
        <v>10</v>
      </c>
    </row>
    <row r="27" spans="1:8" x14ac:dyDescent="0.25">
      <c r="A27" t="s">
        <v>85</v>
      </c>
      <c r="B27" t="s">
        <v>86</v>
      </c>
      <c r="C27" t="s">
        <v>14</v>
      </c>
      <c r="D27" s="1">
        <v>41472</v>
      </c>
      <c r="E27">
        <v>10</v>
      </c>
      <c r="F27">
        <v>1</v>
      </c>
      <c r="G27" t="s">
        <v>87</v>
      </c>
      <c r="H27">
        <v>10</v>
      </c>
    </row>
    <row r="28" spans="1:8" x14ac:dyDescent="0.25">
      <c r="A28" t="s">
        <v>88</v>
      </c>
      <c r="B28" t="s">
        <v>89</v>
      </c>
      <c r="C28" t="s">
        <v>10</v>
      </c>
      <c r="D28" s="1">
        <v>44448</v>
      </c>
      <c r="E28">
        <v>10</v>
      </c>
      <c r="F28">
        <v>1</v>
      </c>
      <c r="G28" t="s">
        <v>90</v>
      </c>
      <c r="H28">
        <v>10</v>
      </c>
    </row>
    <row r="29" spans="1:8" x14ac:dyDescent="0.25">
      <c r="A29" t="s">
        <v>91</v>
      </c>
      <c r="B29" t="s">
        <v>92</v>
      </c>
      <c r="C29" t="s">
        <v>14</v>
      </c>
      <c r="D29" s="1">
        <v>44480</v>
      </c>
      <c r="E29">
        <v>5</v>
      </c>
      <c r="F29">
        <v>1</v>
      </c>
      <c r="G29" t="s">
        <v>93</v>
      </c>
      <c r="H29">
        <v>5</v>
      </c>
    </row>
    <row r="30" spans="1:8" x14ac:dyDescent="0.25">
      <c r="A30" t="s">
        <v>94</v>
      </c>
      <c r="B30" t="s">
        <v>95</v>
      </c>
      <c r="C30" t="s">
        <v>14</v>
      </c>
      <c r="D30" s="1">
        <v>35389</v>
      </c>
      <c r="E30">
        <v>10</v>
      </c>
      <c r="F30">
        <v>1</v>
      </c>
      <c r="G30" t="s">
        <v>96</v>
      </c>
      <c r="H30">
        <v>10</v>
      </c>
    </row>
    <row r="31" spans="1:8" x14ac:dyDescent="0.25">
      <c r="A31" t="s">
        <v>97</v>
      </c>
      <c r="B31" t="s">
        <v>98</v>
      </c>
      <c r="C31" t="s">
        <v>14</v>
      </c>
      <c r="D31" s="1">
        <v>36495</v>
      </c>
      <c r="E31">
        <v>10</v>
      </c>
      <c r="F31">
        <v>1</v>
      </c>
      <c r="G31" t="s">
        <v>99</v>
      </c>
      <c r="H31">
        <v>10</v>
      </c>
    </row>
    <row r="32" spans="1:8" x14ac:dyDescent="0.25">
      <c r="A32" t="s">
        <v>100</v>
      </c>
      <c r="B32" t="s">
        <v>101</v>
      </c>
      <c r="C32" t="s">
        <v>14</v>
      </c>
      <c r="D32" s="1">
        <v>44176</v>
      </c>
      <c r="E32">
        <v>1</v>
      </c>
      <c r="F32">
        <v>1</v>
      </c>
      <c r="G32" t="s">
        <v>102</v>
      </c>
      <c r="H32">
        <v>1</v>
      </c>
    </row>
    <row r="33" spans="1:8" x14ac:dyDescent="0.25">
      <c r="A33" t="s">
        <v>103</v>
      </c>
      <c r="B33" t="s">
        <v>104</v>
      </c>
      <c r="C33" t="s">
        <v>14</v>
      </c>
      <c r="D33" s="1">
        <v>38986</v>
      </c>
      <c r="E33">
        <v>2</v>
      </c>
      <c r="F33">
        <v>1</v>
      </c>
      <c r="G33" t="s">
        <v>105</v>
      </c>
      <c r="H33">
        <v>2</v>
      </c>
    </row>
    <row r="34" spans="1:8" x14ac:dyDescent="0.25">
      <c r="A34" t="s">
        <v>106</v>
      </c>
      <c r="B34" t="s">
        <v>107</v>
      </c>
      <c r="C34" t="s">
        <v>14</v>
      </c>
      <c r="D34" s="1">
        <v>44869</v>
      </c>
      <c r="E34">
        <v>10</v>
      </c>
      <c r="F34">
        <v>1</v>
      </c>
      <c r="G34" t="s">
        <v>108</v>
      </c>
      <c r="H34">
        <v>10</v>
      </c>
    </row>
    <row r="35" spans="1:8" x14ac:dyDescent="0.25">
      <c r="A35" t="s">
        <v>109</v>
      </c>
      <c r="B35" t="s">
        <v>110</v>
      </c>
      <c r="C35" t="s">
        <v>14</v>
      </c>
      <c r="D35" s="1">
        <v>44886</v>
      </c>
      <c r="E35">
        <v>2</v>
      </c>
      <c r="F35">
        <v>1</v>
      </c>
      <c r="G35" t="s">
        <v>111</v>
      </c>
      <c r="H35">
        <v>2</v>
      </c>
    </row>
    <row r="36" spans="1:8" x14ac:dyDescent="0.25">
      <c r="A36" t="s">
        <v>112</v>
      </c>
      <c r="B36" t="s">
        <v>113</v>
      </c>
      <c r="C36" t="s">
        <v>14</v>
      </c>
      <c r="D36" s="1">
        <v>45056</v>
      </c>
      <c r="E36">
        <v>10</v>
      </c>
      <c r="F36">
        <v>1</v>
      </c>
      <c r="G36" t="s">
        <v>114</v>
      </c>
      <c r="H36">
        <v>10</v>
      </c>
    </row>
    <row r="37" spans="1:8" x14ac:dyDescent="0.25">
      <c r="A37" t="s">
        <v>115</v>
      </c>
      <c r="B37" t="s">
        <v>116</v>
      </c>
      <c r="C37" t="s">
        <v>14</v>
      </c>
      <c r="D37" s="1">
        <v>42216</v>
      </c>
      <c r="E37">
        <v>10</v>
      </c>
      <c r="F37">
        <v>1</v>
      </c>
      <c r="G37" t="s">
        <v>117</v>
      </c>
      <c r="H37">
        <v>10</v>
      </c>
    </row>
    <row r="38" spans="1:8" x14ac:dyDescent="0.25">
      <c r="A38" t="s">
        <v>118</v>
      </c>
      <c r="B38" t="s">
        <v>119</v>
      </c>
      <c r="C38" t="s">
        <v>14</v>
      </c>
      <c r="D38" s="1">
        <v>35585</v>
      </c>
      <c r="E38">
        <v>1</v>
      </c>
      <c r="F38">
        <v>1</v>
      </c>
      <c r="G38" t="s">
        <v>120</v>
      </c>
      <c r="H38">
        <v>1</v>
      </c>
    </row>
    <row r="39" spans="1:8" x14ac:dyDescent="0.25">
      <c r="A39" t="s">
        <v>121</v>
      </c>
      <c r="B39" t="s">
        <v>122</v>
      </c>
      <c r="C39" t="s">
        <v>14</v>
      </c>
      <c r="D39" s="1">
        <v>43269</v>
      </c>
      <c r="E39">
        <v>10</v>
      </c>
      <c r="F39">
        <v>1</v>
      </c>
      <c r="G39" t="s">
        <v>123</v>
      </c>
      <c r="H39">
        <v>10</v>
      </c>
    </row>
    <row r="40" spans="1:8" x14ac:dyDescent="0.25">
      <c r="A40" t="s">
        <v>124</v>
      </c>
      <c r="B40" t="s">
        <v>125</v>
      </c>
      <c r="C40" t="s">
        <v>14</v>
      </c>
      <c r="D40" s="1">
        <v>39413</v>
      </c>
      <c r="E40">
        <v>2</v>
      </c>
      <c r="F40">
        <v>1</v>
      </c>
      <c r="G40" t="s">
        <v>126</v>
      </c>
      <c r="H40">
        <v>2</v>
      </c>
    </row>
    <row r="41" spans="1:8" x14ac:dyDescent="0.25">
      <c r="A41" t="s">
        <v>127</v>
      </c>
      <c r="B41" t="s">
        <v>128</v>
      </c>
      <c r="C41" t="s">
        <v>14</v>
      </c>
      <c r="D41" s="1">
        <v>40045</v>
      </c>
      <c r="E41">
        <v>10</v>
      </c>
      <c r="F41">
        <v>1</v>
      </c>
      <c r="G41" t="s">
        <v>129</v>
      </c>
      <c r="H41">
        <v>10</v>
      </c>
    </row>
    <row r="42" spans="1:8" x14ac:dyDescent="0.25">
      <c r="A42" t="s">
        <v>130</v>
      </c>
      <c r="B42" t="s">
        <v>131</v>
      </c>
      <c r="C42" t="s">
        <v>14</v>
      </c>
      <c r="D42" s="1">
        <v>40436</v>
      </c>
      <c r="E42">
        <v>2</v>
      </c>
      <c r="F42">
        <v>1</v>
      </c>
      <c r="G42" t="s">
        <v>132</v>
      </c>
      <c r="H42">
        <v>2</v>
      </c>
    </row>
    <row r="43" spans="1:8" x14ac:dyDescent="0.25">
      <c r="A43" t="s">
        <v>133</v>
      </c>
      <c r="B43" t="s">
        <v>134</v>
      </c>
      <c r="C43" t="s">
        <v>10</v>
      </c>
      <c r="D43" s="1">
        <v>44105</v>
      </c>
      <c r="E43">
        <v>10</v>
      </c>
      <c r="F43">
        <v>1</v>
      </c>
      <c r="G43" t="s">
        <v>135</v>
      </c>
      <c r="H43">
        <v>10</v>
      </c>
    </row>
    <row r="44" spans="1:8" x14ac:dyDescent="0.25">
      <c r="A44" t="s">
        <v>136</v>
      </c>
      <c r="B44" t="s">
        <v>137</v>
      </c>
      <c r="C44" t="s">
        <v>14</v>
      </c>
      <c r="D44" s="1">
        <v>34829</v>
      </c>
      <c r="E44">
        <v>10</v>
      </c>
      <c r="F44">
        <v>1</v>
      </c>
      <c r="G44" t="s">
        <v>138</v>
      </c>
      <c r="H44">
        <v>10</v>
      </c>
    </row>
    <row r="45" spans="1:8" x14ac:dyDescent="0.25">
      <c r="A45" t="s">
        <v>139</v>
      </c>
      <c r="B45" t="s">
        <v>140</v>
      </c>
      <c r="C45" t="s">
        <v>10</v>
      </c>
      <c r="D45" s="1">
        <v>35655</v>
      </c>
      <c r="E45">
        <v>10</v>
      </c>
      <c r="F45">
        <v>1</v>
      </c>
      <c r="G45" t="s">
        <v>141</v>
      </c>
      <c r="H45">
        <v>10</v>
      </c>
    </row>
    <row r="46" spans="1:8" x14ac:dyDescent="0.25">
      <c r="A46" t="s">
        <v>142</v>
      </c>
      <c r="B46" t="s">
        <v>143</v>
      </c>
      <c r="C46" t="s">
        <v>14</v>
      </c>
      <c r="D46" s="1">
        <v>39288</v>
      </c>
      <c r="E46">
        <v>5</v>
      </c>
      <c r="F46">
        <v>1</v>
      </c>
      <c r="G46" t="s">
        <v>144</v>
      </c>
      <c r="H46">
        <v>5</v>
      </c>
    </row>
    <row r="47" spans="1:8" x14ac:dyDescent="0.25">
      <c r="A47" t="s">
        <v>145</v>
      </c>
      <c r="B47" t="s">
        <v>146</v>
      </c>
      <c r="C47" t="s">
        <v>14</v>
      </c>
      <c r="D47" s="1">
        <v>39258</v>
      </c>
      <c r="E47">
        <v>2</v>
      </c>
      <c r="F47">
        <v>1</v>
      </c>
      <c r="G47" t="s">
        <v>147</v>
      </c>
      <c r="H47">
        <v>2</v>
      </c>
    </row>
    <row r="48" spans="1:8" x14ac:dyDescent="0.25">
      <c r="A48" t="s">
        <v>148</v>
      </c>
      <c r="B48" t="s">
        <v>149</v>
      </c>
      <c r="C48" t="s">
        <v>14</v>
      </c>
      <c r="D48" s="1">
        <v>42583</v>
      </c>
      <c r="E48">
        <v>2</v>
      </c>
      <c r="F48">
        <v>1</v>
      </c>
      <c r="G48" t="s">
        <v>150</v>
      </c>
      <c r="H48">
        <v>2</v>
      </c>
    </row>
    <row r="49" spans="1:8" x14ac:dyDescent="0.25">
      <c r="A49" t="s">
        <v>151</v>
      </c>
      <c r="B49" t="s">
        <v>152</v>
      </c>
      <c r="C49" t="s">
        <v>14</v>
      </c>
      <c r="D49" s="1">
        <v>35158</v>
      </c>
      <c r="E49">
        <v>1</v>
      </c>
      <c r="F49">
        <v>1</v>
      </c>
      <c r="G49" t="s">
        <v>153</v>
      </c>
      <c r="H49">
        <v>1</v>
      </c>
    </row>
    <row r="50" spans="1:8" x14ac:dyDescent="0.25">
      <c r="A50" t="s">
        <v>154</v>
      </c>
      <c r="B50" t="s">
        <v>155</v>
      </c>
      <c r="C50" t="s">
        <v>14</v>
      </c>
      <c r="D50" s="1">
        <v>45169</v>
      </c>
      <c r="E50">
        <v>2</v>
      </c>
      <c r="F50">
        <v>1</v>
      </c>
      <c r="G50" t="s">
        <v>156</v>
      </c>
      <c r="H50">
        <v>2</v>
      </c>
    </row>
    <row r="51" spans="1:8" x14ac:dyDescent="0.25">
      <c r="A51" t="s">
        <v>157</v>
      </c>
      <c r="B51" t="s">
        <v>158</v>
      </c>
      <c r="C51" t="s">
        <v>14</v>
      </c>
      <c r="D51" s="1">
        <v>44715</v>
      </c>
      <c r="E51">
        <v>10</v>
      </c>
      <c r="F51">
        <v>1</v>
      </c>
      <c r="G51" t="s">
        <v>159</v>
      </c>
      <c r="H51">
        <v>10</v>
      </c>
    </row>
    <row r="52" spans="1:8" x14ac:dyDescent="0.25">
      <c r="A52" t="s">
        <v>160</v>
      </c>
      <c r="B52" t="s">
        <v>161</v>
      </c>
      <c r="C52" t="s">
        <v>14</v>
      </c>
      <c r="D52" s="1">
        <v>43685</v>
      </c>
      <c r="E52">
        <v>2</v>
      </c>
      <c r="F52">
        <v>1</v>
      </c>
      <c r="G52" t="s">
        <v>162</v>
      </c>
      <c r="H52">
        <v>2</v>
      </c>
    </row>
    <row r="53" spans="1:8" x14ac:dyDescent="0.25">
      <c r="A53" t="s">
        <v>163</v>
      </c>
      <c r="B53" t="s">
        <v>164</v>
      </c>
      <c r="C53" t="s">
        <v>14</v>
      </c>
      <c r="D53" s="1">
        <v>41785</v>
      </c>
      <c r="E53">
        <v>10</v>
      </c>
      <c r="F53">
        <v>1</v>
      </c>
      <c r="G53" t="s">
        <v>165</v>
      </c>
      <c r="H53">
        <v>10</v>
      </c>
    </row>
    <row r="54" spans="1:8" x14ac:dyDescent="0.25">
      <c r="A54" t="s">
        <v>166</v>
      </c>
      <c r="B54" t="s">
        <v>167</v>
      </c>
      <c r="C54" t="s">
        <v>14</v>
      </c>
      <c r="D54" s="1">
        <v>36677</v>
      </c>
      <c r="E54">
        <v>2</v>
      </c>
      <c r="F54">
        <v>1</v>
      </c>
      <c r="G54" t="s">
        <v>168</v>
      </c>
      <c r="H54">
        <v>2</v>
      </c>
    </row>
    <row r="55" spans="1:8" x14ac:dyDescent="0.25">
      <c r="A55" t="s">
        <v>169</v>
      </c>
      <c r="B55" t="s">
        <v>170</v>
      </c>
      <c r="C55" t="s">
        <v>10</v>
      </c>
      <c r="D55" s="1">
        <v>41667</v>
      </c>
      <c r="E55">
        <v>10</v>
      </c>
      <c r="F55">
        <v>1</v>
      </c>
      <c r="G55" t="s">
        <v>171</v>
      </c>
      <c r="H55">
        <v>10</v>
      </c>
    </row>
    <row r="56" spans="1:8" x14ac:dyDescent="0.25">
      <c r="A56" t="s">
        <v>172</v>
      </c>
      <c r="B56" t="s">
        <v>173</v>
      </c>
      <c r="C56" t="s">
        <v>14</v>
      </c>
      <c r="D56" s="1">
        <v>43532</v>
      </c>
      <c r="E56">
        <v>10</v>
      </c>
      <c r="F56">
        <v>1</v>
      </c>
      <c r="G56" t="s">
        <v>174</v>
      </c>
      <c r="H56">
        <v>10</v>
      </c>
    </row>
    <row r="57" spans="1:8" x14ac:dyDescent="0.25">
      <c r="A57" t="s">
        <v>175</v>
      </c>
      <c r="B57" t="s">
        <v>176</v>
      </c>
      <c r="C57" t="s">
        <v>14</v>
      </c>
      <c r="D57" s="1">
        <v>44592</v>
      </c>
      <c r="E57">
        <v>10</v>
      </c>
      <c r="F57">
        <v>1</v>
      </c>
      <c r="G57" t="s">
        <v>177</v>
      </c>
      <c r="H57">
        <v>10</v>
      </c>
    </row>
    <row r="58" spans="1:8" x14ac:dyDescent="0.25">
      <c r="A58" t="s">
        <v>178</v>
      </c>
      <c r="B58" t="s">
        <v>179</v>
      </c>
      <c r="C58" t="s">
        <v>14</v>
      </c>
      <c r="D58" s="1">
        <v>44918</v>
      </c>
      <c r="E58">
        <v>2</v>
      </c>
      <c r="F58">
        <v>1</v>
      </c>
      <c r="G58" t="s">
        <v>180</v>
      </c>
      <c r="H58">
        <v>2</v>
      </c>
    </row>
    <row r="59" spans="1:8" x14ac:dyDescent="0.25">
      <c r="A59" t="s">
        <v>181</v>
      </c>
      <c r="B59" t="s">
        <v>182</v>
      </c>
      <c r="C59" t="s">
        <v>14</v>
      </c>
      <c r="D59" s="1">
        <v>44224</v>
      </c>
      <c r="E59">
        <v>10</v>
      </c>
      <c r="F59">
        <v>1</v>
      </c>
      <c r="G59" t="s">
        <v>183</v>
      </c>
      <c r="H59">
        <v>10</v>
      </c>
    </row>
    <row r="60" spans="1:8" x14ac:dyDescent="0.25">
      <c r="A60" t="s">
        <v>184</v>
      </c>
      <c r="B60" t="s">
        <v>185</v>
      </c>
      <c r="C60" t="s">
        <v>14</v>
      </c>
      <c r="D60" s="1">
        <v>40401</v>
      </c>
      <c r="E60">
        <v>10</v>
      </c>
      <c r="F60">
        <v>1</v>
      </c>
      <c r="G60" t="s">
        <v>186</v>
      </c>
      <c r="H60">
        <v>10</v>
      </c>
    </row>
    <row r="61" spans="1:8" x14ac:dyDescent="0.25">
      <c r="A61" t="s">
        <v>187</v>
      </c>
      <c r="B61" t="s">
        <v>188</v>
      </c>
      <c r="C61" t="s">
        <v>14</v>
      </c>
      <c r="D61" s="1">
        <v>40161</v>
      </c>
      <c r="E61">
        <v>2</v>
      </c>
      <c r="F61">
        <v>1</v>
      </c>
      <c r="G61" t="s">
        <v>189</v>
      </c>
      <c r="H61">
        <v>2</v>
      </c>
    </row>
    <row r="62" spans="1:8" x14ac:dyDescent="0.25">
      <c r="A62" t="s">
        <v>190</v>
      </c>
      <c r="B62" t="s">
        <v>191</v>
      </c>
      <c r="C62" t="s">
        <v>14</v>
      </c>
      <c r="D62" s="1">
        <v>38700</v>
      </c>
      <c r="E62">
        <v>2</v>
      </c>
      <c r="F62">
        <v>1</v>
      </c>
      <c r="G62" t="s">
        <v>192</v>
      </c>
      <c r="H62">
        <v>2</v>
      </c>
    </row>
    <row r="63" spans="1:8" x14ac:dyDescent="0.25">
      <c r="A63" t="s">
        <v>193</v>
      </c>
      <c r="B63" t="s">
        <v>194</v>
      </c>
      <c r="C63" t="s">
        <v>10</v>
      </c>
      <c r="D63" s="1">
        <v>43588</v>
      </c>
      <c r="E63">
        <v>2</v>
      </c>
      <c r="F63">
        <v>1</v>
      </c>
      <c r="G63" t="s">
        <v>195</v>
      </c>
      <c r="H63">
        <v>2</v>
      </c>
    </row>
    <row r="64" spans="1:8" x14ac:dyDescent="0.25">
      <c r="A64" t="s">
        <v>196</v>
      </c>
      <c r="B64" t="s">
        <v>197</v>
      </c>
      <c r="C64" t="s">
        <v>10</v>
      </c>
      <c r="D64" s="1">
        <v>44482</v>
      </c>
      <c r="E64">
        <v>10</v>
      </c>
      <c r="F64">
        <v>1</v>
      </c>
      <c r="G64" t="s">
        <v>198</v>
      </c>
      <c r="H64">
        <v>10</v>
      </c>
    </row>
    <row r="65" spans="1:8" x14ac:dyDescent="0.25">
      <c r="A65" t="s">
        <v>199</v>
      </c>
      <c r="B65" t="s">
        <v>200</v>
      </c>
      <c r="C65" t="s">
        <v>14</v>
      </c>
      <c r="D65" s="1">
        <v>36675</v>
      </c>
      <c r="E65">
        <v>2</v>
      </c>
      <c r="F65">
        <v>1</v>
      </c>
      <c r="G65" t="s">
        <v>201</v>
      </c>
      <c r="H65">
        <v>2</v>
      </c>
    </row>
    <row r="66" spans="1:8" x14ac:dyDescent="0.25">
      <c r="A66" t="s">
        <v>202</v>
      </c>
      <c r="B66" t="s">
        <v>203</v>
      </c>
      <c r="C66" t="s">
        <v>14</v>
      </c>
      <c r="D66" s="1">
        <v>39980</v>
      </c>
      <c r="E66">
        <v>10</v>
      </c>
      <c r="F66">
        <v>1</v>
      </c>
      <c r="G66" t="s">
        <v>204</v>
      </c>
      <c r="H66">
        <v>10</v>
      </c>
    </row>
    <row r="67" spans="1:8" x14ac:dyDescent="0.25">
      <c r="A67" t="s">
        <v>205</v>
      </c>
      <c r="B67" t="s">
        <v>206</v>
      </c>
      <c r="C67" t="s">
        <v>14</v>
      </c>
      <c r="D67" s="1">
        <v>44323</v>
      </c>
      <c r="E67">
        <v>2</v>
      </c>
      <c r="F67">
        <v>1</v>
      </c>
      <c r="G67" t="s">
        <v>207</v>
      </c>
      <c r="H67">
        <v>2</v>
      </c>
    </row>
    <row r="68" spans="1:8" x14ac:dyDescent="0.25">
      <c r="A68" t="s">
        <v>208</v>
      </c>
      <c r="B68" t="s">
        <v>209</v>
      </c>
      <c r="C68" t="s">
        <v>14</v>
      </c>
      <c r="D68" s="1">
        <v>43749</v>
      </c>
      <c r="E68">
        <v>10</v>
      </c>
      <c r="F68">
        <v>1</v>
      </c>
      <c r="G68" t="s">
        <v>210</v>
      </c>
      <c r="H68">
        <v>10</v>
      </c>
    </row>
    <row r="69" spans="1:8" x14ac:dyDescent="0.25">
      <c r="A69" t="s">
        <v>211</v>
      </c>
      <c r="B69" t="s">
        <v>212</v>
      </c>
      <c r="C69" t="s">
        <v>14</v>
      </c>
      <c r="D69" s="1">
        <v>44243</v>
      </c>
      <c r="E69">
        <v>10</v>
      </c>
      <c r="F69">
        <v>1</v>
      </c>
      <c r="G69" t="s">
        <v>213</v>
      </c>
      <c r="H69">
        <v>10</v>
      </c>
    </row>
    <row r="70" spans="1:8" x14ac:dyDescent="0.25">
      <c r="A70" t="s">
        <v>214</v>
      </c>
      <c r="B70" t="s">
        <v>215</v>
      </c>
      <c r="C70" t="s">
        <v>10</v>
      </c>
      <c r="D70" s="1">
        <v>45022</v>
      </c>
      <c r="E70">
        <v>2</v>
      </c>
      <c r="F70">
        <v>1</v>
      </c>
      <c r="G70" t="s">
        <v>216</v>
      </c>
      <c r="H70">
        <v>2</v>
      </c>
    </row>
    <row r="71" spans="1:8" x14ac:dyDescent="0.25">
      <c r="A71" t="s">
        <v>217</v>
      </c>
      <c r="B71" t="s">
        <v>218</v>
      </c>
      <c r="C71" t="s">
        <v>14</v>
      </c>
      <c r="D71" s="1">
        <v>44704</v>
      </c>
      <c r="E71">
        <v>1</v>
      </c>
      <c r="F71">
        <v>1</v>
      </c>
      <c r="G71" t="s">
        <v>219</v>
      </c>
      <c r="H71">
        <v>1</v>
      </c>
    </row>
    <row r="72" spans="1:8" x14ac:dyDescent="0.25">
      <c r="A72" t="s">
        <v>220</v>
      </c>
      <c r="B72" t="s">
        <v>221</v>
      </c>
      <c r="C72" t="s">
        <v>14</v>
      </c>
      <c r="D72" s="1">
        <v>42822</v>
      </c>
      <c r="E72">
        <v>10</v>
      </c>
      <c r="F72">
        <v>1</v>
      </c>
      <c r="G72" t="s">
        <v>222</v>
      </c>
      <c r="H72">
        <v>10</v>
      </c>
    </row>
    <row r="73" spans="1:8" x14ac:dyDescent="0.25">
      <c r="A73" t="s">
        <v>223</v>
      </c>
      <c r="B73" t="s">
        <v>224</v>
      </c>
      <c r="C73" t="s">
        <v>10</v>
      </c>
      <c r="D73" s="1">
        <v>36756</v>
      </c>
      <c r="E73">
        <v>5</v>
      </c>
      <c r="F73">
        <v>1</v>
      </c>
      <c r="G73" t="s">
        <v>225</v>
      </c>
      <c r="H73">
        <v>5</v>
      </c>
    </row>
    <row r="74" spans="1:8" x14ac:dyDescent="0.25">
      <c r="A74" t="s">
        <v>226</v>
      </c>
      <c r="B74" t="s">
        <v>227</v>
      </c>
      <c r="C74" t="s">
        <v>14</v>
      </c>
      <c r="D74" s="1">
        <v>37070</v>
      </c>
      <c r="E74">
        <v>10</v>
      </c>
      <c r="F74">
        <v>1</v>
      </c>
      <c r="G74" t="s">
        <v>228</v>
      </c>
      <c r="H74">
        <v>10</v>
      </c>
    </row>
    <row r="75" spans="1:8" x14ac:dyDescent="0.25">
      <c r="A75" t="s">
        <v>229</v>
      </c>
      <c r="B75" t="s">
        <v>230</v>
      </c>
      <c r="C75" t="s">
        <v>14</v>
      </c>
      <c r="D75" s="1">
        <v>42185</v>
      </c>
      <c r="E75">
        <v>1</v>
      </c>
      <c r="F75">
        <v>1</v>
      </c>
      <c r="G75" t="s">
        <v>231</v>
      </c>
      <c r="H75">
        <v>1</v>
      </c>
    </row>
    <row r="76" spans="1:8" x14ac:dyDescent="0.25">
      <c r="A76" t="s">
        <v>232</v>
      </c>
      <c r="B76" t="s">
        <v>233</v>
      </c>
      <c r="C76" t="s">
        <v>14</v>
      </c>
      <c r="D76" s="1">
        <v>42535</v>
      </c>
      <c r="E76">
        <v>10</v>
      </c>
      <c r="F76">
        <v>1</v>
      </c>
      <c r="G76" t="s">
        <v>234</v>
      </c>
      <c r="H76">
        <v>10</v>
      </c>
    </row>
    <row r="77" spans="1:8" x14ac:dyDescent="0.25">
      <c r="A77" t="s">
        <v>235</v>
      </c>
      <c r="B77" t="s">
        <v>236</v>
      </c>
      <c r="C77" t="s">
        <v>14</v>
      </c>
      <c r="D77" s="1">
        <v>36425</v>
      </c>
      <c r="E77">
        <v>2</v>
      </c>
      <c r="F77">
        <v>1</v>
      </c>
      <c r="G77" t="s">
        <v>237</v>
      </c>
      <c r="H77">
        <v>2</v>
      </c>
    </row>
    <row r="78" spans="1:8" x14ac:dyDescent="0.25">
      <c r="A78" t="s">
        <v>238</v>
      </c>
      <c r="B78" t="s">
        <v>239</v>
      </c>
      <c r="C78" t="s">
        <v>14</v>
      </c>
      <c r="D78" s="1">
        <v>38989</v>
      </c>
      <c r="E78">
        <v>5</v>
      </c>
      <c r="F78">
        <v>1</v>
      </c>
      <c r="G78" t="s">
        <v>240</v>
      </c>
      <c r="H78">
        <v>5</v>
      </c>
    </row>
    <row r="79" spans="1:8" x14ac:dyDescent="0.25">
      <c r="A79" t="s">
        <v>241</v>
      </c>
      <c r="B79" t="s">
        <v>242</v>
      </c>
      <c r="C79" t="s">
        <v>14</v>
      </c>
      <c r="D79" s="1">
        <v>39758</v>
      </c>
      <c r="E79">
        <v>10</v>
      </c>
      <c r="F79">
        <v>1</v>
      </c>
      <c r="G79" t="s">
        <v>243</v>
      </c>
      <c r="H79">
        <v>10</v>
      </c>
    </row>
    <row r="80" spans="1:8" x14ac:dyDescent="0.25">
      <c r="A80" t="s">
        <v>244</v>
      </c>
      <c r="B80" t="s">
        <v>245</v>
      </c>
      <c r="C80" t="s">
        <v>14</v>
      </c>
      <c r="D80" s="1">
        <v>42361</v>
      </c>
      <c r="E80">
        <v>2</v>
      </c>
      <c r="F80">
        <v>1</v>
      </c>
      <c r="G80" t="s">
        <v>246</v>
      </c>
      <c r="H80">
        <v>2</v>
      </c>
    </row>
    <row r="81" spans="1:8" x14ac:dyDescent="0.25">
      <c r="A81" t="s">
        <v>247</v>
      </c>
      <c r="B81" t="s">
        <v>248</v>
      </c>
      <c r="C81" t="s">
        <v>14</v>
      </c>
      <c r="D81" s="1">
        <v>39412</v>
      </c>
      <c r="E81">
        <v>2</v>
      </c>
      <c r="F81">
        <v>1</v>
      </c>
      <c r="G81" t="s">
        <v>249</v>
      </c>
      <c r="H81">
        <v>2</v>
      </c>
    </row>
    <row r="82" spans="1:8" x14ac:dyDescent="0.25">
      <c r="A82" t="s">
        <v>250</v>
      </c>
      <c r="B82" t="s">
        <v>251</v>
      </c>
      <c r="C82" t="s">
        <v>14</v>
      </c>
      <c r="D82" s="1">
        <v>38891</v>
      </c>
      <c r="E82">
        <v>2</v>
      </c>
      <c r="F82">
        <v>1</v>
      </c>
      <c r="G82" t="s">
        <v>252</v>
      </c>
      <c r="H82">
        <v>2</v>
      </c>
    </row>
    <row r="83" spans="1:8" x14ac:dyDescent="0.25">
      <c r="A83" t="s">
        <v>253</v>
      </c>
      <c r="B83" t="s">
        <v>254</v>
      </c>
      <c r="C83" t="s">
        <v>14</v>
      </c>
      <c r="D83" s="1">
        <v>38481</v>
      </c>
      <c r="E83">
        <v>10</v>
      </c>
      <c r="F83">
        <v>1</v>
      </c>
      <c r="G83" t="s">
        <v>255</v>
      </c>
      <c r="H83">
        <v>10</v>
      </c>
    </row>
    <row r="84" spans="1:8" x14ac:dyDescent="0.25">
      <c r="A84" t="s">
        <v>256</v>
      </c>
      <c r="B84" t="s">
        <v>257</v>
      </c>
      <c r="C84" t="s">
        <v>14</v>
      </c>
      <c r="D84" s="1">
        <v>39615</v>
      </c>
      <c r="E84">
        <v>6</v>
      </c>
      <c r="F84">
        <v>1</v>
      </c>
      <c r="G84" t="s">
        <v>258</v>
      </c>
      <c r="H84">
        <v>6</v>
      </c>
    </row>
    <row r="85" spans="1:8" x14ac:dyDescent="0.25">
      <c r="A85" t="s">
        <v>259</v>
      </c>
      <c r="B85" t="s">
        <v>260</v>
      </c>
      <c r="C85" t="s">
        <v>14</v>
      </c>
      <c r="D85" s="1">
        <v>43880</v>
      </c>
      <c r="E85">
        <v>1</v>
      </c>
      <c r="F85">
        <v>1</v>
      </c>
      <c r="G85" t="s">
        <v>261</v>
      </c>
      <c r="H85">
        <v>1</v>
      </c>
    </row>
    <row r="86" spans="1:8" x14ac:dyDescent="0.25">
      <c r="A86" t="s">
        <v>262</v>
      </c>
      <c r="B86" t="s">
        <v>263</v>
      </c>
      <c r="C86" t="s">
        <v>14</v>
      </c>
      <c r="D86" s="1">
        <v>39300</v>
      </c>
      <c r="E86">
        <v>10</v>
      </c>
      <c r="F86">
        <v>1</v>
      </c>
      <c r="G86" t="s">
        <v>264</v>
      </c>
      <c r="H86">
        <v>10</v>
      </c>
    </row>
    <row r="87" spans="1:8" x14ac:dyDescent="0.25">
      <c r="A87" t="s">
        <v>265</v>
      </c>
      <c r="B87" t="s">
        <v>266</v>
      </c>
      <c r="C87" t="s">
        <v>14</v>
      </c>
      <c r="D87" s="1">
        <v>39213</v>
      </c>
      <c r="E87">
        <v>10</v>
      </c>
      <c r="F87">
        <v>1</v>
      </c>
      <c r="G87" t="s">
        <v>267</v>
      </c>
      <c r="H87">
        <v>10</v>
      </c>
    </row>
    <row r="88" spans="1:8" x14ac:dyDescent="0.25">
      <c r="A88" t="s">
        <v>268</v>
      </c>
      <c r="B88" t="s">
        <v>269</v>
      </c>
      <c r="C88" t="s">
        <v>14</v>
      </c>
      <c r="D88" s="1">
        <v>35179</v>
      </c>
      <c r="E88">
        <v>10</v>
      </c>
      <c r="F88">
        <v>1</v>
      </c>
      <c r="G88" t="s">
        <v>270</v>
      </c>
      <c r="H88">
        <v>10</v>
      </c>
    </row>
    <row r="89" spans="1:8" x14ac:dyDescent="0.25">
      <c r="A89" t="s">
        <v>271</v>
      </c>
      <c r="B89" t="s">
        <v>272</v>
      </c>
      <c r="C89" t="s">
        <v>14</v>
      </c>
      <c r="D89" s="1">
        <v>43130</v>
      </c>
      <c r="E89">
        <v>10</v>
      </c>
      <c r="F89">
        <v>1</v>
      </c>
      <c r="G89" t="s">
        <v>273</v>
      </c>
      <c r="H89">
        <v>10</v>
      </c>
    </row>
    <row r="90" spans="1:8" x14ac:dyDescent="0.25">
      <c r="A90" t="s">
        <v>274</v>
      </c>
      <c r="B90" t="s">
        <v>275</v>
      </c>
      <c r="C90" t="s">
        <v>10</v>
      </c>
      <c r="D90" s="1">
        <v>38167</v>
      </c>
      <c r="E90">
        <v>10</v>
      </c>
      <c r="F90">
        <v>1</v>
      </c>
      <c r="G90" t="s">
        <v>276</v>
      </c>
      <c r="H90">
        <v>10</v>
      </c>
    </row>
    <row r="91" spans="1:8" x14ac:dyDescent="0.25">
      <c r="A91" t="s">
        <v>277</v>
      </c>
      <c r="B91" t="s">
        <v>278</v>
      </c>
      <c r="C91" t="s">
        <v>14</v>
      </c>
      <c r="D91" s="1">
        <v>39476</v>
      </c>
      <c r="E91">
        <v>10</v>
      </c>
      <c r="F91">
        <v>1</v>
      </c>
      <c r="G91" t="s">
        <v>279</v>
      </c>
      <c r="H91">
        <v>10</v>
      </c>
    </row>
    <row r="92" spans="1:8" x14ac:dyDescent="0.25">
      <c r="A92" t="s">
        <v>280</v>
      </c>
      <c r="B92" t="s">
        <v>281</v>
      </c>
      <c r="C92" t="s">
        <v>14</v>
      </c>
      <c r="D92" s="1">
        <v>35844</v>
      </c>
      <c r="E92">
        <v>2</v>
      </c>
      <c r="F92">
        <v>1</v>
      </c>
      <c r="G92" t="s">
        <v>282</v>
      </c>
      <c r="H92">
        <v>2</v>
      </c>
    </row>
    <row r="93" spans="1:8" x14ac:dyDescent="0.25">
      <c r="A93" t="s">
        <v>283</v>
      </c>
      <c r="B93" t="s">
        <v>284</v>
      </c>
      <c r="C93" t="s">
        <v>14</v>
      </c>
      <c r="D93" s="1">
        <v>39160</v>
      </c>
      <c r="E93">
        <v>10</v>
      </c>
      <c r="F93">
        <v>1</v>
      </c>
      <c r="G93" t="s">
        <v>285</v>
      </c>
      <c r="H93">
        <v>10</v>
      </c>
    </row>
    <row r="94" spans="1:8" x14ac:dyDescent="0.25">
      <c r="A94" t="s">
        <v>286</v>
      </c>
      <c r="B94" t="s">
        <v>287</v>
      </c>
      <c r="C94" t="s">
        <v>14</v>
      </c>
      <c r="D94" s="1">
        <v>44453</v>
      </c>
      <c r="E94">
        <v>10</v>
      </c>
      <c r="F94">
        <v>1</v>
      </c>
      <c r="G94" t="s">
        <v>288</v>
      </c>
      <c r="H94">
        <v>10</v>
      </c>
    </row>
    <row r="95" spans="1:8" x14ac:dyDescent="0.25">
      <c r="A95" t="s">
        <v>289</v>
      </c>
      <c r="B95" t="s">
        <v>290</v>
      </c>
      <c r="C95" t="s">
        <v>14</v>
      </c>
      <c r="D95" s="1">
        <v>34738</v>
      </c>
      <c r="E95">
        <v>2</v>
      </c>
      <c r="F95">
        <v>1</v>
      </c>
      <c r="G95" t="s">
        <v>291</v>
      </c>
      <c r="H95">
        <v>2</v>
      </c>
    </row>
    <row r="96" spans="1:8" x14ac:dyDescent="0.25">
      <c r="A96" t="s">
        <v>292</v>
      </c>
      <c r="B96" t="s">
        <v>293</v>
      </c>
      <c r="C96" t="s">
        <v>14</v>
      </c>
      <c r="D96" s="1">
        <v>45240</v>
      </c>
      <c r="E96">
        <v>2</v>
      </c>
      <c r="F96">
        <v>1</v>
      </c>
      <c r="G96" t="s">
        <v>294</v>
      </c>
      <c r="H96">
        <v>2</v>
      </c>
    </row>
    <row r="97" spans="1:8" x14ac:dyDescent="0.25">
      <c r="A97" t="s">
        <v>295</v>
      </c>
      <c r="B97" t="s">
        <v>296</v>
      </c>
      <c r="C97" t="s">
        <v>14</v>
      </c>
      <c r="D97" s="1">
        <v>42006</v>
      </c>
      <c r="E97">
        <v>1</v>
      </c>
      <c r="F97">
        <v>1</v>
      </c>
      <c r="G97" t="s">
        <v>297</v>
      </c>
      <c r="H97">
        <v>1</v>
      </c>
    </row>
    <row r="98" spans="1:8" x14ac:dyDescent="0.25">
      <c r="A98" t="s">
        <v>298</v>
      </c>
      <c r="B98" t="s">
        <v>299</v>
      </c>
      <c r="C98" t="s">
        <v>14</v>
      </c>
      <c r="D98" s="1">
        <v>44544</v>
      </c>
      <c r="E98">
        <v>5</v>
      </c>
      <c r="F98">
        <v>1</v>
      </c>
      <c r="G98" t="s">
        <v>300</v>
      </c>
      <c r="H98">
        <v>5</v>
      </c>
    </row>
    <row r="99" spans="1:8" x14ac:dyDescent="0.25">
      <c r="A99" t="s">
        <v>301</v>
      </c>
      <c r="B99" t="s">
        <v>302</v>
      </c>
      <c r="C99" t="s">
        <v>14</v>
      </c>
      <c r="D99" s="1">
        <v>38987</v>
      </c>
      <c r="E99">
        <v>2</v>
      </c>
      <c r="F99">
        <v>1</v>
      </c>
      <c r="G99" t="s">
        <v>303</v>
      </c>
      <c r="H99">
        <v>2</v>
      </c>
    </row>
    <row r="100" spans="1:8" x14ac:dyDescent="0.25">
      <c r="A100" t="s">
        <v>304</v>
      </c>
      <c r="B100" t="s">
        <v>305</v>
      </c>
      <c r="C100" t="s">
        <v>14</v>
      </c>
      <c r="D100" s="1">
        <v>38120</v>
      </c>
      <c r="E100">
        <v>10</v>
      </c>
      <c r="F100">
        <v>1</v>
      </c>
      <c r="G100" t="s">
        <v>306</v>
      </c>
      <c r="H100">
        <v>10</v>
      </c>
    </row>
    <row r="101" spans="1:8" x14ac:dyDescent="0.25">
      <c r="A101" t="s">
        <v>307</v>
      </c>
      <c r="B101" t="s">
        <v>308</v>
      </c>
      <c r="C101" t="s">
        <v>14</v>
      </c>
      <c r="D101" s="1">
        <v>35004</v>
      </c>
      <c r="E101">
        <v>2</v>
      </c>
      <c r="F101">
        <v>1</v>
      </c>
      <c r="G101" t="s">
        <v>309</v>
      </c>
      <c r="H101">
        <v>2</v>
      </c>
    </row>
    <row r="102" spans="1:8" x14ac:dyDescent="0.25">
      <c r="A102" t="s">
        <v>310</v>
      </c>
      <c r="B102" t="s">
        <v>311</v>
      </c>
      <c r="C102" t="s">
        <v>14</v>
      </c>
      <c r="D102" s="1">
        <v>44109</v>
      </c>
      <c r="E102">
        <v>10</v>
      </c>
      <c r="F102">
        <v>1</v>
      </c>
      <c r="G102" t="s">
        <v>312</v>
      </c>
      <c r="H102">
        <v>10</v>
      </c>
    </row>
    <row r="103" spans="1:8" x14ac:dyDescent="0.25">
      <c r="A103" t="s">
        <v>313</v>
      </c>
      <c r="B103" t="s">
        <v>314</v>
      </c>
      <c r="C103" t="s">
        <v>14</v>
      </c>
      <c r="D103" s="1">
        <v>39589</v>
      </c>
      <c r="E103">
        <v>10</v>
      </c>
      <c r="F103">
        <v>1</v>
      </c>
      <c r="G103" t="s">
        <v>315</v>
      </c>
      <c r="H103">
        <v>10</v>
      </c>
    </row>
    <row r="104" spans="1:8" x14ac:dyDescent="0.25">
      <c r="A104" t="s">
        <v>316</v>
      </c>
      <c r="B104" t="s">
        <v>317</v>
      </c>
      <c r="C104" t="s">
        <v>10</v>
      </c>
      <c r="D104" s="1">
        <v>41347</v>
      </c>
      <c r="E104">
        <v>10</v>
      </c>
      <c r="F104">
        <v>1</v>
      </c>
      <c r="G104" t="s">
        <v>318</v>
      </c>
      <c r="H104">
        <v>10</v>
      </c>
    </row>
    <row r="105" spans="1:8" x14ac:dyDescent="0.25">
      <c r="A105" t="s">
        <v>319</v>
      </c>
      <c r="B105" t="s">
        <v>320</v>
      </c>
      <c r="C105" t="s">
        <v>14</v>
      </c>
      <c r="D105" s="1">
        <v>44351</v>
      </c>
      <c r="E105">
        <v>10</v>
      </c>
      <c r="F105">
        <v>1</v>
      </c>
      <c r="G105" t="s">
        <v>321</v>
      </c>
      <c r="H105">
        <v>10</v>
      </c>
    </row>
    <row r="106" spans="1:8" x14ac:dyDescent="0.25">
      <c r="A106" t="s">
        <v>322</v>
      </c>
      <c r="B106" t="s">
        <v>323</v>
      </c>
      <c r="C106" t="s">
        <v>10</v>
      </c>
      <c r="D106" s="1">
        <v>35795</v>
      </c>
      <c r="E106">
        <v>1</v>
      </c>
      <c r="F106">
        <v>1</v>
      </c>
      <c r="G106" t="s">
        <v>324</v>
      </c>
      <c r="H106">
        <v>1</v>
      </c>
    </row>
    <row r="107" spans="1:8" x14ac:dyDescent="0.25">
      <c r="A107" t="s">
        <v>325</v>
      </c>
      <c r="B107" t="s">
        <v>326</v>
      </c>
      <c r="C107" t="s">
        <v>14</v>
      </c>
      <c r="D107" s="1">
        <v>43525</v>
      </c>
      <c r="E107">
        <v>10</v>
      </c>
      <c r="F107">
        <v>1</v>
      </c>
      <c r="G107" t="s">
        <v>327</v>
      </c>
      <c r="H107">
        <v>10</v>
      </c>
    </row>
    <row r="108" spans="1:8" x14ac:dyDescent="0.25">
      <c r="A108" t="s">
        <v>328</v>
      </c>
      <c r="B108" t="s">
        <v>329</v>
      </c>
      <c r="C108" t="s">
        <v>14</v>
      </c>
      <c r="D108" s="1">
        <v>44279</v>
      </c>
      <c r="E108">
        <v>10</v>
      </c>
      <c r="F108">
        <v>1</v>
      </c>
      <c r="G108" t="s">
        <v>330</v>
      </c>
      <c r="H108">
        <v>10</v>
      </c>
    </row>
    <row r="109" spans="1:8" x14ac:dyDescent="0.25">
      <c r="A109" t="s">
        <v>331</v>
      </c>
      <c r="B109" t="s">
        <v>332</v>
      </c>
      <c r="C109" t="s">
        <v>14</v>
      </c>
      <c r="D109" s="1">
        <v>38180</v>
      </c>
      <c r="E109">
        <v>10</v>
      </c>
      <c r="F109">
        <v>1</v>
      </c>
      <c r="G109" t="s">
        <v>333</v>
      </c>
      <c r="H109">
        <v>10</v>
      </c>
    </row>
    <row r="110" spans="1:8" x14ac:dyDescent="0.25">
      <c r="A110" t="s">
        <v>334</v>
      </c>
      <c r="B110" t="s">
        <v>335</v>
      </c>
      <c r="C110" t="s">
        <v>14</v>
      </c>
      <c r="D110" s="1">
        <v>42835</v>
      </c>
      <c r="E110">
        <v>10</v>
      </c>
      <c r="F110">
        <v>1</v>
      </c>
      <c r="G110" t="s">
        <v>336</v>
      </c>
      <c r="H110">
        <v>10</v>
      </c>
    </row>
    <row r="111" spans="1:8" x14ac:dyDescent="0.25">
      <c r="A111" t="s">
        <v>337</v>
      </c>
      <c r="B111" t="s">
        <v>338</v>
      </c>
      <c r="C111" t="s">
        <v>14</v>
      </c>
      <c r="D111" s="1">
        <v>34948</v>
      </c>
      <c r="E111">
        <v>2</v>
      </c>
      <c r="F111">
        <v>1</v>
      </c>
      <c r="G111" t="s">
        <v>339</v>
      </c>
      <c r="H111">
        <v>2</v>
      </c>
    </row>
    <row r="112" spans="1:8" x14ac:dyDescent="0.25">
      <c r="A112" t="s">
        <v>340</v>
      </c>
      <c r="B112" t="s">
        <v>341</v>
      </c>
      <c r="C112" t="s">
        <v>14</v>
      </c>
      <c r="D112" s="1">
        <v>42982</v>
      </c>
      <c r="E112">
        <v>10</v>
      </c>
      <c r="F112">
        <v>1</v>
      </c>
      <c r="G112" t="s">
        <v>342</v>
      </c>
      <c r="H112">
        <v>10</v>
      </c>
    </row>
    <row r="113" spans="1:8" x14ac:dyDescent="0.25">
      <c r="A113" t="s">
        <v>343</v>
      </c>
      <c r="B113" t="s">
        <v>344</v>
      </c>
      <c r="C113" t="s">
        <v>14</v>
      </c>
      <c r="D113" s="1">
        <v>40891</v>
      </c>
      <c r="E113">
        <v>2</v>
      </c>
      <c r="F113">
        <v>1</v>
      </c>
      <c r="G113" t="s">
        <v>345</v>
      </c>
      <c r="H113">
        <v>2</v>
      </c>
    </row>
    <row r="114" spans="1:8" x14ac:dyDescent="0.25">
      <c r="A114" t="s">
        <v>346</v>
      </c>
      <c r="B114" t="s">
        <v>347</v>
      </c>
      <c r="C114" t="s">
        <v>14</v>
      </c>
      <c r="D114" s="1">
        <v>40806</v>
      </c>
      <c r="E114">
        <v>2</v>
      </c>
      <c r="F114">
        <v>1</v>
      </c>
      <c r="G114" t="s">
        <v>348</v>
      </c>
      <c r="H114">
        <v>2</v>
      </c>
    </row>
    <row r="115" spans="1:8" x14ac:dyDescent="0.25">
      <c r="A115" t="s">
        <v>349</v>
      </c>
      <c r="B115" t="s">
        <v>350</v>
      </c>
      <c r="C115" t="s">
        <v>14</v>
      </c>
      <c r="D115" s="1">
        <v>43122</v>
      </c>
      <c r="E115">
        <v>1</v>
      </c>
      <c r="F115">
        <v>1</v>
      </c>
      <c r="G115" t="s">
        <v>351</v>
      </c>
      <c r="H115">
        <v>1</v>
      </c>
    </row>
    <row r="116" spans="1:8" x14ac:dyDescent="0.25">
      <c r="A116" t="s">
        <v>352</v>
      </c>
      <c r="B116" t="s">
        <v>353</v>
      </c>
      <c r="C116" t="s">
        <v>14</v>
      </c>
      <c r="D116" s="1">
        <v>35074</v>
      </c>
      <c r="E116">
        <v>5</v>
      </c>
      <c r="F116">
        <v>1</v>
      </c>
      <c r="G116" t="s">
        <v>354</v>
      </c>
      <c r="H116">
        <v>5</v>
      </c>
    </row>
    <row r="117" spans="1:8" x14ac:dyDescent="0.25">
      <c r="A117" t="s">
        <v>355</v>
      </c>
      <c r="B117" t="s">
        <v>356</v>
      </c>
      <c r="C117" t="s">
        <v>14</v>
      </c>
      <c r="D117" s="1">
        <v>43780</v>
      </c>
      <c r="E117">
        <v>10</v>
      </c>
      <c r="F117">
        <v>1</v>
      </c>
      <c r="G117" t="s">
        <v>357</v>
      </c>
      <c r="H117">
        <v>10</v>
      </c>
    </row>
    <row r="118" spans="1:8" x14ac:dyDescent="0.25">
      <c r="A118" t="s">
        <v>358</v>
      </c>
      <c r="B118" t="s">
        <v>359</v>
      </c>
      <c r="C118" t="s">
        <v>14</v>
      </c>
      <c r="D118" s="1">
        <v>34850</v>
      </c>
      <c r="E118">
        <v>1</v>
      </c>
      <c r="F118">
        <v>1</v>
      </c>
      <c r="G118" t="s">
        <v>360</v>
      </c>
      <c r="H118">
        <v>1</v>
      </c>
    </row>
    <row r="119" spans="1:8" x14ac:dyDescent="0.25">
      <c r="A119" t="s">
        <v>361</v>
      </c>
      <c r="B119" t="s">
        <v>362</v>
      </c>
      <c r="C119" t="s">
        <v>14</v>
      </c>
      <c r="D119" s="1">
        <v>42032</v>
      </c>
      <c r="E119">
        <v>5</v>
      </c>
      <c r="F119">
        <v>1</v>
      </c>
      <c r="G119" t="s">
        <v>363</v>
      </c>
      <c r="H119">
        <v>5</v>
      </c>
    </row>
    <row r="120" spans="1:8" x14ac:dyDescent="0.25">
      <c r="A120" t="s">
        <v>364</v>
      </c>
      <c r="B120" t="s">
        <v>365</v>
      </c>
      <c r="C120" t="s">
        <v>14</v>
      </c>
      <c r="D120" s="1">
        <v>37526</v>
      </c>
      <c r="E120">
        <v>10</v>
      </c>
      <c r="F120">
        <v>1</v>
      </c>
      <c r="G120" t="s">
        <v>366</v>
      </c>
      <c r="H120">
        <v>10</v>
      </c>
    </row>
    <row r="121" spans="1:8" x14ac:dyDescent="0.25">
      <c r="A121" t="s">
        <v>367</v>
      </c>
      <c r="B121" t="s">
        <v>368</v>
      </c>
      <c r="C121" t="s">
        <v>14</v>
      </c>
      <c r="D121" s="1">
        <v>44432</v>
      </c>
      <c r="E121">
        <v>2</v>
      </c>
      <c r="F121">
        <v>1</v>
      </c>
      <c r="G121" t="s">
        <v>369</v>
      </c>
      <c r="H121">
        <v>2</v>
      </c>
    </row>
    <row r="122" spans="1:8" x14ac:dyDescent="0.25">
      <c r="A122" t="s">
        <v>370</v>
      </c>
      <c r="B122" t="s">
        <v>371</v>
      </c>
      <c r="C122" t="s">
        <v>10</v>
      </c>
      <c r="D122" s="1">
        <v>39633</v>
      </c>
      <c r="E122">
        <v>10</v>
      </c>
      <c r="F122">
        <v>1</v>
      </c>
      <c r="G122" t="s">
        <v>372</v>
      </c>
      <c r="H122">
        <v>10</v>
      </c>
    </row>
    <row r="123" spans="1:8" x14ac:dyDescent="0.25">
      <c r="A123" t="s">
        <v>373</v>
      </c>
      <c r="B123" t="s">
        <v>374</v>
      </c>
      <c r="C123" t="s">
        <v>14</v>
      </c>
      <c r="D123" s="1">
        <v>36040</v>
      </c>
      <c r="E123">
        <v>2</v>
      </c>
      <c r="F123">
        <v>1</v>
      </c>
      <c r="G123" t="s">
        <v>375</v>
      </c>
      <c r="H123">
        <v>2</v>
      </c>
    </row>
    <row r="124" spans="1:8" x14ac:dyDescent="0.25">
      <c r="A124" t="s">
        <v>376</v>
      </c>
      <c r="B124" t="s">
        <v>377</v>
      </c>
      <c r="C124" t="s">
        <v>14</v>
      </c>
      <c r="D124" s="1">
        <v>37869</v>
      </c>
      <c r="E124">
        <v>1</v>
      </c>
      <c r="F124">
        <v>1</v>
      </c>
      <c r="G124" t="s">
        <v>378</v>
      </c>
      <c r="H124">
        <v>1</v>
      </c>
    </row>
    <row r="125" spans="1:8" x14ac:dyDescent="0.25">
      <c r="A125" t="s">
        <v>379</v>
      </c>
      <c r="B125" t="s">
        <v>380</v>
      </c>
      <c r="C125" t="s">
        <v>10</v>
      </c>
      <c r="D125" s="1">
        <v>34990</v>
      </c>
      <c r="E125">
        <v>10</v>
      </c>
      <c r="F125">
        <v>1</v>
      </c>
      <c r="G125" t="s">
        <v>381</v>
      </c>
      <c r="H125">
        <v>10</v>
      </c>
    </row>
    <row r="126" spans="1:8" x14ac:dyDescent="0.25">
      <c r="A126" t="s">
        <v>382</v>
      </c>
      <c r="B126" t="s">
        <v>383</v>
      </c>
      <c r="C126" t="s">
        <v>14</v>
      </c>
      <c r="D126" s="1">
        <v>39458</v>
      </c>
      <c r="E126">
        <v>10</v>
      </c>
      <c r="F126">
        <v>1</v>
      </c>
      <c r="G126" t="s">
        <v>384</v>
      </c>
      <c r="H126">
        <v>10</v>
      </c>
    </row>
    <row r="127" spans="1:8" x14ac:dyDescent="0.25">
      <c r="A127" t="s">
        <v>385</v>
      </c>
      <c r="B127" t="s">
        <v>386</v>
      </c>
      <c r="C127" t="s">
        <v>14</v>
      </c>
      <c r="D127" s="1">
        <v>44362</v>
      </c>
      <c r="E127">
        <v>1</v>
      </c>
      <c r="F127">
        <v>1</v>
      </c>
      <c r="G127" t="s">
        <v>387</v>
      </c>
      <c r="H127">
        <v>1</v>
      </c>
    </row>
    <row r="128" spans="1:8" x14ac:dyDescent="0.25">
      <c r="A128" t="s">
        <v>388</v>
      </c>
      <c r="B128" t="s">
        <v>389</v>
      </c>
      <c r="C128" t="s">
        <v>14</v>
      </c>
      <c r="D128" s="1">
        <v>42822</v>
      </c>
      <c r="E128">
        <v>10</v>
      </c>
      <c r="F128">
        <v>1</v>
      </c>
      <c r="G128" t="s">
        <v>390</v>
      </c>
      <c r="H128">
        <v>10</v>
      </c>
    </row>
    <row r="129" spans="1:8" x14ac:dyDescent="0.25">
      <c r="A129" t="s">
        <v>391</v>
      </c>
      <c r="B129" t="s">
        <v>392</v>
      </c>
      <c r="C129" t="s">
        <v>14</v>
      </c>
      <c r="D129" s="1">
        <v>42535</v>
      </c>
      <c r="E129">
        <v>10</v>
      </c>
      <c r="F129">
        <v>1</v>
      </c>
      <c r="G129" t="s">
        <v>393</v>
      </c>
      <c r="H129">
        <v>10</v>
      </c>
    </row>
    <row r="130" spans="1:8" x14ac:dyDescent="0.25">
      <c r="A130" t="s">
        <v>394</v>
      </c>
      <c r="B130" t="s">
        <v>395</v>
      </c>
      <c r="C130" t="s">
        <v>10</v>
      </c>
      <c r="D130" s="1">
        <v>39196</v>
      </c>
      <c r="E130">
        <v>10</v>
      </c>
      <c r="F130">
        <v>1</v>
      </c>
      <c r="G130" t="s">
        <v>396</v>
      </c>
      <c r="H130">
        <v>10</v>
      </c>
    </row>
    <row r="131" spans="1:8" x14ac:dyDescent="0.25">
      <c r="A131" t="s">
        <v>397</v>
      </c>
      <c r="B131" t="s">
        <v>398</v>
      </c>
      <c r="C131" t="s">
        <v>14</v>
      </c>
      <c r="D131" s="1">
        <v>42145</v>
      </c>
      <c r="E131">
        <v>10</v>
      </c>
      <c r="F131">
        <v>1</v>
      </c>
      <c r="G131" t="s">
        <v>399</v>
      </c>
      <c r="H131">
        <v>10</v>
      </c>
    </row>
    <row r="132" spans="1:8" x14ac:dyDescent="0.25">
      <c r="A132" t="s">
        <v>400</v>
      </c>
      <c r="B132" t="s">
        <v>401</v>
      </c>
      <c r="C132" t="s">
        <v>14</v>
      </c>
      <c r="D132" s="1">
        <v>40161</v>
      </c>
      <c r="E132">
        <v>2</v>
      </c>
      <c r="F132">
        <v>1</v>
      </c>
      <c r="G132" t="s">
        <v>402</v>
      </c>
      <c r="H132">
        <v>2</v>
      </c>
    </row>
    <row r="133" spans="1:8" x14ac:dyDescent="0.25">
      <c r="A133" t="s">
        <v>403</v>
      </c>
      <c r="B133" t="s">
        <v>404</v>
      </c>
      <c r="C133" t="s">
        <v>10</v>
      </c>
      <c r="D133" s="1">
        <v>40240</v>
      </c>
      <c r="E133">
        <v>10</v>
      </c>
      <c r="F133">
        <v>1</v>
      </c>
      <c r="G133" t="s">
        <v>405</v>
      </c>
      <c r="H133">
        <v>10</v>
      </c>
    </row>
    <row r="134" spans="1:8" x14ac:dyDescent="0.25">
      <c r="A134" t="s">
        <v>406</v>
      </c>
      <c r="B134" t="s">
        <v>407</v>
      </c>
      <c r="C134" t="s">
        <v>14</v>
      </c>
      <c r="D134" s="1">
        <v>43853</v>
      </c>
      <c r="E134">
        <v>1</v>
      </c>
      <c r="F134">
        <v>1</v>
      </c>
      <c r="G134" t="s">
        <v>408</v>
      </c>
      <c r="H134">
        <v>1</v>
      </c>
    </row>
    <row r="135" spans="1:8" x14ac:dyDescent="0.25">
      <c r="A135" t="s">
        <v>409</v>
      </c>
      <c r="B135" t="s">
        <v>410</v>
      </c>
      <c r="C135" t="s">
        <v>14</v>
      </c>
      <c r="D135" s="1">
        <v>44487</v>
      </c>
      <c r="E135">
        <v>10</v>
      </c>
      <c r="F135">
        <v>1</v>
      </c>
      <c r="G135" t="s">
        <v>411</v>
      </c>
      <c r="H135">
        <v>10</v>
      </c>
    </row>
    <row r="136" spans="1:8" x14ac:dyDescent="0.25">
      <c r="A136" t="s">
        <v>412</v>
      </c>
      <c r="B136" t="s">
        <v>413</v>
      </c>
      <c r="C136" t="s">
        <v>14</v>
      </c>
      <c r="D136" s="1">
        <v>44277</v>
      </c>
      <c r="E136">
        <v>10</v>
      </c>
      <c r="F136">
        <v>1</v>
      </c>
      <c r="G136" t="s">
        <v>414</v>
      </c>
      <c r="H136">
        <v>10</v>
      </c>
    </row>
    <row r="137" spans="1:8" x14ac:dyDescent="0.25">
      <c r="A137" t="s">
        <v>415</v>
      </c>
      <c r="B137" t="s">
        <v>416</v>
      </c>
      <c r="C137" t="s">
        <v>14</v>
      </c>
      <c r="D137" s="1">
        <v>34738</v>
      </c>
      <c r="E137">
        <v>10</v>
      </c>
      <c r="F137">
        <v>1</v>
      </c>
      <c r="G137" t="s">
        <v>417</v>
      </c>
      <c r="H137">
        <v>10</v>
      </c>
    </row>
    <row r="138" spans="1:8" x14ac:dyDescent="0.25">
      <c r="A138" t="s">
        <v>418</v>
      </c>
      <c r="B138" t="s">
        <v>419</v>
      </c>
      <c r="C138" t="s">
        <v>14</v>
      </c>
      <c r="D138" s="1">
        <v>43532</v>
      </c>
      <c r="E138">
        <v>4</v>
      </c>
      <c r="F138">
        <v>1</v>
      </c>
      <c r="G138" t="s">
        <v>420</v>
      </c>
      <c r="H138">
        <v>4</v>
      </c>
    </row>
    <row r="139" spans="1:8" x14ac:dyDescent="0.25">
      <c r="A139" t="s">
        <v>421</v>
      </c>
      <c r="B139" t="s">
        <v>422</v>
      </c>
      <c r="C139" t="s">
        <v>14</v>
      </c>
      <c r="D139" s="1">
        <v>42242</v>
      </c>
      <c r="E139">
        <v>10</v>
      </c>
      <c r="F139">
        <v>1</v>
      </c>
      <c r="G139" t="s">
        <v>423</v>
      </c>
      <c r="H139">
        <v>10</v>
      </c>
    </row>
    <row r="140" spans="1:8" x14ac:dyDescent="0.25">
      <c r="A140" t="s">
        <v>424</v>
      </c>
      <c r="B140" t="s">
        <v>425</v>
      </c>
      <c r="C140" t="s">
        <v>14</v>
      </c>
      <c r="D140" s="1">
        <v>35872</v>
      </c>
      <c r="E140">
        <v>1</v>
      </c>
      <c r="F140">
        <v>1</v>
      </c>
      <c r="G140" t="s">
        <v>426</v>
      </c>
      <c r="H140">
        <v>1</v>
      </c>
    </row>
    <row r="141" spans="1:8" x14ac:dyDescent="0.25">
      <c r="A141" t="s">
        <v>427</v>
      </c>
      <c r="B141" t="s">
        <v>428</v>
      </c>
      <c r="C141" t="s">
        <v>14</v>
      </c>
      <c r="D141" s="1">
        <v>40784</v>
      </c>
      <c r="E141">
        <v>10</v>
      </c>
      <c r="F141">
        <v>1</v>
      </c>
      <c r="G141" t="s">
        <v>429</v>
      </c>
      <c r="H141">
        <v>10</v>
      </c>
    </row>
    <row r="142" spans="1:8" x14ac:dyDescent="0.25">
      <c r="A142" t="s">
        <v>430</v>
      </c>
      <c r="B142" t="s">
        <v>431</v>
      </c>
      <c r="C142" t="s">
        <v>14</v>
      </c>
      <c r="D142" s="1">
        <v>37327</v>
      </c>
      <c r="E142">
        <v>10</v>
      </c>
      <c r="F142">
        <v>1</v>
      </c>
      <c r="G142" t="s">
        <v>432</v>
      </c>
      <c r="H142">
        <v>10</v>
      </c>
    </row>
    <row r="143" spans="1:8" x14ac:dyDescent="0.25">
      <c r="A143" t="s">
        <v>433</v>
      </c>
      <c r="B143" t="s">
        <v>434</v>
      </c>
      <c r="C143" t="s">
        <v>14</v>
      </c>
      <c r="D143" s="1">
        <v>43873</v>
      </c>
      <c r="E143">
        <v>10</v>
      </c>
      <c r="F143">
        <v>1</v>
      </c>
      <c r="G143" t="s">
        <v>435</v>
      </c>
      <c r="H143">
        <v>10</v>
      </c>
    </row>
    <row r="144" spans="1:8" x14ac:dyDescent="0.25">
      <c r="A144" t="s">
        <v>436</v>
      </c>
      <c r="B144" t="s">
        <v>437</v>
      </c>
      <c r="C144" t="s">
        <v>10</v>
      </c>
      <c r="D144" s="1">
        <v>34962</v>
      </c>
      <c r="E144">
        <v>2</v>
      </c>
      <c r="F144">
        <v>1</v>
      </c>
      <c r="G144" t="s">
        <v>438</v>
      </c>
      <c r="H144">
        <v>2</v>
      </c>
    </row>
    <row r="145" spans="1:8" x14ac:dyDescent="0.25">
      <c r="A145" t="s">
        <v>439</v>
      </c>
      <c r="B145" t="s">
        <v>440</v>
      </c>
      <c r="C145" t="s">
        <v>14</v>
      </c>
      <c r="D145" s="1">
        <v>40723</v>
      </c>
      <c r="E145">
        <v>2</v>
      </c>
      <c r="F145">
        <v>1</v>
      </c>
      <c r="G145" t="s">
        <v>441</v>
      </c>
      <c r="H145">
        <v>2</v>
      </c>
    </row>
    <row r="146" spans="1:8" x14ac:dyDescent="0.25">
      <c r="A146" t="s">
        <v>442</v>
      </c>
      <c r="B146" t="s">
        <v>443</v>
      </c>
      <c r="C146" t="s">
        <v>14</v>
      </c>
      <c r="D146" s="1">
        <v>34907</v>
      </c>
      <c r="E146">
        <v>10</v>
      </c>
      <c r="F146">
        <v>1</v>
      </c>
      <c r="G146" t="s">
        <v>444</v>
      </c>
      <c r="H146">
        <v>10</v>
      </c>
    </row>
    <row r="147" spans="1:8" x14ac:dyDescent="0.25">
      <c r="A147" t="s">
        <v>445</v>
      </c>
      <c r="B147" t="s">
        <v>446</v>
      </c>
      <c r="C147" t="s">
        <v>14</v>
      </c>
      <c r="D147" s="1">
        <v>40465</v>
      </c>
      <c r="E147">
        <v>5</v>
      </c>
      <c r="F147">
        <v>1</v>
      </c>
      <c r="G147" t="s">
        <v>447</v>
      </c>
      <c r="H147">
        <v>5</v>
      </c>
    </row>
    <row r="148" spans="1:8" x14ac:dyDescent="0.25">
      <c r="A148" t="s">
        <v>448</v>
      </c>
      <c r="B148" t="s">
        <v>449</v>
      </c>
      <c r="C148" t="s">
        <v>14</v>
      </c>
      <c r="D148" s="1">
        <v>45104</v>
      </c>
      <c r="E148">
        <v>10</v>
      </c>
      <c r="F148">
        <v>1</v>
      </c>
      <c r="G148" t="s">
        <v>450</v>
      </c>
      <c r="H148">
        <v>10</v>
      </c>
    </row>
    <row r="149" spans="1:8" x14ac:dyDescent="0.25">
      <c r="A149" t="s">
        <v>451</v>
      </c>
      <c r="B149" t="s">
        <v>452</v>
      </c>
      <c r="C149" t="s">
        <v>14</v>
      </c>
      <c r="D149" s="1">
        <v>34844</v>
      </c>
      <c r="E149">
        <v>1</v>
      </c>
      <c r="F149">
        <v>1</v>
      </c>
      <c r="G149" t="s">
        <v>453</v>
      </c>
      <c r="H149">
        <v>1</v>
      </c>
    </row>
    <row r="150" spans="1:8" x14ac:dyDescent="0.25">
      <c r="A150" t="s">
        <v>454</v>
      </c>
      <c r="B150" t="s">
        <v>455</v>
      </c>
      <c r="C150" t="s">
        <v>14</v>
      </c>
      <c r="D150" s="1">
        <v>44539</v>
      </c>
      <c r="E150">
        <v>10</v>
      </c>
      <c r="F150">
        <v>1</v>
      </c>
      <c r="G150" t="s">
        <v>456</v>
      </c>
      <c r="H150">
        <v>10</v>
      </c>
    </row>
    <row r="151" spans="1:8" x14ac:dyDescent="0.25">
      <c r="A151" t="s">
        <v>457</v>
      </c>
      <c r="B151" t="s">
        <v>458</v>
      </c>
      <c r="C151" t="s">
        <v>14</v>
      </c>
      <c r="D151" s="1">
        <v>40275</v>
      </c>
      <c r="E151">
        <v>10</v>
      </c>
      <c r="F151">
        <v>1</v>
      </c>
      <c r="G151" t="s">
        <v>459</v>
      </c>
      <c r="H151">
        <v>10</v>
      </c>
    </row>
    <row r="152" spans="1:8" x14ac:dyDescent="0.25">
      <c r="A152" t="s">
        <v>460</v>
      </c>
      <c r="B152" t="s">
        <v>461</v>
      </c>
      <c r="C152" t="s">
        <v>14</v>
      </c>
      <c r="D152" s="1">
        <v>34850</v>
      </c>
      <c r="E152">
        <v>1</v>
      </c>
      <c r="F152">
        <v>1</v>
      </c>
      <c r="G152" t="s">
        <v>462</v>
      </c>
      <c r="H152">
        <v>1</v>
      </c>
    </row>
    <row r="153" spans="1:8" x14ac:dyDescent="0.25">
      <c r="A153" t="s">
        <v>463</v>
      </c>
      <c r="B153" t="s">
        <v>464</v>
      </c>
      <c r="C153" t="s">
        <v>14</v>
      </c>
      <c r="D153" s="1">
        <v>39317</v>
      </c>
      <c r="E153">
        <v>10</v>
      </c>
      <c r="F153">
        <v>1</v>
      </c>
      <c r="G153" t="s">
        <v>465</v>
      </c>
      <c r="H153">
        <v>10</v>
      </c>
    </row>
    <row r="154" spans="1:8" x14ac:dyDescent="0.25">
      <c r="A154" t="s">
        <v>466</v>
      </c>
      <c r="B154" t="s">
        <v>467</v>
      </c>
      <c r="C154" t="s">
        <v>10</v>
      </c>
      <c r="D154" s="1">
        <v>44966</v>
      </c>
      <c r="E154">
        <v>1</v>
      </c>
      <c r="F154">
        <v>1</v>
      </c>
      <c r="G154" t="s">
        <v>468</v>
      </c>
      <c r="H154">
        <v>1</v>
      </c>
    </row>
    <row r="155" spans="1:8" x14ac:dyDescent="0.25">
      <c r="A155" t="s">
        <v>469</v>
      </c>
      <c r="B155" t="s">
        <v>470</v>
      </c>
      <c r="C155" t="s">
        <v>14</v>
      </c>
      <c r="D155" s="1">
        <v>42535</v>
      </c>
      <c r="E155">
        <v>10</v>
      </c>
      <c r="F155">
        <v>1</v>
      </c>
      <c r="G155" t="s">
        <v>471</v>
      </c>
      <c r="H155">
        <v>10</v>
      </c>
    </row>
    <row r="156" spans="1:8" x14ac:dyDescent="0.25">
      <c r="A156" t="s">
        <v>472</v>
      </c>
      <c r="B156" t="s">
        <v>473</v>
      </c>
      <c r="C156" t="s">
        <v>14</v>
      </c>
      <c r="D156" s="1">
        <v>40142</v>
      </c>
      <c r="E156">
        <v>10</v>
      </c>
      <c r="F156">
        <v>1</v>
      </c>
      <c r="G156" t="s">
        <v>474</v>
      </c>
      <c r="H156">
        <v>10</v>
      </c>
    </row>
    <row r="157" spans="1:8" x14ac:dyDescent="0.25">
      <c r="A157" t="s">
        <v>475</v>
      </c>
      <c r="B157" t="s">
        <v>476</v>
      </c>
      <c r="C157" t="s">
        <v>14</v>
      </c>
      <c r="D157" s="1">
        <v>43157</v>
      </c>
      <c r="E157">
        <v>10</v>
      </c>
      <c r="F157">
        <v>1</v>
      </c>
      <c r="G157" t="s">
        <v>477</v>
      </c>
      <c r="H157">
        <v>10</v>
      </c>
    </row>
    <row r="158" spans="1:8" x14ac:dyDescent="0.25">
      <c r="A158" t="s">
        <v>478</v>
      </c>
      <c r="B158" t="s">
        <v>479</v>
      </c>
      <c r="C158" t="s">
        <v>14</v>
      </c>
      <c r="D158" s="1">
        <v>39161</v>
      </c>
      <c r="E158">
        <v>1</v>
      </c>
      <c r="F158">
        <v>1</v>
      </c>
      <c r="G158" t="s">
        <v>480</v>
      </c>
      <c r="H158">
        <v>1</v>
      </c>
    </row>
    <row r="159" spans="1:8" x14ac:dyDescent="0.25">
      <c r="A159" t="s">
        <v>481</v>
      </c>
      <c r="B159" t="s">
        <v>482</v>
      </c>
      <c r="C159" t="s">
        <v>14</v>
      </c>
      <c r="D159" s="1">
        <v>38292</v>
      </c>
      <c r="E159">
        <v>2</v>
      </c>
      <c r="F159">
        <v>1</v>
      </c>
      <c r="G159" t="s">
        <v>483</v>
      </c>
      <c r="H159">
        <v>2</v>
      </c>
    </row>
    <row r="160" spans="1:8" x14ac:dyDescent="0.25">
      <c r="A160" t="s">
        <v>484</v>
      </c>
      <c r="B160" t="s">
        <v>485</v>
      </c>
      <c r="C160" t="s">
        <v>14</v>
      </c>
      <c r="D160" s="1">
        <v>37015</v>
      </c>
      <c r="E160">
        <v>2</v>
      </c>
      <c r="F160">
        <v>1</v>
      </c>
      <c r="G160" t="s">
        <v>486</v>
      </c>
      <c r="H160">
        <v>2</v>
      </c>
    </row>
    <row r="161" spans="1:8" x14ac:dyDescent="0.25">
      <c r="A161" t="s">
        <v>487</v>
      </c>
      <c r="B161" t="s">
        <v>488</v>
      </c>
      <c r="C161" t="s">
        <v>10</v>
      </c>
      <c r="D161" s="1">
        <v>43098</v>
      </c>
      <c r="E161">
        <v>10</v>
      </c>
      <c r="F161">
        <v>1</v>
      </c>
      <c r="G161" t="s">
        <v>489</v>
      </c>
      <c r="H161">
        <v>10</v>
      </c>
    </row>
    <row r="162" spans="1:8" x14ac:dyDescent="0.25">
      <c r="A162" t="s">
        <v>490</v>
      </c>
      <c r="B162" t="s">
        <v>491</v>
      </c>
      <c r="C162" t="s">
        <v>10</v>
      </c>
      <c r="D162" s="1">
        <v>45058</v>
      </c>
      <c r="E162">
        <v>10</v>
      </c>
      <c r="F162">
        <v>1</v>
      </c>
      <c r="G162" t="s">
        <v>492</v>
      </c>
      <c r="H162">
        <v>10</v>
      </c>
    </row>
    <row r="163" spans="1:8" x14ac:dyDescent="0.25">
      <c r="A163" t="s">
        <v>493</v>
      </c>
      <c r="B163" t="s">
        <v>494</v>
      </c>
      <c r="C163" t="s">
        <v>14</v>
      </c>
      <c r="D163" s="1">
        <v>45056</v>
      </c>
      <c r="E163">
        <v>10</v>
      </c>
      <c r="F163">
        <v>1</v>
      </c>
      <c r="G163" t="s">
        <v>495</v>
      </c>
      <c r="H163">
        <v>10</v>
      </c>
    </row>
    <row r="164" spans="1:8" x14ac:dyDescent="0.25">
      <c r="A164" t="s">
        <v>496</v>
      </c>
      <c r="B164" t="s">
        <v>497</v>
      </c>
      <c r="C164" t="s">
        <v>14</v>
      </c>
      <c r="D164" s="1">
        <v>37596</v>
      </c>
      <c r="E164">
        <v>10</v>
      </c>
      <c r="F164">
        <v>1</v>
      </c>
      <c r="G164" t="s">
        <v>498</v>
      </c>
      <c r="H164">
        <v>10</v>
      </c>
    </row>
    <row r="165" spans="1:8" x14ac:dyDescent="0.25">
      <c r="A165" t="s">
        <v>499</v>
      </c>
      <c r="B165" t="s">
        <v>500</v>
      </c>
      <c r="C165" t="s">
        <v>14</v>
      </c>
      <c r="D165" s="1">
        <v>43409</v>
      </c>
      <c r="E165">
        <v>1</v>
      </c>
      <c r="F165">
        <v>1</v>
      </c>
      <c r="G165" t="s">
        <v>501</v>
      </c>
      <c r="H165">
        <v>1</v>
      </c>
    </row>
    <row r="166" spans="1:8" x14ac:dyDescent="0.25">
      <c r="A166" t="s">
        <v>502</v>
      </c>
      <c r="B166" t="s">
        <v>503</v>
      </c>
      <c r="C166" t="s">
        <v>14</v>
      </c>
      <c r="D166" s="1">
        <v>45148</v>
      </c>
      <c r="E166">
        <v>2</v>
      </c>
      <c r="F166">
        <v>1</v>
      </c>
      <c r="G166" t="s">
        <v>504</v>
      </c>
      <c r="H166">
        <v>2</v>
      </c>
    </row>
    <row r="167" spans="1:8" x14ac:dyDescent="0.25">
      <c r="A167" t="s">
        <v>505</v>
      </c>
      <c r="B167" t="s">
        <v>506</v>
      </c>
      <c r="C167" t="s">
        <v>14</v>
      </c>
      <c r="D167" s="1">
        <v>38985</v>
      </c>
      <c r="E167">
        <v>2</v>
      </c>
      <c r="F167">
        <v>1</v>
      </c>
      <c r="G167" t="s">
        <v>507</v>
      </c>
      <c r="H167">
        <v>2</v>
      </c>
    </row>
    <row r="168" spans="1:8" x14ac:dyDescent="0.25">
      <c r="A168" t="s">
        <v>508</v>
      </c>
      <c r="B168" t="s">
        <v>509</v>
      </c>
      <c r="C168" t="s">
        <v>14</v>
      </c>
      <c r="D168" s="1">
        <v>35921</v>
      </c>
      <c r="E168">
        <v>10</v>
      </c>
      <c r="F168">
        <v>1</v>
      </c>
      <c r="G168" t="s">
        <v>510</v>
      </c>
      <c r="H168">
        <v>10</v>
      </c>
    </row>
    <row r="169" spans="1:8" x14ac:dyDescent="0.25">
      <c r="A169" t="s">
        <v>511</v>
      </c>
      <c r="B169" t="s">
        <v>512</v>
      </c>
      <c r="C169" t="s">
        <v>14</v>
      </c>
      <c r="D169" s="1">
        <v>41451</v>
      </c>
      <c r="E169">
        <v>5</v>
      </c>
      <c r="F169">
        <v>1</v>
      </c>
      <c r="G169" t="s">
        <v>513</v>
      </c>
      <c r="H169">
        <v>5</v>
      </c>
    </row>
    <row r="170" spans="1:8" x14ac:dyDescent="0.25">
      <c r="A170" t="s">
        <v>514</v>
      </c>
      <c r="B170" t="s">
        <v>515</v>
      </c>
      <c r="C170" t="s">
        <v>14</v>
      </c>
      <c r="D170" s="1">
        <v>42926</v>
      </c>
      <c r="E170">
        <v>10</v>
      </c>
      <c r="F170">
        <v>1</v>
      </c>
      <c r="G170" t="s">
        <v>516</v>
      </c>
      <c r="H170">
        <v>10</v>
      </c>
    </row>
    <row r="171" spans="1:8" x14ac:dyDescent="0.25">
      <c r="A171" t="s">
        <v>517</v>
      </c>
      <c r="B171" t="s">
        <v>518</v>
      </c>
      <c r="C171" t="s">
        <v>10</v>
      </c>
      <c r="D171" s="1">
        <v>38650</v>
      </c>
      <c r="E171">
        <v>10</v>
      </c>
      <c r="F171">
        <v>1</v>
      </c>
      <c r="G171" t="s">
        <v>519</v>
      </c>
      <c r="H171">
        <v>10</v>
      </c>
    </row>
    <row r="172" spans="1:8" x14ac:dyDescent="0.25">
      <c r="A172" t="s">
        <v>520</v>
      </c>
      <c r="B172" t="s">
        <v>521</v>
      </c>
      <c r="C172" t="s">
        <v>14</v>
      </c>
      <c r="D172" s="1">
        <v>36726</v>
      </c>
      <c r="E172">
        <v>1</v>
      </c>
      <c r="F172">
        <v>1</v>
      </c>
      <c r="G172" t="s">
        <v>522</v>
      </c>
      <c r="H172">
        <v>1</v>
      </c>
    </row>
    <row r="173" spans="1:8" x14ac:dyDescent="0.25">
      <c r="A173" t="s">
        <v>523</v>
      </c>
      <c r="B173" t="s">
        <v>524</v>
      </c>
      <c r="C173" t="s">
        <v>14</v>
      </c>
      <c r="D173" s="1">
        <v>42235</v>
      </c>
      <c r="E173">
        <v>5</v>
      </c>
      <c r="F173">
        <v>1</v>
      </c>
      <c r="G173" t="s">
        <v>525</v>
      </c>
      <c r="H173">
        <v>5</v>
      </c>
    </row>
    <row r="174" spans="1:8" x14ac:dyDescent="0.25">
      <c r="A174" t="s">
        <v>526</v>
      </c>
      <c r="B174" t="s">
        <v>527</v>
      </c>
      <c r="C174" t="s">
        <v>10</v>
      </c>
      <c r="D174" s="1">
        <v>35172</v>
      </c>
      <c r="E174">
        <v>10</v>
      </c>
      <c r="F174">
        <v>1</v>
      </c>
      <c r="G174" t="s">
        <v>528</v>
      </c>
      <c r="H174">
        <v>10</v>
      </c>
    </row>
    <row r="175" spans="1:8" x14ac:dyDescent="0.25">
      <c r="A175" t="s">
        <v>529</v>
      </c>
      <c r="B175" t="s">
        <v>530</v>
      </c>
      <c r="C175" t="s">
        <v>14</v>
      </c>
      <c r="D175" s="1">
        <v>37770</v>
      </c>
      <c r="E175">
        <v>10</v>
      </c>
      <c r="F175">
        <v>1</v>
      </c>
      <c r="G175" t="s">
        <v>531</v>
      </c>
      <c r="H175">
        <v>10</v>
      </c>
    </row>
    <row r="176" spans="1:8" x14ac:dyDescent="0.25">
      <c r="A176" t="s">
        <v>532</v>
      </c>
      <c r="B176" t="s">
        <v>533</v>
      </c>
      <c r="C176" t="s">
        <v>10</v>
      </c>
      <c r="D176" s="1">
        <v>39113</v>
      </c>
      <c r="E176">
        <v>10</v>
      </c>
      <c r="F176">
        <v>1</v>
      </c>
      <c r="G176" t="s">
        <v>534</v>
      </c>
      <c r="H176">
        <v>10</v>
      </c>
    </row>
    <row r="177" spans="1:8" x14ac:dyDescent="0.25">
      <c r="A177" t="s">
        <v>535</v>
      </c>
      <c r="B177" t="s">
        <v>536</v>
      </c>
      <c r="C177" t="s">
        <v>14</v>
      </c>
      <c r="D177" s="1">
        <v>42944</v>
      </c>
      <c r="E177">
        <v>10</v>
      </c>
      <c r="F177">
        <v>1</v>
      </c>
      <c r="G177" t="s">
        <v>537</v>
      </c>
      <c r="H177">
        <v>10</v>
      </c>
    </row>
    <row r="178" spans="1:8" x14ac:dyDescent="0.25">
      <c r="A178" t="s">
        <v>538</v>
      </c>
      <c r="B178" t="s">
        <v>539</v>
      </c>
      <c r="C178" t="s">
        <v>14</v>
      </c>
      <c r="D178" s="1">
        <v>45034</v>
      </c>
      <c r="E178">
        <v>2</v>
      </c>
      <c r="F178">
        <v>1</v>
      </c>
      <c r="G178" t="s">
        <v>540</v>
      </c>
      <c r="H178">
        <v>2</v>
      </c>
    </row>
    <row r="179" spans="1:8" x14ac:dyDescent="0.25">
      <c r="A179" t="s">
        <v>541</v>
      </c>
      <c r="B179" t="s">
        <v>542</v>
      </c>
      <c r="C179" t="s">
        <v>14</v>
      </c>
      <c r="D179" s="1">
        <v>42109</v>
      </c>
      <c r="E179">
        <v>1</v>
      </c>
      <c r="F179">
        <v>1</v>
      </c>
      <c r="G179" t="s">
        <v>543</v>
      </c>
      <c r="H179">
        <v>1</v>
      </c>
    </row>
    <row r="180" spans="1:8" x14ac:dyDescent="0.25">
      <c r="A180" t="s">
        <v>544</v>
      </c>
      <c r="B180" t="s">
        <v>545</v>
      </c>
      <c r="C180" t="s">
        <v>14</v>
      </c>
      <c r="D180" s="1">
        <v>45058</v>
      </c>
      <c r="E180">
        <v>10</v>
      </c>
      <c r="F180">
        <v>1</v>
      </c>
      <c r="G180" t="s">
        <v>546</v>
      </c>
      <c r="H180">
        <v>10</v>
      </c>
    </row>
    <row r="181" spans="1:8" x14ac:dyDescent="0.25">
      <c r="A181" t="s">
        <v>547</v>
      </c>
      <c r="B181" t="s">
        <v>548</v>
      </c>
      <c r="C181" t="s">
        <v>14</v>
      </c>
      <c r="D181" s="1">
        <v>44930</v>
      </c>
      <c r="E181">
        <v>10</v>
      </c>
      <c r="F181">
        <v>1</v>
      </c>
      <c r="G181" t="s">
        <v>549</v>
      </c>
      <c r="H181">
        <v>10</v>
      </c>
    </row>
    <row r="182" spans="1:8" x14ac:dyDescent="0.25">
      <c r="A182" t="s">
        <v>550</v>
      </c>
      <c r="B182" t="s">
        <v>551</v>
      </c>
      <c r="C182" t="s">
        <v>14</v>
      </c>
      <c r="D182" s="1">
        <v>44658</v>
      </c>
      <c r="E182">
        <v>10</v>
      </c>
      <c r="F182">
        <v>1</v>
      </c>
      <c r="G182" t="s">
        <v>552</v>
      </c>
      <c r="H182">
        <v>10</v>
      </c>
    </row>
    <row r="183" spans="1:8" x14ac:dyDescent="0.25">
      <c r="A183" t="s">
        <v>553</v>
      </c>
      <c r="B183" t="s">
        <v>554</v>
      </c>
      <c r="C183" t="s">
        <v>14</v>
      </c>
      <c r="D183" s="1">
        <v>39092</v>
      </c>
      <c r="E183">
        <v>1</v>
      </c>
      <c r="F183">
        <v>1</v>
      </c>
      <c r="G183" t="s">
        <v>555</v>
      </c>
      <c r="H183">
        <v>1</v>
      </c>
    </row>
    <row r="184" spans="1:8" x14ac:dyDescent="0.25">
      <c r="A184" t="s">
        <v>556</v>
      </c>
      <c r="B184" t="s">
        <v>557</v>
      </c>
      <c r="C184" t="s">
        <v>14</v>
      </c>
      <c r="D184" s="1">
        <v>44197</v>
      </c>
      <c r="E184">
        <v>5</v>
      </c>
      <c r="F184">
        <v>1</v>
      </c>
      <c r="G184" t="s">
        <v>558</v>
      </c>
      <c r="H184">
        <v>5</v>
      </c>
    </row>
    <row r="185" spans="1:8" x14ac:dyDescent="0.25">
      <c r="A185" t="s">
        <v>559</v>
      </c>
      <c r="B185" t="s">
        <v>560</v>
      </c>
      <c r="C185" t="s">
        <v>14</v>
      </c>
      <c r="D185" s="1">
        <v>44600</v>
      </c>
      <c r="E185">
        <v>1</v>
      </c>
      <c r="F185">
        <v>1</v>
      </c>
      <c r="G185" t="s">
        <v>561</v>
      </c>
      <c r="H185">
        <v>1</v>
      </c>
    </row>
    <row r="186" spans="1:8" x14ac:dyDescent="0.25">
      <c r="A186" t="s">
        <v>562</v>
      </c>
      <c r="B186" t="s">
        <v>563</v>
      </c>
      <c r="C186" t="s">
        <v>14</v>
      </c>
      <c r="D186" s="1">
        <v>36115</v>
      </c>
      <c r="E186">
        <v>2</v>
      </c>
      <c r="F186">
        <v>1</v>
      </c>
      <c r="G186" t="s">
        <v>564</v>
      </c>
      <c r="H186">
        <v>2</v>
      </c>
    </row>
    <row r="187" spans="1:8" x14ac:dyDescent="0.25">
      <c r="A187" t="s">
        <v>565</v>
      </c>
      <c r="B187" t="s">
        <v>566</v>
      </c>
      <c r="C187" t="s">
        <v>14</v>
      </c>
      <c r="D187" s="1">
        <v>36881</v>
      </c>
      <c r="E187">
        <v>5</v>
      </c>
      <c r="F187">
        <v>1</v>
      </c>
      <c r="G187" t="s">
        <v>567</v>
      </c>
      <c r="H187">
        <v>5</v>
      </c>
    </row>
    <row r="188" spans="1:8" x14ac:dyDescent="0.25">
      <c r="A188" t="s">
        <v>568</v>
      </c>
      <c r="B188" t="s">
        <v>569</v>
      </c>
      <c r="C188" t="s">
        <v>14</v>
      </c>
      <c r="D188" s="1">
        <v>44733</v>
      </c>
      <c r="E188">
        <v>1</v>
      </c>
      <c r="F188">
        <v>1</v>
      </c>
      <c r="G188" t="s">
        <v>570</v>
      </c>
      <c r="H188">
        <v>1</v>
      </c>
    </row>
    <row r="189" spans="1:8" x14ac:dyDescent="0.25">
      <c r="A189" t="s">
        <v>571</v>
      </c>
      <c r="B189" t="s">
        <v>572</v>
      </c>
      <c r="C189" t="s">
        <v>14</v>
      </c>
      <c r="D189" s="1">
        <v>42230</v>
      </c>
      <c r="E189">
        <v>10</v>
      </c>
      <c r="F189">
        <v>1</v>
      </c>
      <c r="G189" t="s">
        <v>573</v>
      </c>
      <c r="H189">
        <v>10</v>
      </c>
    </row>
    <row r="190" spans="1:8" x14ac:dyDescent="0.25">
      <c r="A190" t="s">
        <v>574</v>
      </c>
      <c r="B190" t="s">
        <v>575</v>
      </c>
      <c r="C190" t="s">
        <v>10</v>
      </c>
      <c r="D190" s="1">
        <v>43888</v>
      </c>
      <c r="E190">
        <v>10</v>
      </c>
      <c r="F190">
        <v>1</v>
      </c>
      <c r="G190" t="s">
        <v>576</v>
      </c>
      <c r="H190">
        <v>10</v>
      </c>
    </row>
    <row r="191" spans="1:8" x14ac:dyDescent="0.25">
      <c r="A191" t="s">
        <v>577</v>
      </c>
      <c r="B191" t="s">
        <v>578</v>
      </c>
      <c r="C191" t="s">
        <v>10</v>
      </c>
      <c r="D191" s="1">
        <v>37911</v>
      </c>
      <c r="E191">
        <v>2</v>
      </c>
      <c r="F191">
        <v>1</v>
      </c>
      <c r="G191" t="s">
        <v>579</v>
      </c>
      <c r="H191">
        <v>2</v>
      </c>
    </row>
    <row r="192" spans="1:8" x14ac:dyDescent="0.25">
      <c r="A192" t="s">
        <v>580</v>
      </c>
      <c r="B192" t="s">
        <v>581</v>
      </c>
      <c r="C192" t="s">
        <v>10</v>
      </c>
      <c r="D192" s="1">
        <v>44946</v>
      </c>
      <c r="E192">
        <v>2</v>
      </c>
      <c r="F192">
        <v>1</v>
      </c>
      <c r="G192" t="s">
        <v>582</v>
      </c>
      <c r="H192">
        <v>2</v>
      </c>
    </row>
    <row r="193" spans="1:8" x14ac:dyDescent="0.25">
      <c r="A193" t="s">
        <v>583</v>
      </c>
      <c r="B193" t="s">
        <v>584</v>
      </c>
      <c r="C193" t="s">
        <v>14</v>
      </c>
      <c r="D193" s="1">
        <v>39594</v>
      </c>
      <c r="E193">
        <v>10</v>
      </c>
      <c r="F193">
        <v>1</v>
      </c>
      <c r="G193" t="s">
        <v>585</v>
      </c>
      <c r="H193">
        <v>10</v>
      </c>
    </row>
    <row r="194" spans="1:8" x14ac:dyDescent="0.25">
      <c r="A194" t="s">
        <v>586</v>
      </c>
      <c r="B194" t="s">
        <v>587</v>
      </c>
      <c r="C194" t="s">
        <v>14</v>
      </c>
      <c r="D194" s="1">
        <v>40408</v>
      </c>
      <c r="E194">
        <v>1</v>
      </c>
      <c r="F194">
        <v>1</v>
      </c>
      <c r="G194" t="s">
        <v>588</v>
      </c>
      <c r="H194">
        <v>1</v>
      </c>
    </row>
    <row r="195" spans="1:8" x14ac:dyDescent="0.25">
      <c r="A195" t="s">
        <v>589</v>
      </c>
      <c r="B195" t="s">
        <v>590</v>
      </c>
      <c r="C195" t="s">
        <v>14</v>
      </c>
      <c r="D195" s="1">
        <v>39388</v>
      </c>
      <c r="E195">
        <v>2</v>
      </c>
      <c r="F195">
        <v>1</v>
      </c>
      <c r="G195" t="s">
        <v>591</v>
      </c>
      <c r="H195">
        <v>2</v>
      </c>
    </row>
    <row r="196" spans="1:8" x14ac:dyDescent="0.25">
      <c r="A196" t="s">
        <v>592</v>
      </c>
      <c r="B196" t="s">
        <v>593</v>
      </c>
      <c r="C196" t="s">
        <v>14</v>
      </c>
      <c r="D196" s="1">
        <v>39594</v>
      </c>
      <c r="E196">
        <v>1</v>
      </c>
      <c r="F196">
        <v>1</v>
      </c>
      <c r="G196" t="s">
        <v>594</v>
      </c>
      <c r="H196">
        <v>1</v>
      </c>
    </row>
    <row r="197" spans="1:8" x14ac:dyDescent="0.25">
      <c r="A197" t="s">
        <v>595</v>
      </c>
      <c r="B197" t="s">
        <v>596</v>
      </c>
      <c r="C197" t="s">
        <v>14</v>
      </c>
      <c r="D197" s="1">
        <v>44525</v>
      </c>
      <c r="E197">
        <v>5</v>
      </c>
      <c r="F197">
        <v>1</v>
      </c>
      <c r="G197" t="s">
        <v>597</v>
      </c>
      <c r="H197">
        <v>5</v>
      </c>
    </row>
    <row r="198" spans="1:8" x14ac:dyDescent="0.25">
      <c r="A198" t="s">
        <v>598</v>
      </c>
      <c r="B198" t="s">
        <v>599</v>
      </c>
      <c r="C198" t="s">
        <v>14</v>
      </c>
      <c r="D198" s="1">
        <v>34829</v>
      </c>
      <c r="E198">
        <v>1</v>
      </c>
      <c r="F198">
        <v>1</v>
      </c>
      <c r="G198" t="s">
        <v>600</v>
      </c>
      <c r="H198">
        <v>1</v>
      </c>
    </row>
    <row r="199" spans="1:8" x14ac:dyDescent="0.25">
      <c r="A199" t="s">
        <v>601</v>
      </c>
      <c r="B199" t="s">
        <v>602</v>
      </c>
      <c r="C199" t="s">
        <v>14</v>
      </c>
      <c r="D199" s="1">
        <v>34773</v>
      </c>
      <c r="E199">
        <v>10</v>
      </c>
      <c r="F199">
        <v>1</v>
      </c>
      <c r="G199" t="s">
        <v>603</v>
      </c>
      <c r="H199">
        <v>10</v>
      </c>
    </row>
    <row r="200" spans="1:8" x14ac:dyDescent="0.25">
      <c r="A200" t="s">
        <v>604</v>
      </c>
      <c r="B200" t="s">
        <v>605</v>
      </c>
      <c r="C200" t="s">
        <v>14</v>
      </c>
      <c r="D200" s="1">
        <v>37712</v>
      </c>
      <c r="E200">
        <v>2</v>
      </c>
      <c r="F200">
        <v>1</v>
      </c>
      <c r="G200" t="s">
        <v>606</v>
      </c>
      <c r="H200">
        <v>2</v>
      </c>
    </row>
    <row r="201" spans="1:8" x14ac:dyDescent="0.25">
      <c r="A201" t="s">
        <v>607</v>
      </c>
      <c r="B201" t="s">
        <v>608</v>
      </c>
      <c r="C201" t="s">
        <v>14</v>
      </c>
      <c r="D201" s="1">
        <v>36852</v>
      </c>
      <c r="E201">
        <v>2</v>
      </c>
      <c r="F201">
        <v>1</v>
      </c>
      <c r="G201" t="s">
        <v>609</v>
      </c>
      <c r="H201">
        <v>2</v>
      </c>
    </row>
    <row r="202" spans="1:8" x14ac:dyDescent="0.25">
      <c r="A202" t="s">
        <v>610</v>
      </c>
      <c r="B202" t="s">
        <v>611</v>
      </c>
      <c r="C202" t="s">
        <v>14</v>
      </c>
      <c r="D202" s="1">
        <v>39177</v>
      </c>
      <c r="E202">
        <v>2</v>
      </c>
      <c r="F202">
        <v>1</v>
      </c>
      <c r="G202" t="s">
        <v>612</v>
      </c>
      <c r="H202">
        <v>2</v>
      </c>
    </row>
    <row r="203" spans="1:8" x14ac:dyDescent="0.25">
      <c r="A203" t="s">
        <v>613</v>
      </c>
      <c r="B203" t="s">
        <v>614</v>
      </c>
      <c r="C203" t="s">
        <v>14</v>
      </c>
      <c r="D203" s="1">
        <v>42338</v>
      </c>
      <c r="E203">
        <v>10</v>
      </c>
      <c r="F203">
        <v>1</v>
      </c>
      <c r="G203" t="s">
        <v>615</v>
      </c>
      <c r="H203">
        <v>10</v>
      </c>
    </row>
    <row r="204" spans="1:8" x14ac:dyDescent="0.25">
      <c r="A204" t="s">
        <v>616</v>
      </c>
      <c r="B204" t="s">
        <v>617</v>
      </c>
      <c r="C204" t="s">
        <v>14</v>
      </c>
      <c r="D204" s="1">
        <v>42213</v>
      </c>
      <c r="E204">
        <v>10</v>
      </c>
      <c r="F204">
        <v>1</v>
      </c>
      <c r="G204" t="s">
        <v>618</v>
      </c>
      <c r="H204">
        <v>10</v>
      </c>
    </row>
    <row r="205" spans="1:8" x14ac:dyDescent="0.25">
      <c r="A205" t="s">
        <v>619</v>
      </c>
      <c r="B205" t="s">
        <v>620</v>
      </c>
      <c r="C205" t="s">
        <v>14</v>
      </c>
      <c r="D205" s="1">
        <v>38744</v>
      </c>
      <c r="E205">
        <v>2</v>
      </c>
      <c r="F205">
        <v>1</v>
      </c>
      <c r="G205" t="s">
        <v>621</v>
      </c>
      <c r="H205">
        <v>2</v>
      </c>
    </row>
    <row r="206" spans="1:8" x14ac:dyDescent="0.25">
      <c r="A206" t="s">
        <v>622</v>
      </c>
      <c r="B206" t="s">
        <v>623</v>
      </c>
      <c r="C206" t="s">
        <v>14</v>
      </c>
      <c r="D206" s="1">
        <v>34886</v>
      </c>
      <c r="E206">
        <v>10</v>
      </c>
      <c r="F206">
        <v>1</v>
      </c>
      <c r="G206" t="s">
        <v>624</v>
      </c>
      <c r="H206">
        <v>10</v>
      </c>
    </row>
    <row r="207" spans="1:8" x14ac:dyDescent="0.25">
      <c r="A207" t="s">
        <v>625</v>
      </c>
      <c r="B207" t="s">
        <v>626</v>
      </c>
      <c r="C207" t="s">
        <v>14</v>
      </c>
      <c r="D207" s="1">
        <v>38845</v>
      </c>
      <c r="E207">
        <v>10</v>
      </c>
      <c r="F207">
        <v>1</v>
      </c>
      <c r="G207" t="s">
        <v>627</v>
      </c>
      <c r="H207">
        <v>10</v>
      </c>
    </row>
    <row r="208" spans="1:8" x14ac:dyDescent="0.25">
      <c r="A208" t="s">
        <v>628</v>
      </c>
      <c r="B208" t="s">
        <v>629</v>
      </c>
      <c r="C208" t="s">
        <v>14</v>
      </c>
      <c r="D208" s="1">
        <v>34738</v>
      </c>
      <c r="E208">
        <v>1</v>
      </c>
      <c r="F208">
        <v>1</v>
      </c>
      <c r="G208" t="s">
        <v>630</v>
      </c>
      <c r="H208">
        <v>1</v>
      </c>
    </row>
    <row r="209" spans="1:8" x14ac:dyDescent="0.25">
      <c r="A209" t="s">
        <v>631</v>
      </c>
      <c r="B209" t="s">
        <v>632</v>
      </c>
      <c r="C209" t="s">
        <v>14</v>
      </c>
      <c r="D209" s="1">
        <v>34887</v>
      </c>
      <c r="E209">
        <v>10</v>
      </c>
      <c r="F209">
        <v>1</v>
      </c>
      <c r="G209" t="s">
        <v>633</v>
      </c>
      <c r="H209">
        <v>10</v>
      </c>
    </row>
    <row r="210" spans="1:8" x14ac:dyDescent="0.25">
      <c r="A210" t="s">
        <v>634</v>
      </c>
      <c r="B210" t="s">
        <v>635</v>
      </c>
      <c r="C210" t="s">
        <v>14</v>
      </c>
      <c r="D210" s="1">
        <v>37769</v>
      </c>
      <c r="E210">
        <v>10</v>
      </c>
      <c r="F210">
        <v>1</v>
      </c>
      <c r="G210" t="s">
        <v>636</v>
      </c>
      <c r="H210">
        <v>10</v>
      </c>
    </row>
    <row r="211" spans="1:8" x14ac:dyDescent="0.25">
      <c r="A211" t="s">
        <v>637</v>
      </c>
      <c r="B211" t="s">
        <v>638</v>
      </c>
      <c r="C211" t="s">
        <v>14</v>
      </c>
      <c r="D211" s="1">
        <v>39073</v>
      </c>
      <c r="E211">
        <v>2</v>
      </c>
      <c r="F211">
        <v>1</v>
      </c>
      <c r="G211" t="s">
        <v>639</v>
      </c>
      <c r="H211">
        <v>2</v>
      </c>
    </row>
    <row r="212" spans="1:8" x14ac:dyDescent="0.25">
      <c r="A212" t="s">
        <v>640</v>
      </c>
      <c r="B212" t="s">
        <v>641</v>
      </c>
      <c r="C212" t="s">
        <v>14</v>
      </c>
      <c r="D212" s="1">
        <v>43186</v>
      </c>
      <c r="E212">
        <v>10</v>
      </c>
      <c r="F212">
        <v>1</v>
      </c>
      <c r="G212" t="s">
        <v>642</v>
      </c>
      <c r="H212">
        <v>10</v>
      </c>
    </row>
    <row r="213" spans="1:8" x14ac:dyDescent="0.25">
      <c r="A213" t="s">
        <v>643</v>
      </c>
      <c r="B213" t="s">
        <v>644</v>
      </c>
      <c r="C213" t="s">
        <v>14</v>
      </c>
      <c r="D213" s="1">
        <v>39498</v>
      </c>
      <c r="E213">
        <v>10</v>
      </c>
      <c r="F213">
        <v>1</v>
      </c>
      <c r="G213" t="s">
        <v>645</v>
      </c>
      <c r="H213">
        <v>10</v>
      </c>
    </row>
    <row r="214" spans="1:8" x14ac:dyDescent="0.25">
      <c r="A214" t="s">
        <v>646</v>
      </c>
      <c r="B214" t="s">
        <v>647</v>
      </c>
      <c r="C214" t="s">
        <v>14</v>
      </c>
      <c r="D214" s="1">
        <v>44133</v>
      </c>
      <c r="E214">
        <v>10</v>
      </c>
      <c r="F214">
        <v>1</v>
      </c>
      <c r="G214" t="s">
        <v>648</v>
      </c>
      <c r="H214">
        <v>10</v>
      </c>
    </row>
    <row r="215" spans="1:8" x14ac:dyDescent="0.25">
      <c r="A215" t="s">
        <v>649</v>
      </c>
      <c r="B215" t="s">
        <v>650</v>
      </c>
      <c r="C215" t="s">
        <v>14</v>
      </c>
      <c r="D215" s="1">
        <v>35480</v>
      </c>
      <c r="E215">
        <v>2</v>
      </c>
      <c r="F215">
        <v>1</v>
      </c>
      <c r="G215" t="s">
        <v>651</v>
      </c>
      <c r="H215">
        <v>2</v>
      </c>
    </row>
    <row r="216" spans="1:8" x14ac:dyDescent="0.25">
      <c r="A216" t="s">
        <v>652</v>
      </c>
      <c r="B216" t="s">
        <v>653</v>
      </c>
      <c r="C216" t="s">
        <v>14</v>
      </c>
      <c r="D216" s="1">
        <v>35550</v>
      </c>
      <c r="E216">
        <v>10</v>
      </c>
      <c r="F216">
        <v>1</v>
      </c>
      <c r="G216" t="s">
        <v>654</v>
      </c>
      <c r="H216">
        <v>10</v>
      </c>
    </row>
    <row r="217" spans="1:8" x14ac:dyDescent="0.25">
      <c r="A217" t="s">
        <v>655</v>
      </c>
      <c r="B217" t="s">
        <v>656</v>
      </c>
      <c r="C217" t="s">
        <v>14</v>
      </c>
      <c r="D217" s="1">
        <v>39183</v>
      </c>
      <c r="E217">
        <v>5</v>
      </c>
      <c r="F217">
        <v>1</v>
      </c>
      <c r="G217" t="s">
        <v>657</v>
      </c>
      <c r="H217">
        <v>5</v>
      </c>
    </row>
    <row r="218" spans="1:8" x14ac:dyDescent="0.25">
      <c r="A218" t="s">
        <v>658</v>
      </c>
      <c r="B218" t="s">
        <v>659</v>
      </c>
      <c r="C218" t="s">
        <v>14</v>
      </c>
      <c r="D218" s="1">
        <v>44293</v>
      </c>
      <c r="E218">
        <v>5</v>
      </c>
      <c r="F218">
        <v>1</v>
      </c>
      <c r="G218" t="s">
        <v>660</v>
      </c>
      <c r="H218">
        <v>5</v>
      </c>
    </row>
    <row r="219" spans="1:8" x14ac:dyDescent="0.25">
      <c r="A219" t="s">
        <v>661</v>
      </c>
      <c r="B219" t="s">
        <v>662</v>
      </c>
      <c r="C219" t="s">
        <v>14</v>
      </c>
      <c r="D219" s="1">
        <v>34836</v>
      </c>
      <c r="E219">
        <v>10</v>
      </c>
      <c r="F219">
        <v>1</v>
      </c>
      <c r="G219" t="s">
        <v>663</v>
      </c>
      <c r="H219">
        <v>10</v>
      </c>
    </row>
    <row r="220" spans="1:8" x14ac:dyDescent="0.25">
      <c r="A220" t="s">
        <v>664</v>
      </c>
      <c r="B220" t="s">
        <v>665</v>
      </c>
      <c r="C220" t="s">
        <v>14</v>
      </c>
      <c r="D220" s="1">
        <v>38670</v>
      </c>
      <c r="E220">
        <v>5</v>
      </c>
      <c r="F220">
        <v>1</v>
      </c>
      <c r="G220" t="s">
        <v>666</v>
      </c>
      <c r="H220">
        <v>5</v>
      </c>
    </row>
    <row r="221" spans="1:8" x14ac:dyDescent="0.25">
      <c r="A221" t="s">
        <v>667</v>
      </c>
      <c r="B221" t="s">
        <v>668</v>
      </c>
      <c r="C221" t="s">
        <v>14</v>
      </c>
      <c r="D221" s="1">
        <v>37790</v>
      </c>
      <c r="E221">
        <v>5</v>
      </c>
      <c r="F221">
        <v>1</v>
      </c>
      <c r="G221" t="s">
        <v>669</v>
      </c>
      <c r="H221">
        <v>5</v>
      </c>
    </row>
    <row r="222" spans="1:8" x14ac:dyDescent="0.25">
      <c r="A222" t="s">
        <v>670</v>
      </c>
      <c r="B222" t="s">
        <v>671</v>
      </c>
      <c r="C222" t="s">
        <v>14</v>
      </c>
      <c r="D222" s="1">
        <v>40186</v>
      </c>
      <c r="E222">
        <v>10</v>
      </c>
      <c r="F222">
        <v>1</v>
      </c>
      <c r="G222" t="s">
        <v>672</v>
      </c>
      <c r="H222">
        <v>10</v>
      </c>
    </row>
    <row r="223" spans="1:8" x14ac:dyDescent="0.25">
      <c r="A223" t="s">
        <v>673</v>
      </c>
      <c r="B223" t="s">
        <v>674</v>
      </c>
      <c r="C223" t="s">
        <v>14</v>
      </c>
      <c r="D223" s="1">
        <v>39042</v>
      </c>
      <c r="E223">
        <v>10</v>
      </c>
      <c r="F223">
        <v>1</v>
      </c>
      <c r="G223" t="s">
        <v>675</v>
      </c>
      <c r="H223">
        <v>10</v>
      </c>
    </row>
    <row r="224" spans="1:8" x14ac:dyDescent="0.25">
      <c r="A224" t="s">
        <v>676</v>
      </c>
      <c r="B224" t="s">
        <v>677</v>
      </c>
      <c r="C224" t="s">
        <v>10</v>
      </c>
      <c r="D224" s="1">
        <v>37824</v>
      </c>
      <c r="E224">
        <v>2</v>
      </c>
      <c r="F224">
        <v>1</v>
      </c>
      <c r="G224" t="s">
        <v>678</v>
      </c>
      <c r="H224">
        <v>2</v>
      </c>
    </row>
    <row r="225" spans="1:8" x14ac:dyDescent="0.25">
      <c r="A225" t="s">
        <v>679</v>
      </c>
      <c r="B225" t="s">
        <v>680</v>
      </c>
      <c r="C225" t="s">
        <v>14</v>
      </c>
      <c r="D225" s="1">
        <v>35158</v>
      </c>
      <c r="E225">
        <v>2</v>
      </c>
      <c r="F225">
        <v>1</v>
      </c>
      <c r="G225" t="s">
        <v>681</v>
      </c>
      <c r="H225">
        <v>2</v>
      </c>
    </row>
    <row r="226" spans="1:8" x14ac:dyDescent="0.25">
      <c r="A226" t="s">
        <v>682</v>
      </c>
      <c r="B226" t="s">
        <v>683</v>
      </c>
      <c r="C226" t="s">
        <v>14</v>
      </c>
      <c r="D226" s="1">
        <v>44888</v>
      </c>
      <c r="E226">
        <v>10</v>
      </c>
      <c r="F226">
        <v>1</v>
      </c>
      <c r="G226" t="s">
        <v>684</v>
      </c>
      <c r="H226">
        <v>10</v>
      </c>
    </row>
    <row r="227" spans="1:8" x14ac:dyDescent="0.25">
      <c r="A227" t="s">
        <v>685</v>
      </c>
      <c r="B227" t="s">
        <v>686</v>
      </c>
      <c r="C227" t="s">
        <v>14</v>
      </c>
      <c r="D227" s="1">
        <v>42132</v>
      </c>
      <c r="E227">
        <v>2</v>
      </c>
      <c r="F227">
        <v>1</v>
      </c>
      <c r="G227" t="s">
        <v>687</v>
      </c>
      <c r="H227">
        <v>2</v>
      </c>
    </row>
    <row r="228" spans="1:8" x14ac:dyDescent="0.25">
      <c r="A228" t="s">
        <v>688</v>
      </c>
      <c r="B228" t="s">
        <v>689</v>
      </c>
      <c r="C228" t="s">
        <v>14</v>
      </c>
      <c r="D228" s="1">
        <v>44259</v>
      </c>
      <c r="E228">
        <v>1</v>
      </c>
      <c r="F228">
        <v>1</v>
      </c>
      <c r="G228" t="s">
        <v>690</v>
      </c>
      <c r="H228">
        <v>1</v>
      </c>
    </row>
    <row r="229" spans="1:8" x14ac:dyDescent="0.25">
      <c r="A229" t="s">
        <v>691</v>
      </c>
      <c r="B229" t="s">
        <v>692</v>
      </c>
      <c r="C229" t="s">
        <v>10</v>
      </c>
      <c r="D229" s="1">
        <v>44572</v>
      </c>
      <c r="E229">
        <v>10</v>
      </c>
      <c r="F229">
        <v>1</v>
      </c>
      <c r="G229" t="s">
        <v>693</v>
      </c>
      <c r="H229">
        <v>10</v>
      </c>
    </row>
    <row r="230" spans="1:8" x14ac:dyDescent="0.25">
      <c r="A230" t="s">
        <v>694</v>
      </c>
      <c r="B230" t="s">
        <v>695</v>
      </c>
      <c r="C230" t="s">
        <v>14</v>
      </c>
      <c r="D230" s="1">
        <v>43182</v>
      </c>
      <c r="E230">
        <v>10</v>
      </c>
      <c r="F230">
        <v>1</v>
      </c>
      <c r="G230" t="s">
        <v>696</v>
      </c>
      <c r="H230">
        <v>10</v>
      </c>
    </row>
    <row r="231" spans="1:8" x14ac:dyDescent="0.25">
      <c r="A231" t="s">
        <v>697</v>
      </c>
      <c r="B231" t="s">
        <v>698</v>
      </c>
      <c r="C231" t="s">
        <v>10</v>
      </c>
      <c r="D231" s="1">
        <v>42017</v>
      </c>
      <c r="E231">
        <v>2</v>
      </c>
      <c r="F231">
        <v>1</v>
      </c>
      <c r="G231" t="s">
        <v>699</v>
      </c>
      <c r="H231">
        <v>2</v>
      </c>
    </row>
    <row r="232" spans="1:8" x14ac:dyDescent="0.25">
      <c r="A232" t="s">
        <v>700</v>
      </c>
      <c r="B232" t="s">
        <v>701</v>
      </c>
      <c r="C232" t="s">
        <v>14</v>
      </c>
      <c r="D232" s="1">
        <v>44189</v>
      </c>
      <c r="E232">
        <v>10</v>
      </c>
      <c r="F232">
        <v>1</v>
      </c>
      <c r="G232" t="s">
        <v>702</v>
      </c>
      <c r="H232">
        <v>10</v>
      </c>
    </row>
    <row r="233" spans="1:8" x14ac:dyDescent="0.25">
      <c r="A233" t="s">
        <v>703</v>
      </c>
      <c r="B233" t="s">
        <v>704</v>
      </c>
      <c r="C233" t="s">
        <v>10</v>
      </c>
      <c r="D233" s="1">
        <v>40465</v>
      </c>
      <c r="E233">
        <v>10</v>
      </c>
      <c r="F233">
        <v>1</v>
      </c>
      <c r="G233" t="s">
        <v>705</v>
      </c>
      <c r="H233">
        <v>10</v>
      </c>
    </row>
    <row r="234" spans="1:8" x14ac:dyDescent="0.25">
      <c r="A234" t="s">
        <v>706</v>
      </c>
      <c r="B234" t="s">
        <v>707</v>
      </c>
      <c r="C234" t="s">
        <v>14</v>
      </c>
      <c r="D234" s="1">
        <v>36726</v>
      </c>
      <c r="E234">
        <v>1</v>
      </c>
      <c r="F234">
        <v>1</v>
      </c>
      <c r="G234" t="s">
        <v>708</v>
      </c>
      <c r="H234">
        <v>1</v>
      </c>
    </row>
    <row r="235" spans="1:8" x14ac:dyDescent="0.25">
      <c r="A235" t="s">
        <v>709</v>
      </c>
      <c r="B235" t="s">
        <v>710</v>
      </c>
      <c r="C235" t="s">
        <v>14</v>
      </c>
      <c r="D235" s="1">
        <v>37930</v>
      </c>
      <c r="E235">
        <v>10</v>
      </c>
      <c r="F235">
        <v>1</v>
      </c>
      <c r="G235" t="s">
        <v>711</v>
      </c>
      <c r="H235">
        <v>10</v>
      </c>
    </row>
    <row r="236" spans="1:8" x14ac:dyDescent="0.25">
      <c r="A236" t="s">
        <v>712</v>
      </c>
      <c r="B236" t="s">
        <v>713</v>
      </c>
      <c r="C236" t="s">
        <v>14</v>
      </c>
      <c r="D236" s="1">
        <v>38432</v>
      </c>
      <c r="E236">
        <v>1</v>
      </c>
      <c r="F236">
        <v>1</v>
      </c>
      <c r="G236" t="s">
        <v>714</v>
      </c>
      <c r="H236">
        <v>1</v>
      </c>
    </row>
    <row r="237" spans="1:8" x14ac:dyDescent="0.25">
      <c r="A237" t="s">
        <v>715</v>
      </c>
      <c r="B237" t="s">
        <v>716</v>
      </c>
      <c r="C237" t="s">
        <v>14</v>
      </c>
      <c r="D237" s="1">
        <v>36488</v>
      </c>
      <c r="E237">
        <v>1</v>
      </c>
      <c r="F237">
        <v>1</v>
      </c>
      <c r="G237" t="s">
        <v>717</v>
      </c>
      <c r="H237">
        <v>1</v>
      </c>
    </row>
    <row r="238" spans="1:8" x14ac:dyDescent="0.25">
      <c r="A238" t="s">
        <v>718</v>
      </c>
      <c r="B238" t="s">
        <v>719</v>
      </c>
      <c r="C238" t="s">
        <v>14</v>
      </c>
      <c r="D238" s="1">
        <v>40557</v>
      </c>
      <c r="E238">
        <v>5</v>
      </c>
      <c r="F238">
        <v>1</v>
      </c>
      <c r="G238" t="s">
        <v>720</v>
      </c>
      <c r="H238">
        <v>5</v>
      </c>
    </row>
    <row r="239" spans="1:8" x14ac:dyDescent="0.25">
      <c r="A239" t="s">
        <v>721</v>
      </c>
      <c r="B239" t="s">
        <v>722</v>
      </c>
      <c r="C239" t="s">
        <v>14</v>
      </c>
      <c r="D239" s="1">
        <v>39205</v>
      </c>
      <c r="E239">
        <v>5</v>
      </c>
      <c r="F239">
        <v>1</v>
      </c>
      <c r="G239" t="s">
        <v>723</v>
      </c>
      <c r="H239">
        <v>5</v>
      </c>
    </row>
    <row r="240" spans="1:8" x14ac:dyDescent="0.25">
      <c r="A240" t="s">
        <v>724</v>
      </c>
      <c r="B240" t="s">
        <v>725</v>
      </c>
      <c r="C240" t="s">
        <v>14</v>
      </c>
      <c r="D240" s="1">
        <v>39450</v>
      </c>
      <c r="E240">
        <v>10</v>
      </c>
      <c r="F240">
        <v>1</v>
      </c>
      <c r="G240" t="s">
        <v>726</v>
      </c>
      <c r="H240">
        <v>10</v>
      </c>
    </row>
    <row r="241" spans="1:8" x14ac:dyDescent="0.25">
      <c r="A241" t="s">
        <v>727</v>
      </c>
      <c r="B241" t="s">
        <v>728</v>
      </c>
      <c r="C241" t="s">
        <v>14</v>
      </c>
      <c r="D241" s="1">
        <v>44487</v>
      </c>
      <c r="E241">
        <v>10</v>
      </c>
      <c r="F241">
        <v>1</v>
      </c>
      <c r="G241" t="s">
        <v>729</v>
      </c>
      <c r="H241">
        <v>10</v>
      </c>
    </row>
    <row r="242" spans="1:8" x14ac:dyDescent="0.25">
      <c r="A242" t="s">
        <v>730</v>
      </c>
      <c r="B242" t="s">
        <v>731</v>
      </c>
      <c r="C242" t="s">
        <v>14</v>
      </c>
      <c r="D242" s="1">
        <v>42431</v>
      </c>
      <c r="E242">
        <v>5</v>
      </c>
      <c r="F242">
        <v>1</v>
      </c>
      <c r="G242" t="s">
        <v>732</v>
      </c>
      <c r="H242">
        <v>5</v>
      </c>
    </row>
    <row r="243" spans="1:8" x14ac:dyDescent="0.25">
      <c r="A243" t="s">
        <v>733</v>
      </c>
      <c r="B243" t="s">
        <v>734</v>
      </c>
      <c r="C243" t="s">
        <v>10</v>
      </c>
      <c r="D243" s="1">
        <v>42872</v>
      </c>
      <c r="E243">
        <v>2</v>
      </c>
      <c r="F243">
        <v>1</v>
      </c>
      <c r="G243" t="s">
        <v>735</v>
      </c>
      <c r="H243">
        <v>2</v>
      </c>
    </row>
    <row r="244" spans="1:8" x14ac:dyDescent="0.25">
      <c r="A244" t="s">
        <v>736</v>
      </c>
      <c r="B244" t="s">
        <v>737</v>
      </c>
      <c r="C244" t="s">
        <v>10</v>
      </c>
      <c r="D244" s="1">
        <v>42765</v>
      </c>
      <c r="E244">
        <v>1</v>
      </c>
      <c r="F244">
        <v>1</v>
      </c>
      <c r="G244" t="s">
        <v>738</v>
      </c>
      <c r="H244">
        <v>1</v>
      </c>
    </row>
    <row r="245" spans="1:8" x14ac:dyDescent="0.25">
      <c r="A245" t="s">
        <v>739</v>
      </c>
      <c r="B245" t="s">
        <v>740</v>
      </c>
      <c r="C245" t="s">
        <v>14</v>
      </c>
      <c r="D245" s="1">
        <v>37715</v>
      </c>
      <c r="E245">
        <v>2</v>
      </c>
      <c r="F245">
        <v>1</v>
      </c>
      <c r="G245" t="s">
        <v>741</v>
      </c>
      <c r="H245">
        <v>2</v>
      </c>
    </row>
    <row r="246" spans="1:8" x14ac:dyDescent="0.25">
      <c r="A246" t="s">
        <v>742</v>
      </c>
      <c r="B246" t="s">
        <v>743</v>
      </c>
      <c r="C246" t="s">
        <v>14</v>
      </c>
      <c r="D246" s="1">
        <v>35158</v>
      </c>
      <c r="E246">
        <v>10</v>
      </c>
      <c r="F246">
        <v>1</v>
      </c>
      <c r="G246" t="s">
        <v>744</v>
      </c>
      <c r="H246">
        <v>10</v>
      </c>
    </row>
    <row r="247" spans="1:8" x14ac:dyDescent="0.25">
      <c r="A247" t="s">
        <v>745</v>
      </c>
      <c r="B247" t="s">
        <v>746</v>
      </c>
      <c r="C247" t="s">
        <v>14</v>
      </c>
      <c r="D247" s="1">
        <v>34983</v>
      </c>
      <c r="E247">
        <v>10</v>
      </c>
      <c r="F247">
        <v>1</v>
      </c>
      <c r="G247" t="s">
        <v>747</v>
      </c>
      <c r="H247">
        <v>10</v>
      </c>
    </row>
    <row r="248" spans="1:8" x14ac:dyDescent="0.25">
      <c r="A248" t="s">
        <v>748</v>
      </c>
      <c r="B248" t="s">
        <v>749</v>
      </c>
      <c r="C248" t="s">
        <v>14</v>
      </c>
      <c r="D248" s="1">
        <v>42461</v>
      </c>
      <c r="E248">
        <v>10</v>
      </c>
      <c r="F248">
        <v>1</v>
      </c>
      <c r="G248" t="s">
        <v>750</v>
      </c>
      <c r="H248">
        <v>10</v>
      </c>
    </row>
    <row r="249" spans="1:8" x14ac:dyDescent="0.25">
      <c r="A249" t="s">
        <v>751</v>
      </c>
      <c r="B249" t="s">
        <v>752</v>
      </c>
      <c r="C249" t="s">
        <v>14</v>
      </c>
      <c r="D249" s="1">
        <v>37302</v>
      </c>
      <c r="E249">
        <v>5</v>
      </c>
      <c r="F249">
        <v>1</v>
      </c>
      <c r="G249" t="s">
        <v>753</v>
      </c>
      <c r="H249">
        <v>5</v>
      </c>
    </row>
    <row r="250" spans="1:8" x14ac:dyDescent="0.25">
      <c r="A250" t="s">
        <v>754</v>
      </c>
      <c r="B250" t="s">
        <v>755</v>
      </c>
      <c r="C250" t="s">
        <v>14</v>
      </c>
      <c r="D250" s="1">
        <v>37936</v>
      </c>
      <c r="E250">
        <v>2</v>
      </c>
      <c r="F250">
        <v>1</v>
      </c>
      <c r="G250" t="s">
        <v>756</v>
      </c>
      <c r="H250">
        <v>2</v>
      </c>
    </row>
    <row r="251" spans="1:8" x14ac:dyDescent="0.25">
      <c r="A251" t="s">
        <v>757</v>
      </c>
      <c r="B251" t="s">
        <v>758</v>
      </c>
      <c r="C251" t="s">
        <v>14</v>
      </c>
      <c r="D251" s="1">
        <v>42615</v>
      </c>
      <c r="E251">
        <v>2</v>
      </c>
      <c r="F251">
        <v>1</v>
      </c>
      <c r="G251" t="s">
        <v>759</v>
      </c>
      <c r="H251">
        <v>2</v>
      </c>
    </row>
    <row r="252" spans="1:8" x14ac:dyDescent="0.25">
      <c r="A252" t="s">
        <v>760</v>
      </c>
      <c r="B252" t="s">
        <v>761</v>
      </c>
      <c r="C252" t="s">
        <v>14</v>
      </c>
      <c r="D252" s="1">
        <v>44881</v>
      </c>
      <c r="E252">
        <v>1</v>
      </c>
      <c r="F252">
        <v>1</v>
      </c>
      <c r="G252" t="s">
        <v>762</v>
      </c>
      <c r="H252">
        <v>1</v>
      </c>
    </row>
    <row r="253" spans="1:8" x14ac:dyDescent="0.25">
      <c r="A253" t="s">
        <v>763</v>
      </c>
      <c r="B253" t="s">
        <v>764</v>
      </c>
      <c r="C253" t="s">
        <v>14</v>
      </c>
      <c r="D253" s="1">
        <v>36628</v>
      </c>
      <c r="E253">
        <v>10</v>
      </c>
      <c r="F253">
        <v>1</v>
      </c>
      <c r="G253" t="s">
        <v>765</v>
      </c>
      <c r="H253">
        <v>10</v>
      </c>
    </row>
    <row r="254" spans="1:8" x14ac:dyDescent="0.25">
      <c r="A254" t="s">
        <v>766</v>
      </c>
      <c r="B254" t="s">
        <v>767</v>
      </c>
      <c r="C254" t="s">
        <v>10</v>
      </c>
      <c r="D254" s="1">
        <v>38987</v>
      </c>
      <c r="E254">
        <v>10</v>
      </c>
      <c r="F254">
        <v>1</v>
      </c>
      <c r="G254" t="s">
        <v>768</v>
      </c>
      <c r="H254">
        <v>10</v>
      </c>
    </row>
    <row r="255" spans="1:8" x14ac:dyDescent="0.25">
      <c r="A255" t="s">
        <v>769</v>
      </c>
      <c r="B255" t="s">
        <v>770</v>
      </c>
      <c r="C255" t="s">
        <v>14</v>
      </c>
      <c r="D255" s="1">
        <v>38084</v>
      </c>
      <c r="E255">
        <v>5</v>
      </c>
      <c r="F255">
        <v>1</v>
      </c>
      <c r="G255" t="s">
        <v>771</v>
      </c>
      <c r="H255">
        <v>5</v>
      </c>
    </row>
    <row r="256" spans="1:8" x14ac:dyDescent="0.25">
      <c r="A256" t="s">
        <v>772</v>
      </c>
      <c r="B256" t="s">
        <v>773</v>
      </c>
      <c r="C256" t="s">
        <v>14</v>
      </c>
      <c r="D256" s="1">
        <v>35228</v>
      </c>
      <c r="E256">
        <v>10</v>
      </c>
      <c r="F256">
        <v>1</v>
      </c>
      <c r="G256" t="s">
        <v>774</v>
      </c>
      <c r="H256">
        <v>10</v>
      </c>
    </row>
    <row r="257" spans="1:8" x14ac:dyDescent="0.25">
      <c r="A257" t="s">
        <v>775</v>
      </c>
      <c r="B257" t="s">
        <v>776</v>
      </c>
      <c r="C257" t="s">
        <v>14</v>
      </c>
      <c r="D257" s="1">
        <v>35039</v>
      </c>
      <c r="E257">
        <v>10</v>
      </c>
      <c r="F257">
        <v>1</v>
      </c>
      <c r="G257" t="s">
        <v>777</v>
      </c>
      <c r="H257">
        <v>10</v>
      </c>
    </row>
    <row r="258" spans="1:8" x14ac:dyDescent="0.25">
      <c r="A258" t="s">
        <v>778</v>
      </c>
      <c r="B258" t="s">
        <v>779</v>
      </c>
      <c r="C258" t="s">
        <v>14</v>
      </c>
      <c r="D258" s="1">
        <v>34801</v>
      </c>
      <c r="E258">
        <v>10</v>
      </c>
      <c r="F258">
        <v>1</v>
      </c>
      <c r="G258" t="s">
        <v>780</v>
      </c>
      <c r="H258">
        <v>10</v>
      </c>
    </row>
    <row r="259" spans="1:8" x14ac:dyDescent="0.25">
      <c r="A259" t="s">
        <v>781</v>
      </c>
      <c r="B259" t="s">
        <v>782</v>
      </c>
      <c r="C259" t="s">
        <v>14</v>
      </c>
      <c r="D259" s="1">
        <v>39485</v>
      </c>
      <c r="E259">
        <v>1</v>
      </c>
      <c r="F259">
        <v>1</v>
      </c>
      <c r="G259" t="s">
        <v>783</v>
      </c>
      <c r="H259">
        <v>1</v>
      </c>
    </row>
    <row r="260" spans="1:8" x14ac:dyDescent="0.25">
      <c r="A260" t="s">
        <v>784</v>
      </c>
      <c r="B260" t="s">
        <v>785</v>
      </c>
      <c r="C260" t="s">
        <v>786</v>
      </c>
      <c r="D260" s="1">
        <v>42093</v>
      </c>
      <c r="E260">
        <v>1</v>
      </c>
      <c r="F260">
        <v>1</v>
      </c>
      <c r="G260" t="s">
        <v>787</v>
      </c>
      <c r="H260">
        <v>1</v>
      </c>
    </row>
    <row r="261" spans="1:8" x14ac:dyDescent="0.25">
      <c r="A261" t="s">
        <v>788</v>
      </c>
      <c r="B261" t="s">
        <v>789</v>
      </c>
      <c r="C261" t="s">
        <v>14</v>
      </c>
      <c r="D261" s="1">
        <v>45035</v>
      </c>
      <c r="E261">
        <v>10</v>
      </c>
      <c r="F261">
        <v>1</v>
      </c>
      <c r="G261" t="s">
        <v>790</v>
      </c>
      <c r="H261">
        <v>10</v>
      </c>
    </row>
    <row r="262" spans="1:8" x14ac:dyDescent="0.25">
      <c r="A262" t="s">
        <v>791</v>
      </c>
      <c r="B262" t="s">
        <v>792</v>
      </c>
      <c r="C262" t="s">
        <v>14</v>
      </c>
      <c r="D262" s="1">
        <v>36677</v>
      </c>
      <c r="E262">
        <v>1</v>
      </c>
      <c r="F262">
        <v>1</v>
      </c>
      <c r="G262" t="s">
        <v>793</v>
      </c>
      <c r="H262">
        <v>1</v>
      </c>
    </row>
    <row r="263" spans="1:8" x14ac:dyDescent="0.25">
      <c r="A263" t="s">
        <v>794</v>
      </c>
      <c r="B263" t="s">
        <v>795</v>
      </c>
      <c r="C263" t="s">
        <v>14</v>
      </c>
      <c r="D263" s="1">
        <v>40385</v>
      </c>
      <c r="E263">
        <v>1</v>
      </c>
      <c r="F263">
        <v>1</v>
      </c>
      <c r="G263" t="s">
        <v>796</v>
      </c>
      <c r="H263">
        <v>1</v>
      </c>
    </row>
    <row r="264" spans="1:8" x14ac:dyDescent="0.25">
      <c r="A264" t="s">
        <v>797</v>
      </c>
      <c r="B264" t="s">
        <v>798</v>
      </c>
      <c r="C264" t="s">
        <v>14</v>
      </c>
      <c r="D264" s="1">
        <v>38793</v>
      </c>
      <c r="E264">
        <v>1</v>
      </c>
      <c r="F264">
        <v>1</v>
      </c>
      <c r="G264" t="s">
        <v>799</v>
      </c>
      <c r="H264">
        <v>1</v>
      </c>
    </row>
    <row r="265" spans="1:8" x14ac:dyDescent="0.25">
      <c r="A265" t="s">
        <v>800</v>
      </c>
      <c r="B265" t="s">
        <v>801</v>
      </c>
      <c r="C265" t="s">
        <v>14</v>
      </c>
      <c r="D265" s="1">
        <v>42535</v>
      </c>
      <c r="E265">
        <v>1</v>
      </c>
      <c r="F265">
        <v>1</v>
      </c>
      <c r="G265" t="s">
        <v>802</v>
      </c>
      <c r="H265">
        <v>1</v>
      </c>
    </row>
    <row r="266" spans="1:8" x14ac:dyDescent="0.25">
      <c r="A266" t="s">
        <v>803</v>
      </c>
      <c r="B266" t="s">
        <v>804</v>
      </c>
      <c r="C266" t="s">
        <v>10</v>
      </c>
      <c r="D266" s="1">
        <v>35501</v>
      </c>
      <c r="E266">
        <v>2</v>
      </c>
      <c r="F266">
        <v>1</v>
      </c>
      <c r="G266" t="s">
        <v>805</v>
      </c>
      <c r="H266">
        <v>2</v>
      </c>
    </row>
    <row r="267" spans="1:8" x14ac:dyDescent="0.25">
      <c r="A267" t="s">
        <v>806</v>
      </c>
      <c r="B267" t="s">
        <v>807</v>
      </c>
      <c r="C267" t="s">
        <v>14</v>
      </c>
      <c r="D267" s="1">
        <v>37602</v>
      </c>
      <c r="E267">
        <v>10</v>
      </c>
      <c r="F267">
        <v>1</v>
      </c>
      <c r="G267" t="s">
        <v>808</v>
      </c>
      <c r="H267">
        <v>10</v>
      </c>
    </row>
    <row r="268" spans="1:8" x14ac:dyDescent="0.25">
      <c r="A268" t="s">
        <v>809</v>
      </c>
      <c r="B268" t="s">
        <v>810</v>
      </c>
      <c r="C268" t="s">
        <v>14</v>
      </c>
      <c r="D268" s="1">
        <v>45231</v>
      </c>
      <c r="E268">
        <v>2</v>
      </c>
      <c r="F268">
        <v>1</v>
      </c>
      <c r="G268" t="s">
        <v>811</v>
      </c>
      <c r="H268">
        <v>2</v>
      </c>
    </row>
    <row r="269" spans="1:8" x14ac:dyDescent="0.25">
      <c r="A269" t="s">
        <v>812</v>
      </c>
      <c r="B269" t="s">
        <v>813</v>
      </c>
      <c r="C269" t="s">
        <v>14</v>
      </c>
      <c r="D269" s="1">
        <v>36692</v>
      </c>
      <c r="E269">
        <v>2</v>
      </c>
      <c r="F269">
        <v>1</v>
      </c>
      <c r="G269" t="s">
        <v>814</v>
      </c>
      <c r="H269">
        <v>2</v>
      </c>
    </row>
    <row r="270" spans="1:8" x14ac:dyDescent="0.25">
      <c r="A270" t="s">
        <v>815</v>
      </c>
      <c r="B270" t="s">
        <v>816</v>
      </c>
      <c r="C270" t="s">
        <v>14</v>
      </c>
      <c r="D270" s="1">
        <v>40777</v>
      </c>
      <c r="E270">
        <v>2</v>
      </c>
      <c r="F270">
        <v>1</v>
      </c>
      <c r="G270" t="s">
        <v>817</v>
      </c>
      <c r="H270">
        <v>2</v>
      </c>
    </row>
    <row r="271" spans="1:8" x14ac:dyDescent="0.25">
      <c r="A271" t="s">
        <v>818</v>
      </c>
      <c r="B271" t="s">
        <v>819</v>
      </c>
      <c r="C271" t="s">
        <v>10</v>
      </c>
      <c r="D271" s="1">
        <v>44861</v>
      </c>
      <c r="E271">
        <v>10</v>
      </c>
      <c r="F271">
        <v>1</v>
      </c>
      <c r="G271" t="s">
        <v>820</v>
      </c>
      <c r="H271">
        <v>10</v>
      </c>
    </row>
    <row r="272" spans="1:8" x14ac:dyDescent="0.25">
      <c r="A272" t="s">
        <v>821</v>
      </c>
      <c r="B272" t="s">
        <v>822</v>
      </c>
      <c r="C272" t="s">
        <v>14</v>
      </c>
      <c r="D272" s="1">
        <v>34815</v>
      </c>
      <c r="E272">
        <v>2</v>
      </c>
      <c r="F272">
        <v>1</v>
      </c>
      <c r="G272" t="s">
        <v>823</v>
      </c>
      <c r="H272">
        <v>2</v>
      </c>
    </row>
    <row r="273" spans="1:8" x14ac:dyDescent="0.25">
      <c r="A273" t="s">
        <v>824</v>
      </c>
      <c r="B273" t="s">
        <v>825</v>
      </c>
      <c r="C273" t="s">
        <v>14</v>
      </c>
      <c r="D273" s="1">
        <v>44034</v>
      </c>
      <c r="E273">
        <v>1</v>
      </c>
      <c r="F273">
        <v>1</v>
      </c>
      <c r="G273" t="s">
        <v>826</v>
      </c>
      <c r="H273">
        <v>1</v>
      </c>
    </row>
    <row r="274" spans="1:8" x14ac:dyDescent="0.25">
      <c r="A274" t="s">
        <v>827</v>
      </c>
      <c r="B274" t="s">
        <v>828</v>
      </c>
      <c r="C274" t="s">
        <v>14</v>
      </c>
      <c r="D274" s="1">
        <v>43245</v>
      </c>
      <c r="E274">
        <v>1</v>
      </c>
      <c r="F274">
        <v>1</v>
      </c>
      <c r="G274" t="s">
        <v>829</v>
      </c>
      <c r="H274">
        <v>1</v>
      </c>
    </row>
    <row r="275" spans="1:8" x14ac:dyDescent="0.25">
      <c r="A275" t="s">
        <v>830</v>
      </c>
      <c r="B275" t="s">
        <v>831</v>
      </c>
      <c r="C275" t="s">
        <v>14</v>
      </c>
      <c r="D275" s="1">
        <v>37753</v>
      </c>
      <c r="E275">
        <v>10</v>
      </c>
      <c r="F275">
        <v>1</v>
      </c>
      <c r="G275" t="s">
        <v>832</v>
      </c>
      <c r="H275">
        <v>10</v>
      </c>
    </row>
    <row r="276" spans="1:8" x14ac:dyDescent="0.25">
      <c r="A276" t="s">
        <v>833</v>
      </c>
      <c r="B276" t="s">
        <v>834</v>
      </c>
      <c r="C276" t="s">
        <v>14</v>
      </c>
      <c r="D276" s="1">
        <v>34955</v>
      </c>
      <c r="E276">
        <v>10</v>
      </c>
      <c r="F276">
        <v>1</v>
      </c>
      <c r="G276" t="s">
        <v>835</v>
      </c>
      <c r="H276">
        <v>10</v>
      </c>
    </row>
    <row r="277" spans="1:8" x14ac:dyDescent="0.25">
      <c r="A277" t="s">
        <v>836</v>
      </c>
      <c r="B277" t="s">
        <v>837</v>
      </c>
      <c r="C277" t="s">
        <v>10</v>
      </c>
      <c r="D277" s="1">
        <v>34864</v>
      </c>
      <c r="E277">
        <v>10</v>
      </c>
      <c r="F277">
        <v>1</v>
      </c>
      <c r="G277" t="s">
        <v>838</v>
      </c>
      <c r="H277">
        <v>10</v>
      </c>
    </row>
    <row r="278" spans="1:8" x14ac:dyDescent="0.25">
      <c r="A278" t="s">
        <v>839</v>
      </c>
      <c r="B278" t="s">
        <v>840</v>
      </c>
      <c r="C278" t="s">
        <v>14</v>
      </c>
      <c r="D278" s="1">
        <v>39447</v>
      </c>
      <c r="E278">
        <v>10</v>
      </c>
      <c r="F278">
        <v>1</v>
      </c>
      <c r="G278" t="s">
        <v>841</v>
      </c>
      <c r="H278">
        <v>10</v>
      </c>
    </row>
    <row r="279" spans="1:8" x14ac:dyDescent="0.25">
      <c r="A279" t="s">
        <v>842</v>
      </c>
      <c r="B279" t="s">
        <v>843</v>
      </c>
      <c r="C279" t="s">
        <v>14</v>
      </c>
      <c r="D279" s="1">
        <v>36104</v>
      </c>
      <c r="E279">
        <v>1</v>
      </c>
      <c r="F279">
        <v>1</v>
      </c>
      <c r="G279" t="s">
        <v>844</v>
      </c>
      <c r="H279">
        <v>1</v>
      </c>
    </row>
    <row r="280" spans="1:8" x14ac:dyDescent="0.25">
      <c r="A280" t="s">
        <v>845</v>
      </c>
      <c r="B280" t="s">
        <v>846</v>
      </c>
      <c r="C280" t="s">
        <v>14</v>
      </c>
      <c r="D280" s="1">
        <v>42996</v>
      </c>
      <c r="E280">
        <v>10</v>
      </c>
      <c r="F280">
        <v>1</v>
      </c>
      <c r="G280" t="s">
        <v>847</v>
      </c>
      <c r="H280">
        <v>10</v>
      </c>
    </row>
    <row r="281" spans="1:8" x14ac:dyDescent="0.25">
      <c r="A281" t="s">
        <v>848</v>
      </c>
      <c r="B281" t="s">
        <v>849</v>
      </c>
      <c r="C281" t="s">
        <v>10</v>
      </c>
      <c r="D281" s="1">
        <v>40791</v>
      </c>
      <c r="E281">
        <v>10</v>
      </c>
      <c r="F281">
        <v>1</v>
      </c>
      <c r="G281" t="s">
        <v>850</v>
      </c>
      <c r="H281">
        <v>10</v>
      </c>
    </row>
    <row r="282" spans="1:8" x14ac:dyDescent="0.25">
      <c r="A282" t="s">
        <v>851</v>
      </c>
      <c r="B282" t="s">
        <v>852</v>
      </c>
      <c r="C282" t="s">
        <v>14</v>
      </c>
      <c r="D282" s="1">
        <v>42769</v>
      </c>
      <c r="E282">
        <v>2</v>
      </c>
      <c r="F282">
        <v>1</v>
      </c>
      <c r="G282" t="s">
        <v>853</v>
      </c>
      <c r="H282">
        <v>2</v>
      </c>
    </row>
    <row r="283" spans="1:8" x14ac:dyDescent="0.25">
      <c r="A283" t="s">
        <v>854</v>
      </c>
      <c r="B283" t="s">
        <v>855</v>
      </c>
      <c r="C283" t="s">
        <v>14</v>
      </c>
      <c r="D283" s="1">
        <v>44132</v>
      </c>
      <c r="E283">
        <v>1</v>
      </c>
      <c r="F283">
        <v>1</v>
      </c>
      <c r="G283" t="s">
        <v>856</v>
      </c>
      <c r="H283">
        <v>1</v>
      </c>
    </row>
    <row r="284" spans="1:8" x14ac:dyDescent="0.25">
      <c r="A284" t="s">
        <v>857</v>
      </c>
      <c r="B284" t="s">
        <v>858</v>
      </c>
      <c r="C284" t="s">
        <v>14</v>
      </c>
      <c r="D284" s="1">
        <v>34907</v>
      </c>
      <c r="E284">
        <v>10</v>
      </c>
      <c r="F284">
        <v>1</v>
      </c>
      <c r="G284" t="s">
        <v>859</v>
      </c>
      <c r="H284">
        <v>10</v>
      </c>
    </row>
    <row r="285" spans="1:8" x14ac:dyDescent="0.25">
      <c r="A285" t="s">
        <v>860</v>
      </c>
      <c r="B285" t="s">
        <v>861</v>
      </c>
      <c r="C285" t="s">
        <v>14</v>
      </c>
      <c r="D285" s="1">
        <v>36488</v>
      </c>
      <c r="E285">
        <v>2</v>
      </c>
      <c r="F285">
        <v>1</v>
      </c>
      <c r="G285" t="s">
        <v>862</v>
      </c>
      <c r="H285">
        <v>2</v>
      </c>
    </row>
    <row r="286" spans="1:8" x14ac:dyDescent="0.25">
      <c r="A286" t="s">
        <v>863</v>
      </c>
      <c r="B286" t="s">
        <v>864</v>
      </c>
      <c r="C286" t="s">
        <v>14</v>
      </c>
      <c r="D286" s="1">
        <v>44972</v>
      </c>
      <c r="E286">
        <v>10</v>
      </c>
      <c r="F286">
        <v>1</v>
      </c>
      <c r="G286" t="s">
        <v>865</v>
      </c>
      <c r="H286">
        <v>10</v>
      </c>
    </row>
    <row r="287" spans="1:8" x14ac:dyDescent="0.25">
      <c r="A287" t="s">
        <v>866</v>
      </c>
      <c r="B287" t="s">
        <v>867</v>
      </c>
      <c r="C287" t="s">
        <v>14</v>
      </c>
      <c r="D287" s="1">
        <v>39450</v>
      </c>
      <c r="E287">
        <v>10</v>
      </c>
      <c r="F287">
        <v>1</v>
      </c>
      <c r="G287" t="s">
        <v>868</v>
      </c>
      <c r="H287">
        <v>10</v>
      </c>
    </row>
    <row r="288" spans="1:8" x14ac:dyDescent="0.25">
      <c r="A288" t="s">
        <v>869</v>
      </c>
      <c r="B288" t="s">
        <v>870</v>
      </c>
      <c r="C288" t="s">
        <v>14</v>
      </c>
      <c r="D288" s="1">
        <v>41757</v>
      </c>
      <c r="E288">
        <v>10</v>
      </c>
      <c r="F288">
        <v>1</v>
      </c>
      <c r="G288" t="s">
        <v>871</v>
      </c>
      <c r="H288">
        <v>10</v>
      </c>
    </row>
    <row r="289" spans="1:8" x14ac:dyDescent="0.25">
      <c r="A289" t="s">
        <v>872</v>
      </c>
      <c r="B289" t="s">
        <v>873</v>
      </c>
      <c r="C289" t="s">
        <v>10</v>
      </c>
      <c r="D289" s="1">
        <v>39409</v>
      </c>
      <c r="E289">
        <v>10</v>
      </c>
      <c r="F289">
        <v>1</v>
      </c>
      <c r="G289" t="s">
        <v>874</v>
      </c>
      <c r="H289">
        <v>10</v>
      </c>
    </row>
    <row r="290" spans="1:8" x14ac:dyDescent="0.25">
      <c r="A290" t="s">
        <v>875</v>
      </c>
      <c r="B290" t="s">
        <v>876</v>
      </c>
      <c r="C290" t="s">
        <v>14</v>
      </c>
      <c r="D290" s="1">
        <v>42109</v>
      </c>
      <c r="E290">
        <v>10</v>
      </c>
      <c r="F290">
        <v>1</v>
      </c>
      <c r="G290" t="s">
        <v>877</v>
      </c>
      <c r="H290">
        <v>10</v>
      </c>
    </row>
    <row r="291" spans="1:8" x14ac:dyDescent="0.25">
      <c r="A291" t="s">
        <v>878</v>
      </c>
      <c r="B291" t="s">
        <v>879</v>
      </c>
      <c r="C291" t="s">
        <v>14</v>
      </c>
      <c r="D291" s="1">
        <v>36705</v>
      </c>
      <c r="E291">
        <v>10</v>
      </c>
      <c r="F291">
        <v>1</v>
      </c>
      <c r="G291" t="s">
        <v>880</v>
      </c>
      <c r="H291">
        <v>10</v>
      </c>
    </row>
    <row r="292" spans="1:8" x14ac:dyDescent="0.25">
      <c r="A292" t="s">
        <v>881</v>
      </c>
      <c r="B292" t="s">
        <v>882</v>
      </c>
      <c r="C292" t="s">
        <v>14</v>
      </c>
      <c r="D292" s="1">
        <v>42024</v>
      </c>
      <c r="E292">
        <v>1</v>
      </c>
      <c r="F292">
        <v>1</v>
      </c>
      <c r="G292" t="s">
        <v>883</v>
      </c>
      <c r="H292">
        <v>1</v>
      </c>
    </row>
    <row r="293" spans="1:8" x14ac:dyDescent="0.25">
      <c r="A293" t="s">
        <v>884</v>
      </c>
      <c r="B293" t="s">
        <v>885</v>
      </c>
      <c r="C293" t="s">
        <v>14</v>
      </c>
      <c r="D293" s="1">
        <v>44690</v>
      </c>
      <c r="E293">
        <v>5</v>
      </c>
      <c r="F293">
        <v>1</v>
      </c>
      <c r="G293" t="s">
        <v>886</v>
      </c>
      <c r="H293">
        <v>5</v>
      </c>
    </row>
    <row r="294" spans="1:8" x14ac:dyDescent="0.25">
      <c r="A294" t="s">
        <v>887</v>
      </c>
      <c r="B294" t="s">
        <v>888</v>
      </c>
      <c r="C294" t="s">
        <v>14</v>
      </c>
      <c r="D294" s="1">
        <v>44323</v>
      </c>
      <c r="E294">
        <v>10</v>
      </c>
      <c r="F294">
        <v>1</v>
      </c>
      <c r="G294" t="s">
        <v>889</v>
      </c>
      <c r="H294">
        <v>10</v>
      </c>
    </row>
    <row r="295" spans="1:8" x14ac:dyDescent="0.25">
      <c r="A295" t="s">
        <v>890</v>
      </c>
      <c r="B295" t="s">
        <v>891</v>
      </c>
      <c r="C295" t="s">
        <v>14</v>
      </c>
      <c r="D295" s="1">
        <v>37613</v>
      </c>
      <c r="E295">
        <v>10</v>
      </c>
      <c r="F295">
        <v>1</v>
      </c>
      <c r="G295" t="s">
        <v>892</v>
      </c>
      <c r="H295">
        <v>10</v>
      </c>
    </row>
    <row r="296" spans="1:8" x14ac:dyDescent="0.25">
      <c r="A296" t="s">
        <v>893</v>
      </c>
      <c r="B296" t="s">
        <v>894</v>
      </c>
      <c r="C296" t="s">
        <v>14</v>
      </c>
      <c r="D296" s="1">
        <v>34829</v>
      </c>
      <c r="E296">
        <v>2</v>
      </c>
      <c r="F296">
        <v>1</v>
      </c>
      <c r="G296" t="s">
        <v>895</v>
      </c>
      <c r="H296">
        <v>2</v>
      </c>
    </row>
    <row r="297" spans="1:8" x14ac:dyDescent="0.25">
      <c r="A297" t="s">
        <v>896</v>
      </c>
      <c r="B297" t="s">
        <v>897</v>
      </c>
      <c r="C297" t="s">
        <v>14</v>
      </c>
      <c r="D297" s="1">
        <v>40463</v>
      </c>
      <c r="E297">
        <v>2</v>
      </c>
      <c r="F297">
        <v>1</v>
      </c>
      <c r="G297" t="s">
        <v>898</v>
      </c>
      <c r="H297">
        <v>2</v>
      </c>
    </row>
    <row r="298" spans="1:8" x14ac:dyDescent="0.25">
      <c r="A298" t="s">
        <v>899</v>
      </c>
      <c r="B298" t="s">
        <v>900</v>
      </c>
      <c r="C298" t="s">
        <v>14</v>
      </c>
      <c r="D298" s="1">
        <v>43003</v>
      </c>
      <c r="E298">
        <v>10</v>
      </c>
      <c r="F298">
        <v>1</v>
      </c>
      <c r="G298" t="s">
        <v>901</v>
      </c>
      <c r="H298">
        <v>10</v>
      </c>
    </row>
    <row r="299" spans="1:8" x14ac:dyDescent="0.25">
      <c r="A299" t="s">
        <v>902</v>
      </c>
      <c r="B299" t="s">
        <v>903</v>
      </c>
      <c r="C299" t="s">
        <v>14</v>
      </c>
      <c r="D299" s="1">
        <v>41813</v>
      </c>
      <c r="E299">
        <v>2</v>
      </c>
      <c r="F299">
        <v>1</v>
      </c>
      <c r="G299" t="s">
        <v>904</v>
      </c>
      <c r="H299">
        <v>2</v>
      </c>
    </row>
    <row r="300" spans="1:8" x14ac:dyDescent="0.25">
      <c r="A300" t="s">
        <v>905</v>
      </c>
      <c r="B300" t="s">
        <v>906</v>
      </c>
      <c r="C300" t="s">
        <v>14</v>
      </c>
      <c r="D300" s="1">
        <v>42751</v>
      </c>
      <c r="E300">
        <v>10</v>
      </c>
      <c r="F300">
        <v>1</v>
      </c>
      <c r="G300" t="s">
        <v>907</v>
      </c>
      <c r="H300">
        <v>10</v>
      </c>
    </row>
    <row r="301" spans="1:8" x14ac:dyDescent="0.25">
      <c r="A301" t="s">
        <v>908</v>
      </c>
      <c r="B301" t="s">
        <v>909</v>
      </c>
      <c r="C301" t="s">
        <v>14</v>
      </c>
      <c r="D301" s="1">
        <v>35158</v>
      </c>
      <c r="E301">
        <v>1</v>
      </c>
      <c r="F301">
        <v>1</v>
      </c>
      <c r="G301" t="s">
        <v>910</v>
      </c>
      <c r="H301">
        <v>1</v>
      </c>
    </row>
    <row r="302" spans="1:8" x14ac:dyDescent="0.25">
      <c r="A302" t="s">
        <v>911</v>
      </c>
      <c r="B302" t="s">
        <v>912</v>
      </c>
      <c r="C302" t="s">
        <v>14</v>
      </c>
      <c r="D302" s="1">
        <v>40457</v>
      </c>
      <c r="E302">
        <v>10</v>
      </c>
      <c r="F302">
        <v>1</v>
      </c>
      <c r="G302" t="s">
        <v>913</v>
      </c>
      <c r="H302">
        <v>10</v>
      </c>
    </row>
    <row r="303" spans="1:8" x14ac:dyDescent="0.25">
      <c r="A303" t="s">
        <v>914</v>
      </c>
      <c r="B303" t="s">
        <v>915</v>
      </c>
      <c r="C303" t="s">
        <v>14</v>
      </c>
      <c r="D303" s="1">
        <v>41269</v>
      </c>
      <c r="E303">
        <v>10</v>
      </c>
      <c r="F303">
        <v>1</v>
      </c>
      <c r="G303" t="s">
        <v>916</v>
      </c>
      <c r="H303">
        <v>10</v>
      </c>
    </row>
    <row r="304" spans="1:8" x14ac:dyDescent="0.25">
      <c r="A304" t="s">
        <v>917</v>
      </c>
      <c r="B304" t="s">
        <v>918</v>
      </c>
      <c r="C304" t="s">
        <v>14</v>
      </c>
      <c r="D304" s="1">
        <v>44428</v>
      </c>
      <c r="E304">
        <v>10</v>
      </c>
      <c r="F304">
        <v>1</v>
      </c>
      <c r="G304" t="s">
        <v>919</v>
      </c>
      <c r="H304">
        <v>10</v>
      </c>
    </row>
    <row r="305" spans="1:8" x14ac:dyDescent="0.25">
      <c r="A305" t="s">
        <v>920</v>
      </c>
      <c r="B305" t="s">
        <v>921</v>
      </c>
      <c r="C305" t="s">
        <v>14</v>
      </c>
      <c r="D305" s="1">
        <v>44210</v>
      </c>
      <c r="E305">
        <v>2</v>
      </c>
      <c r="F305">
        <v>1</v>
      </c>
      <c r="G305" t="s">
        <v>922</v>
      </c>
      <c r="H305">
        <v>2</v>
      </c>
    </row>
    <row r="306" spans="1:8" x14ac:dyDescent="0.25">
      <c r="A306" t="s">
        <v>923</v>
      </c>
      <c r="B306" t="s">
        <v>924</v>
      </c>
      <c r="C306" t="s">
        <v>14</v>
      </c>
      <c r="D306" s="1">
        <v>41712</v>
      </c>
      <c r="E306">
        <v>5</v>
      </c>
      <c r="F306">
        <v>1</v>
      </c>
      <c r="G306" t="s">
        <v>925</v>
      </c>
      <c r="H306">
        <v>5</v>
      </c>
    </row>
    <row r="307" spans="1:8" x14ac:dyDescent="0.25">
      <c r="A307" t="s">
        <v>926</v>
      </c>
      <c r="B307" t="s">
        <v>927</v>
      </c>
      <c r="C307" t="s">
        <v>10</v>
      </c>
      <c r="D307" s="1">
        <v>42038</v>
      </c>
      <c r="E307">
        <v>2</v>
      </c>
      <c r="F307">
        <v>1</v>
      </c>
      <c r="G307" t="s">
        <v>928</v>
      </c>
      <c r="H307">
        <v>2</v>
      </c>
    </row>
    <row r="308" spans="1:8" x14ac:dyDescent="0.25">
      <c r="A308" t="s">
        <v>929</v>
      </c>
      <c r="B308" t="s">
        <v>930</v>
      </c>
      <c r="C308" t="s">
        <v>14</v>
      </c>
      <c r="D308" s="1">
        <v>38145</v>
      </c>
      <c r="E308">
        <v>2</v>
      </c>
      <c r="F308">
        <v>1</v>
      </c>
      <c r="G308" t="s">
        <v>931</v>
      </c>
      <c r="H308">
        <v>2</v>
      </c>
    </row>
    <row r="309" spans="1:8" x14ac:dyDescent="0.25">
      <c r="A309" t="s">
        <v>932</v>
      </c>
      <c r="B309" t="s">
        <v>933</v>
      </c>
      <c r="C309" t="s">
        <v>14</v>
      </c>
      <c r="D309" s="1">
        <v>42916</v>
      </c>
      <c r="E309">
        <v>10</v>
      </c>
      <c r="F309">
        <v>1</v>
      </c>
      <c r="G309" t="s">
        <v>934</v>
      </c>
      <c r="H309">
        <v>10</v>
      </c>
    </row>
    <row r="310" spans="1:8" x14ac:dyDescent="0.25">
      <c r="A310" t="s">
        <v>935</v>
      </c>
      <c r="B310" t="s">
        <v>936</v>
      </c>
      <c r="C310" t="s">
        <v>14</v>
      </c>
      <c r="D310" s="1">
        <v>39479</v>
      </c>
      <c r="E310">
        <v>10</v>
      </c>
      <c r="F310">
        <v>1</v>
      </c>
      <c r="G310" t="s">
        <v>937</v>
      </c>
      <c r="H310">
        <v>10</v>
      </c>
    </row>
    <row r="311" spans="1:8" x14ac:dyDescent="0.25">
      <c r="A311" t="s">
        <v>938</v>
      </c>
      <c r="B311" t="s">
        <v>939</v>
      </c>
      <c r="C311" t="s">
        <v>10</v>
      </c>
      <c r="D311" s="1">
        <v>38729</v>
      </c>
      <c r="E311">
        <v>10</v>
      </c>
      <c r="F311">
        <v>1</v>
      </c>
      <c r="G311" t="s">
        <v>940</v>
      </c>
      <c r="H311">
        <v>10</v>
      </c>
    </row>
    <row r="312" spans="1:8" x14ac:dyDescent="0.25">
      <c r="A312" t="s">
        <v>941</v>
      </c>
      <c r="B312" t="s">
        <v>942</v>
      </c>
      <c r="C312" t="s">
        <v>14</v>
      </c>
      <c r="D312" s="1">
        <v>45236</v>
      </c>
      <c r="E312">
        <v>5</v>
      </c>
      <c r="F312">
        <v>1</v>
      </c>
      <c r="G312" t="s">
        <v>943</v>
      </c>
      <c r="H312">
        <v>5</v>
      </c>
    </row>
    <row r="313" spans="1:8" x14ac:dyDescent="0.25">
      <c r="A313" t="s">
        <v>944</v>
      </c>
      <c r="B313" t="s">
        <v>945</v>
      </c>
      <c r="C313" t="s">
        <v>14</v>
      </c>
      <c r="D313" s="1">
        <v>34829</v>
      </c>
      <c r="E313">
        <v>10</v>
      </c>
      <c r="F313">
        <v>1</v>
      </c>
      <c r="G313" t="s">
        <v>946</v>
      </c>
      <c r="H313">
        <v>10</v>
      </c>
    </row>
    <row r="314" spans="1:8" x14ac:dyDescent="0.25">
      <c r="A314" t="s">
        <v>947</v>
      </c>
      <c r="B314" t="s">
        <v>948</v>
      </c>
      <c r="C314" t="s">
        <v>10</v>
      </c>
      <c r="D314" s="1">
        <v>38188</v>
      </c>
      <c r="E314">
        <v>1</v>
      </c>
      <c r="F314">
        <v>1</v>
      </c>
      <c r="G314" t="s">
        <v>949</v>
      </c>
      <c r="H314">
        <v>1</v>
      </c>
    </row>
    <row r="315" spans="1:8" x14ac:dyDescent="0.25">
      <c r="A315" t="s">
        <v>950</v>
      </c>
      <c r="B315" t="s">
        <v>951</v>
      </c>
      <c r="C315" t="s">
        <v>14</v>
      </c>
      <c r="D315" s="1">
        <v>39315</v>
      </c>
      <c r="E315">
        <v>10</v>
      </c>
      <c r="F315">
        <v>1</v>
      </c>
      <c r="G315" t="s">
        <v>952</v>
      </c>
      <c r="H315">
        <v>10</v>
      </c>
    </row>
    <row r="316" spans="1:8" x14ac:dyDescent="0.25">
      <c r="A316" t="s">
        <v>953</v>
      </c>
      <c r="B316" t="s">
        <v>954</v>
      </c>
      <c r="C316" t="s">
        <v>14</v>
      </c>
      <c r="D316" s="1">
        <v>43194</v>
      </c>
      <c r="E316">
        <v>1</v>
      </c>
      <c r="F316">
        <v>1</v>
      </c>
      <c r="G316" t="s">
        <v>955</v>
      </c>
      <c r="H316">
        <v>1</v>
      </c>
    </row>
    <row r="317" spans="1:8" x14ac:dyDescent="0.25">
      <c r="A317" t="s">
        <v>956</v>
      </c>
      <c r="B317" t="s">
        <v>957</v>
      </c>
      <c r="C317" t="s">
        <v>10</v>
      </c>
      <c r="D317" s="1">
        <v>39360</v>
      </c>
      <c r="E317">
        <v>10</v>
      </c>
      <c r="F317">
        <v>1</v>
      </c>
      <c r="G317" t="s">
        <v>958</v>
      </c>
      <c r="H317">
        <v>10</v>
      </c>
    </row>
    <row r="318" spans="1:8" x14ac:dyDescent="0.25">
      <c r="A318" t="s">
        <v>959</v>
      </c>
      <c r="B318" t="s">
        <v>960</v>
      </c>
      <c r="C318" t="s">
        <v>14</v>
      </c>
      <c r="D318" s="1">
        <v>38799</v>
      </c>
      <c r="E318">
        <v>1</v>
      </c>
      <c r="F318">
        <v>1</v>
      </c>
      <c r="G318" t="s">
        <v>961</v>
      </c>
      <c r="H318">
        <v>1</v>
      </c>
    </row>
    <row r="319" spans="1:8" x14ac:dyDescent="0.25">
      <c r="A319" t="s">
        <v>962</v>
      </c>
      <c r="B319" t="s">
        <v>963</v>
      </c>
      <c r="C319" t="s">
        <v>14</v>
      </c>
      <c r="D319" s="1">
        <v>37799</v>
      </c>
      <c r="E319">
        <v>10</v>
      </c>
      <c r="F319">
        <v>1</v>
      </c>
      <c r="G319" t="s">
        <v>964</v>
      </c>
      <c r="H319">
        <v>10</v>
      </c>
    </row>
    <row r="320" spans="1:8" x14ac:dyDescent="0.25">
      <c r="A320" t="s">
        <v>965</v>
      </c>
      <c r="B320" t="s">
        <v>966</v>
      </c>
      <c r="C320" t="s">
        <v>14</v>
      </c>
      <c r="D320" s="1">
        <v>39388</v>
      </c>
      <c r="E320">
        <v>5</v>
      </c>
      <c r="F320">
        <v>1</v>
      </c>
      <c r="G320" t="s">
        <v>967</v>
      </c>
      <c r="H320">
        <v>5</v>
      </c>
    </row>
    <row r="321" spans="1:8" x14ac:dyDescent="0.25">
      <c r="A321" t="s">
        <v>968</v>
      </c>
      <c r="B321" t="s">
        <v>969</v>
      </c>
      <c r="C321" t="s">
        <v>10</v>
      </c>
      <c r="D321" s="1">
        <v>41451</v>
      </c>
      <c r="E321">
        <v>10</v>
      </c>
      <c r="F321">
        <v>1</v>
      </c>
      <c r="G321" t="s">
        <v>970</v>
      </c>
      <c r="H321">
        <v>10</v>
      </c>
    </row>
    <row r="322" spans="1:8" x14ac:dyDescent="0.25">
      <c r="A322" t="s">
        <v>971</v>
      </c>
      <c r="B322" t="s">
        <v>972</v>
      </c>
      <c r="C322" t="s">
        <v>14</v>
      </c>
      <c r="D322" s="1">
        <v>34738</v>
      </c>
      <c r="E322">
        <v>1</v>
      </c>
      <c r="F322">
        <v>1</v>
      </c>
      <c r="G322" t="s">
        <v>973</v>
      </c>
      <c r="H322">
        <v>1</v>
      </c>
    </row>
    <row r="323" spans="1:8" x14ac:dyDescent="0.25">
      <c r="A323" t="s">
        <v>974</v>
      </c>
      <c r="B323" t="s">
        <v>975</v>
      </c>
      <c r="C323" t="s">
        <v>14</v>
      </c>
      <c r="D323" s="1">
        <v>40480</v>
      </c>
      <c r="E323">
        <v>2</v>
      </c>
      <c r="F323">
        <v>1</v>
      </c>
      <c r="G323" t="s">
        <v>976</v>
      </c>
      <c r="H323">
        <v>2</v>
      </c>
    </row>
    <row r="324" spans="1:8" x14ac:dyDescent="0.25">
      <c r="A324" t="s">
        <v>977</v>
      </c>
      <c r="B324" t="s">
        <v>978</v>
      </c>
      <c r="C324" t="s">
        <v>14</v>
      </c>
      <c r="D324" s="1">
        <v>34759</v>
      </c>
      <c r="E324">
        <v>2</v>
      </c>
      <c r="F324">
        <v>1</v>
      </c>
      <c r="G324" t="s">
        <v>979</v>
      </c>
      <c r="H324">
        <v>2</v>
      </c>
    </row>
    <row r="325" spans="1:8" x14ac:dyDescent="0.25">
      <c r="A325" t="s">
        <v>980</v>
      </c>
      <c r="B325" t="s">
        <v>981</v>
      </c>
      <c r="C325" t="s">
        <v>14</v>
      </c>
      <c r="D325" s="1">
        <v>43503</v>
      </c>
      <c r="E325">
        <v>10</v>
      </c>
      <c r="F325">
        <v>1</v>
      </c>
      <c r="G325" t="s">
        <v>982</v>
      </c>
      <c r="H325">
        <v>10</v>
      </c>
    </row>
    <row r="326" spans="1:8" x14ac:dyDescent="0.25">
      <c r="A326" t="s">
        <v>983</v>
      </c>
      <c r="B326" t="s">
        <v>984</v>
      </c>
      <c r="C326" t="s">
        <v>14</v>
      </c>
      <c r="D326" s="1">
        <v>34864</v>
      </c>
      <c r="E326">
        <v>10</v>
      </c>
      <c r="F326">
        <v>1</v>
      </c>
      <c r="G326" t="s">
        <v>985</v>
      </c>
      <c r="H326">
        <v>10</v>
      </c>
    </row>
    <row r="327" spans="1:8" x14ac:dyDescent="0.25">
      <c r="A327" t="s">
        <v>986</v>
      </c>
      <c r="B327" t="s">
        <v>987</v>
      </c>
      <c r="C327" t="s">
        <v>14</v>
      </c>
      <c r="D327" s="1">
        <v>43789</v>
      </c>
      <c r="E327">
        <v>5</v>
      </c>
      <c r="F327">
        <v>1</v>
      </c>
      <c r="G327" t="s">
        <v>988</v>
      </c>
      <c r="H327">
        <v>5</v>
      </c>
    </row>
    <row r="328" spans="1:8" x14ac:dyDescent="0.25">
      <c r="A328" t="s">
        <v>989</v>
      </c>
      <c r="B328" t="s">
        <v>990</v>
      </c>
      <c r="C328" t="s">
        <v>14</v>
      </c>
      <c r="D328" s="1">
        <v>44105</v>
      </c>
      <c r="E328">
        <v>10</v>
      </c>
      <c r="F328">
        <v>1</v>
      </c>
      <c r="G328" t="s">
        <v>991</v>
      </c>
      <c r="H328">
        <v>10</v>
      </c>
    </row>
    <row r="329" spans="1:8" x14ac:dyDescent="0.25">
      <c r="A329" t="s">
        <v>992</v>
      </c>
      <c r="B329" t="s">
        <v>993</v>
      </c>
      <c r="C329" t="s">
        <v>14</v>
      </c>
      <c r="D329" s="1">
        <v>43215</v>
      </c>
      <c r="E329">
        <v>10</v>
      </c>
      <c r="F329">
        <v>1</v>
      </c>
      <c r="G329" t="s">
        <v>994</v>
      </c>
      <c r="H329">
        <v>10</v>
      </c>
    </row>
    <row r="330" spans="1:8" x14ac:dyDescent="0.25">
      <c r="A330" t="s">
        <v>995</v>
      </c>
      <c r="B330" t="s">
        <v>996</v>
      </c>
      <c r="C330" t="s">
        <v>14</v>
      </c>
      <c r="D330" s="1">
        <v>44432</v>
      </c>
      <c r="E330">
        <v>5</v>
      </c>
      <c r="F330">
        <v>1</v>
      </c>
      <c r="G330" t="s">
        <v>997</v>
      </c>
      <c r="H330">
        <v>5</v>
      </c>
    </row>
    <row r="331" spans="1:8" x14ac:dyDescent="0.25">
      <c r="A331" t="s">
        <v>998</v>
      </c>
      <c r="B331" t="s">
        <v>999</v>
      </c>
      <c r="C331" t="s">
        <v>14</v>
      </c>
      <c r="D331" s="1">
        <v>36684</v>
      </c>
      <c r="E331">
        <v>10</v>
      </c>
      <c r="F331">
        <v>1</v>
      </c>
      <c r="G331" t="s">
        <v>1000</v>
      </c>
      <c r="H331">
        <v>10</v>
      </c>
    </row>
    <row r="332" spans="1:8" x14ac:dyDescent="0.25">
      <c r="A332" t="s">
        <v>1001</v>
      </c>
      <c r="B332" t="s">
        <v>1002</v>
      </c>
      <c r="C332" t="s">
        <v>14</v>
      </c>
      <c r="D332" s="1">
        <v>44732</v>
      </c>
      <c r="E332">
        <v>10</v>
      </c>
      <c r="F332">
        <v>1</v>
      </c>
      <c r="G332" t="s">
        <v>1003</v>
      </c>
      <c r="H332">
        <v>10</v>
      </c>
    </row>
    <row r="333" spans="1:8" x14ac:dyDescent="0.25">
      <c r="A333" t="s">
        <v>1004</v>
      </c>
      <c r="B333" t="s">
        <v>1005</v>
      </c>
      <c r="C333" t="s">
        <v>14</v>
      </c>
      <c r="D333" s="1">
        <v>44659</v>
      </c>
      <c r="E333">
        <v>10</v>
      </c>
      <c r="F333">
        <v>1</v>
      </c>
      <c r="G333" t="s">
        <v>1006</v>
      </c>
      <c r="H333">
        <v>10</v>
      </c>
    </row>
    <row r="334" spans="1:8" x14ac:dyDescent="0.25">
      <c r="A334" t="s">
        <v>1007</v>
      </c>
      <c r="B334" t="s">
        <v>1008</v>
      </c>
      <c r="C334" t="s">
        <v>14</v>
      </c>
      <c r="D334" s="1">
        <v>35200</v>
      </c>
      <c r="E334">
        <v>2</v>
      </c>
      <c r="F334">
        <v>1</v>
      </c>
      <c r="G334" t="s">
        <v>1009</v>
      </c>
      <c r="H334">
        <v>2</v>
      </c>
    </row>
    <row r="335" spans="1:8" x14ac:dyDescent="0.25">
      <c r="A335" t="s">
        <v>1010</v>
      </c>
      <c r="B335" t="s">
        <v>1011</v>
      </c>
      <c r="C335" t="s">
        <v>14</v>
      </c>
      <c r="D335" s="1">
        <v>43003</v>
      </c>
      <c r="E335">
        <v>1</v>
      </c>
      <c r="F335">
        <v>1</v>
      </c>
      <c r="G335" t="s">
        <v>1012</v>
      </c>
      <c r="H335">
        <v>1</v>
      </c>
    </row>
    <row r="336" spans="1:8" x14ac:dyDescent="0.25">
      <c r="A336" t="s">
        <v>1013</v>
      </c>
      <c r="B336" t="s">
        <v>1014</v>
      </c>
      <c r="C336" t="s">
        <v>14</v>
      </c>
      <c r="D336" s="1">
        <v>39324</v>
      </c>
      <c r="E336">
        <v>10</v>
      </c>
      <c r="F336">
        <v>1</v>
      </c>
      <c r="G336" t="s">
        <v>1015</v>
      </c>
      <c r="H336">
        <v>10</v>
      </c>
    </row>
    <row r="337" spans="1:8" x14ac:dyDescent="0.25">
      <c r="A337" t="s">
        <v>1016</v>
      </c>
      <c r="B337" t="s">
        <v>1017</v>
      </c>
      <c r="C337" t="s">
        <v>14</v>
      </c>
      <c r="D337" s="1">
        <v>41925</v>
      </c>
      <c r="E337">
        <v>10</v>
      </c>
      <c r="F337">
        <v>1</v>
      </c>
      <c r="G337" t="s">
        <v>1018</v>
      </c>
      <c r="H337">
        <v>10</v>
      </c>
    </row>
    <row r="338" spans="1:8" x14ac:dyDescent="0.25">
      <c r="A338" t="s">
        <v>1019</v>
      </c>
      <c r="B338" t="s">
        <v>1020</v>
      </c>
      <c r="C338" t="s">
        <v>10</v>
      </c>
      <c r="D338" s="1">
        <v>41073</v>
      </c>
      <c r="E338">
        <v>5</v>
      </c>
      <c r="F338">
        <v>1</v>
      </c>
      <c r="G338" t="s">
        <v>1021</v>
      </c>
      <c r="H338">
        <v>5</v>
      </c>
    </row>
    <row r="339" spans="1:8" x14ac:dyDescent="0.25">
      <c r="A339" t="s">
        <v>1022</v>
      </c>
      <c r="B339" t="s">
        <v>1023</v>
      </c>
      <c r="C339" t="s">
        <v>10</v>
      </c>
      <c r="D339" s="1">
        <v>36648</v>
      </c>
      <c r="E339">
        <v>2</v>
      </c>
      <c r="F339">
        <v>1</v>
      </c>
      <c r="G339" t="s">
        <v>1024</v>
      </c>
      <c r="H339">
        <v>2</v>
      </c>
    </row>
    <row r="340" spans="1:8" x14ac:dyDescent="0.25">
      <c r="A340" t="s">
        <v>1025</v>
      </c>
      <c r="B340" t="s">
        <v>1026</v>
      </c>
      <c r="C340" t="s">
        <v>14</v>
      </c>
      <c r="D340" s="1">
        <v>34738</v>
      </c>
      <c r="E340">
        <v>2</v>
      </c>
      <c r="F340">
        <v>1</v>
      </c>
      <c r="G340" t="s">
        <v>1027</v>
      </c>
      <c r="H340">
        <v>2</v>
      </c>
    </row>
    <row r="341" spans="1:8" x14ac:dyDescent="0.25">
      <c r="A341" t="s">
        <v>1028</v>
      </c>
      <c r="B341" t="s">
        <v>1029</v>
      </c>
      <c r="C341" t="s">
        <v>14</v>
      </c>
      <c r="D341" s="1">
        <v>44396</v>
      </c>
      <c r="E341">
        <v>1</v>
      </c>
      <c r="F341">
        <v>1</v>
      </c>
      <c r="G341" t="s">
        <v>1030</v>
      </c>
      <c r="H341">
        <v>1</v>
      </c>
    </row>
    <row r="342" spans="1:8" x14ac:dyDescent="0.25">
      <c r="A342" t="s">
        <v>1031</v>
      </c>
      <c r="B342" t="s">
        <v>1032</v>
      </c>
      <c r="C342" t="s">
        <v>14</v>
      </c>
      <c r="D342" s="1">
        <v>42825</v>
      </c>
      <c r="E342">
        <v>5</v>
      </c>
      <c r="F342">
        <v>1</v>
      </c>
      <c r="G342" t="s">
        <v>1033</v>
      </c>
      <c r="H342">
        <v>5</v>
      </c>
    </row>
    <row r="343" spans="1:8" x14ac:dyDescent="0.25">
      <c r="A343" t="s">
        <v>1034</v>
      </c>
      <c r="B343" t="s">
        <v>1035</v>
      </c>
      <c r="C343" t="s">
        <v>14</v>
      </c>
      <c r="D343" s="1">
        <v>44328</v>
      </c>
      <c r="E343">
        <v>2</v>
      </c>
      <c r="F343">
        <v>1</v>
      </c>
      <c r="G343" t="s">
        <v>1036</v>
      </c>
      <c r="H343">
        <v>2</v>
      </c>
    </row>
    <row r="344" spans="1:8" x14ac:dyDescent="0.25">
      <c r="A344" t="s">
        <v>1037</v>
      </c>
      <c r="B344" t="s">
        <v>1038</v>
      </c>
      <c r="C344" t="s">
        <v>14</v>
      </c>
      <c r="D344" s="1">
        <v>44561</v>
      </c>
      <c r="E344">
        <v>10</v>
      </c>
      <c r="F344">
        <v>1</v>
      </c>
      <c r="G344" t="s">
        <v>1039</v>
      </c>
      <c r="H344">
        <v>10</v>
      </c>
    </row>
    <row r="345" spans="1:8" x14ac:dyDescent="0.25">
      <c r="A345" t="s">
        <v>1040</v>
      </c>
      <c r="B345" t="s">
        <v>1041</v>
      </c>
      <c r="C345" t="s">
        <v>14</v>
      </c>
      <c r="D345" s="1">
        <v>40486</v>
      </c>
      <c r="E345">
        <v>10</v>
      </c>
      <c r="F345">
        <v>1</v>
      </c>
      <c r="G345" t="s">
        <v>1042</v>
      </c>
      <c r="H345">
        <v>10</v>
      </c>
    </row>
    <row r="346" spans="1:8" x14ac:dyDescent="0.25">
      <c r="A346" t="s">
        <v>1043</v>
      </c>
      <c r="B346" t="s">
        <v>1044</v>
      </c>
      <c r="C346" t="s">
        <v>14</v>
      </c>
      <c r="D346" s="1">
        <v>44477</v>
      </c>
      <c r="E346">
        <v>10</v>
      </c>
      <c r="F346">
        <v>1</v>
      </c>
      <c r="G346" t="s">
        <v>1045</v>
      </c>
      <c r="H346">
        <v>10</v>
      </c>
    </row>
    <row r="347" spans="1:8" x14ac:dyDescent="0.25">
      <c r="A347" t="s">
        <v>1046</v>
      </c>
      <c r="B347" t="s">
        <v>1047</v>
      </c>
      <c r="C347" t="s">
        <v>14</v>
      </c>
      <c r="D347" s="1">
        <v>42958</v>
      </c>
      <c r="E347">
        <v>10</v>
      </c>
      <c r="F347">
        <v>1</v>
      </c>
      <c r="G347" t="s">
        <v>1048</v>
      </c>
      <c r="H347">
        <v>10</v>
      </c>
    </row>
    <row r="348" spans="1:8" x14ac:dyDescent="0.25">
      <c r="A348" t="s">
        <v>1049</v>
      </c>
      <c r="B348" t="s">
        <v>1050</v>
      </c>
      <c r="C348" t="s">
        <v>14</v>
      </c>
      <c r="D348" s="1">
        <v>42310</v>
      </c>
      <c r="E348">
        <v>10</v>
      </c>
      <c r="F348">
        <v>1</v>
      </c>
      <c r="G348" t="s">
        <v>1051</v>
      </c>
      <c r="H348">
        <v>10</v>
      </c>
    </row>
    <row r="349" spans="1:8" x14ac:dyDescent="0.25">
      <c r="A349" t="s">
        <v>1052</v>
      </c>
      <c r="B349" t="s">
        <v>1053</v>
      </c>
      <c r="C349" t="s">
        <v>14</v>
      </c>
      <c r="D349" s="1">
        <v>38229</v>
      </c>
      <c r="E349">
        <v>10</v>
      </c>
      <c r="F349">
        <v>1</v>
      </c>
      <c r="G349" t="s">
        <v>1054</v>
      </c>
      <c r="H349">
        <v>10</v>
      </c>
    </row>
    <row r="350" spans="1:8" x14ac:dyDescent="0.25">
      <c r="A350" t="s">
        <v>1055</v>
      </c>
      <c r="B350" t="s">
        <v>1056</v>
      </c>
      <c r="C350" t="s">
        <v>14</v>
      </c>
      <c r="D350" s="1">
        <v>39433</v>
      </c>
      <c r="E350">
        <v>1</v>
      </c>
      <c r="F350">
        <v>1</v>
      </c>
      <c r="G350" t="s">
        <v>1057</v>
      </c>
      <c r="H350">
        <v>1</v>
      </c>
    </row>
    <row r="351" spans="1:8" x14ac:dyDescent="0.25">
      <c r="A351" t="s">
        <v>1058</v>
      </c>
      <c r="B351" t="s">
        <v>1059</v>
      </c>
      <c r="C351" t="s">
        <v>786</v>
      </c>
      <c r="D351" s="1">
        <v>42558</v>
      </c>
      <c r="E351">
        <v>2</v>
      </c>
      <c r="F351">
        <v>1</v>
      </c>
      <c r="G351" t="s">
        <v>1060</v>
      </c>
      <c r="H351">
        <v>2</v>
      </c>
    </row>
    <row r="352" spans="1:8" x14ac:dyDescent="0.25">
      <c r="A352" t="s">
        <v>1061</v>
      </c>
      <c r="B352" t="s">
        <v>1062</v>
      </c>
      <c r="C352" t="s">
        <v>14</v>
      </c>
      <c r="D352" s="1">
        <v>40970</v>
      </c>
      <c r="E352">
        <v>2</v>
      </c>
      <c r="F352">
        <v>1</v>
      </c>
      <c r="G352" t="s">
        <v>1063</v>
      </c>
      <c r="H352">
        <v>2</v>
      </c>
    </row>
    <row r="353" spans="1:8" x14ac:dyDescent="0.25">
      <c r="A353" t="s">
        <v>1064</v>
      </c>
      <c r="B353" t="s">
        <v>1065</v>
      </c>
      <c r="C353" t="s">
        <v>14</v>
      </c>
      <c r="D353" s="1">
        <v>35557</v>
      </c>
      <c r="E353">
        <v>5</v>
      </c>
      <c r="F353">
        <v>1</v>
      </c>
      <c r="G353" t="s">
        <v>1066</v>
      </c>
      <c r="H353">
        <v>5</v>
      </c>
    </row>
    <row r="354" spans="1:8" x14ac:dyDescent="0.25">
      <c r="A354" t="s">
        <v>1067</v>
      </c>
      <c r="B354" t="s">
        <v>1068</v>
      </c>
      <c r="C354" t="s">
        <v>14</v>
      </c>
      <c r="D354" s="1">
        <v>45156</v>
      </c>
      <c r="E354">
        <v>1</v>
      </c>
      <c r="F354">
        <v>1</v>
      </c>
      <c r="G354" t="s">
        <v>1069</v>
      </c>
      <c r="H354">
        <v>1</v>
      </c>
    </row>
    <row r="355" spans="1:8" x14ac:dyDescent="0.25">
      <c r="A355" t="s">
        <v>1070</v>
      </c>
      <c r="B355" t="s">
        <v>1071</v>
      </c>
      <c r="C355" t="s">
        <v>14</v>
      </c>
      <c r="D355" s="1">
        <v>43629</v>
      </c>
      <c r="E355">
        <v>1</v>
      </c>
      <c r="F355">
        <v>1</v>
      </c>
      <c r="G355" t="s">
        <v>1072</v>
      </c>
      <c r="H355">
        <v>1</v>
      </c>
    </row>
    <row r="356" spans="1:8" x14ac:dyDescent="0.25">
      <c r="A356" t="s">
        <v>1073</v>
      </c>
      <c r="B356" t="s">
        <v>1074</v>
      </c>
      <c r="C356" t="s">
        <v>14</v>
      </c>
      <c r="D356" s="1">
        <v>38440</v>
      </c>
      <c r="E356">
        <v>10</v>
      </c>
      <c r="F356">
        <v>1</v>
      </c>
      <c r="G356" t="s">
        <v>1075</v>
      </c>
      <c r="H356">
        <v>10</v>
      </c>
    </row>
    <row r="357" spans="1:8" x14ac:dyDescent="0.25">
      <c r="A357" t="s">
        <v>1076</v>
      </c>
      <c r="B357" t="s">
        <v>1077</v>
      </c>
      <c r="C357" t="s">
        <v>14</v>
      </c>
      <c r="D357" s="1">
        <v>42545</v>
      </c>
      <c r="E357">
        <v>10</v>
      </c>
      <c r="F357">
        <v>1</v>
      </c>
      <c r="G357" t="s">
        <v>1078</v>
      </c>
      <c r="H357">
        <v>10</v>
      </c>
    </row>
    <row r="358" spans="1:8" x14ac:dyDescent="0.25">
      <c r="A358" t="s">
        <v>1079</v>
      </c>
      <c r="B358" t="s">
        <v>1080</v>
      </c>
      <c r="C358" t="s">
        <v>14</v>
      </c>
      <c r="D358" s="1">
        <v>35149</v>
      </c>
      <c r="E358">
        <v>2</v>
      </c>
      <c r="F358">
        <v>1</v>
      </c>
      <c r="G358" t="s">
        <v>1081</v>
      </c>
      <c r="H358">
        <v>2</v>
      </c>
    </row>
    <row r="359" spans="1:8" x14ac:dyDescent="0.25">
      <c r="A359" t="s">
        <v>1082</v>
      </c>
      <c r="B359" t="s">
        <v>1083</v>
      </c>
      <c r="C359" t="s">
        <v>14</v>
      </c>
      <c r="D359" s="1">
        <v>39491</v>
      </c>
      <c r="E359">
        <v>10</v>
      </c>
      <c r="F359">
        <v>1</v>
      </c>
      <c r="G359" t="s">
        <v>1084</v>
      </c>
      <c r="H359">
        <v>10</v>
      </c>
    </row>
    <row r="360" spans="1:8" x14ac:dyDescent="0.25">
      <c r="A360" t="s">
        <v>1085</v>
      </c>
      <c r="B360" t="s">
        <v>1086</v>
      </c>
      <c r="C360" t="s">
        <v>14</v>
      </c>
      <c r="D360" s="1">
        <v>34850</v>
      </c>
      <c r="E360">
        <v>1</v>
      </c>
      <c r="F360">
        <v>1</v>
      </c>
      <c r="G360" t="s">
        <v>1087</v>
      </c>
      <c r="H360">
        <v>1</v>
      </c>
    </row>
    <row r="361" spans="1:8" x14ac:dyDescent="0.25">
      <c r="A361" t="s">
        <v>1088</v>
      </c>
      <c r="B361" t="s">
        <v>1089</v>
      </c>
      <c r="C361" t="s">
        <v>14</v>
      </c>
      <c r="D361" s="1">
        <v>34844</v>
      </c>
      <c r="E361">
        <v>10</v>
      </c>
      <c r="F361">
        <v>1</v>
      </c>
      <c r="G361" t="s">
        <v>1090</v>
      </c>
      <c r="H361">
        <v>10</v>
      </c>
    </row>
    <row r="362" spans="1:8" x14ac:dyDescent="0.25">
      <c r="A362" t="s">
        <v>1091</v>
      </c>
      <c r="B362" t="s">
        <v>1092</v>
      </c>
      <c r="C362" t="s">
        <v>14</v>
      </c>
      <c r="D362" s="1">
        <v>39835</v>
      </c>
      <c r="E362">
        <v>1</v>
      </c>
      <c r="F362">
        <v>1</v>
      </c>
      <c r="G362" t="s">
        <v>1093</v>
      </c>
      <c r="H362">
        <v>1</v>
      </c>
    </row>
    <row r="363" spans="1:8" x14ac:dyDescent="0.25">
      <c r="A363" t="s">
        <v>1094</v>
      </c>
      <c r="B363" t="s">
        <v>1095</v>
      </c>
      <c r="C363" t="s">
        <v>14</v>
      </c>
      <c r="D363" s="1">
        <v>44280</v>
      </c>
      <c r="E363">
        <v>5</v>
      </c>
      <c r="F363">
        <v>1</v>
      </c>
      <c r="G363" t="s">
        <v>1096</v>
      </c>
      <c r="H363">
        <v>5</v>
      </c>
    </row>
    <row r="364" spans="1:8" x14ac:dyDescent="0.25">
      <c r="A364" t="s">
        <v>1097</v>
      </c>
      <c r="B364" t="s">
        <v>1098</v>
      </c>
      <c r="C364" t="s">
        <v>14</v>
      </c>
      <c r="D364" s="1">
        <v>43682</v>
      </c>
      <c r="E364">
        <v>10</v>
      </c>
      <c r="F364">
        <v>1</v>
      </c>
      <c r="G364" t="s">
        <v>1099</v>
      </c>
      <c r="H364">
        <v>10</v>
      </c>
    </row>
    <row r="365" spans="1:8" x14ac:dyDescent="0.25">
      <c r="A365" t="s">
        <v>1100</v>
      </c>
      <c r="B365" t="s">
        <v>1101</v>
      </c>
      <c r="C365" t="s">
        <v>14</v>
      </c>
      <c r="D365" s="1">
        <v>36880</v>
      </c>
      <c r="E365">
        <v>5</v>
      </c>
      <c r="F365">
        <v>1</v>
      </c>
      <c r="G365" t="s">
        <v>1102</v>
      </c>
      <c r="H365">
        <v>5</v>
      </c>
    </row>
    <row r="366" spans="1:8" x14ac:dyDescent="0.25">
      <c r="A366" t="s">
        <v>1103</v>
      </c>
      <c r="B366" t="s">
        <v>1104</v>
      </c>
      <c r="C366" t="s">
        <v>14</v>
      </c>
      <c r="D366" s="1">
        <v>43335</v>
      </c>
      <c r="E366">
        <v>10</v>
      </c>
      <c r="F366">
        <v>1</v>
      </c>
      <c r="G366" t="s">
        <v>1105</v>
      </c>
      <c r="H366">
        <v>10</v>
      </c>
    </row>
    <row r="367" spans="1:8" x14ac:dyDescent="0.25">
      <c r="A367" t="s">
        <v>1106</v>
      </c>
      <c r="B367" t="s">
        <v>1107</v>
      </c>
      <c r="C367" t="s">
        <v>14</v>
      </c>
      <c r="D367" s="1">
        <v>39078</v>
      </c>
      <c r="E367">
        <v>10</v>
      </c>
      <c r="F367">
        <v>1</v>
      </c>
      <c r="G367" t="s">
        <v>1108</v>
      </c>
      <c r="H367">
        <v>10</v>
      </c>
    </row>
    <row r="368" spans="1:8" x14ac:dyDescent="0.25">
      <c r="A368" t="s">
        <v>1109</v>
      </c>
      <c r="B368" t="s">
        <v>1110</v>
      </c>
      <c r="C368" t="s">
        <v>14</v>
      </c>
      <c r="D368" s="1">
        <v>34878</v>
      </c>
      <c r="E368">
        <v>1</v>
      </c>
      <c r="F368">
        <v>1</v>
      </c>
      <c r="G368" t="s">
        <v>1111</v>
      </c>
      <c r="H368">
        <v>1</v>
      </c>
    </row>
    <row r="369" spans="1:8" x14ac:dyDescent="0.25">
      <c r="A369" t="s">
        <v>1112</v>
      </c>
      <c r="B369" t="s">
        <v>1113</v>
      </c>
      <c r="C369" t="s">
        <v>14</v>
      </c>
      <c r="D369" s="1">
        <v>42503</v>
      </c>
      <c r="E369">
        <v>2</v>
      </c>
      <c r="F369">
        <v>1</v>
      </c>
      <c r="G369" t="s">
        <v>1114</v>
      </c>
      <c r="H369">
        <v>2</v>
      </c>
    </row>
    <row r="370" spans="1:8" x14ac:dyDescent="0.25">
      <c r="A370" t="s">
        <v>1115</v>
      </c>
      <c r="B370" t="s">
        <v>1116</v>
      </c>
      <c r="C370" t="s">
        <v>14</v>
      </c>
      <c r="D370" s="1">
        <v>44600</v>
      </c>
      <c r="E370">
        <v>10</v>
      </c>
      <c r="F370">
        <v>1</v>
      </c>
      <c r="G370" t="s">
        <v>1117</v>
      </c>
      <c r="H370">
        <v>10</v>
      </c>
    </row>
    <row r="371" spans="1:8" x14ac:dyDescent="0.25">
      <c r="A371" t="s">
        <v>1118</v>
      </c>
      <c r="B371" t="s">
        <v>1119</v>
      </c>
      <c r="C371" t="s">
        <v>14</v>
      </c>
      <c r="D371" s="1">
        <v>43803</v>
      </c>
      <c r="E371">
        <v>10</v>
      </c>
      <c r="F371">
        <v>1</v>
      </c>
      <c r="G371" t="s">
        <v>1120</v>
      </c>
      <c r="H371">
        <v>10</v>
      </c>
    </row>
    <row r="372" spans="1:8" x14ac:dyDescent="0.25">
      <c r="A372" t="s">
        <v>1121</v>
      </c>
      <c r="B372" t="s">
        <v>1122</v>
      </c>
      <c r="C372" t="s">
        <v>14</v>
      </c>
      <c r="D372" s="1">
        <v>44763</v>
      </c>
      <c r="E372">
        <v>10</v>
      </c>
      <c r="F372">
        <v>1</v>
      </c>
      <c r="G372" t="s">
        <v>1123</v>
      </c>
      <c r="H372">
        <v>10</v>
      </c>
    </row>
    <row r="373" spans="1:8" x14ac:dyDescent="0.25">
      <c r="A373" t="s">
        <v>1124</v>
      </c>
      <c r="B373" t="s">
        <v>1125</v>
      </c>
      <c r="C373" t="s">
        <v>14</v>
      </c>
      <c r="D373" s="1">
        <v>39120</v>
      </c>
      <c r="E373">
        <v>10</v>
      </c>
      <c r="F373">
        <v>1</v>
      </c>
      <c r="G373" t="s">
        <v>1126</v>
      </c>
      <c r="H373">
        <v>10</v>
      </c>
    </row>
    <row r="374" spans="1:8" x14ac:dyDescent="0.25">
      <c r="A374" t="s">
        <v>1127</v>
      </c>
      <c r="B374" t="s">
        <v>1128</v>
      </c>
      <c r="C374" t="s">
        <v>14</v>
      </c>
      <c r="D374" s="1">
        <v>36032</v>
      </c>
      <c r="E374">
        <v>1</v>
      </c>
      <c r="F374">
        <v>1</v>
      </c>
      <c r="G374" t="s">
        <v>1129</v>
      </c>
      <c r="H374">
        <v>1</v>
      </c>
    </row>
    <row r="375" spans="1:8" x14ac:dyDescent="0.25">
      <c r="A375" t="s">
        <v>1130</v>
      </c>
      <c r="B375" t="s">
        <v>1131</v>
      </c>
      <c r="C375" t="s">
        <v>14</v>
      </c>
      <c r="D375" s="1">
        <v>35179</v>
      </c>
      <c r="E375">
        <v>10</v>
      </c>
      <c r="F375">
        <v>1</v>
      </c>
      <c r="G375" t="s">
        <v>1132</v>
      </c>
      <c r="H375">
        <v>10</v>
      </c>
    </row>
    <row r="376" spans="1:8" x14ac:dyDescent="0.25">
      <c r="A376" t="s">
        <v>1133</v>
      </c>
      <c r="B376" t="s">
        <v>1134</v>
      </c>
      <c r="C376" t="s">
        <v>14</v>
      </c>
      <c r="D376" s="1">
        <v>34787</v>
      </c>
      <c r="E376">
        <v>2</v>
      </c>
      <c r="F376">
        <v>1</v>
      </c>
      <c r="G376" t="s">
        <v>1135</v>
      </c>
      <c r="H376">
        <v>2</v>
      </c>
    </row>
    <row r="377" spans="1:8" x14ac:dyDescent="0.25">
      <c r="A377" t="s">
        <v>1136</v>
      </c>
      <c r="B377" t="s">
        <v>1137</v>
      </c>
      <c r="C377" t="s">
        <v>14</v>
      </c>
      <c r="D377" s="1">
        <v>42629</v>
      </c>
      <c r="E377">
        <v>10</v>
      </c>
      <c r="F377">
        <v>1</v>
      </c>
      <c r="G377" t="s">
        <v>1138</v>
      </c>
      <c r="H377">
        <v>10</v>
      </c>
    </row>
    <row r="378" spans="1:8" x14ac:dyDescent="0.25">
      <c r="A378" t="s">
        <v>1139</v>
      </c>
      <c r="B378" t="s">
        <v>1140</v>
      </c>
      <c r="C378" t="s">
        <v>10</v>
      </c>
      <c r="D378" s="1">
        <v>38513</v>
      </c>
      <c r="E378">
        <v>10</v>
      </c>
      <c r="F378">
        <v>1</v>
      </c>
      <c r="G378" t="s">
        <v>1141</v>
      </c>
      <c r="H378">
        <v>10</v>
      </c>
    </row>
    <row r="379" spans="1:8" x14ac:dyDescent="0.25">
      <c r="A379" t="s">
        <v>1142</v>
      </c>
      <c r="B379" t="s">
        <v>1143</v>
      </c>
      <c r="C379" t="s">
        <v>14</v>
      </c>
      <c r="D379" s="1">
        <v>36187</v>
      </c>
      <c r="E379">
        <v>10</v>
      </c>
      <c r="F379">
        <v>1</v>
      </c>
      <c r="G379" t="s">
        <v>1144</v>
      </c>
      <c r="H379">
        <v>10</v>
      </c>
    </row>
    <row r="380" spans="1:8" x14ac:dyDescent="0.25">
      <c r="A380" t="s">
        <v>1145</v>
      </c>
      <c r="B380" t="s">
        <v>1146</v>
      </c>
      <c r="C380" t="s">
        <v>14</v>
      </c>
      <c r="D380" s="1">
        <v>36068</v>
      </c>
      <c r="E380">
        <v>5</v>
      </c>
      <c r="F380">
        <v>1</v>
      </c>
      <c r="G380" t="s">
        <v>1147</v>
      </c>
      <c r="H380">
        <v>5</v>
      </c>
    </row>
    <row r="381" spans="1:8" x14ac:dyDescent="0.25">
      <c r="A381" t="s">
        <v>1148</v>
      </c>
      <c r="B381" t="s">
        <v>1149</v>
      </c>
      <c r="C381" t="s">
        <v>14</v>
      </c>
      <c r="D381" s="1">
        <v>45117</v>
      </c>
      <c r="E381">
        <v>10</v>
      </c>
      <c r="F381">
        <v>1</v>
      </c>
      <c r="G381" t="s">
        <v>1150</v>
      </c>
      <c r="H381">
        <v>10</v>
      </c>
    </row>
    <row r="382" spans="1:8" x14ac:dyDescent="0.25">
      <c r="A382" t="s">
        <v>1151</v>
      </c>
      <c r="B382" t="s">
        <v>1152</v>
      </c>
      <c r="C382" t="s">
        <v>14</v>
      </c>
      <c r="D382" s="1">
        <v>36278</v>
      </c>
      <c r="E382">
        <v>1</v>
      </c>
      <c r="F382">
        <v>1</v>
      </c>
      <c r="G382" t="s">
        <v>1153</v>
      </c>
      <c r="H382">
        <v>1</v>
      </c>
    </row>
    <row r="383" spans="1:8" x14ac:dyDescent="0.25">
      <c r="A383" t="s">
        <v>1154</v>
      </c>
      <c r="B383" t="s">
        <v>1155</v>
      </c>
      <c r="C383" t="s">
        <v>14</v>
      </c>
      <c r="D383" s="1">
        <v>43487</v>
      </c>
      <c r="E383">
        <v>2</v>
      </c>
      <c r="F383">
        <v>1</v>
      </c>
      <c r="G383" t="s">
        <v>1156</v>
      </c>
      <c r="H383">
        <v>2</v>
      </c>
    </row>
    <row r="384" spans="1:8" x14ac:dyDescent="0.25">
      <c r="A384" t="s">
        <v>1157</v>
      </c>
      <c r="B384" t="s">
        <v>1158</v>
      </c>
      <c r="C384" t="s">
        <v>14</v>
      </c>
      <c r="D384" s="1">
        <v>35081</v>
      </c>
      <c r="E384">
        <v>2</v>
      </c>
      <c r="F384">
        <v>1</v>
      </c>
      <c r="G384" t="s">
        <v>1159</v>
      </c>
      <c r="H384">
        <v>2</v>
      </c>
    </row>
    <row r="385" spans="1:8" x14ac:dyDescent="0.25">
      <c r="A385" t="s">
        <v>1160</v>
      </c>
      <c r="B385" t="s">
        <v>1161</v>
      </c>
      <c r="C385" t="s">
        <v>14</v>
      </c>
      <c r="D385" s="1">
        <v>42555</v>
      </c>
      <c r="E385">
        <v>5</v>
      </c>
      <c r="F385">
        <v>1</v>
      </c>
      <c r="G385" t="s">
        <v>1162</v>
      </c>
      <c r="H385">
        <v>5</v>
      </c>
    </row>
    <row r="386" spans="1:8" x14ac:dyDescent="0.25">
      <c r="A386" t="s">
        <v>1163</v>
      </c>
      <c r="B386" t="s">
        <v>1164</v>
      </c>
      <c r="C386" t="s">
        <v>10</v>
      </c>
      <c r="D386" s="1">
        <v>44148</v>
      </c>
      <c r="E386">
        <v>1</v>
      </c>
      <c r="F386">
        <v>1</v>
      </c>
      <c r="G386" t="s">
        <v>1165</v>
      </c>
      <c r="H386">
        <v>1</v>
      </c>
    </row>
    <row r="387" spans="1:8" x14ac:dyDescent="0.25">
      <c r="A387" t="s">
        <v>1166</v>
      </c>
      <c r="B387" t="s">
        <v>1167</v>
      </c>
      <c r="C387" t="s">
        <v>14</v>
      </c>
      <c r="D387" s="1">
        <v>38114</v>
      </c>
      <c r="E387">
        <v>5</v>
      </c>
      <c r="F387">
        <v>1</v>
      </c>
      <c r="G387" t="s">
        <v>1168</v>
      </c>
      <c r="H387">
        <v>5</v>
      </c>
    </row>
    <row r="388" spans="1:8" x14ac:dyDescent="0.25">
      <c r="A388" t="s">
        <v>1169</v>
      </c>
      <c r="B388" t="s">
        <v>1170</v>
      </c>
      <c r="C388" t="s">
        <v>14</v>
      </c>
      <c r="D388" s="1">
        <v>44554</v>
      </c>
      <c r="E388">
        <v>2</v>
      </c>
      <c r="F388">
        <v>1</v>
      </c>
      <c r="G388" t="s">
        <v>1171</v>
      </c>
      <c r="H388">
        <v>2</v>
      </c>
    </row>
    <row r="389" spans="1:8" x14ac:dyDescent="0.25">
      <c r="A389" t="s">
        <v>1172</v>
      </c>
      <c r="B389" t="s">
        <v>1173</v>
      </c>
      <c r="C389" t="s">
        <v>14</v>
      </c>
      <c r="D389" s="1">
        <v>40184</v>
      </c>
      <c r="E389">
        <v>10</v>
      </c>
      <c r="F389">
        <v>1</v>
      </c>
      <c r="G389" t="s">
        <v>1174</v>
      </c>
      <c r="H389">
        <v>10</v>
      </c>
    </row>
    <row r="390" spans="1:8" x14ac:dyDescent="0.25">
      <c r="A390" t="s">
        <v>1175</v>
      </c>
      <c r="B390" t="s">
        <v>1176</v>
      </c>
      <c r="C390" t="s">
        <v>14</v>
      </c>
      <c r="D390" s="1">
        <v>42593</v>
      </c>
      <c r="E390">
        <v>10</v>
      </c>
      <c r="F390">
        <v>1</v>
      </c>
      <c r="G390" t="s">
        <v>1177</v>
      </c>
      <c r="H390">
        <v>10</v>
      </c>
    </row>
    <row r="391" spans="1:8" x14ac:dyDescent="0.25">
      <c r="A391" t="s">
        <v>1178</v>
      </c>
      <c r="B391" t="s">
        <v>1179</v>
      </c>
      <c r="C391" t="s">
        <v>14</v>
      </c>
      <c r="D391" s="1">
        <v>44812</v>
      </c>
      <c r="E391">
        <v>10</v>
      </c>
      <c r="F391">
        <v>1</v>
      </c>
      <c r="G391" t="s">
        <v>1180</v>
      </c>
      <c r="H391">
        <v>10</v>
      </c>
    </row>
    <row r="392" spans="1:8" x14ac:dyDescent="0.25">
      <c r="A392" t="s">
        <v>1181</v>
      </c>
      <c r="B392" t="s">
        <v>1182</v>
      </c>
      <c r="C392" t="s">
        <v>14</v>
      </c>
      <c r="D392" s="1">
        <v>40233</v>
      </c>
      <c r="E392">
        <v>10</v>
      </c>
      <c r="F392">
        <v>1</v>
      </c>
      <c r="G392" t="s">
        <v>1183</v>
      </c>
      <c r="H392">
        <v>10</v>
      </c>
    </row>
    <row r="393" spans="1:8" x14ac:dyDescent="0.25">
      <c r="A393" t="s">
        <v>1184</v>
      </c>
      <c r="B393" t="s">
        <v>1185</v>
      </c>
      <c r="C393" t="s">
        <v>10</v>
      </c>
      <c r="D393" s="1">
        <v>40968</v>
      </c>
      <c r="E393">
        <v>2</v>
      </c>
      <c r="F393">
        <v>1</v>
      </c>
      <c r="G393" t="s">
        <v>1186</v>
      </c>
      <c r="H393">
        <v>2</v>
      </c>
    </row>
    <row r="394" spans="1:8" x14ac:dyDescent="0.25">
      <c r="A394" t="s">
        <v>1187</v>
      </c>
      <c r="B394" t="s">
        <v>1188</v>
      </c>
      <c r="C394" t="s">
        <v>14</v>
      </c>
      <c r="D394" s="1">
        <v>42999</v>
      </c>
      <c r="E394">
        <v>2</v>
      </c>
      <c r="F394">
        <v>1</v>
      </c>
      <c r="G394" t="s">
        <v>1189</v>
      </c>
      <c r="H394">
        <v>2</v>
      </c>
    </row>
    <row r="395" spans="1:8" x14ac:dyDescent="0.25">
      <c r="A395" t="s">
        <v>1190</v>
      </c>
      <c r="B395" t="s">
        <v>1191</v>
      </c>
      <c r="C395" t="s">
        <v>14</v>
      </c>
      <c r="D395" s="1">
        <v>39017</v>
      </c>
      <c r="E395">
        <v>10</v>
      </c>
      <c r="F395">
        <v>1</v>
      </c>
      <c r="G395" t="s">
        <v>1192</v>
      </c>
      <c r="H395">
        <v>10</v>
      </c>
    </row>
    <row r="396" spans="1:8" x14ac:dyDescent="0.25">
      <c r="A396" t="s">
        <v>1193</v>
      </c>
      <c r="B396" t="s">
        <v>1194</v>
      </c>
      <c r="C396" t="s">
        <v>10</v>
      </c>
      <c r="D396" s="1">
        <v>44853</v>
      </c>
      <c r="E396">
        <v>10</v>
      </c>
      <c r="F396">
        <v>1</v>
      </c>
      <c r="G396" t="s">
        <v>1195</v>
      </c>
      <c r="H396">
        <v>10</v>
      </c>
    </row>
    <row r="397" spans="1:8" x14ac:dyDescent="0.25">
      <c r="A397" t="s">
        <v>1196</v>
      </c>
      <c r="B397" t="s">
        <v>1197</v>
      </c>
      <c r="C397" t="s">
        <v>14</v>
      </c>
      <c r="D397" s="1">
        <v>34787</v>
      </c>
      <c r="E397">
        <v>10</v>
      </c>
      <c r="F397">
        <v>1</v>
      </c>
      <c r="G397" t="s">
        <v>1198</v>
      </c>
      <c r="H397">
        <v>10</v>
      </c>
    </row>
    <row r="398" spans="1:8" x14ac:dyDescent="0.25">
      <c r="A398" t="s">
        <v>1199</v>
      </c>
      <c r="B398" t="s">
        <v>1200</v>
      </c>
      <c r="C398" t="s">
        <v>10</v>
      </c>
      <c r="D398" s="1">
        <v>35571</v>
      </c>
      <c r="E398">
        <v>10</v>
      </c>
      <c r="F398">
        <v>1</v>
      </c>
      <c r="G398" t="s">
        <v>1201</v>
      </c>
      <c r="H398">
        <v>10</v>
      </c>
    </row>
    <row r="399" spans="1:8" x14ac:dyDescent="0.25">
      <c r="A399" t="s">
        <v>1202</v>
      </c>
      <c r="B399" t="s">
        <v>1203</v>
      </c>
      <c r="C399" t="s">
        <v>14</v>
      </c>
      <c r="D399" s="1">
        <v>43662</v>
      </c>
      <c r="E399">
        <v>10</v>
      </c>
      <c r="F399">
        <v>1</v>
      </c>
      <c r="G399" t="s">
        <v>1204</v>
      </c>
      <c r="H399">
        <v>10</v>
      </c>
    </row>
    <row r="400" spans="1:8" x14ac:dyDescent="0.25">
      <c r="A400" t="s">
        <v>1205</v>
      </c>
      <c r="B400" t="s">
        <v>1206</v>
      </c>
      <c r="C400" t="s">
        <v>14</v>
      </c>
      <c r="D400" s="1">
        <v>34801</v>
      </c>
      <c r="E400">
        <v>2</v>
      </c>
      <c r="F400">
        <v>1</v>
      </c>
      <c r="G400" t="s">
        <v>1207</v>
      </c>
      <c r="H400">
        <v>2</v>
      </c>
    </row>
    <row r="401" spans="1:8" x14ac:dyDescent="0.25">
      <c r="A401" t="s">
        <v>1208</v>
      </c>
      <c r="B401" t="s">
        <v>1209</v>
      </c>
      <c r="C401" t="s">
        <v>14</v>
      </c>
      <c r="D401" s="1">
        <v>44554</v>
      </c>
      <c r="E401">
        <v>2</v>
      </c>
      <c r="F401">
        <v>1</v>
      </c>
      <c r="G401" t="s">
        <v>1210</v>
      </c>
      <c r="H401">
        <v>2</v>
      </c>
    </row>
    <row r="402" spans="1:8" x14ac:dyDescent="0.25">
      <c r="A402" t="s">
        <v>1211</v>
      </c>
      <c r="B402" t="s">
        <v>1212</v>
      </c>
      <c r="C402" t="s">
        <v>14</v>
      </c>
      <c r="D402" s="1">
        <v>34844</v>
      </c>
      <c r="E402">
        <v>2</v>
      </c>
      <c r="F402">
        <v>1</v>
      </c>
      <c r="G402" t="s">
        <v>1213</v>
      </c>
      <c r="H402">
        <v>2</v>
      </c>
    </row>
    <row r="403" spans="1:8" x14ac:dyDescent="0.25">
      <c r="A403" t="s">
        <v>1214</v>
      </c>
      <c r="B403" t="s">
        <v>1215</v>
      </c>
      <c r="C403" t="s">
        <v>14</v>
      </c>
      <c r="D403" s="1">
        <v>44876</v>
      </c>
      <c r="E403">
        <v>2</v>
      </c>
      <c r="F403">
        <v>1</v>
      </c>
      <c r="G403" t="s">
        <v>1216</v>
      </c>
      <c r="H403">
        <v>2</v>
      </c>
    </row>
    <row r="404" spans="1:8" x14ac:dyDescent="0.25">
      <c r="A404" t="s">
        <v>1217</v>
      </c>
      <c r="B404" t="s">
        <v>1218</v>
      </c>
      <c r="C404" t="s">
        <v>14</v>
      </c>
      <c r="D404" s="1">
        <v>39296</v>
      </c>
      <c r="E404">
        <v>5</v>
      </c>
      <c r="F404">
        <v>1</v>
      </c>
      <c r="G404" t="s">
        <v>1219</v>
      </c>
      <c r="H404">
        <v>5</v>
      </c>
    </row>
    <row r="405" spans="1:8" x14ac:dyDescent="0.25">
      <c r="A405" t="s">
        <v>1220</v>
      </c>
      <c r="B405" t="s">
        <v>1221</v>
      </c>
      <c r="C405" t="s">
        <v>14</v>
      </c>
      <c r="D405" s="1">
        <v>37638</v>
      </c>
      <c r="E405">
        <v>10</v>
      </c>
      <c r="F405">
        <v>1</v>
      </c>
      <c r="G405" t="s">
        <v>1222</v>
      </c>
      <c r="H405">
        <v>10</v>
      </c>
    </row>
    <row r="406" spans="1:8" x14ac:dyDescent="0.25">
      <c r="A406" t="s">
        <v>1223</v>
      </c>
      <c r="B406" t="s">
        <v>1224</v>
      </c>
      <c r="C406" t="s">
        <v>14</v>
      </c>
      <c r="D406" s="1">
        <v>40450</v>
      </c>
      <c r="E406">
        <v>2</v>
      </c>
      <c r="F406">
        <v>1</v>
      </c>
      <c r="G406" t="s">
        <v>1225</v>
      </c>
      <c r="H406">
        <v>2</v>
      </c>
    </row>
    <row r="407" spans="1:8" x14ac:dyDescent="0.25">
      <c r="A407" t="s">
        <v>1226</v>
      </c>
      <c r="B407" t="s">
        <v>1227</v>
      </c>
      <c r="C407" t="s">
        <v>14</v>
      </c>
      <c r="D407" s="1">
        <v>40246</v>
      </c>
      <c r="E407">
        <v>10</v>
      </c>
      <c r="F407">
        <v>1</v>
      </c>
      <c r="G407" t="s">
        <v>1228</v>
      </c>
      <c r="H407">
        <v>10</v>
      </c>
    </row>
    <row r="408" spans="1:8" x14ac:dyDescent="0.25">
      <c r="A408" t="s">
        <v>1229</v>
      </c>
      <c r="B408" t="s">
        <v>1230</v>
      </c>
      <c r="C408" t="s">
        <v>14</v>
      </c>
      <c r="D408" s="1">
        <v>44313</v>
      </c>
      <c r="E408">
        <v>5</v>
      </c>
      <c r="F408">
        <v>1</v>
      </c>
      <c r="G408" t="s">
        <v>1231</v>
      </c>
      <c r="H408">
        <v>5</v>
      </c>
    </row>
    <row r="409" spans="1:8" x14ac:dyDescent="0.25">
      <c r="A409" t="s">
        <v>1232</v>
      </c>
      <c r="B409" t="s">
        <v>1233</v>
      </c>
      <c r="C409" t="s">
        <v>14</v>
      </c>
      <c r="D409" s="1">
        <v>44705</v>
      </c>
      <c r="E409">
        <v>1</v>
      </c>
      <c r="F409">
        <v>1</v>
      </c>
      <c r="G409" t="s">
        <v>1234</v>
      </c>
      <c r="H409">
        <v>1</v>
      </c>
    </row>
    <row r="410" spans="1:8" x14ac:dyDescent="0.25">
      <c r="A410" t="s">
        <v>1235</v>
      </c>
      <c r="B410" t="s">
        <v>1236</v>
      </c>
      <c r="C410" t="s">
        <v>14</v>
      </c>
      <c r="D410" s="1">
        <v>40722</v>
      </c>
      <c r="E410">
        <v>10</v>
      </c>
      <c r="F410">
        <v>1</v>
      </c>
      <c r="G410" t="s">
        <v>1237</v>
      </c>
      <c r="H410">
        <v>10</v>
      </c>
    </row>
    <row r="411" spans="1:8" x14ac:dyDescent="0.25">
      <c r="A411" t="s">
        <v>1238</v>
      </c>
      <c r="B411" t="s">
        <v>1239</v>
      </c>
      <c r="C411" t="s">
        <v>14</v>
      </c>
      <c r="D411" s="1">
        <v>39388</v>
      </c>
      <c r="E411">
        <v>1</v>
      </c>
      <c r="F411">
        <v>1</v>
      </c>
      <c r="G411" t="s">
        <v>1240</v>
      </c>
      <c r="H411">
        <v>1</v>
      </c>
    </row>
    <row r="412" spans="1:8" x14ac:dyDescent="0.25">
      <c r="A412" t="s">
        <v>1241</v>
      </c>
      <c r="B412" t="s">
        <v>1242</v>
      </c>
      <c r="C412" t="s">
        <v>10</v>
      </c>
      <c r="D412" s="1">
        <v>34990</v>
      </c>
      <c r="E412">
        <v>10</v>
      </c>
      <c r="F412">
        <v>1</v>
      </c>
      <c r="G412" t="s">
        <v>1243</v>
      </c>
      <c r="H412">
        <v>10</v>
      </c>
    </row>
    <row r="413" spans="1:8" x14ac:dyDescent="0.25">
      <c r="A413" t="s">
        <v>1244</v>
      </c>
      <c r="B413" t="s">
        <v>1245</v>
      </c>
      <c r="C413" t="s">
        <v>14</v>
      </c>
      <c r="D413" s="1">
        <v>40141</v>
      </c>
      <c r="E413">
        <v>10</v>
      </c>
      <c r="F413">
        <v>1</v>
      </c>
      <c r="G413" t="s">
        <v>1246</v>
      </c>
      <c r="H413">
        <v>10</v>
      </c>
    </row>
    <row r="414" spans="1:8" x14ac:dyDescent="0.25">
      <c r="A414" t="s">
        <v>1247</v>
      </c>
      <c r="B414" t="s">
        <v>1248</v>
      </c>
      <c r="C414" t="s">
        <v>14</v>
      </c>
      <c r="D414" s="1">
        <v>35649</v>
      </c>
      <c r="E414">
        <v>10</v>
      </c>
      <c r="F414">
        <v>1</v>
      </c>
      <c r="G414" t="s">
        <v>1249</v>
      </c>
      <c r="H414">
        <v>10</v>
      </c>
    </row>
    <row r="415" spans="1:8" x14ac:dyDescent="0.25">
      <c r="A415" t="s">
        <v>1250</v>
      </c>
      <c r="B415" t="s">
        <v>1251</v>
      </c>
      <c r="C415" t="s">
        <v>14</v>
      </c>
      <c r="D415" s="1">
        <v>44607</v>
      </c>
      <c r="E415">
        <v>5</v>
      </c>
      <c r="F415">
        <v>1</v>
      </c>
      <c r="G415" t="s">
        <v>1252</v>
      </c>
      <c r="H415">
        <v>5</v>
      </c>
    </row>
    <row r="416" spans="1:8" x14ac:dyDescent="0.25">
      <c r="A416" t="s">
        <v>1253</v>
      </c>
      <c r="B416" t="s">
        <v>1254</v>
      </c>
      <c r="C416" t="s">
        <v>14</v>
      </c>
      <c r="D416" s="1">
        <v>44424</v>
      </c>
      <c r="E416">
        <v>1</v>
      </c>
      <c r="F416">
        <v>1</v>
      </c>
      <c r="G416" t="s">
        <v>1255</v>
      </c>
      <c r="H416">
        <v>1</v>
      </c>
    </row>
    <row r="417" spans="1:8" x14ac:dyDescent="0.25">
      <c r="A417" t="s">
        <v>1256</v>
      </c>
      <c r="B417" t="s">
        <v>1257</v>
      </c>
      <c r="C417" t="s">
        <v>14</v>
      </c>
      <c r="D417" s="1">
        <v>43634</v>
      </c>
      <c r="E417">
        <v>2</v>
      </c>
      <c r="F417">
        <v>1</v>
      </c>
      <c r="G417" t="s">
        <v>1258</v>
      </c>
      <c r="H417">
        <v>2</v>
      </c>
    </row>
    <row r="418" spans="1:8" x14ac:dyDescent="0.25">
      <c r="A418" t="s">
        <v>1259</v>
      </c>
      <c r="B418" t="s">
        <v>1260</v>
      </c>
      <c r="C418" t="s">
        <v>14</v>
      </c>
      <c r="D418" s="1">
        <v>34787</v>
      </c>
      <c r="E418">
        <v>10</v>
      </c>
      <c r="F418">
        <v>1</v>
      </c>
      <c r="G418" t="s">
        <v>1261</v>
      </c>
      <c r="H418">
        <v>10</v>
      </c>
    </row>
    <row r="419" spans="1:8" x14ac:dyDescent="0.25">
      <c r="A419" t="s">
        <v>1262</v>
      </c>
      <c r="B419" t="s">
        <v>1263</v>
      </c>
      <c r="C419" t="s">
        <v>14</v>
      </c>
      <c r="D419" s="1">
        <v>38078</v>
      </c>
      <c r="E419">
        <v>10</v>
      </c>
      <c r="F419">
        <v>1</v>
      </c>
      <c r="G419" t="s">
        <v>1264</v>
      </c>
      <c r="H419">
        <v>10</v>
      </c>
    </row>
    <row r="420" spans="1:8" x14ac:dyDescent="0.25">
      <c r="A420" t="s">
        <v>1265</v>
      </c>
      <c r="B420" t="s">
        <v>1266</v>
      </c>
      <c r="C420" t="s">
        <v>14</v>
      </c>
      <c r="D420" s="1">
        <v>39540</v>
      </c>
      <c r="E420">
        <v>2</v>
      </c>
      <c r="F420">
        <v>1</v>
      </c>
      <c r="G420" t="s">
        <v>1267</v>
      </c>
      <c r="H420">
        <v>2</v>
      </c>
    </row>
    <row r="421" spans="1:8" x14ac:dyDescent="0.25">
      <c r="A421" t="s">
        <v>1268</v>
      </c>
      <c r="B421" t="s">
        <v>1269</v>
      </c>
      <c r="C421" t="s">
        <v>14</v>
      </c>
      <c r="D421" s="1">
        <v>40723</v>
      </c>
      <c r="E421">
        <v>2</v>
      </c>
      <c r="F421">
        <v>1</v>
      </c>
      <c r="G421" t="s">
        <v>1270</v>
      </c>
      <c r="H421">
        <v>2</v>
      </c>
    </row>
    <row r="422" spans="1:8" x14ac:dyDescent="0.25">
      <c r="A422" t="s">
        <v>1271</v>
      </c>
      <c r="B422" t="s">
        <v>1272</v>
      </c>
      <c r="C422" t="s">
        <v>14</v>
      </c>
      <c r="D422" s="1">
        <v>44903</v>
      </c>
      <c r="E422">
        <v>10</v>
      </c>
      <c r="F422">
        <v>1</v>
      </c>
      <c r="G422" t="s">
        <v>1273</v>
      </c>
      <c r="H422">
        <v>10</v>
      </c>
    </row>
    <row r="423" spans="1:8" x14ac:dyDescent="0.25">
      <c r="A423" t="s">
        <v>1274</v>
      </c>
      <c r="B423" t="s">
        <v>1275</v>
      </c>
      <c r="C423" t="s">
        <v>14</v>
      </c>
      <c r="D423" s="1">
        <v>44525</v>
      </c>
      <c r="E423">
        <v>10</v>
      </c>
      <c r="F423">
        <v>1</v>
      </c>
      <c r="G423" t="s">
        <v>1276</v>
      </c>
      <c r="H423">
        <v>10</v>
      </c>
    </row>
    <row r="424" spans="1:8" x14ac:dyDescent="0.25">
      <c r="A424" t="s">
        <v>1277</v>
      </c>
      <c r="B424" t="s">
        <v>1278</v>
      </c>
      <c r="C424" t="s">
        <v>14</v>
      </c>
      <c r="D424" s="1">
        <v>40620</v>
      </c>
      <c r="E424">
        <v>10</v>
      </c>
      <c r="F424">
        <v>1</v>
      </c>
      <c r="G424" t="s">
        <v>1279</v>
      </c>
      <c r="H424">
        <v>10</v>
      </c>
    </row>
    <row r="425" spans="1:8" x14ac:dyDescent="0.25">
      <c r="A425" t="s">
        <v>1280</v>
      </c>
      <c r="B425" t="s">
        <v>1281</v>
      </c>
      <c r="C425" t="s">
        <v>10</v>
      </c>
      <c r="D425" s="1">
        <v>45184</v>
      </c>
      <c r="E425">
        <v>10</v>
      </c>
      <c r="F425">
        <v>1</v>
      </c>
      <c r="G425" t="s">
        <v>1282</v>
      </c>
      <c r="H425">
        <v>10</v>
      </c>
    </row>
    <row r="426" spans="1:8" x14ac:dyDescent="0.25">
      <c r="A426" t="s">
        <v>1283</v>
      </c>
      <c r="B426" t="s">
        <v>1284</v>
      </c>
      <c r="C426" t="s">
        <v>14</v>
      </c>
      <c r="D426" s="1">
        <v>45194</v>
      </c>
      <c r="E426">
        <v>10</v>
      </c>
      <c r="F426">
        <v>1</v>
      </c>
      <c r="G426" t="s">
        <v>1285</v>
      </c>
      <c r="H426">
        <v>10</v>
      </c>
    </row>
    <row r="427" spans="1:8" x14ac:dyDescent="0.25">
      <c r="A427" t="s">
        <v>1286</v>
      </c>
      <c r="B427" t="s">
        <v>1287</v>
      </c>
      <c r="C427" t="s">
        <v>14</v>
      </c>
      <c r="D427" s="1">
        <v>43013</v>
      </c>
      <c r="E427">
        <v>5</v>
      </c>
      <c r="F427">
        <v>1</v>
      </c>
      <c r="G427" t="s">
        <v>1288</v>
      </c>
      <c r="H427">
        <v>5</v>
      </c>
    </row>
    <row r="428" spans="1:8" x14ac:dyDescent="0.25">
      <c r="A428" t="s">
        <v>1289</v>
      </c>
      <c r="B428" t="s">
        <v>1290</v>
      </c>
      <c r="C428" t="s">
        <v>14</v>
      </c>
      <c r="D428" s="1">
        <v>34941</v>
      </c>
      <c r="E428">
        <v>10</v>
      </c>
      <c r="F428">
        <v>1</v>
      </c>
      <c r="G428" t="s">
        <v>1291</v>
      </c>
      <c r="H428">
        <v>10</v>
      </c>
    </row>
    <row r="429" spans="1:8" x14ac:dyDescent="0.25">
      <c r="A429" t="s">
        <v>1292</v>
      </c>
      <c r="B429" t="s">
        <v>1293</v>
      </c>
      <c r="C429" t="s">
        <v>14</v>
      </c>
      <c r="D429" s="1">
        <v>39595</v>
      </c>
      <c r="E429">
        <v>3</v>
      </c>
      <c r="F429">
        <v>1</v>
      </c>
      <c r="G429" t="s">
        <v>1294</v>
      </c>
      <c r="H429">
        <v>3</v>
      </c>
    </row>
    <row r="430" spans="1:8" x14ac:dyDescent="0.25">
      <c r="A430" t="s">
        <v>1295</v>
      </c>
      <c r="B430" t="s">
        <v>1296</v>
      </c>
      <c r="C430" t="s">
        <v>10</v>
      </c>
      <c r="D430" s="1">
        <v>44487</v>
      </c>
      <c r="E430">
        <v>10</v>
      </c>
      <c r="F430">
        <v>1</v>
      </c>
      <c r="G430" t="s">
        <v>1297</v>
      </c>
      <c r="H430">
        <v>10</v>
      </c>
    </row>
    <row r="431" spans="1:8" x14ac:dyDescent="0.25">
      <c r="A431" t="s">
        <v>1298</v>
      </c>
      <c r="B431" t="s">
        <v>1299</v>
      </c>
      <c r="C431" t="s">
        <v>10</v>
      </c>
      <c r="D431" s="1">
        <v>44651</v>
      </c>
      <c r="E431">
        <v>10</v>
      </c>
      <c r="F431">
        <v>1</v>
      </c>
      <c r="G431" t="s">
        <v>1300</v>
      </c>
      <c r="H431">
        <v>10</v>
      </c>
    </row>
    <row r="432" spans="1:8" x14ac:dyDescent="0.25">
      <c r="A432" t="s">
        <v>1301</v>
      </c>
      <c r="B432" t="s">
        <v>1302</v>
      </c>
      <c r="C432" t="s">
        <v>14</v>
      </c>
      <c r="D432" s="1">
        <v>39190</v>
      </c>
      <c r="E432">
        <v>1</v>
      </c>
      <c r="F432">
        <v>1</v>
      </c>
      <c r="G432" t="s">
        <v>1303</v>
      </c>
      <c r="H432">
        <v>1</v>
      </c>
    </row>
    <row r="433" spans="1:8" x14ac:dyDescent="0.25">
      <c r="A433" t="s">
        <v>1304</v>
      </c>
      <c r="B433" t="s">
        <v>1305</v>
      </c>
      <c r="C433" t="s">
        <v>14</v>
      </c>
      <c r="D433" s="1">
        <v>44999</v>
      </c>
      <c r="E433">
        <v>5</v>
      </c>
      <c r="F433">
        <v>1</v>
      </c>
      <c r="G433" t="s">
        <v>1306</v>
      </c>
      <c r="H433">
        <v>5</v>
      </c>
    </row>
    <row r="434" spans="1:8" x14ac:dyDescent="0.25">
      <c r="A434" t="s">
        <v>1307</v>
      </c>
      <c r="B434" t="s">
        <v>1308</v>
      </c>
      <c r="C434" t="s">
        <v>14</v>
      </c>
      <c r="D434" s="1">
        <v>37692</v>
      </c>
      <c r="E434">
        <v>2</v>
      </c>
      <c r="F434">
        <v>1</v>
      </c>
      <c r="G434" t="s">
        <v>1309</v>
      </c>
      <c r="H434">
        <v>2</v>
      </c>
    </row>
    <row r="435" spans="1:8" x14ac:dyDescent="0.25">
      <c r="A435" t="s">
        <v>1310</v>
      </c>
      <c r="B435" t="s">
        <v>1311</v>
      </c>
      <c r="C435" t="s">
        <v>14</v>
      </c>
      <c r="D435" s="1">
        <v>42996</v>
      </c>
      <c r="E435">
        <v>2</v>
      </c>
      <c r="F435">
        <v>1</v>
      </c>
      <c r="G435" t="s">
        <v>1312</v>
      </c>
      <c r="H435">
        <v>2</v>
      </c>
    </row>
    <row r="436" spans="1:8" x14ac:dyDescent="0.25">
      <c r="A436" t="s">
        <v>1313</v>
      </c>
      <c r="B436" t="s">
        <v>1314</v>
      </c>
      <c r="C436" t="s">
        <v>14</v>
      </c>
      <c r="D436" s="1">
        <v>44900</v>
      </c>
      <c r="E436">
        <v>10</v>
      </c>
      <c r="F436">
        <v>1</v>
      </c>
      <c r="G436" t="s">
        <v>1315</v>
      </c>
      <c r="H436">
        <v>10</v>
      </c>
    </row>
    <row r="437" spans="1:8" x14ac:dyDescent="0.25">
      <c r="A437" t="s">
        <v>1316</v>
      </c>
      <c r="B437" t="s">
        <v>1317</v>
      </c>
      <c r="C437" t="s">
        <v>14</v>
      </c>
      <c r="D437" s="1">
        <v>39268</v>
      </c>
      <c r="E437">
        <v>2</v>
      </c>
      <c r="F437">
        <v>1</v>
      </c>
      <c r="G437" t="s">
        <v>1318</v>
      </c>
      <c r="H437">
        <v>2</v>
      </c>
    </row>
    <row r="438" spans="1:8" x14ac:dyDescent="0.25">
      <c r="A438" t="s">
        <v>1319</v>
      </c>
      <c r="B438" t="s">
        <v>1320</v>
      </c>
      <c r="C438" t="s">
        <v>14</v>
      </c>
      <c r="D438" s="1">
        <v>40165</v>
      </c>
      <c r="E438">
        <v>2</v>
      </c>
      <c r="F438">
        <v>1</v>
      </c>
      <c r="G438" t="s">
        <v>1321</v>
      </c>
      <c r="H438">
        <v>2</v>
      </c>
    </row>
    <row r="439" spans="1:8" x14ac:dyDescent="0.25">
      <c r="A439" t="s">
        <v>1322</v>
      </c>
      <c r="B439" t="s">
        <v>1323</v>
      </c>
      <c r="C439" t="s">
        <v>14</v>
      </c>
      <c r="D439" s="1">
        <v>42815</v>
      </c>
      <c r="E439">
        <v>10</v>
      </c>
      <c r="F439">
        <v>1</v>
      </c>
      <c r="G439" t="s">
        <v>1324</v>
      </c>
      <c r="H439">
        <v>10</v>
      </c>
    </row>
    <row r="440" spans="1:8" x14ac:dyDescent="0.25">
      <c r="A440" t="s">
        <v>1325</v>
      </c>
      <c r="B440" t="s">
        <v>1326</v>
      </c>
      <c r="C440" t="s">
        <v>14</v>
      </c>
      <c r="D440" s="1">
        <v>44531</v>
      </c>
      <c r="E440">
        <v>10</v>
      </c>
      <c r="F440">
        <v>1</v>
      </c>
      <c r="G440" t="s">
        <v>1327</v>
      </c>
      <c r="H440">
        <v>10</v>
      </c>
    </row>
    <row r="441" spans="1:8" x14ac:dyDescent="0.25">
      <c r="A441" t="s">
        <v>1328</v>
      </c>
      <c r="B441" t="s">
        <v>1329</v>
      </c>
      <c r="C441" t="s">
        <v>10</v>
      </c>
      <c r="D441" s="1">
        <v>43080</v>
      </c>
      <c r="E441">
        <v>1</v>
      </c>
      <c r="F441">
        <v>1</v>
      </c>
      <c r="G441" t="s">
        <v>1330</v>
      </c>
      <c r="H441">
        <v>1</v>
      </c>
    </row>
    <row r="442" spans="1:8" x14ac:dyDescent="0.25">
      <c r="A442" t="s">
        <v>1331</v>
      </c>
      <c r="B442" t="s">
        <v>1332</v>
      </c>
      <c r="C442" t="s">
        <v>14</v>
      </c>
      <c r="D442" s="1">
        <v>44375</v>
      </c>
      <c r="E442">
        <v>10</v>
      </c>
      <c r="F442">
        <v>1</v>
      </c>
      <c r="G442" t="s">
        <v>1333</v>
      </c>
      <c r="H442">
        <v>10</v>
      </c>
    </row>
    <row r="443" spans="1:8" x14ac:dyDescent="0.25">
      <c r="A443" t="s">
        <v>1334</v>
      </c>
      <c r="B443" t="s">
        <v>1335</v>
      </c>
      <c r="C443" t="s">
        <v>14</v>
      </c>
      <c r="D443" s="1">
        <v>43696</v>
      </c>
      <c r="E443">
        <v>1</v>
      </c>
      <c r="F443">
        <v>1</v>
      </c>
      <c r="G443" t="s">
        <v>1336</v>
      </c>
      <c r="H443">
        <v>1</v>
      </c>
    </row>
    <row r="444" spans="1:8" x14ac:dyDescent="0.25">
      <c r="A444" t="s">
        <v>1337</v>
      </c>
      <c r="B444" t="s">
        <v>1338</v>
      </c>
      <c r="C444" t="s">
        <v>14</v>
      </c>
      <c r="D444" s="1">
        <v>42846</v>
      </c>
      <c r="E444">
        <v>2</v>
      </c>
      <c r="F444">
        <v>1</v>
      </c>
      <c r="G444" t="s">
        <v>1339</v>
      </c>
      <c r="H444">
        <v>2</v>
      </c>
    </row>
    <row r="445" spans="1:8" x14ac:dyDescent="0.25">
      <c r="A445" t="s">
        <v>1340</v>
      </c>
      <c r="B445" t="s">
        <v>1341</v>
      </c>
      <c r="C445" t="s">
        <v>10</v>
      </c>
      <c r="D445" s="1">
        <v>45159</v>
      </c>
      <c r="E445">
        <v>10</v>
      </c>
      <c r="F445">
        <v>1</v>
      </c>
      <c r="G445" t="s">
        <v>1342</v>
      </c>
      <c r="H445">
        <v>10</v>
      </c>
    </row>
    <row r="446" spans="1:8" x14ac:dyDescent="0.25">
      <c r="A446" t="s">
        <v>1343</v>
      </c>
      <c r="B446" t="s">
        <v>1344</v>
      </c>
      <c r="C446" t="s">
        <v>14</v>
      </c>
      <c r="D446" s="1">
        <v>39071</v>
      </c>
      <c r="E446">
        <v>2</v>
      </c>
      <c r="F446">
        <v>1</v>
      </c>
      <c r="G446" t="s">
        <v>1345</v>
      </c>
      <c r="H446">
        <v>2</v>
      </c>
    </row>
    <row r="447" spans="1:8" x14ac:dyDescent="0.25">
      <c r="A447" t="s">
        <v>1346</v>
      </c>
      <c r="B447" t="s">
        <v>1347</v>
      </c>
      <c r="C447" t="s">
        <v>14</v>
      </c>
      <c r="D447" s="1">
        <v>44138</v>
      </c>
      <c r="E447">
        <v>10</v>
      </c>
      <c r="F447">
        <v>1</v>
      </c>
      <c r="G447" t="s">
        <v>1348</v>
      </c>
      <c r="H447">
        <v>10</v>
      </c>
    </row>
    <row r="448" spans="1:8" x14ac:dyDescent="0.25">
      <c r="A448" t="s">
        <v>1349</v>
      </c>
      <c r="B448" t="s">
        <v>1350</v>
      </c>
      <c r="C448" t="s">
        <v>14</v>
      </c>
      <c r="D448" s="1">
        <v>39559</v>
      </c>
      <c r="E448">
        <v>1</v>
      </c>
      <c r="F448">
        <v>1</v>
      </c>
      <c r="G448" t="s">
        <v>1351</v>
      </c>
      <c r="H448">
        <v>1</v>
      </c>
    </row>
    <row r="449" spans="1:8" x14ac:dyDescent="0.25">
      <c r="A449" t="s">
        <v>1352</v>
      </c>
      <c r="B449" t="s">
        <v>1353</v>
      </c>
      <c r="C449" t="s">
        <v>14</v>
      </c>
      <c r="D449" s="1">
        <v>43847</v>
      </c>
      <c r="E449">
        <v>10</v>
      </c>
      <c r="F449">
        <v>1</v>
      </c>
      <c r="G449" t="s">
        <v>1354</v>
      </c>
      <c r="H449">
        <v>10</v>
      </c>
    </row>
    <row r="450" spans="1:8" x14ac:dyDescent="0.25">
      <c r="A450" t="s">
        <v>1355</v>
      </c>
      <c r="B450" t="s">
        <v>1356</v>
      </c>
      <c r="C450" t="s">
        <v>14</v>
      </c>
      <c r="D450" s="1">
        <v>44265</v>
      </c>
      <c r="E450">
        <v>1</v>
      </c>
      <c r="F450">
        <v>1</v>
      </c>
      <c r="G450" t="s">
        <v>1357</v>
      </c>
      <c r="H450">
        <v>1</v>
      </c>
    </row>
    <row r="451" spans="1:8" x14ac:dyDescent="0.25">
      <c r="A451" t="s">
        <v>1358</v>
      </c>
      <c r="B451" t="s">
        <v>1359</v>
      </c>
      <c r="C451" t="s">
        <v>14</v>
      </c>
      <c r="D451" s="1">
        <v>44810</v>
      </c>
      <c r="E451">
        <v>2</v>
      </c>
      <c r="F451">
        <v>1</v>
      </c>
      <c r="G451" t="s">
        <v>1360</v>
      </c>
      <c r="H451">
        <v>2</v>
      </c>
    </row>
    <row r="452" spans="1:8" x14ac:dyDescent="0.25">
      <c r="A452" t="s">
        <v>1361</v>
      </c>
      <c r="B452" t="s">
        <v>1362</v>
      </c>
      <c r="C452" t="s">
        <v>14</v>
      </c>
      <c r="D452" s="1">
        <v>38001</v>
      </c>
      <c r="E452">
        <v>10</v>
      </c>
      <c r="F452">
        <v>1</v>
      </c>
      <c r="G452" t="s">
        <v>1363</v>
      </c>
      <c r="H452">
        <v>10</v>
      </c>
    </row>
    <row r="453" spans="1:8" x14ac:dyDescent="0.25">
      <c r="A453" t="s">
        <v>1364</v>
      </c>
      <c r="B453" t="s">
        <v>1365</v>
      </c>
      <c r="C453" t="s">
        <v>14</v>
      </c>
      <c r="D453" s="1">
        <v>37771</v>
      </c>
      <c r="E453">
        <v>5</v>
      </c>
      <c r="F453">
        <v>1</v>
      </c>
      <c r="G453" t="s">
        <v>1366</v>
      </c>
      <c r="H453">
        <v>5</v>
      </c>
    </row>
    <row r="454" spans="1:8" x14ac:dyDescent="0.25">
      <c r="A454" t="s">
        <v>1367</v>
      </c>
      <c r="B454" t="s">
        <v>1368</v>
      </c>
      <c r="C454" t="s">
        <v>14</v>
      </c>
      <c r="D454" s="1">
        <v>40878</v>
      </c>
      <c r="E454">
        <v>10</v>
      </c>
      <c r="F454">
        <v>1</v>
      </c>
      <c r="G454" t="s">
        <v>1369</v>
      </c>
      <c r="H454">
        <v>10</v>
      </c>
    </row>
    <row r="455" spans="1:8" x14ac:dyDescent="0.25">
      <c r="A455" t="s">
        <v>1370</v>
      </c>
      <c r="B455" t="s">
        <v>1371</v>
      </c>
      <c r="C455" t="s">
        <v>14</v>
      </c>
      <c r="D455" s="1">
        <v>42024</v>
      </c>
      <c r="E455">
        <v>10</v>
      </c>
      <c r="F455">
        <v>1</v>
      </c>
      <c r="G455" t="s">
        <v>1372</v>
      </c>
      <c r="H455">
        <v>10</v>
      </c>
    </row>
    <row r="456" spans="1:8" x14ac:dyDescent="0.25">
      <c r="A456" t="s">
        <v>1373</v>
      </c>
      <c r="B456" t="s">
        <v>1374</v>
      </c>
      <c r="C456" t="s">
        <v>14</v>
      </c>
      <c r="D456" s="1">
        <v>41191</v>
      </c>
      <c r="E456">
        <v>1</v>
      </c>
      <c r="F456">
        <v>1</v>
      </c>
      <c r="G456" t="s">
        <v>1375</v>
      </c>
      <c r="H456">
        <v>1</v>
      </c>
    </row>
    <row r="457" spans="1:8" x14ac:dyDescent="0.25">
      <c r="A457" t="s">
        <v>1376</v>
      </c>
      <c r="B457" t="s">
        <v>1377</v>
      </c>
      <c r="C457" t="s">
        <v>14</v>
      </c>
      <c r="D457" s="1">
        <v>39458</v>
      </c>
      <c r="E457">
        <v>10</v>
      </c>
      <c r="F457">
        <v>1</v>
      </c>
      <c r="G457" t="s">
        <v>1378</v>
      </c>
      <c r="H457">
        <v>10</v>
      </c>
    </row>
    <row r="458" spans="1:8" x14ac:dyDescent="0.25">
      <c r="A458" t="s">
        <v>1379</v>
      </c>
      <c r="B458" t="s">
        <v>1380</v>
      </c>
      <c r="C458" t="s">
        <v>14</v>
      </c>
      <c r="D458" s="1">
        <v>38352</v>
      </c>
      <c r="E458">
        <v>1</v>
      </c>
      <c r="F458">
        <v>1</v>
      </c>
      <c r="G458" t="s">
        <v>1381</v>
      </c>
      <c r="H458">
        <v>1</v>
      </c>
    </row>
    <row r="459" spans="1:8" x14ac:dyDescent="0.25">
      <c r="A459" t="s">
        <v>1382</v>
      </c>
      <c r="B459" t="s">
        <v>1383</v>
      </c>
      <c r="C459" t="s">
        <v>14</v>
      </c>
      <c r="D459" s="1">
        <v>44769</v>
      </c>
      <c r="E459">
        <v>10</v>
      </c>
      <c r="F459">
        <v>1</v>
      </c>
      <c r="G459" t="s">
        <v>1384</v>
      </c>
      <c r="H459">
        <v>10</v>
      </c>
    </row>
    <row r="460" spans="1:8" x14ac:dyDescent="0.25">
      <c r="A460" t="s">
        <v>1385</v>
      </c>
      <c r="B460" t="s">
        <v>1386</v>
      </c>
      <c r="C460" t="s">
        <v>14</v>
      </c>
      <c r="D460" s="1">
        <v>38974</v>
      </c>
      <c r="E460">
        <v>10</v>
      </c>
      <c r="F460">
        <v>1</v>
      </c>
      <c r="G460" t="s">
        <v>1387</v>
      </c>
      <c r="H460">
        <v>10</v>
      </c>
    </row>
    <row r="461" spans="1:8" x14ac:dyDescent="0.25">
      <c r="A461" t="s">
        <v>1388</v>
      </c>
      <c r="B461" t="s">
        <v>1389</v>
      </c>
      <c r="C461" t="s">
        <v>14</v>
      </c>
      <c r="D461" s="1">
        <v>42935</v>
      </c>
      <c r="E461">
        <v>10</v>
      </c>
      <c r="F461">
        <v>1</v>
      </c>
      <c r="G461" t="s">
        <v>1390</v>
      </c>
      <c r="H461">
        <v>10</v>
      </c>
    </row>
    <row r="462" spans="1:8" x14ac:dyDescent="0.25">
      <c r="A462" t="s">
        <v>1391</v>
      </c>
      <c r="B462" t="s">
        <v>1392</v>
      </c>
      <c r="C462" t="s">
        <v>10</v>
      </c>
      <c r="D462" s="1">
        <v>44663</v>
      </c>
      <c r="E462">
        <v>10</v>
      </c>
      <c r="F462">
        <v>1</v>
      </c>
      <c r="G462" t="s">
        <v>1393</v>
      </c>
      <c r="H462">
        <v>10</v>
      </c>
    </row>
    <row r="463" spans="1:8" x14ac:dyDescent="0.25">
      <c r="A463" t="s">
        <v>1394</v>
      </c>
      <c r="B463" t="s">
        <v>1395</v>
      </c>
      <c r="C463" t="s">
        <v>14</v>
      </c>
      <c r="D463" s="1">
        <v>44274</v>
      </c>
      <c r="E463">
        <v>1</v>
      </c>
      <c r="F463">
        <v>1</v>
      </c>
      <c r="G463" t="s">
        <v>1396</v>
      </c>
      <c r="H463">
        <v>1</v>
      </c>
    </row>
    <row r="464" spans="1:8" x14ac:dyDescent="0.25">
      <c r="A464" t="s">
        <v>1397</v>
      </c>
      <c r="B464" t="s">
        <v>1398</v>
      </c>
      <c r="C464" t="s">
        <v>10</v>
      </c>
      <c r="D464" s="1">
        <v>35249</v>
      </c>
      <c r="E464">
        <v>2</v>
      </c>
      <c r="F464">
        <v>1</v>
      </c>
      <c r="G464" t="s">
        <v>1399</v>
      </c>
      <c r="H464">
        <v>2</v>
      </c>
    </row>
    <row r="465" spans="1:8" x14ac:dyDescent="0.25">
      <c r="A465" t="s">
        <v>1400</v>
      </c>
      <c r="B465" t="s">
        <v>1401</v>
      </c>
      <c r="C465" t="s">
        <v>14</v>
      </c>
      <c r="D465" s="1">
        <v>39447</v>
      </c>
      <c r="E465">
        <v>10</v>
      </c>
      <c r="F465">
        <v>1</v>
      </c>
      <c r="G465" t="s">
        <v>1402</v>
      </c>
      <c r="H465">
        <v>10</v>
      </c>
    </row>
    <row r="466" spans="1:8" x14ac:dyDescent="0.25">
      <c r="A466" t="s">
        <v>1403</v>
      </c>
      <c r="B466" t="s">
        <v>1404</v>
      </c>
      <c r="C466" t="s">
        <v>14</v>
      </c>
      <c r="D466" s="1">
        <v>39428</v>
      </c>
      <c r="E466">
        <v>1</v>
      </c>
      <c r="F466">
        <v>1</v>
      </c>
      <c r="G466" t="s">
        <v>1405</v>
      </c>
      <c r="H466">
        <v>1</v>
      </c>
    </row>
    <row r="467" spans="1:8" x14ac:dyDescent="0.25">
      <c r="A467" t="s">
        <v>1406</v>
      </c>
      <c r="B467" t="s">
        <v>1407</v>
      </c>
      <c r="C467" t="s">
        <v>786</v>
      </c>
      <c r="D467" s="1">
        <v>38730</v>
      </c>
      <c r="E467">
        <v>2</v>
      </c>
      <c r="F467">
        <v>1</v>
      </c>
      <c r="G467" t="s">
        <v>1408</v>
      </c>
      <c r="H467">
        <v>2</v>
      </c>
    </row>
    <row r="468" spans="1:8" x14ac:dyDescent="0.25">
      <c r="A468" t="s">
        <v>1409</v>
      </c>
      <c r="B468" t="s">
        <v>1410</v>
      </c>
      <c r="C468" t="s">
        <v>14</v>
      </c>
      <c r="D468" s="1">
        <v>38237</v>
      </c>
      <c r="E468">
        <v>1</v>
      </c>
      <c r="F468">
        <v>1</v>
      </c>
      <c r="G468" t="s">
        <v>1411</v>
      </c>
      <c r="H468">
        <v>1</v>
      </c>
    </row>
    <row r="469" spans="1:8" x14ac:dyDescent="0.25">
      <c r="A469" t="s">
        <v>1412</v>
      </c>
      <c r="B469" t="s">
        <v>1413</v>
      </c>
      <c r="C469" t="s">
        <v>14</v>
      </c>
      <c r="D469" s="1">
        <v>34829</v>
      </c>
      <c r="E469">
        <v>1</v>
      </c>
      <c r="F469">
        <v>1</v>
      </c>
      <c r="G469" t="s">
        <v>1414</v>
      </c>
      <c r="H469">
        <v>1</v>
      </c>
    </row>
    <row r="470" spans="1:8" x14ac:dyDescent="0.25">
      <c r="A470" t="s">
        <v>1415</v>
      </c>
      <c r="B470" t="s">
        <v>1416</v>
      </c>
      <c r="C470" t="s">
        <v>14</v>
      </c>
      <c r="D470" s="1">
        <v>44481</v>
      </c>
      <c r="E470">
        <v>10</v>
      </c>
      <c r="F470">
        <v>1</v>
      </c>
      <c r="G470" t="s">
        <v>1417</v>
      </c>
      <c r="H470">
        <v>10</v>
      </c>
    </row>
    <row r="471" spans="1:8" x14ac:dyDescent="0.25">
      <c r="A471" t="s">
        <v>1418</v>
      </c>
      <c r="B471" t="s">
        <v>1419</v>
      </c>
      <c r="C471" t="s">
        <v>14</v>
      </c>
      <c r="D471" s="1">
        <v>39546</v>
      </c>
      <c r="E471">
        <v>10</v>
      </c>
      <c r="F471">
        <v>1</v>
      </c>
      <c r="G471" t="s">
        <v>1420</v>
      </c>
      <c r="H471">
        <v>10</v>
      </c>
    </row>
    <row r="472" spans="1:8" x14ac:dyDescent="0.25">
      <c r="A472" t="s">
        <v>1421</v>
      </c>
      <c r="B472" t="s">
        <v>1422</v>
      </c>
      <c r="C472" t="s">
        <v>14</v>
      </c>
      <c r="D472" s="1">
        <v>34738</v>
      </c>
      <c r="E472">
        <v>2</v>
      </c>
      <c r="F472">
        <v>1</v>
      </c>
      <c r="G472" t="s">
        <v>1423</v>
      </c>
      <c r="H472">
        <v>2</v>
      </c>
    </row>
    <row r="473" spans="1:8" x14ac:dyDescent="0.25">
      <c r="A473" t="s">
        <v>1424</v>
      </c>
      <c r="B473" t="s">
        <v>1425</v>
      </c>
      <c r="C473" t="s">
        <v>14</v>
      </c>
      <c r="D473" s="1">
        <v>35172</v>
      </c>
      <c r="E473">
        <v>10</v>
      </c>
      <c r="F473">
        <v>1</v>
      </c>
      <c r="G473" t="s">
        <v>1426</v>
      </c>
      <c r="H473">
        <v>10</v>
      </c>
    </row>
    <row r="474" spans="1:8" x14ac:dyDescent="0.25">
      <c r="A474" t="s">
        <v>1427</v>
      </c>
      <c r="B474" t="s">
        <v>1428</v>
      </c>
      <c r="C474" t="s">
        <v>14</v>
      </c>
      <c r="D474" s="1">
        <v>38701</v>
      </c>
      <c r="E474">
        <v>2</v>
      </c>
      <c r="F474">
        <v>1</v>
      </c>
      <c r="G474" t="s">
        <v>1429</v>
      </c>
      <c r="H474">
        <v>2</v>
      </c>
    </row>
    <row r="475" spans="1:8" x14ac:dyDescent="0.25">
      <c r="A475" t="s">
        <v>1430</v>
      </c>
      <c r="B475" t="s">
        <v>1431</v>
      </c>
      <c r="C475" t="s">
        <v>14</v>
      </c>
      <c r="D475" s="1">
        <v>44663</v>
      </c>
      <c r="E475">
        <v>2</v>
      </c>
      <c r="F475">
        <v>1</v>
      </c>
      <c r="G475" t="s">
        <v>1432</v>
      </c>
      <c r="H475">
        <v>2</v>
      </c>
    </row>
    <row r="476" spans="1:8" x14ac:dyDescent="0.25">
      <c r="A476" t="s">
        <v>1433</v>
      </c>
      <c r="B476" t="s">
        <v>1434</v>
      </c>
      <c r="C476" t="s">
        <v>14</v>
      </c>
      <c r="D476" s="1">
        <v>38989</v>
      </c>
      <c r="E476">
        <v>2</v>
      </c>
      <c r="F476">
        <v>1</v>
      </c>
      <c r="G476" t="s">
        <v>1435</v>
      </c>
      <c r="H476">
        <v>2</v>
      </c>
    </row>
    <row r="477" spans="1:8" x14ac:dyDescent="0.25">
      <c r="A477" t="s">
        <v>1436</v>
      </c>
      <c r="B477" t="s">
        <v>1437</v>
      </c>
      <c r="C477" t="s">
        <v>14</v>
      </c>
      <c r="D477" s="1">
        <v>37792</v>
      </c>
      <c r="E477">
        <v>1</v>
      </c>
      <c r="F477">
        <v>1</v>
      </c>
      <c r="G477" t="s">
        <v>1438</v>
      </c>
      <c r="H477">
        <v>1</v>
      </c>
    </row>
    <row r="478" spans="1:8" x14ac:dyDescent="0.25">
      <c r="A478" t="s">
        <v>1439</v>
      </c>
      <c r="B478" t="s">
        <v>1440</v>
      </c>
      <c r="C478" t="s">
        <v>10</v>
      </c>
      <c r="D478" s="1">
        <v>39314</v>
      </c>
      <c r="E478">
        <v>10</v>
      </c>
      <c r="F478">
        <v>1</v>
      </c>
      <c r="G478" t="s">
        <v>1441</v>
      </c>
      <c r="H478">
        <v>10</v>
      </c>
    </row>
    <row r="479" spans="1:8" x14ac:dyDescent="0.25">
      <c r="A479" t="s">
        <v>1442</v>
      </c>
      <c r="B479" t="s">
        <v>1443</v>
      </c>
      <c r="C479" t="s">
        <v>14</v>
      </c>
      <c r="D479" s="1">
        <v>35025</v>
      </c>
      <c r="E479">
        <v>1</v>
      </c>
      <c r="F479">
        <v>1</v>
      </c>
      <c r="G479" t="s">
        <v>1444</v>
      </c>
      <c r="H479">
        <v>1</v>
      </c>
    </row>
    <row r="480" spans="1:8" x14ac:dyDescent="0.25">
      <c r="A480" t="s">
        <v>1445</v>
      </c>
      <c r="B480" t="s">
        <v>1446</v>
      </c>
      <c r="C480" t="s">
        <v>10</v>
      </c>
      <c r="D480" s="1">
        <v>40765</v>
      </c>
      <c r="E480">
        <v>1</v>
      </c>
      <c r="F480">
        <v>1</v>
      </c>
      <c r="G480" t="s">
        <v>1447</v>
      </c>
      <c r="H480">
        <v>1</v>
      </c>
    </row>
    <row r="481" spans="1:8" x14ac:dyDescent="0.25">
      <c r="A481" t="s">
        <v>1448</v>
      </c>
      <c r="B481" t="s">
        <v>1449</v>
      </c>
      <c r="C481" t="s">
        <v>14</v>
      </c>
      <c r="D481" s="1">
        <v>44925</v>
      </c>
      <c r="E481">
        <v>5</v>
      </c>
      <c r="F481">
        <v>1</v>
      </c>
      <c r="G481" t="s">
        <v>1450</v>
      </c>
      <c r="H481">
        <v>5</v>
      </c>
    </row>
    <row r="482" spans="1:8" x14ac:dyDescent="0.25">
      <c r="A482" t="s">
        <v>1451</v>
      </c>
      <c r="B482" t="s">
        <v>1452</v>
      </c>
      <c r="C482" t="s">
        <v>14</v>
      </c>
      <c r="D482" s="1">
        <v>38932</v>
      </c>
      <c r="E482">
        <v>1</v>
      </c>
      <c r="F482">
        <v>1</v>
      </c>
      <c r="G482" t="s">
        <v>1453</v>
      </c>
      <c r="H482">
        <v>1</v>
      </c>
    </row>
    <row r="483" spans="1:8" x14ac:dyDescent="0.25">
      <c r="A483" t="s">
        <v>1454</v>
      </c>
      <c r="B483" t="s">
        <v>1455</v>
      </c>
      <c r="C483" t="s">
        <v>14</v>
      </c>
      <c r="D483" s="1">
        <v>43615</v>
      </c>
      <c r="E483">
        <v>2</v>
      </c>
      <c r="F483">
        <v>1</v>
      </c>
      <c r="G483" t="s">
        <v>1456</v>
      </c>
      <c r="H483">
        <v>2</v>
      </c>
    </row>
    <row r="484" spans="1:8" x14ac:dyDescent="0.25">
      <c r="A484" t="s">
        <v>1457</v>
      </c>
      <c r="B484" t="s">
        <v>1458</v>
      </c>
      <c r="C484" t="s">
        <v>14</v>
      </c>
      <c r="D484" s="1">
        <v>40387</v>
      </c>
      <c r="E484">
        <v>2</v>
      </c>
      <c r="F484">
        <v>1</v>
      </c>
      <c r="G484" t="s">
        <v>1459</v>
      </c>
      <c r="H484">
        <v>2</v>
      </c>
    </row>
    <row r="485" spans="1:8" x14ac:dyDescent="0.25">
      <c r="A485" t="s">
        <v>1460</v>
      </c>
      <c r="B485" t="s">
        <v>1461</v>
      </c>
      <c r="C485" t="s">
        <v>14</v>
      </c>
      <c r="D485" s="1">
        <v>44851</v>
      </c>
      <c r="E485">
        <v>10</v>
      </c>
      <c r="F485">
        <v>1</v>
      </c>
      <c r="G485" t="s">
        <v>1462</v>
      </c>
      <c r="H485">
        <v>10</v>
      </c>
    </row>
    <row r="486" spans="1:8" x14ac:dyDescent="0.25">
      <c r="A486" t="s">
        <v>1463</v>
      </c>
      <c r="B486" t="s">
        <v>1464</v>
      </c>
      <c r="C486" t="s">
        <v>14</v>
      </c>
      <c r="D486" s="1">
        <v>38835</v>
      </c>
      <c r="E486">
        <v>10</v>
      </c>
      <c r="F486">
        <v>1</v>
      </c>
      <c r="G486" t="s">
        <v>1465</v>
      </c>
      <c r="H486">
        <v>10</v>
      </c>
    </row>
    <row r="487" spans="1:8" x14ac:dyDescent="0.25">
      <c r="A487" t="s">
        <v>1466</v>
      </c>
      <c r="B487" t="s">
        <v>1467</v>
      </c>
      <c r="C487" t="s">
        <v>14</v>
      </c>
      <c r="D487" s="1">
        <v>40233</v>
      </c>
      <c r="E487">
        <v>10</v>
      </c>
      <c r="F487">
        <v>1</v>
      </c>
      <c r="G487" t="s">
        <v>1468</v>
      </c>
      <c r="H487">
        <v>10</v>
      </c>
    </row>
    <row r="488" spans="1:8" x14ac:dyDescent="0.25">
      <c r="A488" t="s">
        <v>1469</v>
      </c>
      <c r="B488" t="s">
        <v>1470</v>
      </c>
      <c r="C488" t="s">
        <v>14</v>
      </c>
      <c r="D488" s="1">
        <v>45190</v>
      </c>
      <c r="E488">
        <v>10</v>
      </c>
      <c r="F488">
        <v>1</v>
      </c>
      <c r="G488" t="s">
        <v>1471</v>
      </c>
      <c r="H488">
        <v>10</v>
      </c>
    </row>
    <row r="489" spans="1:8" x14ac:dyDescent="0.25">
      <c r="A489" t="s">
        <v>1472</v>
      </c>
      <c r="B489" t="s">
        <v>1473</v>
      </c>
      <c r="C489" t="s">
        <v>14</v>
      </c>
      <c r="D489" s="1">
        <v>44713</v>
      </c>
      <c r="E489">
        <v>5</v>
      </c>
      <c r="F489">
        <v>1</v>
      </c>
      <c r="G489" t="s">
        <v>1474</v>
      </c>
      <c r="H489">
        <v>5</v>
      </c>
    </row>
    <row r="490" spans="1:8" x14ac:dyDescent="0.25">
      <c r="A490" t="s">
        <v>1475</v>
      </c>
      <c r="B490" t="s">
        <v>1476</v>
      </c>
      <c r="C490" t="s">
        <v>14</v>
      </c>
      <c r="D490" s="1">
        <v>42662</v>
      </c>
      <c r="E490">
        <v>10</v>
      </c>
      <c r="F490">
        <v>1</v>
      </c>
      <c r="G490" t="s">
        <v>1477</v>
      </c>
      <c r="H490">
        <v>10</v>
      </c>
    </row>
    <row r="491" spans="1:8" x14ac:dyDescent="0.25">
      <c r="A491" t="s">
        <v>1478</v>
      </c>
      <c r="B491" t="s">
        <v>1479</v>
      </c>
      <c r="C491" t="s">
        <v>14</v>
      </c>
      <c r="D491" s="1">
        <v>39388</v>
      </c>
      <c r="E491">
        <v>10</v>
      </c>
      <c r="F491">
        <v>1</v>
      </c>
      <c r="G491" t="s">
        <v>1480</v>
      </c>
      <c r="H491">
        <v>10</v>
      </c>
    </row>
    <row r="492" spans="1:8" x14ac:dyDescent="0.25">
      <c r="A492" t="s">
        <v>1481</v>
      </c>
      <c r="B492" t="s">
        <v>1482</v>
      </c>
      <c r="C492" t="s">
        <v>14</v>
      </c>
      <c r="D492" s="1">
        <v>35662</v>
      </c>
      <c r="E492">
        <v>5</v>
      </c>
      <c r="F492">
        <v>1</v>
      </c>
      <c r="G492" t="s">
        <v>1483</v>
      </c>
      <c r="H492">
        <v>5</v>
      </c>
    </row>
    <row r="493" spans="1:8" x14ac:dyDescent="0.25">
      <c r="A493" t="s">
        <v>1484</v>
      </c>
      <c r="B493" t="s">
        <v>1485</v>
      </c>
      <c r="C493" t="s">
        <v>14</v>
      </c>
      <c r="D493" s="1">
        <v>38763</v>
      </c>
      <c r="E493">
        <v>10</v>
      </c>
      <c r="F493">
        <v>1</v>
      </c>
      <c r="G493" t="s">
        <v>1486</v>
      </c>
      <c r="H493">
        <v>10</v>
      </c>
    </row>
    <row r="494" spans="1:8" x14ac:dyDescent="0.25">
      <c r="A494" t="s">
        <v>1487</v>
      </c>
      <c r="B494" t="s">
        <v>1488</v>
      </c>
      <c r="C494" t="s">
        <v>14</v>
      </c>
      <c r="D494" s="1">
        <v>44426</v>
      </c>
      <c r="E494">
        <v>10</v>
      </c>
      <c r="F494">
        <v>1</v>
      </c>
      <c r="G494" t="s">
        <v>1489</v>
      </c>
      <c r="H494">
        <v>10</v>
      </c>
    </row>
    <row r="495" spans="1:8" x14ac:dyDescent="0.25">
      <c r="A495" t="s">
        <v>1490</v>
      </c>
      <c r="B495" t="s">
        <v>1491</v>
      </c>
      <c r="C495" t="s">
        <v>14</v>
      </c>
      <c r="D495" s="1">
        <v>37298</v>
      </c>
      <c r="E495">
        <v>2</v>
      </c>
      <c r="F495">
        <v>1</v>
      </c>
      <c r="G495" t="s">
        <v>1492</v>
      </c>
      <c r="H495">
        <v>2</v>
      </c>
    </row>
    <row r="496" spans="1:8" x14ac:dyDescent="0.25">
      <c r="A496" t="s">
        <v>1493</v>
      </c>
      <c r="B496" t="s">
        <v>1494</v>
      </c>
      <c r="C496" t="s">
        <v>10</v>
      </c>
      <c r="D496" s="1">
        <v>44335</v>
      </c>
      <c r="E496">
        <v>1</v>
      </c>
      <c r="F496">
        <v>1</v>
      </c>
      <c r="G496" t="s">
        <v>1495</v>
      </c>
      <c r="H496">
        <v>1</v>
      </c>
    </row>
    <row r="497" spans="1:8" x14ac:dyDescent="0.25">
      <c r="A497" t="s">
        <v>1496</v>
      </c>
      <c r="B497" t="s">
        <v>1497</v>
      </c>
      <c r="C497" t="s">
        <v>14</v>
      </c>
      <c r="D497" s="1">
        <v>44137</v>
      </c>
      <c r="E497">
        <v>10</v>
      </c>
      <c r="F497">
        <v>1</v>
      </c>
      <c r="G497" t="s">
        <v>1498</v>
      </c>
      <c r="H497">
        <v>10</v>
      </c>
    </row>
    <row r="498" spans="1:8" x14ac:dyDescent="0.25">
      <c r="A498" t="s">
        <v>1499</v>
      </c>
      <c r="B498" t="s">
        <v>1500</v>
      </c>
      <c r="C498" t="s">
        <v>14</v>
      </c>
      <c r="D498" s="1">
        <v>42915</v>
      </c>
      <c r="E498">
        <v>1</v>
      </c>
      <c r="F498">
        <v>1</v>
      </c>
      <c r="G498" t="s">
        <v>1501</v>
      </c>
      <c r="H498">
        <v>1</v>
      </c>
    </row>
    <row r="499" spans="1:8" x14ac:dyDescent="0.25">
      <c r="A499" t="s">
        <v>1502</v>
      </c>
      <c r="B499" t="s">
        <v>1503</v>
      </c>
      <c r="C499" t="s">
        <v>14</v>
      </c>
      <c r="D499" s="1">
        <v>40457</v>
      </c>
      <c r="E499">
        <v>10</v>
      </c>
      <c r="F499">
        <v>1</v>
      </c>
      <c r="G499" t="s">
        <v>1504</v>
      </c>
      <c r="H499">
        <v>10</v>
      </c>
    </row>
    <row r="500" spans="1:8" x14ac:dyDescent="0.25">
      <c r="A500" t="s">
        <v>1505</v>
      </c>
      <c r="B500" t="s">
        <v>1506</v>
      </c>
      <c r="C500" t="s">
        <v>14</v>
      </c>
      <c r="D500" s="1">
        <v>35004</v>
      </c>
      <c r="E500">
        <v>10</v>
      </c>
      <c r="F500">
        <v>1</v>
      </c>
      <c r="G500" t="s">
        <v>1507</v>
      </c>
      <c r="H500">
        <v>10</v>
      </c>
    </row>
    <row r="501" spans="1:8" x14ac:dyDescent="0.25">
      <c r="A501" t="s">
        <v>1508</v>
      </c>
      <c r="B501" t="s">
        <v>1509</v>
      </c>
      <c r="C501" t="s">
        <v>14</v>
      </c>
      <c r="D501" s="1">
        <v>45240</v>
      </c>
      <c r="E501">
        <v>10</v>
      </c>
      <c r="F501">
        <v>1</v>
      </c>
      <c r="G501" t="s">
        <v>1510</v>
      </c>
      <c r="H501">
        <v>10</v>
      </c>
    </row>
    <row r="502" spans="1:8" x14ac:dyDescent="0.25">
      <c r="A502" t="s">
        <v>1511</v>
      </c>
      <c r="B502" t="s">
        <v>1512</v>
      </c>
      <c r="C502" t="s">
        <v>14</v>
      </c>
      <c r="D502" s="1">
        <v>34759</v>
      </c>
      <c r="E502">
        <v>10</v>
      </c>
      <c r="F502">
        <v>1</v>
      </c>
      <c r="G502" t="s">
        <v>1513</v>
      </c>
      <c r="H502">
        <v>10</v>
      </c>
    </row>
    <row r="503" spans="1:8" x14ac:dyDescent="0.25">
      <c r="A503" t="s">
        <v>1514</v>
      </c>
      <c r="B503" t="s">
        <v>1515</v>
      </c>
      <c r="C503" t="s">
        <v>10</v>
      </c>
      <c r="D503" s="1">
        <v>40862</v>
      </c>
      <c r="E503">
        <v>10</v>
      </c>
      <c r="F503">
        <v>1</v>
      </c>
      <c r="G503" t="s">
        <v>1516</v>
      </c>
      <c r="H503">
        <v>10</v>
      </c>
    </row>
    <row r="504" spans="1:8" x14ac:dyDescent="0.25">
      <c r="A504" t="s">
        <v>1517</v>
      </c>
      <c r="B504" t="s">
        <v>1518</v>
      </c>
      <c r="C504" t="s">
        <v>14</v>
      </c>
      <c r="D504" s="1">
        <v>41506</v>
      </c>
      <c r="E504">
        <v>1</v>
      </c>
      <c r="F504">
        <v>1</v>
      </c>
      <c r="G504" t="s">
        <v>1519</v>
      </c>
      <c r="H504">
        <v>1</v>
      </c>
    </row>
    <row r="505" spans="1:8" x14ac:dyDescent="0.25">
      <c r="A505" t="s">
        <v>1520</v>
      </c>
      <c r="B505" t="s">
        <v>1521</v>
      </c>
      <c r="C505" t="s">
        <v>14</v>
      </c>
      <c r="D505" s="1">
        <v>40714</v>
      </c>
      <c r="E505">
        <v>5</v>
      </c>
      <c r="F505">
        <v>1</v>
      </c>
      <c r="G505" t="s">
        <v>1522</v>
      </c>
      <c r="H505">
        <v>5</v>
      </c>
    </row>
    <row r="506" spans="1:8" x14ac:dyDescent="0.25">
      <c r="A506" t="s">
        <v>1523</v>
      </c>
      <c r="B506" t="s">
        <v>1524</v>
      </c>
      <c r="C506" t="s">
        <v>14</v>
      </c>
      <c r="D506" s="1">
        <v>44711</v>
      </c>
      <c r="E506">
        <v>10</v>
      </c>
      <c r="F506">
        <v>1</v>
      </c>
      <c r="G506" t="s">
        <v>1525</v>
      </c>
      <c r="H506">
        <v>10</v>
      </c>
    </row>
    <row r="507" spans="1:8" x14ac:dyDescent="0.25">
      <c r="A507" t="s">
        <v>1526</v>
      </c>
      <c r="B507" t="s">
        <v>1527</v>
      </c>
      <c r="C507" t="s">
        <v>10</v>
      </c>
      <c r="D507" s="1">
        <v>35095</v>
      </c>
      <c r="E507">
        <v>10</v>
      </c>
      <c r="F507">
        <v>1</v>
      </c>
      <c r="G507" t="s">
        <v>1528</v>
      </c>
      <c r="H507">
        <v>10</v>
      </c>
    </row>
    <row r="508" spans="1:8" x14ac:dyDescent="0.25">
      <c r="A508" t="s">
        <v>1529</v>
      </c>
      <c r="B508" t="s">
        <v>1530</v>
      </c>
      <c r="C508" t="s">
        <v>14</v>
      </c>
      <c r="D508" s="1">
        <v>38469</v>
      </c>
      <c r="E508">
        <v>5</v>
      </c>
      <c r="F508">
        <v>1</v>
      </c>
      <c r="G508" t="s">
        <v>1531</v>
      </c>
      <c r="H508">
        <v>5</v>
      </c>
    </row>
    <row r="509" spans="1:8" x14ac:dyDescent="0.25">
      <c r="A509" t="s">
        <v>1532</v>
      </c>
      <c r="B509" t="s">
        <v>1533</v>
      </c>
      <c r="C509" t="s">
        <v>14</v>
      </c>
      <c r="D509" s="1">
        <v>34787</v>
      </c>
      <c r="E509">
        <v>10</v>
      </c>
      <c r="F509">
        <v>1</v>
      </c>
      <c r="G509" t="s">
        <v>1534</v>
      </c>
      <c r="H509">
        <v>10</v>
      </c>
    </row>
    <row r="510" spans="1:8" x14ac:dyDescent="0.25">
      <c r="A510" t="s">
        <v>1535</v>
      </c>
      <c r="B510" t="s">
        <v>1536</v>
      </c>
      <c r="C510" t="s">
        <v>10</v>
      </c>
      <c r="D510" s="1">
        <v>40028</v>
      </c>
      <c r="E510">
        <v>1</v>
      </c>
      <c r="F510">
        <v>1</v>
      </c>
      <c r="G510" t="s">
        <v>1537</v>
      </c>
      <c r="H510">
        <v>1</v>
      </c>
    </row>
    <row r="511" spans="1:8" x14ac:dyDescent="0.25">
      <c r="A511" t="s">
        <v>1538</v>
      </c>
      <c r="B511" t="s">
        <v>1539</v>
      </c>
      <c r="C511" t="s">
        <v>14</v>
      </c>
      <c r="D511" s="1">
        <v>38154</v>
      </c>
      <c r="E511">
        <v>5</v>
      </c>
      <c r="F511">
        <v>1</v>
      </c>
      <c r="G511" t="s">
        <v>1540</v>
      </c>
      <c r="H511">
        <v>5</v>
      </c>
    </row>
    <row r="512" spans="1:8" x14ac:dyDescent="0.25">
      <c r="A512" t="s">
        <v>1541</v>
      </c>
      <c r="B512" t="s">
        <v>1542</v>
      </c>
      <c r="C512" t="s">
        <v>14</v>
      </c>
      <c r="D512" s="1">
        <v>37789</v>
      </c>
      <c r="E512">
        <v>1</v>
      </c>
      <c r="F512">
        <v>1</v>
      </c>
      <c r="G512" t="s">
        <v>1543</v>
      </c>
      <c r="H512">
        <v>1</v>
      </c>
    </row>
    <row r="513" spans="1:8" x14ac:dyDescent="0.25">
      <c r="A513" t="s">
        <v>1544</v>
      </c>
      <c r="B513" t="s">
        <v>1545</v>
      </c>
      <c r="C513" t="s">
        <v>14</v>
      </c>
      <c r="D513" s="1">
        <v>40112</v>
      </c>
      <c r="E513">
        <v>10</v>
      </c>
      <c r="F513">
        <v>1</v>
      </c>
      <c r="G513" t="s">
        <v>1546</v>
      </c>
      <c r="H513">
        <v>10</v>
      </c>
    </row>
    <row r="514" spans="1:8" x14ac:dyDescent="0.25">
      <c r="A514" t="s">
        <v>1547</v>
      </c>
      <c r="B514" t="s">
        <v>1548</v>
      </c>
      <c r="C514" t="s">
        <v>14</v>
      </c>
      <c r="D514" s="1">
        <v>44424</v>
      </c>
      <c r="E514">
        <v>10</v>
      </c>
      <c r="F514">
        <v>1</v>
      </c>
      <c r="G514" t="s">
        <v>1549</v>
      </c>
      <c r="H514">
        <v>10</v>
      </c>
    </row>
    <row r="515" spans="1:8" x14ac:dyDescent="0.25">
      <c r="A515" t="s">
        <v>1550</v>
      </c>
      <c r="B515" t="s">
        <v>1551</v>
      </c>
      <c r="C515" t="s">
        <v>14</v>
      </c>
      <c r="D515" s="1">
        <v>34801</v>
      </c>
      <c r="E515">
        <v>10</v>
      </c>
      <c r="F515">
        <v>1</v>
      </c>
      <c r="G515" t="s">
        <v>1552</v>
      </c>
      <c r="H515">
        <v>10</v>
      </c>
    </row>
    <row r="516" spans="1:8" x14ac:dyDescent="0.25">
      <c r="A516" t="s">
        <v>1553</v>
      </c>
      <c r="B516" t="s">
        <v>1554</v>
      </c>
      <c r="C516" t="s">
        <v>14</v>
      </c>
      <c r="D516" s="1">
        <v>44189</v>
      </c>
      <c r="E516">
        <v>10</v>
      </c>
      <c r="F516">
        <v>1</v>
      </c>
      <c r="G516" t="s">
        <v>1555</v>
      </c>
      <c r="H516">
        <v>10</v>
      </c>
    </row>
    <row r="517" spans="1:8" x14ac:dyDescent="0.25">
      <c r="A517" t="s">
        <v>1556</v>
      </c>
      <c r="B517" t="s">
        <v>1557</v>
      </c>
      <c r="C517" t="s">
        <v>14</v>
      </c>
      <c r="D517" s="1">
        <v>44883</v>
      </c>
      <c r="E517">
        <v>10</v>
      </c>
      <c r="F517">
        <v>1</v>
      </c>
      <c r="G517" t="s">
        <v>1558</v>
      </c>
      <c r="H517">
        <v>10</v>
      </c>
    </row>
    <row r="518" spans="1:8" x14ac:dyDescent="0.25">
      <c r="A518" t="s">
        <v>1559</v>
      </c>
      <c r="B518" t="s">
        <v>1560</v>
      </c>
      <c r="C518" t="s">
        <v>14</v>
      </c>
      <c r="D518" s="1">
        <v>42019</v>
      </c>
      <c r="E518">
        <v>2</v>
      </c>
      <c r="F518">
        <v>1</v>
      </c>
      <c r="G518" t="s">
        <v>1561</v>
      </c>
      <c r="H518">
        <v>2</v>
      </c>
    </row>
    <row r="519" spans="1:8" x14ac:dyDescent="0.25">
      <c r="A519" t="s">
        <v>1562</v>
      </c>
      <c r="B519" t="s">
        <v>1563</v>
      </c>
      <c r="C519" t="s">
        <v>10</v>
      </c>
      <c r="D519" s="1">
        <v>41459</v>
      </c>
      <c r="E519">
        <v>6</v>
      </c>
      <c r="F519">
        <v>1</v>
      </c>
      <c r="G519" t="s">
        <v>1564</v>
      </c>
      <c r="H519">
        <v>6</v>
      </c>
    </row>
    <row r="520" spans="1:8" x14ac:dyDescent="0.25">
      <c r="A520" t="s">
        <v>1565</v>
      </c>
      <c r="B520" t="s">
        <v>1566</v>
      </c>
      <c r="C520" t="s">
        <v>14</v>
      </c>
      <c r="D520" s="1">
        <v>38616</v>
      </c>
      <c r="E520">
        <v>1</v>
      </c>
      <c r="F520">
        <v>1</v>
      </c>
      <c r="G520" t="s">
        <v>1567</v>
      </c>
      <c r="H520">
        <v>1</v>
      </c>
    </row>
    <row r="521" spans="1:8" x14ac:dyDescent="0.25">
      <c r="A521" t="s">
        <v>1568</v>
      </c>
      <c r="B521" t="s">
        <v>1569</v>
      </c>
      <c r="C521" t="s">
        <v>14</v>
      </c>
      <c r="D521" s="1">
        <v>35649</v>
      </c>
      <c r="E521">
        <v>1</v>
      </c>
      <c r="F521">
        <v>1</v>
      </c>
      <c r="G521" t="s">
        <v>1570</v>
      </c>
      <c r="H521">
        <v>1</v>
      </c>
    </row>
    <row r="522" spans="1:8" x14ac:dyDescent="0.25">
      <c r="A522" t="s">
        <v>1571</v>
      </c>
      <c r="B522" t="s">
        <v>1572</v>
      </c>
      <c r="C522" t="s">
        <v>14</v>
      </c>
      <c r="D522" s="1">
        <v>34738</v>
      </c>
      <c r="E522">
        <v>2</v>
      </c>
      <c r="F522">
        <v>1</v>
      </c>
      <c r="G522" t="s">
        <v>1573</v>
      </c>
      <c r="H522">
        <v>2</v>
      </c>
    </row>
    <row r="523" spans="1:8" x14ac:dyDescent="0.25">
      <c r="A523" t="s">
        <v>1574</v>
      </c>
      <c r="B523" t="s">
        <v>1575</v>
      </c>
      <c r="C523" t="s">
        <v>786</v>
      </c>
      <c r="D523" s="1">
        <v>37200</v>
      </c>
      <c r="E523">
        <v>2</v>
      </c>
      <c r="F523">
        <v>1</v>
      </c>
      <c r="G523" t="s">
        <v>1576</v>
      </c>
      <c r="H523">
        <v>2</v>
      </c>
    </row>
    <row r="524" spans="1:8" x14ac:dyDescent="0.25">
      <c r="A524" t="s">
        <v>1577</v>
      </c>
      <c r="B524" t="s">
        <v>1578</v>
      </c>
      <c r="C524" t="s">
        <v>14</v>
      </c>
      <c r="D524" s="1">
        <v>44608</v>
      </c>
      <c r="E524">
        <v>10</v>
      </c>
      <c r="F524">
        <v>1</v>
      </c>
      <c r="G524" t="s">
        <v>1579</v>
      </c>
      <c r="H524">
        <v>10</v>
      </c>
    </row>
    <row r="525" spans="1:8" x14ac:dyDescent="0.25">
      <c r="A525" t="s">
        <v>1580</v>
      </c>
      <c r="B525" t="s">
        <v>1581</v>
      </c>
      <c r="C525" t="s">
        <v>14</v>
      </c>
      <c r="D525" s="1">
        <v>39009</v>
      </c>
      <c r="E525">
        <v>10</v>
      </c>
      <c r="F525">
        <v>1</v>
      </c>
      <c r="G525" t="s">
        <v>1582</v>
      </c>
      <c r="H525">
        <v>10</v>
      </c>
    </row>
    <row r="526" spans="1:8" x14ac:dyDescent="0.25">
      <c r="A526" t="s">
        <v>1583</v>
      </c>
      <c r="B526" t="s">
        <v>1584</v>
      </c>
      <c r="C526" t="s">
        <v>14</v>
      </c>
      <c r="D526" s="1">
        <v>40784</v>
      </c>
      <c r="E526">
        <v>1</v>
      </c>
      <c r="F526">
        <v>1</v>
      </c>
      <c r="G526" t="s">
        <v>1585</v>
      </c>
      <c r="H526">
        <v>1</v>
      </c>
    </row>
    <row r="527" spans="1:8" x14ac:dyDescent="0.25">
      <c r="A527" t="s">
        <v>1586</v>
      </c>
      <c r="B527" t="s">
        <v>1587</v>
      </c>
      <c r="C527" t="s">
        <v>14</v>
      </c>
      <c r="D527" s="1">
        <v>34745</v>
      </c>
      <c r="E527">
        <v>2</v>
      </c>
      <c r="F527">
        <v>1</v>
      </c>
      <c r="G527" t="s">
        <v>1588</v>
      </c>
      <c r="H527">
        <v>2</v>
      </c>
    </row>
    <row r="528" spans="1:8" x14ac:dyDescent="0.25">
      <c r="A528" t="s">
        <v>1589</v>
      </c>
      <c r="B528" t="s">
        <v>1590</v>
      </c>
      <c r="C528" t="s">
        <v>14</v>
      </c>
      <c r="D528" s="1">
        <v>43283</v>
      </c>
      <c r="E528">
        <v>5</v>
      </c>
      <c r="F528">
        <v>1</v>
      </c>
      <c r="G528" t="s">
        <v>1591</v>
      </c>
      <c r="H528">
        <v>5</v>
      </c>
    </row>
    <row r="529" spans="1:8" x14ac:dyDescent="0.25">
      <c r="A529" t="s">
        <v>1592</v>
      </c>
      <c r="B529" t="s">
        <v>1593</v>
      </c>
      <c r="C529" t="s">
        <v>14</v>
      </c>
      <c r="D529" s="1">
        <v>44512</v>
      </c>
      <c r="E529">
        <v>10</v>
      </c>
      <c r="F529">
        <v>1</v>
      </c>
      <c r="G529" t="s">
        <v>1594</v>
      </c>
      <c r="H529">
        <v>10</v>
      </c>
    </row>
    <row r="530" spans="1:8" x14ac:dyDescent="0.25">
      <c r="A530" t="s">
        <v>1595</v>
      </c>
      <c r="B530" t="s">
        <v>1596</v>
      </c>
      <c r="C530" t="s">
        <v>14</v>
      </c>
      <c r="D530" s="1">
        <v>34738</v>
      </c>
      <c r="E530">
        <v>2</v>
      </c>
      <c r="F530">
        <v>1</v>
      </c>
      <c r="G530" t="s">
        <v>1597</v>
      </c>
      <c r="H530">
        <v>2</v>
      </c>
    </row>
    <row r="531" spans="1:8" x14ac:dyDescent="0.25">
      <c r="A531" t="s">
        <v>1598</v>
      </c>
      <c r="B531" t="s">
        <v>1599</v>
      </c>
      <c r="C531" t="s">
        <v>14</v>
      </c>
      <c r="D531" s="1">
        <v>44886</v>
      </c>
      <c r="E531">
        <v>1</v>
      </c>
      <c r="F531">
        <v>1</v>
      </c>
      <c r="G531" t="s">
        <v>1600</v>
      </c>
      <c r="H531">
        <v>1</v>
      </c>
    </row>
    <row r="532" spans="1:8" x14ac:dyDescent="0.25">
      <c r="A532" t="s">
        <v>1601</v>
      </c>
      <c r="B532" t="s">
        <v>1602</v>
      </c>
      <c r="C532" t="s">
        <v>10</v>
      </c>
      <c r="D532" s="1">
        <v>40835</v>
      </c>
      <c r="E532">
        <v>10</v>
      </c>
      <c r="F532">
        <v>1</v>
      </c>
      <c r="G532" t="s">
        <v>1603</v>
      </c>
      <c r="H532">
        <v>10</v>
      </c>
    </row>
    <row r="533" spans="1:8" x14ac:dyDescent="0.25">
      <c r="A533" t="s">
        <v>1604</v>
      </c>
      <c r="B533" t="s">
        <v>1605</v>
      </c>
      <c r="C533" t="s">
        <v>786</v>
      </c>
      <c r="D533" s="1">
        <v>41548</v>
      </c>
      <c r="E533">
        <v>2</v>
      </c>
      <c r="F533">
        <v>1</v>
      </c>
      <c r="G533" t="s">
        <v>1606</v>
      </c>
      <c r="H533">
        <v>2</v>
      </c>
    </row>
    <row r="534" spans="1:8" x14ac:dyDescent="0.25">
      <c r="A534" t="s">
        <v>1607</v>
      </c>
      <c r="B534" t="s">
        <v>1608</v>
      </c>
      <c r="C534" t="s">
        <v>14</v>
      </c>
      <c r="D534" s="1">
        <v>43754</v>
      </c>
      <c r="E534">
        <v>1</v>
      </c>
      <c r="F534">
        <v>1</v>
      </c>
      <c r="G534" t="s">
        <v>1609</v>
      </c>
      <c r="H534">
        <v>1</v>
      </c>
    </row>
    <row r="535" spans="1:8" x14ac:dyDescent="0.25">
      <c r="A535" t="s">
        <v>1610</v>
      </c>
      <c r="B535" t="s">
        <v>1611</v>
      </c>
      <c r="C535" t="s">
        <v>14</v>
      </c>
      <c r="D535" s="1">
        <v>34738</v>
      </c>
      <c r="E535">
        <v>10</v>
      </c>
      <c r="F535">
        <v>1</v>
      </c>
      <c r="G535" t="s">
        <v>1612</v>
      </c>
      <c r="H535">
        <v>10</v>
      </c>
    </row>
    <row r="536" spans="1:8" x14ac:dyDescent="0.25">
      <c r="A536" t="s">
        <v>1613</v>
      </c>
      <c r="B536" t="s">
        <v>1614</v>
      </c>
      <c r="C536" t="s">
        <v>10</v>
      </c>
      <c r="D536" s="1">
        <v>40543</v>
      </c>
      <c r="E536">
        <v>10</v>
      </c>
      <c r="F536">
        <v>1</v>
      </c>
      <c r="G536" t="s">
        <v>1615</v>
      </c>
      <c r="H536">
        <v>10</v>
      </c>
    </row>
    <row r="537" spans="1:8" x14ac:dyDescent="0.25">
      <c r="A537" t="s">
        <v>1616</v>
      </c>
      <c r="B537" t="s">
        <v>1617</v>
      </c>
      <c r="C537" t="s">
        <v>14</v>
      </c>
      <c r="D537" s="1">
        <v>44524</v>
      </c>
      <c r="E537">
        <v>2</v>
      </c>
      <c r="F537">
        <v>1</v>
      </c>
      <c r="G537" t="s">
        <v>1618</v>
      </c>
      <c r="H537">
        <v>2</v>
      </c>
    </row>
    <row r="538" spans="1:8" x14ac:dyDescent="0.25">
      <c r="A538" t="s">
        <v>1619</v>
      </c>
      <c r="B538" t="s">
        <v>1620</v>
      </c>
      <c r="C538" t="s">
        <v>14</v>
      </c>
      <c r="D538" s="1">
        <v>44516</v>
      </c>
      <c r="E538">
        <v>1</v>
      </c>
      <c r="F538">
        <v>1</v>
      </c>
      <c r="G538" t="s">
        <v>1621</v>
      </c>
      <c r="H538">
        <v>1</v>
      </c>
    </row>
    <row r="539" spans="1:8" x14ac:dyDescent="0.25">
      <c r="A539" t="s">
        <v>1622</v>
      </c>
      <c r="B539" t="s">
        <v>1623</v>
      </c>
      <c r="C539" t="s">
        <v>14</v>
      </c>
      <c r="D539" s="1">
        <v>39211</v>
      </c>
      <c r="E539">
        <v>10</v>
      </c>
      <c r="F539">
        <v>1</v>
      </c>
      <c r="G539" t="s">
        <v>1624</v>
      </c>
      <c r="H539">
        <v>10</v>
      </c>
    </row>
    <row r="540" spans="1:8" x14ac:dyDescent="0.25">
      <c r="A540" t="s">
        <v>1625</v>
      </c>
      <c r="B540" t="s">
        <v>1626</v>
      </c>
      <c r="C540" t="s">
        <v>14</v>
      </c>
      <c r="D540" s="1">
        <v>37746</v>
      </c>
      <c r="E540">
        <v>10</v>
      </c>
      <c r="F540">
        <v>1</v>
      </c>
      <c r="G540" t="s">
        <v>1627</v>
      </c>
      <c r="H540">
        <v>10</v>
      </c>
    </row>
    <row r="541" spans="1:8" x14ac:dyDescent="0.25">
      <c r="A541" t="s">
        <v>1628</v>
      </c>
      <c r="B541" t="s">
        <v>1629</v>
      </c>
      <c r="C541" t="s">
        <v>786</v>
      </c>
      <c r="D541" s="1">
        <v>42611</v>
      </c>
      <c r="E541">
        <v>2</v>
      </c>
      <c r="F541">
        <v>1</v>
      </c>
      <c r="G541" t="s">
        <v>1630</v>
      </c>
      <c r="H541">
        <v>2</v>
      </c>
    </row>
    <row r="542" spans="1:8" x14ac:dyDescent="0.25">
      <c r="A542" t="s">
        <v>1631</v>
      </c>
      <c r="B542" t="s">
        <v>1632</v>
      </c>
      <c r="C542" t="s">
        <v>786</v>
      </c>
      <c r="D542" s="1">
        <v>43087</v>
      </c>
      <c r="E542">
        <v>10</v>
      </c>
      <c r="F542">
        <v>1</v>
      </c>
      <c r="G542" t="s">
        <v>1633</v>
      </c>
      <c r="H542">
        <v>10</v>
      </c>
    </row>
    <row r="543" spans="1:8" x14ac:dyDescent="0.25">
      <c r="A543" t="s">
        <v>1634</v>
      </c>
      <c r="B543" t="s">
        <v>1635</v>
      </c>
      <c r="C543" t="s">
        <v>14</v>
      </c>
      <c r="D543" s="1">
        <v>39135</v>
      </c>
      <c r="E543">
        <v>10</v>
      </c>
      <c r="F543">
        <v>1</v>
      </c>
      <c r="G543" t="s">
        <v>1636</v>
      </c>
      <c r="H543">
        <v>10</v>
      </c>
    </row>
    <row r="544" spans="1:8" x14ac:dyDescent="0.25">
      <c r="A544" t="s">
        <v>1637</v>
      </c>
      <c r="B544" t="s">
        <v>1638</v>
      </c>
      <c r="C544" t="s">
        <v>14</v>
      </c>
      <c r="D544" s="1">
        <v>44880</v>
      </c>
      <c r="E544">
        <v>10</v>
      </c>
      <c r="F544">
        <v>1</v>
      </c>
      <c r="G544" t="s">
        <v>1639</v>
      </c>
      <c r="H544">
        <v>10</v>
      </c>
    </row>
    <row r="545" spans="1:8" x14ac:dyDescent="0.25">
      <c r="A545" t="s">
        <v>1640</v>
      </c>
      <c r="B545" t="s">
        <v>1641</v>
      </c>
      <c r="C545" t="s">
        <v>14</v>
      </c>
      <c r="D545" s="1">
        <v>38462</v>
      </c>
      <c r="E545">
        <v>1</v>
      </c>
      <c r="F545">
        <v>1</v>
      </c>
      <c r="G545" t="s">
        <v>1642</v>
      </c>
      <c r="H545">
        <v>1</v>
      </c>
    </row>
    <row r="546" spans="1:8" x14ac:dyDescent="0.25">
      <c r="A546" t="s">
        <v>1643</v>
      </c>
      <c r="B546" t="s">
        <v>1644</v>
      </c>
      <c r="C546" t="s">
        <v>14</v>
      </c>
      <c r="D546" s="1">
        <v>36810</v>
      </c>
      <c r="E546">
        <v>1</v>
      </c>
      <c r="F546">
        <v>1</v>
      </c>
      <c r="G546" t="s">
        <v>1645</v>
      </c>
      <c r="H546">
        <v>1</v>
      </c>
    </row>
    <row r="547" spans="1:8" x14ac:dyDescent="0.25">
      <c r="A547" t="s">
        <v>1646</v>
      </c>
      <c r="B547" t="s">
        <v>1647</v>
      </c>
      <c r="C547" t="s">
        <v>14</v>
      </c>
      <c r="D547" s="1">
        <v>35522</v>
      </c>
      <c r="E547">
        <v>10</v>
      </c>
      <c r="F547">
        <v>1</v>
      </c>
      <c r="G547" t="s">
        <v>1648</v>
      </c>
      <c r="H547">
        <v>10</v>
      </c>
    </row>
    <row r="548" spans="1:8" x14ac:dyDescent="0.25">
      <c r="A548" t="s">
        <v>1649</v>
      </c>
      <c r="B548" t="s">
        <v>1650</v>
      </c>
      <c r="C548" t="s">
        <v>14</v>
      </c>
      <c r="D548" s="1">
        <v>43139</v>
      </c>
      <c r="E548">
        <v>10</v>
      </c>
      <c r="F548">
        <v>1</v>
      </c>
      <c r="G548" t="s">
        <v>1651</v>
      </c>
      <c r="H548">
        <v>10</v>
      </c>
    </row>
    <row r="549" spans="1:8" x14ac:dyDescent="0.25">
      <c r="A549" t="s">
        <v>1652</v>
      </c>
      <c r="B549" t="s">
        <v>1653</v>
      </c>
      <c r="C549" t="s">
        <v>14</v>
      </c>
      <c r="D549" s="1">
        <v>38811</v>
      </c>
      <c r="E549">
        <v>10</v>
      </c>
      <c r="F549">
        <v>1</v>
      </c>
      <c r="G549" t="s">
        <v>1654</v>
      </c>
      <c r="H549">
        <v>10</v>
      </c>
    </row>
    <row r="550" spans="1:8" x14ac:dyDescent="0.25">
      <c r="A550" t="s">
        <v>1655</v>
      </c>
      <c r="B550" t="s">
        <v>1656</v>
      </c>
      <c r="C550" t="s">
        <v>14</v>
      </c>
      <c r="D550" s="1">
        <v>39113</v>
      </c>
      <c r="E550">
        <v>5</v>
      </c>
      <c r="F550">
        <v>1</v>
      </c>
      <c r="G550" t="s">
        <v>1657</v>
      </c>
      <c r="H550">
        <v>5</v>
      </c>
    </row>
    <row r="551" spans="1:8" x14ac:dyDescent="0.25">
      <c r="A551" t="s">
        <v>1658</v>
      </c>
      <c r="B551" t="s">
        <v>1659</v>
      </c>
      <c r="C551" t="s">
        <v>14</v>
      </c>
      <c r="D551" s="1">
        <v>42072</v>
      </c>
      <c r="E551">
        <v>10</v>
      </c>
      <c r="F551">
        <v>1</v>
      </c>
      <c r="G551" t="s">
        <v>1660</v>
      </c>
      <c r="H551">
        <v>10</v>
      </c>
    </row>
    <row r="552" spans="1:8" x14ac:dyDescent="0.25">
      <c r="A552" t="s">
        <v>1661</v>
      </c>
      <c r="B552" t="s">
        <v>1662</v>
      </c>
      <c r="C552" t="s">
        <v>14</v>
      </c>
      <c r="D552" s="1">
        <v>44455</v>
      </c>
      <c r="E552">
        <v>1</v>
      </c>
      <c r="F552">
        <v>1</v>
      </c>
      <c r="G552" t="s">
        <v>1663</v>
      </c>
      <c r="H552">
        <v>1</v>
      </c>
    </row>
    <row r="553" spans="1:8" x14ac:dyDescent="0.25">
      <c r="A553" t="s">
        <v>1664</v>
      </c>
      <c r="B553" t="s">
        <v>1665</v>
      </c>
      <c r="C553" t="s">
        <v>14</v>
      </c>
      <c r="D553" s="1">
        <v>39143</v>
      </c>
      <c r="E553">
        <v>10</v>
      </c>
      <c r="F553">
        <v>1</v>
      </c>
      <c r="G553" t="s">
        <v>1666</v>
      </c>
      <c r="H553">
        <v>10</v>
      </c>
    </row>
    <row r="554" spans="1:8" x14ac:dyDescent="0.25">
      <c r="A554" t="s">
        <v>1667</v>
      </c>
      <c r="B554" t="s">
        <v>1668</v>
      </c>
      <c r="C554" t="s">
        <v>10</v>
      </c>
      <c r="D554" s="1">
        <v>44383</v>
      </c>
      <c r="E554">
        <v>1</v>
      </c>
      <c r="F554">
        <v>1</v>
      </c>
      <c r="G554" t="s">
        <v>1669</v>
      </c>
      <c r="H554">
        <v>1</v>
      </c>
    </row>
    <row r="555" spans="1:8" x14ac:dyDescent="0.25">
      <c r="A555" t="s">
        <v>1670</v>
      </c>
      <c r="B555" t="s">
        <v>1671</v>
      </c>
      <c r="C555" t="s">
        <v>14</v>
      </c>
      <c r="D555" s="1">
        <v>42944</v>
      </c>
      <c r="E555">
        <v>10</v>
      </c>
      <c r="F555">
        <v>1</v>
      </c>
      <c r="G555" t="s">
        <v>1672</v>
      </c>
      <c r="H555">
        <v>10</v>
      </c>
    </row>
    <row r="556" spans="1:8" x14ac:dyDescent="0.25">
      <c r="A556" t="s">
        <v>1673</v>
      </c>
      <c r="B556" t="s">
        <v>1674</v>
      </c>
      <c r="C556" t="s">
        <v>14</v>
      </c>
      <c r="D556" s="1">
        <v>39175</v>
      </c>
      <c r="E556">
        <v>10</v>
      </c>
      <c r="F556">
        <v>1</v>
      </c>
      <c r="G556" t="s">
        <v>1675</v>
      </c>
      <c r="H556">
        <v>10</v>
      </c>
    </row>
    <row r="557" spans="1:8" x14ac:dyDescent="0.25">
      <c r="A557" t="s">
        <v>1676</v>
      </c>
      <c r="B557" t="s">
        <v>1677</v>
      </c>
      <c r="C557" t="s">
        <v>10</v>
      </c>
      <c r="D557" s="1">
        <v>43018</v>
      </c>
      <c r="E557">
        <v>1</v>
      </c>
      <c r="F557">
        <v>1</v>
      </c>
      <c r="G557" t="s">
        <v>1678</v>
      </c>
      <c r="H557">
        <v>1</v>
      </c>
    </row>
    <row r="558" spans="1:8" x14ac:dyDescent="0.25">
      <c r="A558" t="s">
        <v>1679</v>
      </c>
      <c r="B558" t="s">
        <v>1680</v>
      </c>
      <c r="C558" t="s">
        <v>14</v>
      </c>
      <c r="D558" s="1">
        <v>44642</v>
      </c>
      <c r="E558">
        <v>10</v>
      </c>
      <c r="F558">
        <v>1</v>
      </c>
      <c r="G558" t="s">
        <v>1681</v>
      </c>
      <c r="H558">
        <v>10</v>
      </c>
    </row>
    <row r="559" spans="1:8" x14ac:dyDescent="0.25">
      <c r="A559" t="s">
        <v>1682</v>
      </c>
      <c r="B559" t="s">
        <v>1683</v>
      </c>
      <c r="C559" t="s">
        <v>14</v>
      </c>
      <c r="D559" s="1">
        <v>39000</v>
      </c>
      <c r="E559">
        <v>2</v>
      </c>
      <c r="F559">
        <v>1</v>
      </c>
      <c r="G559" t="s">
        <v>1684</v>
      </c>
      <c r="H559">
        <v>2</v>
      </c>
    </row>
    <row r="560" spans="1:8" x14ac:dyDescent="0.25">
      <c r="A560" t="s">
        <v>1685</v>
      </c>
      <c r="B560" t="s">
        <v>1686</v>
      </c>
      <c r="C560" t="s">
        <v>14</v>
      </c>
      <c r="D560" s="1">
        <v>43279</v>
      </c>
      <c r="E560">
        <v>2</v>
      </c>
      <c r="F560">
        <v>1</v>
      </c>
      <c r="G560" t="s">
        <v>1687</v>
      </c>
      <c r="H560">
        <v>2</v>
      </c>
    </row>
    <row r="561" spans="1:8" x14ac:dyDescent="0.25">
      <c r="A561" t="s">
        <v>1688</v>
      </c>
      <c r="B561" t="s">
        <v>1689</v>
      </c>
      <c r="C561" t="s">
        <v>786</v>
      </c>
      <c r="D561" s="1">
        <v>40777</v>
      </c>
      <c r="E561">
        <v>2</v>
      </c>
      <c r="F561">
        <v>1</v>
      </c>
      <c r="G561" t="s">
        <v>1690</v>
      </c>
      <c r="H561">
        <v>2</v>
      </c>
    </row>
    <row r="562" spans="1:8" x14ac:dyDescent="0.25">
      <c r="A562" t="s">
        <v>1691</v>
      </c>
      <c r="B562" t="s">
        <v>1692</v>
      </c>
      <c r="C562" t="s">
        <v>14</v>
      </c>
      <c r="D562" s="1">
        <v>38994</v>
      </c>
      <c r="E562">
        <v>10</v>
      </c>
      <c r="F562">
        <v>1</v>
      </c>
      <c r="G562" t="s">
        <v>1693</v>
      </c>
      <c r="H562">
        <v>10</v>
      </c>
    </row>
    <row r="563" spans="1:8" x14ac:dyDescent="0.25">
      <c r="A563" t="s">
        <v>1694</v>
      </c>
      <c r="B563" t="s">
        <v>1695</v>
      </c>
      <c r="C563" t="s">
        <v>10</v>
      </c>
      <c r="D563" s="1">
        <v>43896</v>
      </c>
      <c r="E563">
        <v>2</v>
      </c>
      <c r="F563">
        <v>1</v>
      </c>
      <c r="G563" t="s">
        <v>1696</v>
      </c>
      <c r="H563">
        <v>2</v>
      </c>
    </row>
    <row r="564" spans="1:8" x14ac:dyDescent="0.25">
      <c r="A564" t="s">
        <v>1697</v>
      </c>
      <c r="B564" t="s">
        <v>1698</v>
      </c>
      <c r="C564" t="s">
        <v>10</v>
      </c>
      <c r="D564" s="1">
        <v>44243</v>
      </c>
      <c r="E564">
        <v>5</v>
      </c>
      <c r="F564">
        <v>1</v>
      </c>
      <c r="G564" t="s">
        <v>1699</v>
      </c>
      <c r="H564">
        <v>5</v>
      </c>
    </row>
    <row r="565" spans="1:8" x14ac:dyDescent="0.25">
      <c r="A565" t="s">
        <v>1700</v>
      </c>
      <c r="B565" t="s">
        <v>1701</v>
      </c>
      <c r="C565" t="s">
        <v>14</v>
      </c>
      <c r="D565" s="1">
        <v>37644</v>
      </c>
      <c r="E565">
        <v>5</v>
      </c>
      <c r="F565">
        <v>1</v>
      </c>
      <c r="G565" t="s">
        <v>1702</v>
      </c>
      <c r="H565">
        <v>5</v>
      </c>
    </row>
    <row r="566" spans="1:8" x14ac:dyDescent="0.25">
      <c r="A566" t="s">
        <v>1703</v>
      </c>
      <c r="B566" t="s">
        <v>1704</v>
      </c>
      <c r="C566" t="s">
        <v>10</v>
      </c>
      <c r="D566" s="1">
        <v>45110</v>
      </c>
      <c r="E566">
        <v>10</v>
      </c>
      <c r="F566">
        <v>1</v>
      </c>
      <c r="G566" t="s">
        <v>1705</v>
      </c>
      <c r="H566">
        <v>10</v>
      </c>
    </row>
    <row r="567" spans="1:8" x14ac:dyDescent="0.25">
      <c r="A567" t="s">
        <v>1706</v>
      </c>
      <c r="B567" t="s">
        <v>1707</v>
      </c>
      <c r="C567" t="s">
        <v>14</v>
      </c>
      <c r="D567" s="1">
        <v>42051</v>
      </c>
      <c r="E567">
        <v>1</v>
      </c>
      <c r="F567">
        <v>1</v>
      </c>
      <c r="G567" t="s">
        <v>1708</v>
      </c>
      <c r="H567">
        <v>1</v>
      </c>
    </row>
    <row r="568" spans="1:8" x14ac:dyDescent="0.25">
      <c r="A568" t="s">
        <v>1709</v>
      </c>
      <c r="B568" t="s">
        <v>1710</v>
      </c>
      <c r="C568" t="s">
        <v>14</v>
      </c>
      <c r="D568" s="1">
        <v>38541</v>
      </c>
      <c r="E568">
        <v>1</v>
      </c>
      <c r="F568">
        <v>1</v>
      </c>
      <c r="G568" t="s">
        <v>1711</v>
      </c>
      <c r="H568">
        <v>1</v>
      </c>
    </row>
    <row r="569" spans="1:8" x14ac:dyDescent="0.25">
      <c r="A569" t="s">
        <v>1712</v>
      </c>
      <c r="B569" t="s">
        <v>1713</v>
      </c>
      <c r="C569" t="s">
        <v>14</v>
      </c>
      <c r="D569" s="1">
        <v>38534</v>
      </c>
      <c r="E569">
        <v>1</v>
      </c>
      <c r="F569">
        <v>1</v>
      </c>
      <c r="G569" t="s">
        <v>1714</v>
      </c>
      <c r="H569">
        <v>1</v>
      </c>
    </row>
    <row r="570" spans="1:8" x14ac:dyDescent="0.25">
      <c r="A570" t="s">
        <v>1715</v>
      </c>
      <c r="B570" t="s">
        <v>1716</v>
      </c>
      <c r="C570" t="s">
        <v>14</v>
      </c>
      <c r="D570" s="1">
        <v>36635</v>
      </c>
      <c r="E570">
        <v>10</v>
      </c>
      <c r="F570">
        <v>1</v>
      </c>
      <c r="G570" t="s">
        <v>1717</v>
      </c>
      <c r="H570">
        <v>10</v>
      </c>
    </row>
    <row r="571" spans="1:8" x14ac:dyDescent="0.25">
      <c r="A571" t="s">
        <v>1718</v>
      </c>
      <c r="B571" t="s">
        <v>1719</v>
      </c>
      <c r="C571" t="s">
        <v>14</v>
      </c>
      <c r="D571" s="1">
        <v>39048</v>
      </c>
      <c r="E571">
        <v>10</v>
      </c>
      <c r="F571">
        <v>1</v>
      </c>
      <c r="G571" t="s">
        <v>1720</v>
      </c>
      <c r="H571">
        <v>10</v>
      </c>
    </row>
    <row r="572" spans="1:8" x14ac:dyDescent="0.25">
      <c r="A572" t="s">
        <v>1721</v>
      </c>
      <c r="B572" t="s">
        <v>1722</v>
      </c>
      <c r="C572" t="s">
        <v>10</v>
      </c>
      <c r="D572" s="1">
        <v>39629</v>
      </c>
      <c r="E572">
        <v>2</v>
      </c>
      <c r="F572">
        <v>1</v>
      </c>
      <c r="G572" t="s">
        <v>1723</v>
      </c>
      <c r="H572">
        <v>2</v>
      </c>
    </row>
    <row r="573" spans="1:8" x14ac:dyDescent="0.25">
      <c r="A573" t="s">
        <v>1724</v>
      </c>
      <c r="B573" t="s">
        <v>1725</v>
      </c>
      <c r="C573" t="s">
        <v>14</v>
      </c>
      <c r="D573" s="1">
        <v>34844</v>
      </c>
      <c r="E573">
        <v>1</v>
      </c>
      <c r="F573">
        <v>1</v>
      </c>
      <c r="G573" t="s">
        <v>1726</v>
      </c>
      <c r="H573">
        <v>1</v>
      </c>
    </row>
    <row r="574" spans="1:8" x14ac:dyDescent="0.25">
      <c r="A574" t="s">
        <v>1727</v>
      </c>
      <c r="B574" t="s">
        <v>1728</v>
      </c>
      <c r="C574" t="s">
        <v>14</v>
      </c>
      <c r="D574" s="1">
        <v>37833</v>
      </c>
      <c r="E574">
        <v>10</v>
      </c>
      <c r="F574">
        <v>1</v>
      </c>
      <c r="G574" t="s">
        <v>1729</v>
      </c>
      <c r="H574">
        <v>10</v>
      </c>
    </row>
    <row r="575" spans="1:8" x14ac:dyDescent="0.25">
      <c r="A575" t="s">
        <v>1730</v>
      </c>
      <c r="B575" t="s">
        <v>1731</v>
      </c>
      <c r="C575" t="s">
        <v>14</v>
      </c>
      <c r="D575" s="1">
        <v>45089</v>
      </c>
      <c r="E575">
        <v>2</v>
      </c>
      <c r="F575">
        <v>1</v>
      </c>
      <c r="G575" t="s">
        <v>1732</v>
      </c>
      <c r="H575">
        <v>2</v>
      </c>
    </row>
    <row r="576" spans="1:8" x14ac:dyDescent="0.25">
      <c r="A576" t="s">
        <v>1733</v>
      </c>
      <c r="B576" t="s">
        <v>1734</v>
      </c>
      <c r="C576" t="s">
        <v>14</v>
      </c>
      <c r="D576" s="1">
        <v>35193</v>
      </c>
      <c r="E576">
        <v>10</v>
      </c>
      <c r="F576">
        <v>1</v>
      </c>
      <c r="G576" t="s">
        <v>1735</v>
      </c>
      <c r="H576">
        <v>10</v>
      </c>
    </row>
    <row r="577" spans="1:8" x14ac:dyDescent="0.25">
      <c r="A577" t="s">
        <v>1736</v>
      </c>
      <c r="B577" t="s">
        <v>1737</v>
      </c>
      <c r="C577" t="s">
        <v>14</v>
      </c>
      <c r="D577" s="1">
        <v>43033</v>
      </c>
      <c r="E577">
        <v>5</v>
      </c>
      <c r="F577">
        <v>1</v>
      </c>
      <c r="G577" t="s">
        <v>1738</v>
      </c>
      <c r="H577">
        <v>5</v>
      </c>
    </row>
    <row r="578" spans="1:8" x14ac:dyDescent="0.25">
      <c r="A578" t="s">
        <v>1739</v>
      </c>
      <c r="B578" t="s">
        <v>1740</v>
      </c>
      <c r="C578" t="s">
        <v>14</v>
      </c>
      <c r="D578" s="1">
        <v>40161</v>
      </c>
      <c r="E578">
        <v>10</v>
      </c>
      <c r="F578">
        <v>1</v>
      </c>
      <c r="G578" t="s">
        <v>1741</v>
      </c>
      <c r="H578">
        <v>10</v>
      </c>
    </row>
    <row r="579" spans="1:8" x14ac:dyDescent="0.25">
      <c r="A579" t="s">
        <v>1742</v>
      </c>
      <c r="B579" t="s">
        <v>1743</v>
      </c>
      <c r="C579" t="s">
        <v>14</v>
      </c>
      <c r="D579" s="1">
        <v>37832</v>
      </c>
      <c r="E579">
        <v>10</v>
      </c>
      <c r="F579">
        <v>1</v>
      </c>
      <c r="G579" t="s">
        <v>1744</v>
      </c>
      <c r="H579">
        <v>10</v>
      </c>
    </row>
    <row r="580" spans="1:8" x14ac:dyDescent="0.25">
      <c r="A580" t="s">
        <v>1745</v>
      </c>
      <c r="B580" t="s">
        <v>1746</v>
      </c>
      <c r="C580" t="s">
        <v>14</v>
      </c>
      <c r="D580" s="1">
        <v>34829</v>
      </c>
      <c r="E580">
        <v>10</v>
      </c>
      <c r="F580">
        <v>1</v>
      </c>
      <c r="G580" t="s">
        <v>1747</v>
      </c>
      <c r="H580">
        <v>10</v>
      </c>
    </row>
    <row r="581" spans="1:8" x14ac:dyDescent="0.25">
      <c r="A581" t="s">
        <v>1748</v>
      </c>
      <c r="B581" t="s">
        <v>1749</v>
      </c>
      <c r="C581" t="s">
        <v>14</v>
      </c>
      <c r="D581" s="1">
        <v>34738</v>
      </c>
      <c r="E581">
        <v>10</v>
      </c>
      <c r="F581">
        <v>1</v>
      </c>
      <c r="G581" t="s">
        <v>1750</v>
      </c>
      <c r="H581">
        <v>10</v>
      </c>
    </row>
    <row r="582" spans="1:8" x14ac:dyDescent="0.25">
      <c r="A582" t="s">
        <v>1751</v>
      </c>
      <c r="B582" t="s">
        <v>1752</v>
      </c>
      <c r="C582" t="s">
        <v>10</v>
      </c>
      <c r="D582" s="1">
        <v>40014</v>
      </c>
      <c r="E582">
        <v>10</v>
      </c>
      <c r="F582">
        <v>1</v>
      </c>
      <c r="G582" t="s">
        <v>1753</v>
      </c>
      <c r="H582">
        <v>10</v>
      </c>
    </row>
    <row r="583" spans="1:8" x14ac:dyDescent="0.25">
      <c r="A583" t="s">
        <v>1754</v>
      </c>
      <c r="B583" t="s">
        <v>1755</v>
      </c>
      <c r="C583" t="s">
        <v>14</v>
      </c>
      <c r="D583" s="1">
        <v>44155</v>
      </c>
      <c r="E583">
        <v>1</v>
      </c>
      <c r="F583">
        <v>1</v>
      </c>
      <c r="G583" t="s">
        <v>1756</v>
      </c>
      <c r="H583">
        <v>1</v>
      </c>
    </row>
    <row r="584" spans="1:8" x14ac:dyDescent="0.25">
      <c r="A584" t="s">
        <v>1757</v>
      </c>
      <c r="B584" t="s">
        <v>1758</v>
      </c>
      <c r="C584" t="s">
        <v>14</v>
      </c>
      <c r="D584" s="1">
        <v>36875</v>
      </c>
      <c r="E584">
        <v>10</v>
      </c>
      <c r="F584">
        <v>1</v>
      </c>
      <c r="G584" t="s">
        <v>1759</v>
      </c>
      <c r="H584">
        <v>10</v>
      </c>
    </row>
    <row r="585" spans="1:8" x14ac:dyDescent="0.25">
      <c r="A585" t="s">
        <v>1760</v>
      </c>
      <c r="B585" t="s">
        <v>1761</v>
      </c>
      <c r="C585" t="s">
        <v>14</v>
      </c>
      <c r="D585" s="1">
        <v>36563</v>
      </c>
      <c r="E585">
        <v>1</v>
      </c>
      <c r="F585">
        <v>1</v>
      </c>
      <c r="G585" t="s">
        <v>1762</v>
      </c>
      <c r="H585">
        <v>1</v>
      </c>
    </row>
    <row r="586" spans="1:8" x14ac:dyDescent="0.25">
      <c r="A586" t="s">
        <v>1763</v>
      </c>
      <c r="B586" t="s">
        <v>1764</v>
      </c>
      <c r="C586" t="s">
        <v>14</v>
      </c>
      <c r="D586" s="1">
        <v>34738</v>
      </c>
      <c r="E586">
        <v>10</v>
      </c>
      <c r="F586">
        <v>1</v>
      </c>
      <c r="G586" t="s">
        <v>1765</v>
      </c>
      <c r="H586">
        <v>10</v>
      </c>
    </row>
    <row r="587" spans="1:8" x14ac:dyDescent="0.25">
      <c r="A587" t="s">
        <v>1766</v>
      </c>
      <c r="B587" t="s">
        <v>1767</v>
      </c>
      <c r="C587" t="s">
        <v>14</v>
      </c>
      <c r="D587" s="1">
        <v>44172</v>
      </c>
      <c r="E587">
        <v>5</v>
      </c>
      <c r="F587">
        <v>1</v>
      </c>
      <c r="G587" t="s">
        <v>1768</v>
      </c>
      <c r="H587">
        <v>5</v>
      </c>
    </row>
    <row r="588" spans="1:8" x14ac:dyDescent="0.25">
      <c r="A588" t="s">
        <v>1769</v>
      </c>
      <c r="B588" t="s">
        <v>1770</v>
      </c>
      <c r="C588" t="s">
        <v>14</v>
      </c>
      <c r="D588" s="1">
        <v>39017</v>
      </c>
      <c r="E588">
        <v>10</v>
      </c>
      <c r="F588">
        <v>1</v>
      </c>
      <c r="G588" t="s">
        <v>1771</v>
      </c>
      <c r="H588">
        <v>10</v>
      </c>
    </row>
    <row r="589" spans="1:8" x14ac:dyDescent="0.25">
      <c r="A589" t="s">
        <v>1772</v>
      </c>
      <c r="B589" t="s">
        <v>1773</v>
      </c>
      <c r="C589" t="s">
        <v>10</v>
      </c>
      <c r="D589" s="1">
        <v>44111</v>
      </c>
      <c r="E589">
        <v>2</v>
      </c>
      <c r="F589">
        <v>1</v>
      </c>
      <c r="G589" t="s">
        <v>1774</v>
      </c>
      <c r="H589">
        <v>2</v>
      </c>
    </row>
    <row r="590" spans="1:8" x14ac:dyDescent="0.25">
      <c r="A590" t="s">
        <v>1775</v>
      </c>
      <c r="B590" t="s">
        <v>1776</v>
      </c>
      <c r="C590" t="s">
        <v>14</v>
      </c>
      <c r="D590" s="1">
        <v>40079</v>
      </c>
      <c r="E590">
        <v>10</v>
      </c>
      <c r="F590">
        <v>1</v>
      </c>
      <c r="G590" t="s">
        <v>1777</v>
      </c>
      <c r="H590">
        <v>10</v>
      </c>
    </row>
    <row r="591" spans="1:8" x14ac:dyDescent="0.25">
      <c r="A591" t="s">
        <v>1778</v>
      </c>
      <c r="B591" t="s">
        <v>1779</v>
      </c>
      <c r="C591" t="s">
        <v>14</v>
      </c>
      <c r="D591" s="1">
        <v>44414</v>
      </c>
      <c r="E591">
        <v>2</v>
      </c>
      <c r="F591">
        <v>1</v>
      </c>
      <c r="G591" t="s">
        <v>1780</v>
      </c>
      <c r="H591">
        <v>2</v>
      </c>
    </row>
    <row r="592" spans="1:8" x14ac:dyDescent="0.25">
      <c r="A592" t="s">
        <v>1781</v>
      </c>
      <c r="B592" t="s">
        <v>1782</v>
      </c>
      <c r="C592" t="s">
        <v>14</v>
      </c>
      <c r="D592" s="1">
        <v>34934</v>
      </c>
      <c r="E592">
        <v>10</v>
      </c>
      <c r="F592">
        <v>1</v>
      </c>
      <c r="G592" t="s">
        <v>1783</v>
      </c>
      <c r="H592">
        <v>10</v>
      </c>
    </row>
    <row r="593" spans="1:8" x14ac:dyDescent="0.25">
      <c r="A593" t="s">
        <v>1784</v>
      </c>
      <c r="B593" t="s">
        <v>1785</v>
      </c>
      <c r="C593" t="s">
        <v>14</v>
      </c>
      <c r="D593" s="1">
        <v>35781</v>
      </c>
      <c r="E593">
        <v>2</v>
      </c>
      <c r="F593">
        <v>1</v>
      </c>
      <c r="G593" t="s">
        <v>1786</v>
      </c>
      <c r="H593">
        <v>2</v>
      </c>
    </row>
    <row r="594" spans="1:8" x14ac:dyDescent="0.25">
      <c r="A594" t="s">
        <v>1787</v>
      </c>
      <c r="B594" t="s">
        <v>1788</v>
      </c>
      <c r="C594" t="s">
        <v>14</v>
      </c>
      <c r="D594" s="1">
        <v>43164</v>
      </c>
      <c r="E594">
        <v>2</v>
      </c>
      <c r="F594">
        <v>1</v>
      </c>
      <c r="G594" t="s">
        <v>1789</v>
      </c>
      <c r="H594">
        <v>2</v>
      </c>
    </row>
    <row r="595" spans="1:8" x14ac:dyDescent="0.25">
      <c r="A595" t="s">
        <v>1790</v>
      </c>
      <c r="B595" t="s">
        <v>1791</v>
      </c>
      <c r="C595" t="s">
        <v>14</v>
      </c>
      <c r="D595" s="1">
        <v>38950</v>
      </c>
      <c r="E595">
        <v>1</v>
      </c>
      <c r="F595">
        <v>1</v>
      </c>
      <c r="G595" t="s">
        <v>1792</v>
      </c>
      <c r="H595">
        <v>1</v>
      </c>
    </row>
    <row r="596" spans="1:8" x14ac:dyDescent="0.25">
      <c r="A596" t="s">
        <v>1793</v>
      </c>
      <c r="B596" t="s">
        <v>1794</v>
      </c>
      <c r="C596" t="s">
        <v>14</v>
      </c>
      <c r="D596" s="1">
        <v>44643</v>
      </c>
      <c r="E596">
        <v>5</v>
      </c>
      <c r="F596">
        <v>1</v>
      </c>
      <c r="G596" t="s">
        <v>1795</v>
      </c>
      <c r="H596">
        <v>5</v>
      </c>
    </row>
    <row r="597" spans="1:8" x14ac:dyDescent="0.25">
      <c r="A597" t="s">
        <v>1796</v>
      </c>
      <c r="B597" t="s">
        <v>1797</v>
      </c>
      <c r="C597" t="s">
        <v>14</v>
      </c>
      <c r="D597" s="1">
        <v>42639</v>
      </c>
      <c r="E597">
        <v>10</v>
      </c>
      <c r="F597">
        <v>1</v>
      </c>
      <c r="G597" t="s">
        <v>1798</v>
      </c>
      <c r="H597">
        <v>10</v>
      </c>
    </row>
    <row r="598" spans="1:8" x14ac:dyDescent="0.25">
      <c r="A598" t="s">
        <v>1799</v>
      </c>
      <c r="B598" t="s">
        <v>1800</v>
      </c>
      <c r="C598" t="s">
        <v>14</v>
      </c>
      <c r="D598" s="1">
        <v>34836</v>
      </c>
      <c r="E598">
        <v>10</v>
      </c>
      <c r="F598">
        <v>1</v>
      </c>
      <c r="G598" t="s">
        <v>1801</v>
      </c>
      <c r="H598">
        <v>10</v>
      </c>
    </row>
    <row r="599" spans="1:8" x14ac:dyDescent="0.25">
      <c r="A599" t="s">
        <v>1802</v>
      </c>
      <c r="B599" t="s">
        <v>1803</v>
      </c>
      <c r="C599" t="s">
        <v>14</v>
      </c>
      <c r="D599" s="1">
        <v>39238</v>
      </c>
      <c r="E599">
        <v>10</v>
      </c>
      <c r="F599">
        <v>1</v>
      </c>
      <c r="G599" t="s">
        <v>1804</v>
      </c>
      <c r="H599">
        <v>10</v>
      </c>
    </row>
    <row r="600" spans="1:8" x14ac:dyDescent="0.25">
      <c r="A600" t="s">
        <v>1805</v>
      </c>
      <c r="B600" t="s">
        <v>1806</v>
      </c>
      <c r="C600" t="s">
        <v>14</v>
      </c>
      <c r="D600" s="1">
        <v>41816</v>
      </c>
      <c r="E600">
        <v>2</v>
      </c>
      <c r="F600">
        <v>1</v>
      </c>
      <c r="G600" t="s">
        <v>1807</v>
      </c>
      <c r="H600">
        <v>2</v>
      </c>
    </row>
    <row r="601" spans="1:8" x14ac:dyDescent="0.25">
      <c r="A601" t="s">
        <v>1808</v>
      </c>
      <c r="B601" t="s">
        <v>1809</v>
      </c>
      <c r="C601" t="s">
        <v>14</v>
      </c>
      <c r="D601" s="1">
        <v>44530</v>
      </c>
      <c r="E601">
        <v>10</v>
      </c>
      <c r="F601">
        <v>1</v>
      </c>
      <c r="G601" t="s">
        <v>1810</v>
      </c>
      <c r="H601">
        <v>10</v>
      </c>
    </row>
    <row r="602" spans="1:8" x14ac:dyDescent="0.25">
      <c r="A602" t="s">
        <v>1811</v>
      </c>
      <c r="B602" t="s">
        <v>1812</v>
      </c>
      <c r="C602" t="s">
        <v>14</v>
      </c>
      <c r="D602" s="1">
        <v>35270</v>
      </c>
      <c r="E602">
        <v>2</v>
      </c>
      <c r="F602">
        <v>1</v>
      </c>
      <c r="G602" t="s">
        <v>1813</v>
      </c>
      <c r="H602">
        <v>2</v>
      </c>
    </row>
    <row r="603" spans="1:8" x14ac:dyDescent="0.25">
      <c r="A603" t="s">
        <v>1814</v>
      </c>
      <c r="B603" t="s">
        <v>1815</v>
      </c>
      <c r="C603" t="s">
        <v>10</v>
      </c>
      <c r="D603" s="1">
        <v>44189</v>
      </c>
      <c r="E603">
        <v>1</v>
      </c>
      <c r="F603">
        <v>1</v>
      </c>
      <c r="G603" t="s">
        <v>1816</v>
      </c>
      <c r="H603">
        <v>1</v>
      </c>
    </row>
    <row r="604" spans="1:8" x14ac:dyDescent="0.25">
      <c r="A604" t="s">
        <v>1817</v>
      </c>
      <c r="B604" t="s">
        <v>1818</v>
      </c>
      <c r="C604" t="s">
        <v>14</v>
      </c>
      <c r="D604" s="1">
        <v>43024</v>
      </c>
      <c r="E604">
        <v>10</v>
      </c>
      <c r="F604">
        <v>1</v>
      </c>
      <c r="G604" t="s">
        <v>1819</v>
      </c>
      <c r="H604">
        <v>10</v>
      </c>
    </row>
    <row r="605" spans="1:8" x14ac:dyDescent="0.25">
      <c r="A605" t="s">
        <v>1820</v>
      </c>
      <c r="B605" t="s">
        <v>1821</v>
      </c>
      <c r="C605" t="s">
        <v>14</v>
      </c>
      <c r="D605" s="1">
        <v>37062</v>
      </c>
      <c r="E605">
        <v>1</v>
      </c>
      <c r="F605">
        <v>1</v>
      </c>
      <c r="G605" t="s">
        <v>1822</v>
      </c>
      <c r="H605">
        <v>1</v>
      </c>
    </row>
    <row r="606" spans="1:8" x14ac:dyDescent="0.25">
      <c r="A606" t="s">
        <v>1823</v>
      </c>
      <c r="B606" t="s">
        <v>1824</v>
      </c>
      <c r="C606" t="s">
        <v>14</v>
      </c>
      <c r="D606" s="1">
        <v>37677</v>
      </c>
      <c r="E606">
        <v>1</v>
      </c>
      <c r="F606">
        <v>1</v>
      </c>
      <c r="G606" t="s">
        <v>1825</v>
      </c>
      <c r="H606">
        <v>1</v>
      </c>
    </row>
    <row r="607" spans="1:8" x14ac:dyDescent="0.25">
      <c r="A607" t="s">
        <v>1826</v>
      </c>
      <c r="B607" t="s">
        <v>1827</v>
      </c>
      <c r="C607" t="s">
        <v>14</v>
      </c>
      <c r="D607" s="1">
        <v>40183</v>
      </c>
      <c r="E607">
        <v>5</v>
      </c>
      <c r="F607">
        <v>1</v>
      </c>
      <c r="G607" t="s">
        <v>1828</v>
      </c>
      <c r="H607">
        <v>5</v>
      </c>
    </row>
    <row r="608" spans="1:8" x14ac:dyDescent="0.25">
      <c r="A608" t="s">
        <v>1829</v>
      </c>
      <c r="B608" t="s">
        <v>1830</v>
      </c>
      <c r="C608" t="s">
        <v>14</v>
      </c>
      <c r="D608" s="1">
        <v>38469</v>
      </c>
      <c r="E608">
        <v>5</v>
      </c>
      <c r="F608">
        <v>1</v>
      </c>
      <c r="G608" t="s">
        <v>1831</v>
      </c>
      <c r="H608">
        <v>5</v>
      </c>
    </row>
    <row r="609" spans="1:8" x14ac:dyDescent="0.25">
      <c r="A609" t="s">
        <v>1832</v>
      </c>
      <c r="B609" t="s">
        <v>1833</v>
      </c>
      <c r="C609" t="s">
        <v>14</v>
      </c>
      <c r="D609" s="1">
        <v>39603</v>
      </c>
      <c r="E609">
        <v>2</v>
      </c>
      <c r="F609">
        <v>1</v>
      </c>
      <c r="G609" t="s">
        <v>1834</v>
      </c>
      <c r="H609">
        <v>2</v>
      </c>
    </row>
    <row r="610" spans="1:8" x14ac:dyDescent="0.25">
      <c r="A610" t="s">
        <v>1835</v>
      </c>
      <c r="B610" t="s">
        <v>1836</v>
      </c>
      <c r="C610" t="s">
        <v>14</v>
      </c>
      <c r="D610" s="1">
        <v>42440</v>
      </c>
      <c r="E610">
        <v>2</v>
      </c>
      <c r="F610">
        <v>1</v>
      </c>
      <c r="G610" t="s">
        <v>1837</v>
      </c>
      <c r="H610">
        <v>2</v>
      </c>
    </row>
    <row r="611" spans="1:8" x14ac:dyDescent="0.25">
      <c r="A611" t="s">
        <v>1838</v>
      </c>
      <c r="B611" t="s">
        <v>1839</v>
      </c>
      <c r="C611" t="s">
        <v>786</v>
      </c>
      <c r="D611" s="1">
        <v>34738</v>
      </c>
      <c r="E611">
        <v>10</v>
      </c>
      <c r="F611">
        <v>1</v>
      </c>
      <c r="G611" t="s">
        <v>1840</v>
      </c>
      <c r="H611">
        <v>10</v>
      </c>
    </row>
    <row r="612" spans="1:8" x14ac:dyDescent="0.25">
      <c r="A612" t="s">
        <v>1841</v>
      </c>
      <c r="B612" t="s">
        <v>1842</v>
      </c>
      <c r="C612" t="s">
        <v>14</v>
      </c>
      <c r="D612" s="1">
        <v>38593</v>
      </c>
      <c r="E612">
        <v>2</v>
      </c>
      <c r="F612">
        <v>1</v>
      </c>
      <c r="G612" t="s">
        <v>1843</v>
      </c>
      <c r="H612">
        <v>2</v>
      </c>
    </row>
    <row r="613" spans="1:8" x14ac:dyDescent="0.25">
      <c r="A613" t="s">
        <v>1844</v>
      </c>
      <c r="B613" t="s">
        <v>1845</v>
      </c>
      <c r="C613" t="s">
        <v>10</v>
      </c>
      <c r="D613" s="1">
        <v>36992</v>
      </c>
      <c r="E613">
        <v>10</v>
      </c>
      <c r="F613">
        <v>1</v>
      </c>
      <c r="G613" t="s">
        <v>1846</v>
      </c>
      <c r="H613">
        <v>10</v>
      </c>
    </row>
    <row r="614" spans="1:8" x14ac:dyDescent="0.25">
      <c r="A614" t="s">
        <v>1847</v>
      </c>
      <c r="B614" t="s">
        <v>1848</v>
      </c>
      <c r="C614" t="s">
        <v>14</v>
      </c>
      <c r="D614" s="1">
        <v>42012</v>
      </c>
      <c r="E614">
        <v>2</v>
      </c>
      <c r="F614">
        <v>1</v>
      </c>
      <c r="G614" t="s">
        <v>1849</v>
      </c>
      <c r="H614">
        <v>2</v>
      </c>
    </row>
    <row r="615" spans="1:8" x14ac:dyDescent="0.25">
      <c r="A615" t="s">
        <v>1850</v>
      </c>
      <c r="B615" t="s">
        <v>1851</v>
      </c>
      <c r="C615" t="s">
        <v>10</v>
      </c>
      <c r="D615" s="1">
        <v>44869</v>
      </c>
      <c r="E615">
        <v>1</v>
      </c>
      <c r="F615">
        <v>1</v>
      </c>
      <c r="G615" t="s">
        <v>1852</v>
      </c>
      <c r="H615">
        <v>1</v>
      </c>
    </row>
    <row r="616" spans="1:8" x14ac:dyDescent="0.25">
      <c r="A616" t="s">
        <v>1853</v>
      </c>
      <c r="B616" t="s">
        <v>1854</v>
      </c>
      <c r="C616" t="s">
        <v>14</v>
      </c>
      <c r="D616" s="1">
        <v>38832</v>
      </c>
      <c r="E616">
        <v>5</v>
      </c>
      <c r="F616">
        <v>1</v>
      </c>
      <c r="G616" t="s">
        <v>1855</v>
      </c>
      <c r="H616">
        <v>5</v>
      </c>
    </row>
    <row r="617" spans="1:8" x14ac:dyDescent="0.25">
      <c r="A617" t="s">
        <v>1856</v>
      </c>
      <c r="B617" t="s">
        <v>1857</v>
      </c>
      <c r="C617" t="s">
        <v>14</v>
      </c>
      <c r="D617" s="1">
        <v>40430</v>
      </c>
      <c r="E617">
        <v>10</v>
      </c>
      <c r="F617">
        <v>1</v>
      </c>
      <c r="G617" t="s">
        <v>1858</v>
      </c>
      <c r="H617">
        <v>10</v>
      </c>
    </row>
    <row r="618" spans="1:8" x14ac:dyDescent="0.25">
      <c r="A618" t="s">
        <v>1859</v>
      </c>
      <c r="B618" t="s">
        <v>1860</v>
      </c>
      <c r="C618" t="s">
        <v>10</v>
      </c>
      <c r="D618" s="1">
        <v>42562</v>
      </c>
      <c r="E618">
        <v>10</v>
      </c>
      <c r="F618">
        <v>1</v>
      </c>
      <c r="G618" t="s">
        <v>1861</v>
      </c>
      <c r="H618">
        <v>10</v>
      </c>
    </row>
    <row r="619" spans="1:8" x14ac:dyDescent="0.25">
      <c r="A619" t="s">
        <v>1862</v>
      </c>
      <c r="B619" t="s">
        <v>1863</v>
      </c>
      <c r="C619" t="s">
        <v>14</v>
      </c>
      <c r="D619" s="1">
        <v>38523</v>
      </c>
      <c r="E619">
        <v>1</v>
      </c>
      <c r="F619">
        <v>1</v>
      </c>
      <c r="G619" t="s">
        <v>1864</v>
      </c>
      <c r="H619">
        <v>1</v>
      </c>
    </row>
    <row r="620" spans="1:8" x14ac:dyDescent="0.25">
      <c r="A620" t="s">
        <v>1865</v>
      </c>
      <c r="B620" t="s">
        <v>1866</v>
      </c>
      <c r="C620" t="s">
        <v>14</v>
      </c>
      <c r="D620" s="1">
        <v>37659</v>
      </c>
      <c r="E620">
        <v>2</v>
      </c>
      <c r="F620">
        <v>1</v>
      </c>
      <c r="G620" t="s">
        <v>1867</v>
      </c>
      <c r="H620">
        <v>2</v>
      </c>
    </row>
    <row r="621" spans="1:8" x14ac:dyDescent="0.25">
      <c r="A621" t="s">
        <v>1868</v>
      </c>
      <c r="B621" t="s">
        <v>1869</v>
      </c>
      <c r="C621" t="s">
        <v>14</v>
      </c>
      <c r="D621" s="1">
        <v>34829</v>
      </c>
      <c r="E621">
        <v>2</v>
      </c>
      <c r="F621">
        <v>1</v>
      </c>
      <c r="G621" t="s">
        <v>1870</v>
      </c>
      <c r="H621">
        <v>2</v>
      </c>
    </row>
    <row r="622" spans="1:8" x14ac:dyDescent="0.25">
      <c r="A622" t="s">
        <v>1871</v>
      </c>
      <c r="B622" t="s">
        <v>1872</v>
      </c>
      <c r="C622" t="s">
        <v>14</v>
      </c>
      <c r="D622" s="1">
        <v>40498</v>
      </c>
      <c r="E622">
        <v>2</v>
      </c>
      <c r="F622">
        <v>1</v>
      </c>
      <c r="G622" t="s">
        <v>1873</v>
      </c>
      <c r="H622">
        <v>2</v>
      </c>
    </row>
    <row r="623" spans="1:8" x14ac:dyDescent="0.25">
      <c r="A623" t="s">
        <v>1874</v>
      </c>
      <c r="B623" t="s">
        <v>1875</v>
      </c>
      <c r="C623" t="s">
        <v>14</v>
      </c>
      <c r="D623" s="1">
        <v>38239</v>
      </c>
      <c r="E623">
        <v>2</v>
      </c>
      <c r="F623">
        <v>1</v>
      </c>
      <c r="G623" t="s">
        <v>1876</v>
      </c>
      <c r="H623">
        <v>2</v>
      </c>
    </row>
    <row r="624" spans="1:8" x14ac:dyDescent="0.25">
      <c r="A624" t="s">
        <v>1877</v>
      </c>
      <c r="B624" t="s">
        <v>1878</v>
      </c>
      <c r="C624" t="s">
        <v>14</v>
      </c>
      <c r="D624" s="1">
        <v>42065</v>
      </c>
      <c r="E624">
        <v>1</v>
      </c>
      <c r="F624">
        <v>1</v>
      </c>
      <c r="G624" t="s">
        <v>1879</v>
      </c>
      <c r="H624">
        <v>1</v>
      </c>
    </row>
    <row r="625" spans="1:8" x14ac:dyDescent="0.25">
      <c r="A625" t="s">
        <v>1880</v>
      </c>
      <c r="B625" t="s">
        <v>1881</v>
      </c>
      <c r="C625" t="s">
        <v>14</v>
      </c>
      <c r="D625" s="1">
        <v>43761</v>
      </c>
      <c r="E625">
        <v>1</v>
      </c>
      <c r="F625">
        <v>1</v>
      </c>
      <c r="G625" t="s">
        <v>1882</v>
      </c>
      <c r="H625">
        <v>1</v>
      </c>
    </row>
    <row r="626" spans="1:8" x14ac:dyDescent="0.25">
      <c r="A626" t="s">
        <v>1883</v>
      </c>
      <c r="B626" t="s">
        <v>1884</v>
      </c>
      <c r="C626" t="s">
        <v>14</v>
      </c>
      <c r="D626" s="1">
        <v>35130</v>
      </c>
      <c r="E626">
        <v>1</v>
      </c>
      <c r="F626">
        <v>1</v>
      </c>
      <c r="G626" t="s">
        <v>1885</v>
      </c>
      <c r="H626">
        <v>1</v>
      </c>
    </row>
    <row r="627" spans="1:8" x14ac:dyDescent="0.25">
      <c r="A627" t="s">
        <v>1886</v>
      </c>
      <c r="B627" t="s">
        <v>1887</v>
      </c>
      <c r="C627" t="s">
        <v>14</v>
      </c>
      <c r="D627" s="1">
        <v>40459</v>
      </c>
      <c r="E627">
        <v>10</v>
      </c>
      <c r="F627">
        <v>1</v>
      </c>
      <c r="G627" t="s">
        <v>1888</v>
      </c>
      <c r="H627">
        <v>10</v>
      </c>
    </row>
    <row r="628" spans="1:8" x14ac:dyDescent="0.25">
      <c r="A628" t="s">
        <v>1889</v>
      </c>
      <c r="B628" t="s">
        <v>1890</v>
      </c>
      <c r="C628" t="s">
        <v>14</v>
      </c>
      <c r="D628" s="1">
        <v>38971</v>
      </c>
      <c r="E628">
        <v>5</v>
      </c>
      <c r="F628">
        <v>1</v>
      </c>
      <c r="G628" t="s">
        <v>1891</v>
      </c>
      <c r="H628">
        <v>5</v>
      </c>
    </row>
    <row r="629" spans="1:8" x14ac:dyDescent="0.25">
      <c r="A629" t="s">
        <v>1892</v>
      </c>
      <c r="B629" t="s">
        <v>1893</v>
      </c>
      <c r="C629" t="s">
        <v>14</v>
      </c>
      <c r="D629" s="1">
        <v>44396</v>
      </c>
      <c r="E629">
        <v>5</v>
      </c>
      <c r="F629">
        <v>1</v>
      </c>
      <c r="G629" t="s">
        <v>1894</v>
      </c>
      <c r="H629">
        <v>5</v>
      </c>
    </row>
    <row r="630" spans="1:8" x14ac:dyDescent="0.25">
      <c r="A630" t="s">
        <v>1895</v>
      </c>
      <c r="B630" t="s">
        <v>1896</v>
      </c>
      <c r="C630" t="s">
        <v>14</v>
      </c>
      <c r="D630" s="1">
        <v>44811</v>
      </c>
      <c r="E630">
        <v>2</v>
      </c>
      <c r="F630">
        <v>1</v>
      </c>
      <c r="G630" t="s">
        <v>1897</v>
      </c>
      <c r="H630">
        <v>2</v>
      </c>
    </row>
    <row r="631" spans="1:8" x14ac:dyDescent="0.25">
      <c r="A631" t="s">
        <v>1898</v>
      </c>
      <c r="B631" t="s">
        <v>1899</v>
      </c>
      <c r="C631" t="s">
        <v>14</v>
      </c>
      <c r="D631" s="1">
        <v>42565</v>
      </c>
      <c r="E631">
        <v>10</v>
      </c>
      <c r="F631">
        <v>1</v>
      </c>
      <c r="G631" t="s">
        <v>1900</v>
      </c>
      <c r="H631">
        <v>10</v>
      </c>
    </row>
    <row r="632" spans="1:8" x14ac:dyDescent="0.25">
      <c r="A632" t="s">
        <v>1901</v>
      </c>
      <c r="B632" t="s">
        <v>1902</v>
      </c>
      <c r="C632" t="s">
        <v>14</v>
      </c>
      <c r="D632" s="1">
        <v>42047</v>
      </c>
      <c r="E632">
        <v>10</v>
      </c>
      <c r="F632">
        <v>1</v>
      </c>
      <c r="G632" t="s">
        <v>1903</v>
      </c>
      <c r="H632">
        <v>10</v>
      </c>
    </row>
    <row r="633" spans="1:8" x14ac:dyDescent="0.25">
      <c r="A633" t="s">
        <v>1904</v>
      </c>
      <c r="B633" t="s">
        <v>1905</v>
      </c>
      <c r="C633" t="s">
        <v>14</v>
      </c>
      <c r="D633" s="1">
        <v>43383</v>
      </c>
      <c r="E633">
        <v>10</v>
      </c>
      <c r="F633">
        <v>1</v>
      </c>
      <c r="G633" t="s">
        <v>1906</v>
      </c>
      <c r="H633">
        <v>10</v>
      </c>
    </row>
    <row r="634" spans="1:8" x14ac:dyDescent="0.25">
      <c r="A634" t="s">
        <v>1907</v>
      </c>
      <c r="B634" t="s">
        <v>1908</v>
      </c>
      <c r="C634" t="s">
        <v>14</v>
      </c>
      <c r="D634" s="1">
        <v>44595</v>
      </c>
      <c r="E634">
        <v>10</v>
      </c>
      <c r="F634">
        <v>1</v>
      </c>
      <c r="G634" t="s">
        <v>1909</v>
      </c>
      <c r="H634">
        <v>10</v>
      </c>
    </row>
    <row r="635" spans="1:8" x14ac:dyDescent="0.25">
      <c r="A635" t="s">
        <v>1910</v>
      </c>
      <c r="B635" t="s">
        <v>1911</v>
      </c>
      <c r="C635" t="s">
        <v>14</v>
      </c>
      <c r="D635" s="1">
        <v>34948</v>
      </c>
      <c r="E635">
        <v>2</v>
      </c>
      <c r="F635">
        <v>1</v>
      </c>
      <c r="G635" t="s">
        <v>1912</v>
      </c>
      <c r="H635">
        <v>2</v>
      </c>
    </row>
    <row r="636" spans="1:8" x14ac:dyDescent="0.25">
      <c r="A636" t="s">
        <v>1913</v>
      </c>
      <c r="B636" t="s">
        <v>1914</v>
      </c>
      <c r="C636" t="s">
        <v>14</v>
      </c>
      <c r="D636" s="1">
        <v>45008</v>
      </c>
      <c r="E636">
        <v>10</v>
      </c>
      <c r="F636">
        <v>1</v>
      </c>
      <c r="G636" t="s">
        <v>1915</v>
      </c>
      <c r="H636">
        <v>10</v>
      </c>
    </row>
    <row r="637" spans="1:8" x14ac:dyDescent="0.25">
      <c r="A637" t="s">
        <v>1916</v>
      </c>
      <c r="B637" t="s">
        <v>1917</v>
      </c>
      <c r="C637" t="s">
        <v>14</v>
      </c>
      <c r="D637" s="1">
        <v>38764</v>
      </c>
      <c r="E637">
        <v>10</v>
      </c>
      <c r="F637">
        <v>1</v>
      </c>
      <c r="G637" t="s">
        <v>1918</v>
      </c>
      <c r="H637">
        <v>10</v>
      </c>
    </row>
    <row r="638" spans="1:8" x14ac:dyDescent="0.25">
      <c r="A638" t="s">
        <v>1919</v>
      </c>
      <c r="B638" t="s">
        <v>1920</v>
      </c>
      <c r="C638" t="s">
        <v>14</v>
      </c>
      <c r="D638" s="1">
        <v>39514</v>
      </c>
      <c r="E638">
        <v>10</v>
      </c>
      <c r="F638">
        <v>1</v>
      </c>
      <c r="G638" t="s">
        <v>1921</v>
      </c>
      <c r="H638">
        <v>10</v>
      </c>
    </row>
    <row r="639" spans="1:8" x14ac:dyDescent="0.25">
      <c r="A639" t="s">
        <v>1922</v>
      </c>
      <c r="B639" t="s">
        <v>1923</v>
      </c>
      <c r="C639" t="s">
        <v>10</v>
      </c>
      <c r="D639" s="1">
        <v>44148</v>
      </c>
      <c r="E639">
        <v>10</v>
      </c>
      <c r="F639">
        <v>1</v>
      </c>
      <c r="G639" t="s">
        <v>1924</v>
      </c>
      <c r="H639">
        <v>10</v>
      </c>
    </row>
    <row r="640" spans="1:8" x14ac:dyDescent="0.25">
      <c r="A640" t="s">
        <v>1925</v>
      </c>
      <c r="B640" t="s">
        <v>1926</v>
      </c>
      <c r="C640" t="s">
        <v>10</v>
      </c>
      <c r="D640" s="1">
        <v>34787</v>
      </c>
      <c r="E640">
        <v>10</v>
      </c>
      <c r="F640">
        <v>1</v>
      </c>
      <c r="G640" t="s">
        <v>1927</v>
      </c>
      <c r="H640">
        <v>10</v>
      </c>
    </row>
    <row r="641" spans="1:8" x14ac:dyDescent="0.25">
      <c r="A641" t="s">
        <v>1928</v>
      </c>
      <c r="B641" t="s">
        <v>1929</v>
      </c>
      <c r="C641" t="s">
        <v>14</v>
      </c>
      <c r="D641" s="1">
        <v>39030</v>
      </c>
      <c r="E641">
        <v>10</v>
      </c>
      <c r="F641">
        <v>1</v>
      </c>
      <c r="G641" t="s">
        <v>1930</v>
      </c>
      <c r="H641">
        <v>10</v>
      </c>
    </row>
    <row r="642" spans="1:8" x14ac:dyDescent="0.25">
      <c r="A642" t="s">
        <v>1931</v>
      </c>
      <c r="B642" t="s">
        <v>1932</v>
      </c>
      <c r="C642" t="s">
        <v>14</v>
      </c>
      <c r="D642" s="1">
        <v>42920</v>
      </c>
      <c r="E642">
        <v>10</v>
      </c>
      <c r="F642">
        <v>1</v>
      </c>
      <c r="G642" t="s">
        <v>1933</v>
      </c>
      <c r="H642">
        <v>10</v>
      </c>
    </row>
    <row r="643" spans="1:8" x14ac:dyDescent="0.25">
      <c r="A643" t="s">
        <v>1934</v>
      </c>
      <c r="B643" t="s">
        <v>1935</v>
      </c>
      <c r="C643" t="s">
        <v>14</v>
      </c>
      <c r="D643" s="1">
        <v>38279</v>
      </c>
      <c r="E643">
        <v>1</v>
      </c>
      <c r="F643">
        <v>1</v>
      </c>
      <c r="G643" t="s">
        <v>1936</v>
      </c>
      <c r="H643">
        <v>1</v>
      </c>
    </row>
    <row r="644" spans="1:8" x14ac:dyDescent="0.25">
      <c r="A644" t="s">
        <v>1937</v>
      </c>
      <c r="B644" t="s">
        <v>1938</v>
      </c>
      <c r="C644" t="s">
        <v>14</v>
      </c>
      <c r="D644" s="1">
        <v>35649</v>
      </c>
      <c r="E644">
        <v>10</v>
      </c>
      <c r="F644">
        <v>1</v>
      </c>
      <c r="G644" t="s">
        <v>1939</v>
      </c>
      <c r="H644">
        <v>10</v>
      </c>
    </row>
    <row r="645" spans="1:8" x14ac:dyDescent="0.25">
      <c r="A645" t="s">
        <v>1940</v>
      </c>
      <c r="B645" t="s">
        <v>1941</v>
      </c>
      <c r="C645" t="s">
        <v>14</v>
      </c>
      <c r="D645" s="1">
        <v>39237</v>
      </c>
      <c r="E645">
        <v>10</v>
      </c>
      <c r="F645">
        <v>1</v>
      </c>
      <c r="G645" t="s">
        <v>1942</v>
      </c>
      <c r="H645">
        <v>10</v>
      </c>
    </row>
    <row r="646" spans="1:8" x14ac:dyDescent="0.25">
      <c r="A646" t="s">
        <v>1943</v>
      </c>
      <c r="B646" t="s">
        <v>1944</v>
      </c>
      <c r="C646" t="s">
        <v>14</v>
      </c>
      <c r="D646" s="1">
        <v>42262</v>
      </c>
      <c r="E646">
        <v>2</v>
      </c>
      <c r="F646">
        <v>1</v>
      </c>
      <c r="G646" t="s">
        <v>1945</v>
      </c>
      <c r="H646">
        <v>2</v>
      </c>
    </row>
    <row r="647" spans="1:8" x14ac:dyDescent="0.25">
      <c r="A647" t="s">
        <v>1946</v>
      </c>
      <c r="B647" t="s">
        <v>1947</v>
      </c>
      <c r="C647" t="s">
        <v>10</v>
      </c>
      <c r="D647" s="1">
        <v>35347</v>
      </c>
      <c r="E647">
        <v>10</v>
      </c>
      <c r="F647">
        <v>1</v>
      </c>
      <c r="G647" t="s">
        <v>1948</v>
      </c>
      <c r="H647">
        <v>10</v>
      </c>
    </row>
    <row r="648" spans="1:8" x14ac:dyDescent="0.25">
      <c r="A648" t="s">
        <v>1949</v>
      </c>
      <c r="B648" t="s">
        <v>1950</v>
      </c>
      <c r="C648" t="s">
        <v>14</v>
      </c>
      <c r="D648" s="1">
        <v>41851</v>
      </c>
      <c r="E648">
        <v>2</v>
      </c>
      <c r="F648">
        <v>1</v>
      </c>
      <c r="G648" t="s">
        <v>1951</v>
      </c>
      <c r="H648">
        <v>2</v>
      </c>
    </row>
    <row r="649" spans="1:8" x14ac:dyDescent="0.25">
      <c r="A649" t="s">
        <v>1952</v>
      </c>
      <c r="B649" t="s">
        <v>1953</v>
      </c>
      <c r="C649" t="s">
        <v>10</v>
      </c>
      <c r="D649" s="1">
        <v>38254</v>
      </c>
      <c r="E649">
        <v>5</v>
      </c>
      <c r="F649">
        <v>1</v>
      </c>
      <c r="G649" t="s">
        <v>1954</v>
      </c>
      <c r="H649">
        <v>5</v>
      </c>
    </row>
    <row r="650" spans="1:8" x14ac:dyDescent="0.25">
      <c r="A650" t="s">
        <v>1955</v>
      </c>
      <c r="B650" t="s">
        <v>1956</v>
      </c>
      <c r="C650" t="s">
        <v>14</v>
      </c>
      <c r="D650" s="1">
        <v>42032</v>
      </c>
      <c r="E650">
        <v>1</v>
      </c>
      <c r="F650">
        <v>1</v>
      </c>
      <c r="G650" t="s">
        <v>1957</v>
      </c>
      <c r="H650">
        <v>1</v>
      </c>
    </row>
    <row r="651" spans="1:8" x14ac:dyDescent="0.25">
      <c r="A651" t="s">
        <v>1958</v>
      </c>
      <c r="B651" t="s">
        <v>1959</v>
      </c>
      <c r="C651" t="s">
        <v>10</v>
      </c>
      <c r="D651" s="1">
        <v>38775</v>
      </c>
      <c r="E651">
        <v>1</v>
      </c>
      <c r="F651">
        <v>1</v>
      </c>
      <c r="G651" t="s">
        <v>1960</v>
      </c>
      <c r="H651">
        <v>1</v>
      </c>
    </row>
    <row r="652" spans="1:8" x14ac:dyDescent="0.25">
      <c r="A652" t="s">
        <v>1961</v>
      </c>
      <c r="B652" t="s">
        <v>1962</v>
      </c>
      <c r="C652" t="s">
        <v>10</v>
      </c>
      <c r="D652" s="1">
        <v>44810</v>
      </c>
      <c r="E652">
        <v>2</v>
      </c>
      <c r="F652">
        <v>1</v>
      </c>
      <c r="G652" t="s">
        <v>1963</v>
      </c>
      <c r="H652">
        <v>2</v>
      </c>
    </row>
    <row r="653" spans="1:8" x14ac:dyDescent="0.25">
      <c r="A653" t="s">
        <v>1964</v>
      </c>
      <c r="B653" t="s">
        <v>1965</v>
      </c>
      <c r="C653" t="s">
        <v>14</v>
      </c>
      <c r="D653" s="1">
        <v>43187</v>
      </c>
      <c r="E653">
        <v>5</v>
      </c>
      <c r="F653">
        <v>1</v>
      </c>
      <c r="G653" t="s">
        <v>1966</v>
      </c>
      <c r="H653">
        <v>5</v>
      </c>
    </row>
    <row r="654" spans="1:8" x14ac:dyDescent="0.25">
      <c r="A654" t="s">
        <v>1967</v>
      </c>
      <c r="B654" t="s">
        <v>1968</v>
      </c>
      <c r="C654" t="s">
        <v>14</v>
      </c>
      <c r="D654" s="1">
        <v>44091</v>
      </c>
      <c r="E654">
        <v>2</v>
      </c>
      <c r="F654">
        <v>1</v>
      </c>
      <c r="G654" t="s">
        <v>1969</v>
      </c>
      <c r="H654">
        <v>2</v>
      </c>
    </row>
    <row r="655" spans="1:8" x14ac:dyDescent="0.25">
      <c r="A655" t="s">
        <v>1970</v>
      </c>
      <c r="B655" t="s">
        <v>1971</v>
      </c>
      <c r="C655" t="s">
        <v>14</v>
      </c>
      <c r="D655" s="1">
        <v>44663</v>
      </c>
      <c r="E655">
        <v>1</v>
      </c>
      <c r="F655">
        <v>1</v>
      </c>
      <c r="G655" t="s">
        <v>1972</v>
      </c>
      <c r="H655">
        <v>1</v>
      </c>
    </row>
    <row r="656" spans="1:8" x14ac:dyDescent="0.25">
      <c r="A656" t="s">
        <v>1973</v>
      </c>
      <c r="B656" t="s">
        <v>1974</v>
      </c>
      <c r="C656" t="s">
        <v>14</v>
      </c>
      <c r="D656" s="1">
        <v>44664</v>
      </c>
      <c r="E656">
        <v>10</v>
      </c>
      <c r="F656">
        <v>1</v>
      </c>
      <c r="G656" t="s">
        <v>1975</v>
      </c>
      <c r="H656">
        <v>10</v>
      </c>
    </row>
    <row r="657" spans="1:8" x14ac:dyDescent="0.25">
      <c r="A657" t="s">
        <v>1976</v>
      </c>
      <c r="B657" t="s">
        <v>1977</v>
      </c>
      <c r="C657" t="s">
        <v>14</v>
      </c>
      <c r="D657" s="1">
        <v>34738</v>
      </c>
      <c r="E657">
        <v>10</v>
      </c>
      <c r="F657">
        <v>1</v>
      </c>
      <c r="G657" t="s">
        <v>1978</v>
      </c>
      <c r="H657">
        <v>10</v>
      </c>
    </row>
    <row r="658" spans="1:8" x14ac:dyDescent="0.25">
      <c r="A658" t="s">
        <v>1979</v>
      </c>
      <c r="B658" t="s">
        <v>1980</v>
      </c>
      <c r="C658" t="s">
        <v>14</v>
      </c>
      <c r="D658" s="1">
        <v>44830</v>
      </c>
      <c r="E658">
        <v>10</v>
      </c>
      <c r="F658">
        <v>1</v>
      </c>
      <c r="G658" t="s">
        <v>1981</v>
      </c>
      <c r="H658">
        <v>10</v>
      </c>
    </row>
    <row r="659" spans="1:8" x14ac:dyDescent="0.25">
      <c r="A659" t="s">
        <v>1982</v>
      </c>
      <c r="B659" t="s">
        <v>1983</v>
      </c>
      <c r="C659" t="s">
        <v>14</v>
      </c>
      <c r="D659" s="1">
        <v>40234</v>
      </c>
      <c r="E659">
        <v>2</v>
      </c>
      <c r="F659">
        <v>1</v>
      </c>
      <c r="G659" t="s">
        <v>1984</v>
      </c>
      <c r="H659">
        <v>2</v>
      </c>
    </row>
    <row r="660" spans="1:8" x14ac:dyDescent="0.25">
      <c r="A660" t="s">
        <v>1985</v>
      </c>
      <c r="B660" t="s">
        <v>1986</v>
      </c>
      <c r="C660" t="s">
        <v>14</v>
      </c>
      <c r="D660" s="1">
        <v>41810</v>
      </c>
      <c r="E660">
        <v>1</v>
      </c>
      <c r="F660">
        <v>1</v>
      </c>
      <c r="G660" t="s">
        <v>1987</v>
      </c>
      <c r="H660">
        <v>1</v>
      </c>
    </row>
    <row r="661" spans="1:8" x14ac:dyDescent="0.25">
      <c r="A661" t="s">
        <v>1988</v>
      </c>
      <c r="B661" t="s">
        <v>1989</v>
      </c>
      <c r="C661" t="s">
        <v>14</v>
      </c>
      <c r="D661" s="1">
        <v>36971</v>
      </c>
      <c r="E661">
        <v>1</v>
      </c>
      <c r="F661">
        <v>1</v>
      </c>
      <c r="G661" t="s">
        <v>1990</v>
      </c>
      <c r="H661">
        <v>1</v>
      </c>
    </row>
    <row r="662" spans="1:8" x14ac:dyDescent="0.25">
      <c r="A662" t="s">
        <v>1991</v>
      </c>
      <c r="B662" t="s">
        <v>1992</v>
      </c>
      <c r="C662" t="s">
        <v>10</v>
      </c>
      <c r="D662" s="1">
        <v>36572</v>
      </c>
      <c r="E662">
        <v>2</v>
      </c>
      <c r="F662">
        <v>1</v>
      </c>
      <c r="G662" t="s">
        <v>1993</v>
      </c>
      <c r="H662">
        <v>2</v>
      </c>
    </row>
    <row r="663" spans="1:8" x14ac:dyDescent="0.25">
      <c r="A663" t="s">
        <v>1994</v>
      </c>
      <c r="B663" t="s">
        <v>1995</v>
      </c>
      <c r="C663" t="s">
        <v>14</v>
      </c>
      <c r="D663" s="1">
        <v>39086</v>
      </c>
      <c r="E663">
        <v>1</v>
      </c>
      <c r="F663">
        <v>1</v>
      </c>
      <c r="G663" t="s">
        <v>1996</v>
      </c>
      <c r="H663">
        <v>1</v>
      </c>
    </row>
    <row r="664" spans="1:8" x14ac:dyDescent="0.25">
      <c r="A664" t="s">
        <v>1997</v>
      </c>
      <c r="B664" t="s">
        <v>1998</v>
      </c>
      <c r="C664" t="s">
        <v>14</v>
      </c>
      <c r="D664" s="1">
        <v>43304</v>
      </c>
      <c r="E664">
        <v>10</v>
      </c>
      <c r="F664">
        <v>1</v>
      </c>
      <c r="G664" t="s">
        <v>1999</v>
      </c>
      <c r="H664">
        <v>10</v>
      </c>
    </row>
    <row r="665" spans="1:8" x14ac:dyDescent="0.25">
      <c r="A665" t="s">
        <v>2000</v>
      </c>
      <c r="B665" t="s">
        <v>2001</v>
      </c>
      <c r="C665" t="s">
        <v>14</v>
      </c>
      <c r="D665" s="1">
        <v>37712</v>
      </c>
      <c r="E665">
        <v>1</v>
      </c>
      <c r="F665">
        <v>1</v>
      </c>
      <c r="G665" t="s">
        <v>2002</v>
      </c>
      <c r="H665">
        <v>1</v>
      </c>
    </row>
    <row r="666" spans="1:8" x14ac:dyDescent="0.25">
      <c r="A666" t="s">
        <v>2003</v>
      </c>
      <c r="B666" t="s">
        <v>2004</v>
      </c>
      <c r="C666" t="s">
        <v>14</v>
      </c>
      <c r="D666" s="1">
        <v>42459</v>
      </c>
      <c r="E666">
        <v>10</v>
      </c>
      <c r="F666">
        <v>1</v>
      </c>
      <c r="G666" t="s">
        <v>2005</v>
      </c>
      <c r="H666">
        <v>10</v>
      </c>
    </row>
    <row r="667" spans="1:8" x14ac:dyDescent="0.25">
      <c r="A667" t="s">
        <v>2006</v>
      </c>
      <c r="B667" t="s">
        <v>2007</v>
      </c>
      <c r="C667" t="s">
        <v>14</v>
      </c>
      <c r="D667" s="1">
        <v>35431</v>
      </c>
      <c r="E667">
        <v>2</v>
      </c>
      <c r="F667">
        <v>1</v>
      </c>
      <c r="G667" t="s">
        <v>2008</v>
      </c>
      <c r="H667">
        <v>2</v>
      </c>
    </row>
    <row r="668" spans="1:8" x14ac:dyDescent="0.25">
      <c r="A668" t="s">
        <v>2009</v>
      </c>
      <c r="B668" t="s">
        <v>2010</v>
      </c>
      <c r="C668" t="s">
        <v>14</v>
      </c>
      <c r="D668" s="1">
        <v>36531</v>
      </c>
      <c r="E668">
        <v>2</v>
      </c>
      <c r="F668">
        <v>1</v>
      </c>
      <c r="G668" t="s">
        <v>2011</v>
      </c>
      <c r="H668">
        <v>2</v>
      </c>
    </row>
    <row r="669" spans="1:8" x14ac:dyDescent="0.25">
      <c r="A669" t="s">
        <v>2012</v>
      </c>
      <c r="B669" t="s">
        <v>2013</v>
      </c>
      <c r="C669" t="s">
        <v>14</v>
      </c>
      <c r="D669" s="1">
        <v>43318</v>
      </c>
      <c r="E669">
        <v>5</v>
      </c>
      <c r="F669">
        <v>1</v>
      </c>
      <c r="G669" t="s">
        <v>2014</v>
      </c>
      <c r="H669">
        <v>5</v>
      </c>
    </row>
    <row r="670" spans="1:8" x14ac:dyDescent="0.25">
      <c r="A670" t="s">
        <v>2015</v>
      </c>
      <c r="B670" t="s">
        <v>2016</v>
      </c>
      <c r="C670" t="s">
        <v>14</v>
      </c>
      <c r="D670" s="1">
        <v>35011</v>
      </c>
      <c r="E670">
        <v>1</v>
      </c>
      <c r="F670">
        <v>1</v>
      </c>
      <c r="G670" t="s">
        <v>2017</v>
      </c>
      <c r="H670">
        <v>1</v>
      </c>
    </row>
    <row r="671" spans="1:8" x14ac:dyDescent="0.25">
      <c r="A671" t="s">
        <v>2018</v>
      </c>
      <c r="B671" t="s">
        <v>2019</v>
      </c>
      <c r="C671" t="s">
        <v>14</v>
      </c>
      <c r="D671" s="1">
        <v>43056</v>
      </c>
      <c r="E671">
        <v>10</v>
      </c>
      <c r="F671">
        <v>1</v>
      </c>
      <c r="G671" t="s">
        <v>2020</v>
      </c>
      <c r="H671">
        <v>10</v>
      </c>
    </row>
    <row r="672" spans="1:8" x14ac:dyDescent="0.25">
      <c r="A672" t="s">
        <v>2021</v>
      </c>
      <c r="B672" t="s">
        <v>2022</v>
      </c>
      <c r="C672" t="s">
        <v>14</v>
      </c>
      <c r="D672" s="1">
        <v>42718</v>
      </c>
      <c r="E672">
        <v>10</v>
      </c>
      <c r="F672">
        <v>1</v>
      </c>
      <c r="G672" t="s">
        <v>2023</v>
      </c>
      <c r="H672">
        <v>10</v>
      </c>
    </row>
    <row r="673" spans="1:8" x14ac:dyDescent="0.25">
      <c r="A673" t="s">
        <v>2024</v>
      </c>
      <c r="B673" t="s">
        <v>2025</v>
      </c>
      <c r="C673" t="s">
        <v>14</v>
      </c>
      <c r="D673" s="1">
        <v>44560</v>
      </c>
      <c r="E673">
        <v>10</v>
      </c>
      <c r="F673">
        <v>1</v>
      </c>
      <c r="G673" t="s">
        <v>2026</v>
      </c>
      <c r="H673">
        <v>10</v>
      </c>
    </row>
    <row r="674" spans="1:8" x14ac:dyDescent="0.25">
      <c r="A674" t="s">
        <v>2027</v>
      </c>
      <c r="B674" t="s">
        <v>2028</v>
      </c>
      <c r="C674" t="s">
        <v>14</v>
      </c>
      <c r="D674" s="1">
        <v>34829</v>
      </c>
      <c r="E674">
        <v>10</v>
      </c>
      <c r="F674">
        <v>1</v>
      </c>
      <c r="G674" t="s">
        <v>2029</v>
      </c>
      <c r="H674">
        <v>10</v>
      </c>
    </row>
    <row r="675" spans="1:8" x14ac:dyDescent="0.25">
      <c r="A675" t="s">
        <v>2030</v>
      </c>
      <c r="B675" t="s">
        <v>2031</v>
      </c>
      <c r="C675" t="s">
        <v>14</v>
      </c>
      <c r="D675" s="1">
        <v>34773</v>
      </c>
      <c r="E675">
        <v>10</v>
      </c>
      <c r="F675">
        <v>1</v>
      </c>
      <c r="G675" t="s">
        <v>2032</v>
      </c>
      <c r="H675">
        <v>10</v>
      </c>
    </row>
    <row r="676" spans="1:8" x14ac:dyDescent="0.25">
      <c r="A676" t="s">
        <v>2033</v>
      </c>
      <c r="B676" t="s">
        <v>2034</v>
      </c>
      <c r="C676" t="s">
        <v>14</v>
      </c>
      <c r="D676" s="1">
        <v>44126</v>
      </c>
      <c r="E676">
        <v>10</v>
      </c>
      <c r="F676">
        <v>1</v>
      </c>
      <c r="G676" t="s">
        <v>2035</v>
      </c>
      <c r="H676">
        <v>10</v>
      </c>
    </row>
    <row r="677" spans="1:8" x14ac:dyDescent="0.25">
      <c r="A677" t="s">
        <v>2036</v>
      </c>
      <c r="B677" t="s">
        <v>2037</v>
      </c>
      <c r="C677" t="s">
        <v>14</v>
      </c>
      <c r="D677" s="1">
        <v>44260</v>
      </c>
      <c r="E677">
        <v>10</v>
      </c>
      <c r="F677">
        <v>1</v>
      </c>
      <c r="G677" t="s">
        <v>2038</v>
      </c>
      <c r="H677">
        <v>10</v>
      </c>
    </row>
    <row r="678" spans="1:8" x14ac:dyDescent="0.25">
      <c r="A678" t="s">
        <v>2039</v>
      </c>
      <c r="B678" t="s">
        <v>2040</v>
      </c>
      <c r="C678" t="s">
        <v>14</v>
      </c>
      <c r="D678" s="1">
        <v>39497</v>
      </c>
      <c r="E678">
        <v>1</v>
      </c>
      <c r="F678">
        <v>1</v>
      </c>
      <c r="G678" t="s">
        <v>2041</v>
      </c>
      <c r="H678">
        <v>1</v>
      </c>
    </row>
    <row r="679" spans="1:8" x14ac:dyDescent="0.25">
      <c r="A679" t="s">
        <v>2042</v>
      </c>
      <c r="B679" t="s">
        <v>2043</v>
      </c>
      <c r="C679" t="s">
        <v>14</v>
      </c>
      <c r="D679" s="1">
        <v>35396</v>
      </c>
      <c r="E679">
        <v>5</v>
      </c>
      <c r="F679">
        <v>1</v>
      </c>
      <c r="G679" t="s">
        <v>2044</v>
      </c>
      <c r="H679">
        <v>5</v>
      </c>
    </row>
    <row r="680" spans="1:8" x14ac:dyDescent="0.25">
      <c r="A680" t="s">
        <v>2045</v>
      </c>
      <c r="B680" t="s">
        <v>2046</v>
      </c>
      <c r="C680" t="s">
        <v>14</v>
      </c>
      <c r="D680" s="1">
        <v>37722</v>
      </c>
      <c r="E680">
        <v>2</v>
      </c>
      <c r="F680">
        <v>1</v>
      </c>
      <c r="G680" t="s">
        <v>2047</v>
      </c>
      <c r="H680">
        <v>2</v>
      </c>
    </row>
    <row r="681" spans="1:8" x14ac:dyDescent="0.25">
      <c r="A681" t="s">
        <v>2048</v>
      </c>
      <c r="B681" t="s">
        <v>2049</v>
      </c>
      <c r="C681" t="s">
        <v>14</v>
      </c>
      <c r="D681" s="1">
        <v>42076</v>
      </c>
      <c r="E681">
        <v>10</v>
      </c>
      <c r="F681">
        <v>1</v>
      </c>
      <c r="G681" t="s">
        <v>2050</v>
      </c>
      <c r="H681">
        <v>10</v>
      </c>
    </row>
    <row r="682" spans="1:8" x14ac:dyDescent="0.25">
      <c r="A682" t="s">
        <v>2051</v>
      </c>
      <c r="B682" t="s">
        <v>2052</v>
      </c>
      <c r="C682" t="s">
        <v>14</v>
      </c>
      <c r="D682" s="1">
        <v>34864</v>
      </c>
      <c r="E682">
        <v>10</v>
      </c>
      <c r="F682">
        <v>1</v>
      </c>
      <c r="G682" t="s">
        <v>2053</v>
      </c>
      <c r="H682">
        <v>10</v>
      </c>
    </row>
    <row r="683" spans="1:8" x14ac:dyDescent="0.25">
      <c r="A683" t="s">
        <v>2054</v>
      </c>
      <c r="B683" t="s">
        <v>2055</v>
      </c>
      <c r="C683" t="s">
        <v>14</v>
      </c>
      <c r="D683" s="1">
        <v>41019</v>
      </c>
      <c r="E683">
        <v>2</v>
      </c>
      <c r="F683">
        <v>1</v>
      </c>
      <c r="G683" t="s">
        <v>2056</v>
      </c>
      <c r="H683">
        <v>2</v>
      </c>
    </row>
    <row r="684" spans="1:8" x14ac:dyDescent="0.25">
      <c r="A684" t="s">
        <v>2057</v>
      </c>
      <c r="B684" t="s">
        <v>2058</v>
      </c>
      <c r="C684" t="s">
        <v>14</v>
      </c>
      <c r="D684" s="1">
        <v>40611</v>
      </c>
      <c r="E684">
        <v>1</v>
      </c>
      <c r="F684">
        <v>1</v>
      </c>
      <c r="G684" t="s">
        <v>2059</v>
      </c>
      <c r="H684">
        <v>1</v>
      </c>
    </row>
    <row r="685" spans="1:8" x14ac:dyDescent="0.25">
      <c r="A685" t="s">
        <v>2060</v>
      </c>
      <c r="B685" t="s">
        <v>2061</v>
      </c>
      <c r="C685" t="s">
        <v>14</v>
      </c>
      <c r="D685" s="1">
        <v>43168</v>
      </c>
      <c r="E685">
        <v>10</v>
      </c>
      <c r="F685">
        <v>1</v>
      </c>
      <c r="G685" t="s">
        <v>2062</v>
      </c>
      <c r="H685">
        <v>10</v>
      </c>
    </row>
    <row r="686" spans="1:8" x14ac:dyDescent="0.25">
      <c r="A686" t="s">
        <v>2063</v>
      </c>
      <c r="B686" t="s">
        <v>2064</v>
      </c>
      <c r="C686" t="s">
        <v>14</v>
      </c>
      <c r="D686" s="1">
        <v>39252</v>
      </c>
      <c r="E686">
        <v>10</v>
      </c>
      <c r="F686">
        <v>1</v>
      </c>
      <c r="G686" t="s">
        <v>2065</v>
      </c>
      <c r="H686">
        <v>10</v>
      </c>
    </row>
    <row r="687" spans="1:8" x14ac:dyDescent="0.25">
      <c r="A687" t="s">
        <v>2066</v>
      </c>
      <c r="B687" t="s">
        <v>2067</v>
      </c>
      <c r="C687" t="s">
        <v>14</v>
      </c>
      <c r="D687" s="1">
        <v>36936</v>
      </c>
      <c r="E687">
        <v>2</v>
      </c>
      <c r="F687">
        <v>1</v>
      </c>
      <c r="G687" t="s">
        <v>2068</v>
      </c>
      <c r="H687">
        <v>2</v>
      </c>
    </row>
    <row r="688" spans="1:8" x14ac:dyDescent="0.25">
      <c r="A688" t="s">
        <v>2069</v>
      </c>
      <c r="B688" t="s">
        <v>2070</v>
      </c>
      <c r="C688" t="s">
        <v>14</v>
      </c>
      <c r="D688" s="1">
        <v>34815</v>
      </c>
      <c r="E688">
        <v>10</v>
      </c>
      <c r="F688">
        <v>1</v>
      </c>
      <c r="G688" t="s">
        <v>2071</v>
      </c>
      <c r="H688">
        <v>10</v>
      </c>
    </row>
    <row r="689" spans="1:8" x14ac:dyDescent="0.25">
      <c r="A689" t="s">
        <v>2072</v>
      </c>
      <c r="B689" t="s">
        <v>2073</v>
      </c>
      <c r="C689" t="s">
        <v>14</v>
      </c>
      <c r="D689" s="1">
        <v>39226</v>
      </c>
      <c r="E689">
        <v>10</v>
      </c>
      <c r="F689">
        <v>1</v>
      </c>
      <c r="G689" t="s">
        <v>2074</v>
      </c>
      <c r="H689">
        <v>10</v>
      </c>
    </row>
    <row r="690" spans="1:8" x14ac:dyDescent="0.25">
      <c r="A690" t="s">
        <v>2075</v>
      </c>
      <c r="B690" t="s">
        <v>2076</v>
      </c>
      <c r="C690" t="s">
        <v>14</v>
      </c>
      <c r="D690" s="1">
        <v>34738</v>
      </c>
      <c r="E690">
        <v>5</v>
      </c>
      <c r="F690">
        <v>1</v>
      </c>
      <c r="G690" t="s">
        <v>2077</v>
      </c>
      <c r="H690">
        <v>5</v>
      </c>
    </row>
    <row r="691" spans="1:8" x14ac:dyDescent="0.25">
      <c r="A691" t="s">
        <v>2078</v>
      </c>
      <c r="B691" t="s">
        <v>2079</v>
      </c>
      <c r="C691" t="s">
        <v>14</v>
      </c>
      <c r="D691" s="1">
        <v>35438</v>
      </c>
      <c r="E691">
        <v>1</v>
      </c>
      <c r="F691">
        <v>1</v>
      </c>
      <c r="G691" t="s">
        <v>2080</v>
      </c>
      <c r="H691">
        <v>1</v>
      </c>
    </row>
    <row r="692" spans="1:8" x14ac:dyDescent="0.25">
      <c r="A692" t="s">
        <v>2081</v>
      </c>
      <c r="B692" t="s">
        <v>2082</v>
      </c>
      <c r="C692" t="s">
        <v>14</v>
      </c>
      <c r="D692" s="1">
        <v>35193</v>
      </c>
      <c r="E692">
        <v>5</v>
      </c>
      <c r="F692">
        <v>1</v>
      </c>
      <c r="G692" t="s">
        <v>2083</v>
      </c>
      <c r="H692">
        <v>5</v>
      </c>
    </row>
    <row r="693" spans="1:8" x14ac:dyDescent="0.25">
      <c r="A693" t="s">
        <v>2084</v>
      </c>
      <c r="B693" t="s">
        <v>2085</v>
      </c>
      <c r="C693" t="s">
        <v>10</v>
      </c>
      <c r="D693" s="1">
        <v>44382</v>
      </c>
      <c r="E693">
        <v>2</v>
      </c>
      <c r="F693">
        <v>1</v>
      </c>
      <c r="G693" t="s">
        <v>2086</v>
      </c>
      <c r="H693">
        <v>2</v>
      </c>
    </row>
    <row r="694" spans="1:8" x14ac:dyDescent="0.25">
      <c r="A694" t="s">
        <v>2087</v>
      </c>
      <c r="B694" t="s">
        <v>2088</v>
      </c>
      <c r="C694" t="s">
        <v>14</v>
      </c>
      <c r="D694" s="1">
        <v>40436</v>
      </c>
      <c r="E694">
        <v>5</v>
      </c>
      <c r="F694">
        <v>1</v>
      </c>
      <c r="G694" t="s">
        <v>2089</v>
      </c>
      <c r="H694">
        <v>5</v>
      </c>
    </row>
    <row r="695" spans="1:8" x14ac:dyDescent="0.25">
      <c r="A695" t="s">
        <v>2090</v>
      </c>
      <c r="B695" t="s">
        <v>2091</v>
      </c>
      <c r="C695" t="s">
        <v>14</v>
      </c>
      <c r="D695" s="1">
        <v>40595</v>
      </c>
      <c r="E695">
        <v>5</v>
      </c>
      <c r="F695">
        <v>1</v>
      </c>
      <c r="G695" t="s">
        <v>2092</v>
      </c>
      <c r="H695">
        <v>5</v>
      </c>
    </row>
    <row r="696" spans="1:8" x14ac:dyDescent="0.25">
      <c r="A696" t="s">
        <v>2093</v>
      </c>
      <c r="B696" t="s">
        <v>2094</v>
      </c>
      <c r="C696" t="s">
        <v>14</v>
      </c>
      <c r="D696" s="1">
        <v>37887</v>
      </c>
      <c r="E696">
        <v>10</v>
      </c>
      <c r="F696">
        <v>1</v>
      </c>
      <c r="G696" t="s">
        <v>2095</v>
      </c>
      <c r="H696">
        <v>10</v>
      </c>
    </row>
    <row r="697" spans="1:8" x14ac:dyDescent="0.25">
      <c r="A697" t="s">
        <v>2096</v>
      </c>
      <c r="B697" t="s">
        <v>2097</v>
      </c>
      <c r="C697" t="s">
        <v>14</v>
      </c>
      <c r="D697" s="1">
        <v>35963</v>
      </c>
      <c r="E697">
        <v>10</v>
      </c>
      <c r="F697">
        <v>1</v>
      </c>
      <c r="G697" t="s">
        <v>2098</v>
      </c>
      <c r="H697">
        <v>10</v>
      </c>
    </row>
    <row r="698" spans="1:8" x14ac:dyDescent="0.25">
      <c r="A698" t="s">
        <v>2099</v>
      </c>
      <c r="B698" t="s">
        <v>2100</v>
      </c>
      <c r="C698" t="s">
        <v>14</v>
      </c>
      <c r="D698" s="1">
        <v>34886</v>
      </c>
      <c r="E698">
        <v>1</v>
      </c>
      <c r="F698">
        <v>1</v>
      </c>
      <c r="G698" t="s">
        <v>2101</v>
      </c>
      <c r="H698">
        <v>1</v>
      </c>
    </row>
    <row r="699" spans="1:8" x14ac:dyDescent="0.25">
      <c r="A699" t="s">
        <v>2102</v>
      </c>
      <c r="B699" t="s">
        <v>2103</v>
      </c>
      <c r="C699" t="s">
        <v>14</v>
      </c>
      <c r="D699" s="1">
        <v>43825</v>
      </c>
      <c r="E699">
        <v>2</v>
      </c>
      <c r="F699">
        <v>1</v>
      </c>
      <c r="G699" t="s">
        <v>2104</v>
      </c>
      <c r="H699">
        <v>2</v>
      </c>
    </row>
    <row r="700" spans="1:8" x14ac:dyDescent="0.25">
      <c r="A700" t="s">
        <v>2105</v>
      </c>
      <c r="B700" t="s">
        <v>2106</v>
      </c>
      <c r="C700" t="s">
        <v>14</v>
      </c>
      <c r="D700" s="1">
        <v>39042</v>
      </c>
      <c r="E700">
        <v>2</v>
      </c>
      <c r="F700">
        <v>1</v>
      </c>
      <c r="G700" t="s">
        <v>2107</v>
      </c>
      <c r="H700">
        <v>2</v>
      </c>
    </row>
    <row r="701" spans="1:8" x14ac:dyDescent="0.25">
      <c r="A701" t="s">
        <v>2108</v>
      </c>
      <c r="B701" t="s">
        <v>2109</v>
      </c>
      <c r="C701" t="s">
        <v>14</v>
      </c>
      <c r="D701" s="1">
        <v>39077</v>
      </c>
      <c r="E701">
        <v>2</v>
      </c>
      <c r="F701">
        <v>1</v>
      </c>
      <c r="G701" t="s">
        <v>2110</v>
      </c>
      <c r="H701">
        <v>2</v>
      </c>
    </row>
    <row r="702" spans="1:8" x14ac:dyDescent="0.25">
      <c r="A702" t="s">
        <v>2111</v>
      </c>
      <c r="B702" t="s">
        <v>2112</v>
      </c>
      <c r="C702" t="s">
        <v>14</v>
      </c>
      <c r="D702" s="1">
        <v>42740</v>
      </c>
      <c r="E702">
        <v>10</v>
      </c>
      <c r="F702">
        <v>1</v>
      </c>
      <c r="G702" t="s">
        <v>2113</v>
      </c>
      <c r="H702">
        <v>10</v>
      </c>
    </row>
    <row r="703" spans="1:8" x14ac:dyDescent="0.25">
      <c r="A703" t="s">
        <v>2114</v>
      </c>
      <c r="B703" t="s">
        <v>2115</v>
      </c>
      <c r="C703" t="s">
        <v>14</v>
      </c>
      <c r="D703" s="1">
        <v>43227</v>
      </c>
      <c r="E703">
        <v>1</v>
      </c>
      <c r="F703">
        <v>1</v>
      </c>
      <c r="G703" t="s">
        <v>2116</v>
      </c>
      <c r="H703">
        <v>1</v>
      </c>
    </row>
    <row r="704" spans="1:8" x14ac:dyDescent="0.25">
      <c r="A704" t="s">
        <v>2117</v>
      </c>
      <c r="B704" t="s">
        <v>2118</v>
      </c>
      <c r="C704" t="s">
        <v>14</v>
      </c>
      <c r="D704" s="1">
        <v>39436</v>
      </c>
      <c r="E704">
        <v>10</v>
      </c>
      <c r="F704">
        <v>1</v>
      </c>
      <c r="G704" t="s">
        <v>2119</v>
      </c>
      <c r="H704">
        <v>10</v>
      </c>
    </row>
    <row r="705" spans="1:8" x14ac:dyDescent="0.25">
      <c r="A705" t="s">
        <v>2120</v>
      </c>
      <c r="B705" t="s">
        <v>2121</v>
      </c>
      <c r="C705" t="s">
        <v>14</v>
      </c>
      <c r="D705" s="1">
        <v>37277</v>
      </c>
      <c r="E705">
        <v>10</v>
      </c>
      <c r="F705">
        <v>1</v>
      </c>
      <c r="G705" t="s">
        <v>2122</v>
      </c>
      <c r="H705">
        <v>10</v>
      </c>
    </row>
    <row r="706" spans="1:8" x14ac:dyDescent="0.25">
      <c r="A706" t="s">
        <v>2123</v>
      </c>
      <c r="B706" t="s">
        <v>2124</v>
      </c>
      <c r="C706" t="s">
        <v>14</v>
      </c>
      <c r="D706" s="1">
        <v>44966</v>
      </c>
      <c r="E706">
        <v>2</v>
      </c>
      <c r="F706">
        <v>1</v>
      </c>
      <c r="G706" t="s">
        <v>2125</v>
      </c>
      <c r="H706">
        <v>2</v>
      </c>
    </row>
    <row r="707" spans="1:8" x14ac:dyDescent="0.25">
      <c r="A707" t="s">
        <v>2126</v>
      </c>
      <c r="B707" t="s">
        <v>2127</v>
      </c>
      <c r="C707" t="s">
        <v>14</v>
      </c>
      <c r="D707" s="1">
        <v>34899</v>
      </c>
      <c r="E707">
        <v>2</v>
      </c>
      <c r="F707">
        <v>1</v>
      </c>
      <c r="G707" t="s">
        <v>2128</v>
      </c>
      <c r="H707">
        <v>2</v>
      </c>
    </row>
    <row r="708" spans="1:8" x14ac:dyDescent="0.25">
      <c r="A708" t="s">
        <v>2129</v>
      </c>
      <c r="B708" t="s">
        <v>2130</v>
      </c>
      <c r="C708" t="s">
        <v>14</v>
      </c>
      <c r="D708" s="1">
        <v>45111</v>
      </c>
      <c r="E708">
        <v>10</v>
      </c>
      <c r="F708">
        <v>1</v>
      </c>
      <c r="G708" t="s">
        <v>2131</v>
      </c>
      <c r="H708">
        <v>10</v>
      </c>
    </row>
    <row r="709" spans="1:8" x14ac:dyDescent="0.25">
      <c r="A709" t="s">
        <v>2132</v>
      </c>
      <c r="B709" t="s">
        <v>2133</v>
      </c>
      <c r="C709" t="s">
        <v>786</v>
      </c>
      <c r="D709" s="1">
        <v>37862</v>
      </c>
      <c r="E709">
        <v>10</v>
      </c>
      <c r="F709">
        <v>1</v>
      </c>
      <c r="G709" t="s">
        <v>2134</v>
      </c>
      <c r="H709">
        <v>10</v>
      </c>
    </row>
    <row r="710" spans="1:8" x14ac:dyDescent="0.25">
      <c r="A710" t="s">
        <v>2135</v>
      </c>
      <c r="B710" t="s">
        <v>2136</v>
      </c>
      <c r="C710" t="s">
        <v>14</v>
      </c>
      <c r="D710" s="1">
        <v>40380</v>
      </c>
      <c r="E710">
        <v>10</v>
      </c>
      <c r="F710">
        <v>1</v>
      </c>
      <c r="G710" t="s">
        <v>2137</v>
      </c>
      <c r="H710">
        <v>10</v>
      </c>
    </row>
    <row r="711" spans="1:8" x14ac:dyDescent="0.25">
      <c r="A711" t="s">
        <v>2138</v>
      </c>
      <c r="B711" t="s">
        <v>2139</v>
      </c>
      <c r="C711" t="s">
        <v>14</v>
      </c>
      <c r="D711" s="1">
        <v>45083</v>
      </c>
      <c r="E711">
        <v>2</v>
      </c>
      <c r="F711">
        <v>1</v>
      </c>
      <c r="G711" t="s">
        <v>2140</v>
      </c>
      <c r="H711">
        <v>2</v>
      </c>
    </row>
    <row r="712" spans="1:8" x14ac:dyDescent="0.25">
      <c r="A712" t="s">
        <v>2141</v>
      </c>
      <c r="B712" t="s">
        <v>2142</v>
      </c>
      <c r="C712" t="s">
        <v>14</v>
      </c>
      <c r="D712" s="1">
        <v>44230</v>
      </c>
      <c r="E712">
        <v>2</v>
      </c>
      <c r="F712">
        <v>1</v>
      </c>
      <c r="G712" t="s">
        <v>2143</v>
      </c>
      <c r="H712">
        <v>2</v>
      </c>
    </row>
    <row r="713" spans="1:8" x14ac:dyDescent="0.25">
      <c r="A713" t="s">
        <v>2144</v>
      </c>
      <c r="B713" t="s">
        <v>2145</v>
      </c>
      <c r="C713" t="s">
        <v>14</v>
      </c>
      <c r="D713" s="1">
        <v>45237</v>
      </c>
      <c r="E713">
        <v>10</v>
      </c>
      <c r="F713">
        <v>1</v>
      </c>
      <c r="G713" t="s">
        <v>2146</v>
      </c>
      <c r="H713">
        <v>10</v>
      </c>
    </row>
    <row r="714" spans="1:8" x14ac:dyDescent="0.25">
      <c r="A714" t="s">
        <v>2147</v>
      </c>
      <c r="B714" t="s">
        <v>2148</v>
      </c>
      <c r="C714" t="s">
        <v>14</v>
      </c>
      <c r="D714" s="1">
        <v>37820</v>
      </c>
      <c r="E714">
        <v>10</v>
      </c>
      <c r="F714">
        <v>1</v>
      </c>
      <c r="G714" t="s">
        <v>2149</v>
      </c>
      <c r="H714">
        <v>10</v>
      </c>
    </row>
    <row r="715" spans="1:8" x14ac:dyDescent="0.25">
      <c r="A715" t="s">
        <v>2150</v>
      </c>
      <c r="B715" t="s">
        <v>2151</v>
      </c>
      <c r="C715" t="s">
        <v>14</v>
      </c>
      <c r="D715" s="1">
        <v>37712</v>
      </c>
      <c r="E715">
        <v>10</v>
      </c>
      <c r="F715">
        <v>1</v>
      </c>
      <c r="G715" t="s">
        <v>2152</v>
      </c>
      <c r="H715">
        <v>10</v>
      </c>
    </row>
    <row r="716" spans="1:8" x14ac:dyDescent="0.25">
      <c r="A716" t="s">
        <v>2153</v>
      </c>
      <c r="B716" t="s">
        <v>2154</v>
      </c>
      <c r="C716" t="s">
        <v>14</v>
      </c>
      <c r="D716" s="1">
        <v>38987</v>
      </c>
      <c r="E716">
        <v>10</v>
      </c>
      <c r="F716">
        <v>1</v>
      </c>
      <c r="G716" t="s">
        <v>2155</v>
      </c>
      <c r="H716">
        <v>10</v>
      </c>
    </row>
    <row r="717" spans="1:8" x14ac:dyDescent="0.25">
      <c r="A717" t="s">
        <v>2156</v>
      </c>
      <c r="B717" t="s">
        <v>2157</v>
      </c>
      <c r="C717" t="s">
        <v>14</v>
      </c>
      <c r="D717" s="1">
        <v>44557</v>
      </c>
      <c r="E717">
        <v>2</v>
      </c>
      <c r="F717">
        <v>1</v>
      </c>
      <c r="G717" t="s">
        <v>2158</v>
      </c>
      <c r="H717">
        <v>2</v>
      </c>
    </row>
    <row r="718" spans="1:8" x14ac:dyDescent="0.25">
      <c r="A718" t="s">
        <v>2159</v>
      </c>
      <c r="B718" t="s">
        <v>2160</v>
      </c>
      <c r="C718" t="s">
        <v>10</v>
      </c>
      <c r="D718" s="1">
        <v>44872</v>
      </c>
      <c r="E718">
        <v>10</v>
      </c>
      <c r="F718">
        <v>1</v>
      </c>
      <c r="G718" t="s">
        <v>2161</v>
      </c>
      <c r="H718">
        <v>10</v>
      </c>
    </row>
    <row r="719" spans="1:8" x14ac:dyDescent="0.25">
      <c r="A719" t="s">
        <v>2162</v>
      </c>
      <c r="B719" t="s">
        <v>2163</v>
      </c>
      <c r="C719" t="s">
        <v>14</v>
      </c>
      <c r="D719" s="1">
        <v>42647</v>
      </c>
      <c r="E719">
        <v>10</v>
      </c>
      <c r="F719">
        <v>1</v>
      </c>
      <c r="G719" t="s">
        <v>2164</v>
      </c>
      <c r="H719">
        <v>10</v>
      </c>
    </row>
    <row r="720" spans="1:8" x14ac:dyDescent="0.25">
      <c r="A720" t="s">
        <v>2165</v>
      </c>
      <c r="B720" t="s">
        <v>2166</v>
      </c>
      <c r="C720" t="s">
        <v>14</v>
      </c>
      <c r="D720" s="1">
        <v>39143</v>
      </c>
      <c r="E720">
        <v>1</v>
      </c>
      <c r="F720">
        <v>1</v>
      </c>
      <c r="G720" t="s">
        <v>2167</v>
      </c>
      <c r="H720">
        <v>1</v>
      </c>
    </row>
    <row r="721" spans="1:8" x14ac:dyDescent="0.25">
      <c r="A721" t="s">
        <v>2168</v>
      </c>
      <c r="B721" t="s">
        <v>2169</v>
      </c>
      <c r="C721" t="s">
        <v>14</v>
      </c>
      <c r="D721" s="1">
        <v>38596</v>
      </c>
      <c r="E721">
        <v>2</v>
      </c>
      <c r="F721">
        <v>1</v>
      </c>
      <c r="G721" t="s">
        <v>2170</v>
      </c>
      <c r="H721">
        <v>2</v>
      </c>
    </row>
    <row r="722" spans="1:8" x14ac:dyDescent="0.25">
      <c r="A722" t="s">
        <v>2171</v>
      </c>
      <c r="B722" t="s">
        <v>2172</v>
      </c>
      <c r="C722" t="s">
        <v>14</v>
      </c>
      <c r="D722" s="1">
        <v>39120</v>
      </c>
      <c r="E722">
        <v>10</v>
      </c>
      <c r="F722">
        <v>1</v>
      </c>
      <c r="G722" t="s">
        <v>2173</v>
      </c>
      <c r="H722">
        <v>10</v>
      </c>
    </row>
    <row r="723" spans="1:8" x14ac:dyDescent="0.25">
      <c r="A723" t="s">
        <v>2174</v>
      </c>
      <c r="B723" t="s">
        <v>2175</v>
      </c>
      <c r="C723" t="s">
        <v>14</v>
      </c>
      <c r="D723" s="1">
        <v>42874</v>
      </c>
      <c r="E723">
        <v>10</v>
      </c>
      <c r="F723">
        <v>1</v>
      </c>
      <c r="G723" t="s">
        <v>2176</v>
      </c>
      <c r="H723">
        <v>10</v>
      </c>
    </row>
    <row r="724" spans="1:8" x14ac:dyDescent="0.25">
      <c r="A724" t="s">
        <v>2177</v>
      </c>
      <c r="B724" t="s">
        <v>2178</v>
      </c>
      <c r="C724" t="s">
        <v>14</v>
      </c>
      <c r="D724" s="1">
        <v>38261</v>
      </c>
      <c r="E724">
        <v>2</v>
      </c>
      <c r="F724">
        <v>1</v>
      </c>
      <c r="G724" t="s">
        <v>2179</v>
      </c>
      <c r="H724">
        <v>2</v>
      </c>
    </row>
    <row r="725" spans="1:8" x14ac:dyDescent="0.25">
      <c r="A725" t="s">
        <v>2180</v>
      </c>
      <c r="B725" t="s">
        <v>2181</v>
      </c>
      <c r="C725" t="s">
        <v>10</v>
      </c>
      <c r="D725" s="1">
        <v>44900</v>
      </c>
      <c r="E725">
        <v>5</v>
      </c>
      <c r="F725">
        <v>1</v>
      </c>
      <c r="G725" t="s">
        <v>2182</v>
      </c>
      <c r="H725">
        <v>5</v>
      </c>
    </row>
    <row r="726" spans="1:8" x14ac:dyDescent="0.25">
      <c r="A726" t="s">
        <v>2183</v>
      </c>
      <c r="B726" t="s">
        <v>2184</v>
      </c>
      <c r="C726" t="s">
        <v>14</v>
      </c>
      <c r="D726" s="1">
        <v>39164</v>
      </c>
      <c r="E726">
        <v>2</v>
      </c>
      <c r="F726">
        <v>1</v>
      </c>
      <c r="G726" t="s">
        <v>2185</v>
      </c>
      <c r="H726">
        <v>2</v>
      </c>
    </row>
    <row r="727" spans="1:8" x14ac:dyDescent="0.25">
      <c r="A727" t="s">
        <v>2186</v>
      </c>
      <c r="B727" t="s">
        <v>2187</v>
      </c>
      <c r="C727" t="s">
        <v>14</v>
      </c>
      <c r="D727" s="1">
        <v>41478</v>
      </c>
      <c r="E727">
        <v>2</v>
      </c>
      <c r="F727">
        <v>1</v>
      </c>
      <c r="G727" t="s">
        <v>2188</v>
      </c>
      <c r="H727">
        <v>2</v>
      </c>
    </row>
    <row r="728" spans="1:8" x14ac:dyDescent="0.25">
      <c r="A728" t="s">
        <v>2189</v>
      </c>
      <c r="B728" t="s">
        <v>2190</v>
      </c>
      <c r="C728" t="s">
        <v>10</v>
      </c>
      <c r="D728" s="1">
        <v>36481</v>
      </c>
      <c r="E728">
        <v>10</v>
      </c>
      <c r="F728">
        <v>1</v>
      </c>
      <c r="G728" t="s">
        <v>2191</v>
      </c>
      <c r="H728">
        <v>10</v>
      </c>
    </row>
    <row r="729" spans="1:8" x14ac:dyDescent="0.25">
      <c r="A729" t="s">
        <v>2192</v>
      </c>
      <c r="B729" t="s">
        <v>2193</v>
      </c>
      <c r="C729" t="s">
        <v>14</v>
      </c>
      <c r="D729" s="1">
        <v>44116</v>
      </c>
      <c r="E729">
        <v>10</v>
      </c>
      <c r="F729">
        <v>1</v>
      </c>
      <c r="G729" t="s">
        <v>2194</v>
      </c>
      <c r="H729">
        <v>10</v>
      </c>
    </row>
    <row r="730" spans="1:8" x14ac:dyDescent="0.25">
      <c r="A730" t="s">
        <v>2195</v>
      </c>
      <c r="B730" t="s">
        <v>2196</v>
      </c>
      <c r="C730" t="s">
        <v>14</v>
      </c>
      <c r="D730" s="1">
        <v>35690</v>
      </c>
      <c r="E730">
        <v>2</v>
      </c>
      <c r="F730">
        <v>1</v>
      </c>
      <c r="G730" t="s">
        <v>2197</v>
      </c>
      <c r="H730">
        <v>2</v>
      </c>
    </row>
    <row r="731" spans="1:8" x14ac:dyDescent="0.25">
      <c r="A731" t="s">
        <v>2198</v>
      </c>
      <c r="B731" t="s">
        <v>2199</v>
      </c>
      <c r="C731" t="s">
        <v>14</v>
      </c>
      <c r="D731" s="1">
        <v>43005</v>
      </c>
      <c r="E731">
        <v>10</v>
      </c>
      <c r="F731">
        <v>1</v>
      </c>
      <c r="G731" t="s">
        <v>2200</v>
      </c>
      <c r="H731">
        <v>10</v>
      </c>
    </row>
    <row r="732" spans="1:8" x14ac:dyDescent="0.25">
      <c r="A732" t="s">
        <v>2201</v>
      </c>
      <c r="B732" t="s">
        <v>2202</v>
      </c>
      <c r="C732" t="s">
        <v>14</v>
      </c>
      <c r="D732" s="1">
        <v>42642</v>
      </c>
      <c r="E732">
        <v>10</v>
      </c>
      <c r="F732">
        <v>1</v>
      </c>
      <c r="G732" t="s">
        <v>2203</v>
      </c>
      <c r="H732">
        <v>10</v>
      </c>
    </row>
    <row r="733" spans="1:8" x14ac:dyDescent="0.25">
      <c r="A733" t="s">
        <v>2204</v>
      </c>
      <c r="B733" t="s">
        <v>2205</v>
      </c>
      <c r="C733" t="s">
        <v>14</v>
      </c>
      <c r="D733" s="1">
        <v>38607</v>
      </c>
      <c r="E733">
        <v>2</v>
      </c>
      <c r="F733">
        <v>1</v>
      </c>
      <c r="G733" t="s">
        <v>2206</v>
      </c>
      <c r="H733">
        <v>2</v>
      </c>
    </row>
    <row r="734" spans="1:8" x14ac:dyDescent="0.25">
      <c r="A734" t="s">
        <v>2207</v>
      </c>
      <c r="B734" t="s">
        <v>2208</v>
      </c>
      <c r="C734" t="s">
        <v>14</v>
      </c>
      <c r="D734" s="1">
        <v>39185</v>
      </c>
      <c r="E734">
        <v>10</v>
      </c>
      <c r="F734">
        <v>1</v>
      </c>
      <c r="G734" t="s">
        <v>2209</v>
      </c>
      <c r="H734">
        <v>10</v>
      </c>
    </row>
    <row r="735" spans="1:8" x14ac:dyDescent="0.25">
      <c r="A735" t="s">
        <v>2210</v>
      </c>
      <c r="B735" t="s">
        <v>2211</v>
      </c>
      <c r="C735" t="s">
        <v>14</v>
      </c>
      <c r="D735" s="1">
        <v>34962</v>
      </c>
      <c r="E735">
        <v>10</v>
      </c>
      <c r="F735">
        <v>1</v>
      </c>
      <c r="G735" t="s">
        <v>2212</v>
      </c>
      <c r="H735">
        <v>10</v>
      </c>
    </row>
    <row r="736" spans="1:8" x14ac:dyDescent="0.25">
      <c r="A736" t="s">
        <v>2213</v>
      </c>
      <c r="B736" t="s">
        <v>2214</v>
      </c>
      <c r="C736" t="s">
        <v>14</v>
      </c>
      <c r="D736" s="1">
        <v>39150</v>
      </c>
      <c r="E736">
        <v>10</v>
      </c>
      <c r="F736">
        <v>1</v>
      </c>
      <c r="G736" t="s">
        <v>2215</v>
      </c>
      <c r="H736">
        <v>10</v>
      </c>
    </row>
    <row r="737" spans="1:8" x14ac:dyDescent="0.25">
      <c r="A737" t="s">
        <v>2216</v>
      </c>
      <c r="B737" t="s">
        <v>2217</v>
      </c>
      <c r="C737" t="s">
        <v>14</v>
      </c>
      <c r="D737" s="1">
        <v>45114</v>
      </c>
      <c r="E737">
        <v>10</v>
      </c>
      <c r="F737">
        <v>1</v>
      </c>
      <c r="G737" t="s">
        <v>2218</v>
      </c>
      <c r="H737">
        <v>10</v>
      </c>
    </row>
    <row r="738" spans="1:8" x14ac:dyDescent="0.25">
      <c r="A738" t="s">
        <v>2219</v>
      </c>
      <c r="B738" t="s">
        <v>2220</v>
      </c>
      <c r="C738" t="s">
        <v>14</v>
      </c>
      <c r="D738" s="1">
        <v>38576</v>
      </c>
      <c r="E738">
        <v>10</v>
      </c>
      <c r="F738">
        <v>1</v>
      </c>
      <c r="G738" t="s">
        <v>2221</v>
      </c>
      <c r="H738">
        <v>10</v>
      </c>
    </row>
    <row r="739" spans="1:8" x14ac:dyDescent="0.25">
      <c r="A739" t="s">
        <v>2222</v>
      </c>
      <c r="B739" t="s">
        <v>2223</v>
      </c>
      <c r="C739" t="s">
        <v>14</v>
      </c>
      <c r="D739" s="1">
        <v>42314</v>
      </c>
      <c r="E739">
        <v>10</v>
      </c>
      <c r="F739">
        <v>1</v>
      </c>
      <c r="G739" t="s">
        <v>2224</v>
      </c>
      <c r="H739">
        <v>10</v>
      </c>
    </row>
    <row r="740" spans="1:8" x14ac:dyDescent="0.25">
      <c r="A740" t="s">
        <v>2225</v>
      </c>
      <c r="B740" t="s">
        <v>2226</v>
      </c>
      <c r="C740" t="s">
        <v>10</v>
      </c>
      <c r="D740" s="1">
        <v>44922</v>
      </c>
      <c r="E740">
        <v>2</v>
      </c>
      <c r="F740">
        <v>1</v>
      </c>
      <c r="G740" t="s">
        <v>2227</v>
      </c>
      <c r="H740">
        <v>2</v>
      </c>
    </row>
    <row r="741" spans="1:8" x14ac:dyDescent="0.25">
      <c r="A741" t="s">
        <v>2228</v>
      </c>
      <c r="B741" t="s">
        <v>2229</v>
      </c>
      <c r="C741" t="s">
        <v>14</v>
      </c>
      <c r="D741" s="1">
        <v>43031</v>
      </c>
      <c r="E741">
        <v>1</v>
      </c>
      <c r="F741">
        <v>1</v>
      </c>
      <c r="G741" t="s">
        <v>2230</v>
      </c>
      <c r="H741">
        <v>1</v>
      </c>
    </row>
    <row r="742" spans="1:8" x14ac:dyDescent="0.25">
      <c r="A742" t="s">
        <v>2231</v>
      </c>
      <c r="B742" t="s">
        <v>2232</v>
      </c>
      <c r="C742" t="s">
        <v>14</v>
      </c>
      <c r="D742" s="1">
        <v>35158</v>
      </c>
      <c r="E742">
        <v>10</v>
      </c>
      <c r="F742">
        <v>1</v>
      </c>
      <c r="G742" t="s">
        <v>2233</v>
      </c>
      <c r="H742">
        <v>10</v>
      </c>
    </row>
    <row r="743" spans="1:8" x14ac:dyDescent="0.25">
      <c r="A743" t="s">
        <v>2234</v>
      </c>
      <c r="B743" t="s">
        <v>2235</v>
      </c>
      <c r="C743" t="s">
        <v>14</v>
      </c>
      <c r="D743" s="1">
        <v>34787</v>
      </c>
      <c r="E743">
        <v>10</v>
      </c>
      <c r="F743">
        <v>1</v>
      </c>
      <c r="G743" t="s">
        <v>2236</v>
      </c>
      <c r="H743">
        <v>10</v>
      </c>
    </row>
    <row r="744" spans="1:8" x14ac:dyDescent="0.25">
      <c r="A744" t="s">
        <v>2237</v>
      </c>
      <c r="B744" t="s">
        <v>2238</v>
      </c>
      <c r="C744" t="s">
        <v>14</v>
      </c>
      <c r="D744" s="1">
        <v>34815</v>
      </c>
      <c r="E744">
        <v>10</v>
      </c>
      <c r="F744">
        <v>1</v>
      </c>
      <c r="G744" t="s">
        <v>2239</v>
      </c>
      <c r="H744">
        <v>10</v>
      </c>
    </row>
    <row r="745" spans="1:8" x14ac:dyDescent="0.25">
      <c r="A745" t="s">
        <v>2240</v>
      </c>
      <c r="B745" t="s">
        <v>2241</v>
      </c>
      <c r="C745" t="s">
        <v>14</v>
      </c>
      <c r="D745" s="1">
        <v>43053</v>
      </c>
      <c r="E745">
        <v>10</v>
      </c>
      <c r="F745">
        <v>1</v>
      </c>
      <c r="G745" t="s">
        <v>2242</v>
      </c>
      <c r="H745">
        <v>10</v>
      </c>
    </row>
    <row r="746" spans="1:8" x14ac:dyDescent="0.25">
      <c r="A746" t="s">
        <v>2243</v>
      </c>
      <c r="B746" t="s">
        <v>2244</v>
      </c>
      <c r="C746" t="s">
        <v>14</v>
      </c>
      <c r="D746" s="1">
        <v>37903</v>
      </c>
      <c r="E746">
        <v>10</v>
      </c>
      <c r="F746">
        <v>1</v>
      </c>
      <c r="G746" t="s">
        <v>2245</v>
      </c>
      <c r="H746">
        <v>10</v>
      </c>
    </row>
    <row r="747" spans="1:8" x14ac:dyDescent="0.25">
      <c r="A747" t="s">
        <v>2246</v>
      </c>
      <c r="B747" t="s">
        <v>2247</v>
      </c>
      <c r="C747" t="s">
        <v>14</v>
      </c>
      <c r="D747" s="1">
        <v>37981</v>
      </c>
      <c r="E747">
        <v>2</v>
      </c>
      <c r="F747">
        <v>1</v>
      </c>
      <c r="G747" t="s">
        <v>2248</v>
      </c>
      <c r="H747">
        <v>2</v>
      </c>
    </row>
    <row r="748" spans="1:8" x14ac:dyDescent="0.25">
      <c r="A748" t="s">
        <v>2249</v>
      </c>
      <c r="B748" t="s">
        <v>2250</v>
      </c>
      <c r="C748" t="s">
        <v>14</v>
      </c>
      <c r="D748" s="1">
        <v>39111</v>
      </c>
      <c r="E748">
        <v>10</v>
      </c>
      <c r="F748">
        <v>1</v>
      </c>
      <c r="G748" t="s">
        <v>2251</v>
      </c>
      <c r="H748">
        <v>10</v>
      </c>
    </row>
    <row r="749" spans="1:8" x14ac:dyDescent="0.25">
      <c r="A749" t="s">
        <v>2252</v>
      </c>
      <c r="B749" t="s">
        <v>2253</v>
      </c>
      <c r="C749" t="s">
        <v>14</v>
      </c>
      <c r="D749" s="1">
        <v>38489</v>
      </c>
      <c r="E749">
        <v>2</v>
      </c>
      <c r="F749">
        <v>1</v>
      </c>
      <c r="G749" t="s">
        <v>2254</v>
      </c>
      <c r="H749">
        <v>2</v>
      </c>
    </row>
    <row r="750" spans="1:8" x14ac:dyDescent="0.25">
      <c r="A750" t="s">
        <v>2255</v>
      </c>
      <c r="B750" t="s">
        <v>2256</v>
      </c>
      <c r="C750" t="s">
        <v>14</v>
      </c>
      <c r="D750" s="1">
        <v>43728</v>
      </c>
      <c r="E750">
        <v>2</v>
      </c>
      <c r="F750">
        <v>1</v>
      </c>
      <c r="G750" t="s">
        <v>2257</v>
      </c>
      <c r="H750">
        <v>2</v>
      </c>
    </row>
    <row r="751" spans="1:8" x14ac:dyDescent="0.25">
      <c r="A751" t="s">
        <v>2258</v>
      </c>
      <c r="B751" t="s">
        <v>2259</v>
      </c>
      <c r="C751" t="s">
        <v>10</v>
      </c>
      <c r="D751" s="1">
        <v>40407</v>
      </c>
      <c r="E751">
        <v>10</v>
      </c>
      <c r="F751">
        <v>1</v>
      </c>
      <c r="G751" t="s">
        <v>2260</v>
      </c>
      <c r="H751">
        <v>10</v>
      </c>
    </row>
    <row r="752" spans="1:8" x14ac:dyDescent="0.25">
      <c r="A752" t="s">
        <v>2261</v>
      </c>
      <c r="B752" t="s">
        <v>2262</v>
      </c>
      <c r="C752" t="s">
        <v>14</v>
      </c>
      <c r="D752" s="1">
        <v>45093</v>
      </c>
      <c r="E752">
        <v>10</v>
      </c>
      <c r="F752">
        <v>1</v>
      </c>
      <c r="G752" t="s">
        <v>2263</v>
      </c>
      <c r="H752">
        <v>10</v>
      </c>
    </row>
    <row r="753" spans="1:8" x14ac:dyDescent="0.25">
      <c r="A753" t="s">
        <v>2264</v>
      </c>
      <c r="B753" t="s">
        <v>2265</v>
      </c>
      <c r="C753" t="s">
        <v>786</v>
      </c>
      <c r="D753" s="1">
        <v>39380</v>
      </c>
      <c r="E753">
        <v>10</v>
      </c>
      <c r="F753">
        <v>1</v>
      </c>
      <c r="G753" t="s">
        <v>2266</v>
      </c>
      <c r="H753">
        <v>10</v>
      </c>
    </row>
    <row r="754" spans="1:8" x14ac:dyDescent="0.25">
      <c r="A754" t="s">
        <v>2267</v>
      </c>
      <c r="B754" t="s">
        <v>2268</v>
      </c>
      <c r="C754" t="s">
        <v>786</v>
      </c>
      <c r="D754" s="1">
        <v>40267</v>
      </c>
      <c r="E754">
        <v>10</v>
      </c>
      <c r="F754">
        <v>1</v>
      </c>
      <c r="G754" t="s">
        <v>2269</v>
      </c>
      <c r="H754">
        <v>10</v>
      </c>
    </row>
    <row r="755" spans="1:8" x14ac:dyDescent="0.25">
      <c r="A755" t="s">
        <v>2270</v>
      </c>
      <c r="B755" t="s">
        <v>2271</v>
      </c>
      <c r="C755" t="s">
        <v>14</v>
      </c>
      <c r="D755" s="1">
        <v>42100</v>
      </c>
      <c r="E755">
        <v>10</v>
      </c>
      <c r="F755">
        <v>1</v>
      </c>
      <c r="G755" t="s">
        <v>2272</v>
      </c>
      <c r="H755">
        <v>10</v>
      </c>
    </row>
    <row r="756" spans="1:8" x14ac:dyDescent="0.25">
      <c r="A756" t="s">
        <v>2273</v>
      </c>
      <c r="B756" t="s">
        <v>2274</v>
      </c>
      <c r="C756" t="s">
        <v>14</v>
      </c>
      <c r="D756" s="1">
        <v>40382</v>
      </c>
      <c r="E756">
        <v>10</v>
      </c>
      <c r="F756">
        <v>1</v>
      </c>
      <c r="G756" t="s">
        <v>2275</v>
      </c>
      <c r="H756">
        <v>10</v>
      </c>
    </row>
    <row r="757" spans="1:8" x14ac:dyDescent="0.25">
      <c r="A757" t="s">
        <v>2276</v>
      </c>
      <c r="B757" t="s">
        <v>2277</v>
      </c>
      <c r="C757" t="s">
        <v>14</v>
      </c>
      <c r="D757" s="1">
        <v>38632</v>
      </c>
      <c r="E757">
        <v>10</v>
      </c>
      <c r="F757">
        <v>1</v>
      </c>
      <c r="G757" t="s">
        <v>2278</v>
      </c>
      <c r="H757">
        <v>10</v>
      </c>
    </row>
    <row r="758" spans="1:8" x14ac:dyDescent="0.25">
      <c r="A758" t="s">
        <v>2279</v>
      </c>
      <c r="B758" t="s">
        <v>2280</v>
      </c>
      <c r="C758" t="s">
        <v>10</v>
      </c>
      <c r="D758" s="1">
        <v>38386</v>
      </c>
      <c r="E758">
        <v>10</v>
      </c>
      <c r="F758">
        <v>1</v>
      </c>
      <c r="G758" t="s">
        <v>2281</v>
      </c>
      <c r="H758">
        <v>10</v>
      </c>
    </row>
    <row r="759" spans="1:8" x14ac:dyDescent="0.25">
      <c r="A759" t="s">
        <v>2282</v>
      </c>
      <c r="B759" t="s">
        <v>2283</v>
      </c>
      <c r="C759" t="s">
        <v>10</v>
      </c>
      <c r="D759" s="1">
        <v>42552</v>
      </c>
      <c r="E759">
        <v>10</v>
      </c>
      <c r="F759">
        <v>1</v>
      </c>
      <c r="G759" t="s">
        <v>2284</v>
      </c>
      <c r="H759">
        <v>10</v>
      </c>
    </row>
    <row r="760" spans="1:8" x14ac:dyDescent="0.25">
      <c r="A760" t="s">
        <v>2285</v>
      </c>
      <c r="B760" t="s">
        <v>2286</v>
      </c>
      <c r="C760" t="s">
        <v>10</v>
      </c>
      <c r="D760" s="1">
        <v>39729</v>
      </c>
      <c r="E760">
        <v>10</v>
      </c>
      <c r="F760">
        <v>1</v>
      </c>
      <c r="G760" t="s">
        <v>2287</v>
      </c>
      <c r="H760">
        <v>10</v>
      </c>
    </row>
    <row r="761" spans="1:8" x14ac:dyDescent="0.25">
      <c r="A761" t="s">
        <v>2288</v>
      </c>
      <c r="B761" t="s">
        <v>2289</v>
      </c>
      <c r="C761" t="s">
        <v>14</v>
      </c>
      <c r="D761" s="1">
        <v>35249</v>
      </c>
      <c r="E761">
        <v>1</v>
      </c>
      <c r="F761">
        <v>1</v>
      </c>
      <c r="G761" t="s">
        <v>2290</v>
      </c>
      <c r="H761">
        <v>1</v>
      </c>
    </row>
    <row r="762" spans="1:8" x14ac:dyDescent="0.25">
      <c r="A762" t="s">
        <v>2291</v>
      </c>
      <c r="B762" t="s">
        <v>2292</v>
      </c>
      <c r="C762" t="s">
        <v>14</v>
      </c>
      <c r="D762" s="1">
        <v>36677</v>
      </c>
      <c r="E762">
        <v>10</v>
      </c>
      <c r="F762">
        <v>1</v>
      </c>
      <c r="G762" t="s">
        <v>2293</v>
      </c>
      <c r="H762">
        <v>10</v>
      </c>
    </row>
    <row r="763" spans="1:8" x14ac:dyDescent="0.25">
      <c r="A763" t="s">
        <v>2294</v>
      </c>
      <c r="B763" t="s">
        <v>2295</v>
      </c>
      <c r="C763" t="s">
        <v>14</v>
      </c>
      <c r="D763" s="1">
        <v>38534</v>
      </c>
      <c r="E763">
        <v>10</v>
      </c>
      <c r="F763">
        <v>1</v>
      </c>
      <c r="G763" t="s">
        <v>2296</v>
      </c>
      <c r="H763">
        <v>10</v>
      </c>
    </row>
    <row r="764" spans="1:8" x14ac:dyDescent="0.25">
      <c r="A764" t="s">
        <v>2297</v>
      </c>
      <c r="B764" t="s">
        <v>2298</v>
      </c>
      <c r="C764" t="s">
        <v>14</v>
      </c>
      <c r="D764" s="1">
        <v>43650</v>
      </c>
      <c r="E764">
        <v>10</v>
      </c>
      <c r="F764">
        <v>1</v>
      </c>
      <c r="G764" t="s">
        <v>2299</v>
      </c>
      <c r="H764">
        <v>10</v>
      </c>
    </row>
    <row r="765" spans="1:8" x14ac:dyDescent="0.25">
      <c r="A765" t="s">
        <v>2300</v>
      </c>
      <c r="B765" t="s">
        <v>2301</v>
      </c>
      <c r="C765" t="s">
        <v>14</v>
      </c>
      <c r="D765" s="1">
        <v>39142</v>
      </c>
      <c r="E765">
        <v>10</v>
      </c>
      <c r="F765">
        <v>1</v>
      </c>
      <c r="G765" t="s">
        <v>2302</v>
      </c>
      <c r="H765">
        <v>10</v>
      </c>
    </row>
    <row r="766" spans="1:8" x14ac:dyDescent="0.25">
      <c r="A766" t="s">
        <v>2303</v>
      </c>
      <c r="B766" t="s">
        <v>2304</v>
      </c>
      <c r="C766" t="s">
        <v>14</v>
      </c>
      <c r="D766" s="1">
        <v>35438</v>
      </c>
      <c r="E766">
        <v>10</v>
      </c>
      <c r="F766">
        <v>1</v>
      </c>
      <c r="G766" t="s">
        <v>2305</v>
      </c>
      <c r="H766">
        <v>10</v>
      </c>
    </row>
    <row r="767" spans="1:8" x14ac:dyDescent="0.25">
      <c r="A767" t="s">
        <v>2306</v>
      </c>
      <c r="B767" t="s">
        <v>2307</v>
      </c>
      <c r="C767" t="s">
        <v>14</v>
      </c>
      <c r="D767" s="1">
        <v>34941</v>
      </c>
      <c r="E767">
        <v>2</v>
      </c>
      <c r="F767">
        <v>1</v>
      </c>
      <c r="G767" t="s">
        <v>2308</v>
      </c>
      <c r="H767">
        <v>2</v>
      </c>
    </row>
    <row r="768" spans="1:8" x14ac:dyDescent="0.25">
      <c r="A768" t="s">
        <v>2309</v>
      </c>
      <c r="B768" t="s">
        <v>2310</v>
      </c>
      <c r="C768" t="s">
        <v>14</v>
      </c>
      <c r="D768" s="1">
        <v>42318</v>
      </c>
      <c r="E768">
        <v>10</v>
      </c>
      <c r="F768">
        <v>1</v>
      </c>
      <c r="G768" t="s">
        <v>2311</v>
      </c>
      <c r="H768">
        <v>10</v>
      </c>
    </row>
    <row r="769" spans="1:8" x14ac:dyDescent="0.25">
      <c r="A769" t="s">
        <v>2312</v>
      </c>
      <c r="B769" t="s">
        <v>2313</v>
      </c>
      <c r="C769" t="s">
        <v>14</v>
      </c>
      <c r="D769" s="1">
        <v>44229</v>
      </c>
      <c r="E769">
        <v>10</v>
      </c>
      <c r="F769">
        <v>1</v>
      </c>
      <c r="G769" t="s">
        <v>2314</v>
      </c>
      <c r="H769">
        <v>10</v>
      </c>
    </row>
    <row r="770" spans="1:8" x14ac:dyDescent="0.25">
      <c r="A770" t="s">
        <v>2315</v>
      </c>
      <c r="B770" t="s">
        <v>2316</v>
      </c>
      <c r="C770" t="s">
        <v>786</v>
      </c>
      <c r="D770" s="1">
        <v>35074</v>
      </c>
      <c r="E770">
        <v>10</v>
      </c>
      <c r="F770">
        <v>1</v>
      </c>
      <c r="G770" t="s">
        <v>2317</v>
      </c>
      <c r="H770">
        <v>10</v>
      </c>
    </row>
    <row r="771" spans="1:8" x14ac:dyDescent="0.25">
      <c r="A771" t="s">
        <v>2318</v>
      </c>
      <c r="B771" t="s">
        <v>2319</v>
      </c>
      <c r="C771" t="s">
        <v>14</v>
      </c>
      <c r="D771" s="1">
        <v>35557</v>
      </c>
      <c r="E771">
        <v>5</v>
      </c>
      <c r="F771">
        <v>1</v>
      </c>
      <c r="G771" t="s">
        <v>2320</v>
      </c>
      <c r="H771">
        <v>5</v>
      </c>
    </row>
    <row r="772" spans="1:8" x14ac:dyDescent="0.25">
      <c r="A772" t="s">
        <v>2321</v>
      </c>
      <c r="B772" t="s">
        <v>2322</v>
      </c>
      <c r="C772" t="s">
        <v>14</v>
      </c>
      <c r="D772" s="1">
        <v>44680</v>
      </c>
      <c r="E772">
        <v>5</v>
      </c>
      <c r="F772">
        <v>1</v>
      </c>
      <c r="G772" t="s">
        <v>2323</v>
      </c>
      <c r="H772">
        <v>5</v>
      </c>
    </row>
    <row r="773" spans="1:8" x14ac:dyDescent="0.25">
      <c r="A773" t="s">
        <v>2324</v>
      </c>
      <c r="B773" t="s">
        <v>2325</v>
      </c>
      <c r="C773" t="s">
        <v>14</v>
      </c>
      <c r="D773" s="1">
        <v>44649</v>
      </c>
      <c r="E773">
        <v>1</v>
      </c>
      <c r="F773">
        <v>1</v>
      </c>
      <c r="G773" t="s">
        <v>2326</v>
      </c>
      <c r="H773">
        <v>1</v>
      </c>
    </row>
    <row r="774" spans="1:8" x14ac:dyDescent="0.25">
      <c r="A774" t="s">
        <v>2327</v>
      </c>
      <c r="B774" t="s">
        <v>2328</v>
      </c>
      <c r="C774" t="s">
        <v>14</v>
      </c>
      <c r="D774" s="1">
        <v>38366</v>
      </c>
      <c r="E774">
        <v>2</v>
      </c>
      <c r="F774">
        <v>1</v>
      </c>
      <c r="G774" t="s">
        <v>2329</v>
      </c>
      <c r="H774">
        <v>2</v>
      </c>
    </row>
    <row r="775" spans="1:8" x14ac:dyDescent="0.25">
      <c r="A775" t="s">
        <v>2330</v>
      </c>
      <c r="B775" t="s">
        <v>2331</v>
      </c>
      <c r="C775" t="s">
        <v>14</v>
      </c>
      <c r="D775" s="1">
        <v>37792</v>
      </c>
      <c r="E775">
        <v>10</v>
      </c>
      <c r="F775">
        <v>1</v>
      </c>
      <c r="G775" t="s">
        <v>2332</v>
      </c>
      <c r="H775">
        <v>10</v>
      </c>
    </row>
    <row r="776" spans="1:8" x14ac:dyDescent="0.25">
      <c r="A776" t="s">
        <v>2333</v>
      </c>
      <c r="B776" t="s">
        <v>2334</v>
      </c>
      <c r="C776" t="s">
        <v>10</v>
      </c>
      <c r="D776" s="1">
        <v>43241</v>
      </c>
      <c r="E776">
        <v>10</v>
      </c>
      <c r="F776">
        <v>1</v>
      </c>
      <c r="G776" t="s">
        <v>2335</v>
      </c>
      <c r="H776">
        <v>10</v>
      </c>
    </row>
    <row r="777" spans="1:8" x14ac:dyDescent="0.25">
      <c r="A777" t="s">
        <v>2336</v>
      </c>
      <c r="B777" t="s">
        <v>2337</v>
      </c>
      <c r="C777" t="s">
        <v>10</v>
      </c>
      <c r="D777" s="1">
        <v>38792</v>
      </c>
      <c r="E777">
        <v>10</v>
      </c>
      <c r="F777">
        <v>1</v>
      </c>
      <c r="G777" t="s">
        <v>2338</v>
      </c>
      <c r="H777">
        <v>10</v>
      </c>
    </row>
    <row r="778" spans="1:8" x14ac:dyDescent="0.25">
      <c r="A778" t="s">
        <v>2339</v>
      </c>
      <c r="B778" t="s">
        <v>2340</v>
      </c>
      <c r="C778" t="s">
        <v>14</v>
      </c>
      <c r="D778" s="1">
        <v>40849</v>
      </c>
      <c r="E778">
        <v>10</v>
      </c>
      <c r="F778">
        <v>1</v>
      </c>
      <c r="G778" t="s">
        <v>2341</v>
      </c>
      <c r="H778">
        <v>10</v>
      </c>
    </row>
    <row r="779" spans="1:8" x14ac:dyDescent="0.25">
      <c r="A779" t="s">
        <v>2342</v>
      </c>
      <c r="B779" t="s">
        <v>2343</v>
      </c>
      <c r="C779" t="s">
        <v>10</v>
      </c>
      <c r="D779" s="1">
        <v>39339</v>
      </c>
      <c r="E779">
        <v>10</v>
      </c>
      <c r="F779">
        <v>1</v>
      </c>
      <c r="G779" t="s">
        <v>2344</v>
      </c>
      <c r="H779">
        <v>10</v>
      </c>
    </row>
    <row r="780" spans="1:8" x14ac:dyDescent="0.25">
      <c r="A780" t="s">
        <v>2345</v>
      </c>
      <c r="B780" t="s">
        <v>2346</v>
      </c>
      <c r="C780" t="s">
        <v>10</v>
      </c>
      <c r="D780" s="1">
        <v>35537</v>
      </c>
      <c r="E780">
        <v>10</v>
      </c>
      <c r="F780">
        <v>1</v>
      </c>
      <c r="G780" t="s">
        <v>2347</v>
      </c>
      <c r="H780">
        <v>10</v>
      </c>
    </row>
    <row r="781" spans="1:8" x14ac:dyDescent="0.25">
      <c r="A781" t="s">
        <v>2348</v>
      </c>
      <c r="B781" t="s">
        <v>2349</v>
      </c>
      <c r="C781" t="s">
        <v>14</v>
      </c>
      <c r="D781" s="1">
        <v>35613</v>
      </c>
      <c r="E781">
        <v>10</v>
      </c>
      <c r="F781">
        <v>1</v>
      </c>
      <c r="G781" t="s">
        <v>2350</v>
      </c>
      <c r="H781">
        <v>10</v>
      </c>
    </row>
    <row r="782" spans="1:8" x14ac:dyDescent="0.25">
      <c r="A782" t="s">
        <v>2351</v>
      </c>
      <c r="B782" t="s">
        <v>2352</v>
      </c>
      <c r="C782" t="s">
        <v>10</v>
      </c>
      <c r="D782" s="1">
        <v>38278</v>
      </c>
      <c r="E782">
        <v>2</v>
      </c>
      <c r="F782">
        <v>1</v>
      </c>
      <c r="G782" t="s">
        <v>2353</v>
      </c>
      <c r="H782">
        <v>2</v>
      </c>
    </row>
    <row r="783" spans="1:8" x14ac:dyDescent="0.25">
      <c r="A783" t="s">
        <v>2354</v>
      </c>
      <c r="B783" t="s">
        <v>2355</v>
      </c>
      <c r="C783" t="s">
        <v>14</v>
      </c>
      <c r="D783" s="1">
        <v>40613</v>
      </c>
      <c r="E783">
        <v>2</v>
      </c>
      <c r="F783">
        <v>1</v>
      </c>
      <c r="G783" t="s">
        <v>2356</v>
      </c>
      <c r="H783">
        <v>2</v>
      </c>
    </row>
    <row r="784" spans="1:8" x14ac:dyDescent="0.25">
      <c r="A784" t="s">
        <v>2357</v>
      </c>
      <c r="B784" t="s">
        <v>2358</v>
      </c>
      <c r="C784" t="s">
        <v>14</v>
      </c>
      <c r="D784" s="1">
        <v>35823</v>
      </c>
      <c r="E784">
        <v>10</v>
      </c>
      <c r="F784">
        <v>1</v>
      </c>
      <c r="G784" t="s">
        <v>2359</v>
      </c>
      <c r="H784">
        <v>10</v>
      </c>
    </row>
    <row r="785" spans="1:8" x14ac:dyDescent="0.25">
      <c r="A785" t="s">
        <v>2360</v>
      </c>
      <c r="B785" t="s">
        <v>2361</v>
      </c>
      <c r="C785" t="s">
        <v>14</v>
      </c>
      <c r="D785" s="1">
        <v>41271</v>
      </c>
      <c r="E785">
        <v>10</v>
      </c>
      <c r="F785">
        <v>1</v>
      </c>
      <c r="G785" t="s">
        <v>2362</v>
      </c>
      <c r="H785">
        <v>10</v>
      </c>
    </row>
    <row r="786" spans="1:8" x14ac:dyDescent="0.25">
      <c r="A786" t="s">
        <v>2363</v>
      </c>
      <c r="B786" t="s">
        <v>2364</v>
      </c>
      <c r="C786" t="s">
        <v>14</v>
      </c>
      <c r="D786" s="1">
        <v>42464</v>
      </c>
      <c r="E786">
        <v>1</v>
      </c>
      <c r="F786">
        <v>1</v>
      </c>
      <c r="G786" t="s">
        <v>2365</v>
      </c>
      <c r="H786">
        <v>1</v>
      </c>
    </row>
    <row r="787" spans="1:8" x14ac:dyDescent="0.25">
      <c r="A787" t="s">
        <v>2366</v>
      </c>
      <c r="B787" t="s">
        <v>2367</v>
      </c>
      <c r="C787" t="s">
        <v>14</v>
      </c>
      <c r="D787" s="1">
        <v>43661</v>
      </c>
      <c r="E787">
        <v>10</v>
      </c>
      <c r="F787">
        <v>1</v>
      </c>
      <c r="G787" t="s">
        <v>2368</v>
      </c>
      <c r="H787">
        <v>10</v>
      </c>
    </row>
    <row r="788" spans="1:8" x14ac:dyDescent="0.25">
      <c r="A788" t="s">
        <v>2369</v>
      </c>
      <c r="B788" t="s">
        <v>2370</v>
      </c>
      <c r="C788" t="s">
        <v>14</v>
      </c>
      <c r="D788" s="1">
        <v>39002</v>
      </c>
      <c r="E788">
        <v>10</v>
      </c>
      <c r="F788">
        <v>1</v>
      </c>
      <c r="G788" t="s">
        <v>2371</v>
      </c>
      <c r="H788">
        <v>10</v>
      </c>
    </row>
    <row r="789" spans="1:8" x14ac:dyDescent="0.25">
      <c r="A789" t="s">
        <v>2372</v>
      </c>
      <c r="B789" t="s">
        <v>2373</v>
      </c>
      <c r="C789" t="s">
        <v>14</v>
      </c>
      <c r="D789" s="1">
        <v>34738</v>
      </c>
      <c r="E789">
        <v>5</v>
      </c>
      <c r="F789">
        <v>1</v>
      </c>
      <c r="G789" t="s">
        <v>2374</v>
      </c>
      <c r="H789">
        <v>5</v>
      </c>
    </row>
    <row r="790" spans="1:8" x14ac:dyDescent="0.25">
      <c r="A790" t="s">
        <v>2375</v>
      </c>
      <c r="B790" t="s">
        <v>2376</v>
      </c>
      <c r="C790" t="s">
        <v>14</v>
      </c>
      <c r="D790" s="1">
        <v>36265</v>
      </c>
      <c r="E790">
        <v>10</v>
      </c>
      <c r="F790">
        <v>1</v>
      </c>
      <c r="G790" t="s">
        <v>2377</v>
      </c>
      <c r="H790">
        <v>10</v>
      </c>
    </row>
    <row r="791" spans="1:8" x14ac:dyDescent="0.25">
      <c r="A791" t="s">
        <v>2378</v>
      </c>
      <c r="B791" t="s">
        <v>2379</v>
      </c>
      <c r="C791" t="s">
        <v>14</v>
      </c>
      <c r="D791" s="1">
        <v>44888</v>
      </c>
      <c r="E791">
        <v>10</v>
      </c>
      <c r="F791">
        <v>1</v>
      </c>
      <c r="G791" t="s">
        <v>2380</v>
      </c>
      <c r="H791">
        <v>10</v>
      </c>
    </row>
    <row r="792" spans="1:8" x14ac:dyDescent="0.25">
      <c r="A792" t="s">
        <v>2381</v>
      </c>
      <c r="B792" t="s">
        <v>2382</v>
      </c>
      <c r="C792" t="s">
        <v>14</v>
      </c>
      <c r="D792" s="1">
        <v>42103</v>
      </c>
      <c r="E792">
        <v>10</v>
      </c>
      <c r="F792">
        <v>1</v>
      </c>
      <c r="G792" t="s">
        <v>2383</v>
      </c>
      <c r="H792">
        <v>10</v>
      </c>
    </row>
    <row r="793" spans="1:8" x14ac:dyDescent="0.25">
      <c r="A793" t="s">
        <v>2384</v>
      </c>
      <c r="B793" t="s">
        <v>2385</v>
      </c>
      <c r="C793" t="s">
        <v>14</v>
      </c>
      <c r="D793" s="1">
        <v>39232</v>
      </c>
      <c r="E793">
        <v>10</v>
      </c>
      <c r="F793">
        <v>1</v>
      </c>
      <c r="G793" t="s">
        <v>2386</v>
      </c>
      <c r="H793">
        <v>10</v>
      </c>
    </row>
    <row r="794" spans="1:8" x14ac:dyDescent="0.25">
      <c r="A794" t="s">
        <v>2387</v>
      </c>
      <c r="B794" t="s">
        <v>2388</v>
      </c>
      <c r="C794" t="s">
        <v>14</v>
      </c>
      <c r="D794" s="1">
        <v>39020</v>
      </c>
      <c r="E794">
        <v>10</v>
      </c>
      <c r="F794">
        <v>1</v>
      </c>
      <c r="G794" t="s">
        <v>2389</v>
      </c>
      <c r="H794">
        <v>10</v>
      </c>
    </row>
    <row r="795" spans="1:8" x14ac:dyDescent="0.25">
      <c r="A795" t="s">
        <v>2390</v>
      </c>
      <c r="B795" t="s">
        <v>2391</v>
      </c>
      <c r="C795" t="s">
        <v>14</v>
      </c>
      <c r="D795" s="1">
        <v>41991</v>
      </c>
      <c r="E795">
        <v>5</v>
      </c>
      <c r="F795">
        <v>1</v>
      </c>
      <c r="G795" t="s">
        <v>2392</v>
      </c>
      <c r="H795">
        <v>5</v>
      </c>
    </row>
    <row r="796" spans="1:8" x14ac:dyDescent="0.25">
      <c r="A796" t="s">
        <v>2393</v>
      </c>
      <c r="B796" t="s">
        <v>2394</v>
      </c>
      <c r="C796" t="s">
        <v>14</v>
      </c>
      <c r="D796" s="1">
        <v>42817</v>
      </c>
      <c r="E796">
        <v>2</v>
      </c>
      <c r="F796">
        <v>1</v>
      </c>
      <c r="G796" t="s">
        <v>2395</v>
      </c>
      <c r="H796">
        <v>2</v>
      </c>
    </row>
    <row r="797" spans="1:8" x14ac:dyDescent="0.25">
      <c r="A797" t="s">
        <v>2396</v>
      </c>
      <c r="B797" t="s">
        <v>2397</v>
      </c>
      <c r="C797" t="s">
        <v>14</v>
      </c>
      <c r="D797" s="1">
        <v>44455</v>
      </c>
      <c r="E797">
        <v>1</v>
      </c>
      <c r="F797">
        <v>1</v>
      </c>
      <c r="G797" t="s">
        <v>2398</v>
      </c>
      <c r="H797">
        <v>1</v>
      </c>
    </row>
    <row r="798" spans="1:8" x14ac:dyDescent="0.25">
      <c r="A798" t="s">
        <v>2399</v>
      </c>
      <c r="B798" t="s">
        <v>2400</v>
      </c>
      <c r="C798" t="s">
        <v>14</v>
      </c>
      <c r="D798" s="1">
        <v>40759</v>
      </c>
      <c r="E798">
        <v>1</v>
      </c>
      <c r="F798">
        <v>1</v>
      </c>
      <c r="G798" t="s">
        <v>2401</v>
      </c>
      <c r="H798">
        <v>1</v>
      </c>
    </row>
    <row r="799" spans="1:8" x14ac:dyDescent="0.25">
      <c r="A799" t="s">
        <v>2402</v>
      </c>
      <c r="B799" t="s">
        <v>2403</v>
      </c>
      <c r="C799" t="s">
        <v>14</v>
      </c>
      <c r="D799" s="1">
        <v>36867</v>
      </c>
      <c r="E799">
        <v>10</v>
      </c>
      <c r="F799">
        <v>1</v>
      </c>
      <c r="G799" t="s">
        <v>2404</v>
      </c>
      <c r="H799">
        <v>10</v>
      </c>
    </row>
    <row r="800" spans="1:8" x14ac:dyDescent="0.25">
      <c r="A800" t="s">
        <v>2405</v>
      </c>
      <c r="B800" t="s">
        <v>2406</v>
      </c>
      <c r="C800" t="s">
        <v>14</v>
      </c>
      <c r="D800" s="1">
        <v>35270</v>
      </c>
      <c r="E800">
        <v>10</v>
      </c>
      <c r="F800">
        <v>1</v>
      </c>
      <c r="G800" t="s">
        <v>2407</v>
      </c>
      <c r="H800">
        <v>10</v>
      </c>
    </row>
    <row r="801" spans="1:8" x14ac:dyDescent="0.25">
      <c r="A801" t="s">
        <v>2408</v>
      </c>
      <c r="B801" t="s">
        <v>2409</v>
      </c>
      <c r="C801" t="s">
        <v>14</v>
      </c>
      <c r="D801" s="1">
        <v>40490</v>
      </c>
      <c r="E801">
        <v>10</v>
      </c>
      <c r="F801">
        <v>1</v>
      </c>
      <c r="G801" t="s">
        <v>2410</v>
      </c>
      <c r="H801">
        <v>10</v>
      </c>
    </row>
    <row r="802" spans="1:8" x14ac:dyDescent="0.25">
      <c r="A802" t="s">
        <v>2411</v>
      </c>
      <c r="B802" t="s">
        <v>2412</v>
      </c>
      <c r="C802" t="s">
        <v>14</v>
      </c>
      <c r="D802" s="1">
        <v>44614</v>
      </c>
      <c r="E802">
        <v>1</v>
      </c>
      <c r="F802">
        <v>1</v>
      </c>
      <c r="G802" t="s">
        <v>2413</v>
      </c>
      <c r="H802">
        <v>1</v>
      </c>
    </row>
    <row r="803" spans="1:8" x14ac:dyDescent="0.25">
      <c r="A803" t="s">
        <v>2414</v>
      </c>
      <c r="B803" t="s">
        <v>2415</v>
      </c>
      <c r="C803" t="s">
        <v>14</v>
      </c>
      <c r="D803" s="1">
        <v>34738</v>
      </c>
      <c r="E803">
        <v>1</v>
      </c>
      <c r="F803">
        <v>1</v>
      </c>
      <c r="G803" t="s">
        <v>2416</v>
      </c>
      <c r="H803">
        <v>1</v>
      </c>
    </row>
    <row r="804" spans="1:8" x14ac:dyDescent="0.25">
      <c r="A804" t="s">
        <v>2417</v>
      </c>
      <c r="B804" t="s">
        <v>2418</v>
      </c>
      <c r="C804" t="s">
        <v>14</v>
      </c>
      <c r="D804" s="1">
        <v>44382</v>
      </c>
      <c r="E804">
        <v>1</v>
      </c>
      <c r="F804">
        <v>1</v>
      </c>
      <c r="G804" t="s">
        <v>2419</v>
      </c>
      <c r="H804">
        <v>1</v>
      </c>
    </row>
    <row r="805" spans="1:8" x14ac:dyDescent="0.25">
      <c r="A805" t="s">
        <v>2420</v>
      </c>
      <c r="B805" t="s">
        <v>2421</v>
      </c>
      <c r="C805" t="s">
        <v>14</v>
      </c>
      <c r="D805" s="1">
        <v>39503</v>
      </c>
      <c r="E805">
        <v>1</v>
      </c>
      <c r="F805">
        <v>1</v>
      </c>
      <c r="G805" t="s">
        <v>2422</v>
      </c>
      <c r="H805">
        <v>1</v>
      </c>
    </row>
    <row r="806" spans="1:8" x14ac:dyDescent="0.25">
      <c r="A806" t="s">
        <v>2423</v>
      </c>
      <c r="B806" t="s">
        <v>2424</v>
      </c>
      <c r="C806" t="s">
        <v>14</v>
      </c>
      <c r="D806" s="1">
        <v>43371</v>
      </c>
      <c r="E806">
        <v>2</v>
      </c>
      <c r="F806">
        <v>1</v>
      </c>
      <c r="G806" t="s">
        <v>2425</v>
      </c>
      <c r="H806">
        <v>2</v>
      </c>
    </row>
    <row r="807" spans="1:8" x14ac:dyDescent="0.25">
      <c r="A807" t="s">
        <v>2426</v>
      </c>
      <c r="B807" t="s">
        <v>2427</v>
      </c>
      <c r="C807" t="s">
        <v>14</v>
      </c>
      <c r="D807" s="1">
        <v>43752</v>
      </c>
      <c r="E807">
        <v>2</v>
      </c>
      <c r="F807">
        <v>1</v>
      </c>
      <c r="G807" t="s">
        <v>2428</v>
      </c>
      <c r="H807">
        <v>2</v>
      </c>
    </row>
    <row r="808" spans="1:8" x14ac:dyDescent="0.25">
      <c r="A808" t="s">
        <v>2429</v>
      </c>
      <c r="B808" t="s">
        <v>2430</v>
      </c>
      <c r="C808" t="s">
        <v>14</v>
      </c>
      <c r="D808" s="1">
        <v>44225</v>
      </c>
      <c r="E808">
        <v>10</v>
      </c>
      <c r="F808">
        <v>1</v>
      </c>
      <c r="G808" t="s">
        <v>2431</v>
      </c>
      <c r="H808">
        <v>10</v>
      </c>
    </row>
    <row r="809" spans="1:8" x14ac:dyDescent="0.25">
      <c r="A809" t="s">
        <v>2432</v>
      </c>
      <c r="B809" t="s">
        <v>2433</v>
      </c>
      <c r="C809" t="s">
        <v>14</v>
      </c>
      <c r="D809" s="1">
        <v>44508</v>
      </c>
      <c r="E809">
        <v>10</v>
      </c>
      <c r="F809">
        <v>1</v>
      </c>
      <c r="G809" t="s">
        <v>2434</v>
      </c>
      <c r="H809">
        <v>10</v>
      </c>
    </row>
    <row r="810" spans="1:8" x14ac:dyDescent="0.25">
      <c r="A810" t="s">
        <v>2435</v>
      </c>
      <c r="B810" t="s">
        <v>2436</v>
      </c>
      <c r="C810" t="s">
        <v>14</v>
      </c>
      <c r="D810" s="1">
        <v>44249</v>
      </c>
      <c r="E810">
        <v>2</v>
      </c>
      <c r="F810">
        <v>1</v>
      </c>
      <c r="G810" t="s">
        <v>2437</v>
      </c>
      <c r="H810">
        <v>2</v>
      </c>
    </row>
    <row r="811" spans="1:8" x14ac:dyDescent="0.25">
      <c r="A811" t="s">
        <v>2438</v>
      </c>
      <c r="B811" t="s">
        <v>2439</v>
      </c>
      <c r="C811" t="s">
        <v>14</v>
      </c>
      <c r="D811" s="1">
        <v>45225</v>
      </c>
      <c r="E811">
        <v>10</v>
      </c>
      <c r="F811">
        <v>1</v>
      </c>
      <c r="G811" t="s">
        <v>2440</v>
      </c>
      <c r="H811">
        <v>10</v>
      </c>
    </row>
    <row r="812" spans="1:8" x14ac:dyDescent="0.25">
      <c r="A812" t="s">
        <v>2441</v>
      </c>
      <c r="B812" t="s">
        <v>2442</v>
      </c>
      <c r="C812" t="s">
        <v>14</v>
      </c>
      <c r="D812" s="1">
        <v>43194</v>
      </c>
      <c r="E812">
        <v>5</v>
      </c>
      <c r="F812">
        <v>1</v>
      </c>
      <c r="G812" t="s">
        <v>2443</v>
      </c>
      <c r="H812">
        <v>5</v>
      </c>
    </row>
    <row r="813" spans="1:8" x14ac:dyDescent="0.25">
      <c r="A813" t="s">
        <v>2444</v>
      </c>
      <c r="B813" t="s">
        <v>2445</v>
      </c>
      <c r="C813" t="s">
        <v>14</v>
      </c>
      <c r="D813" s="1">
        <v>40280</v>
      </c>
      <c r="E813">
        <v>10</v>
      </c>
      <c r="F813">
        <v>1</v>
      </c>
      <c r="G813" t="s">
        <v>2446</v>
      </c>
      <c r="H813">
        <v>10</v>
      </c>
    </row>
    <row r="814" spans="1:8" x14ac:dyDescent="0.25">
      <c r="A814" t="s">
        <v>2447</v>
      </c>
      <c r="B814" t="s">
        <v>2448</v>
      </c>
      <c r="C814" t="s">
        <v>14</v>
      </c>
      <c r="D814" s="1">
        <v>44321</v>
      </c>
      <c r="E814">
        <v>1</v>
      </c>
      <c r="F814">
        <v>1</v>
      </c>
      <c r="G814" t="s">
        <v>2449</v>
      </c>
      <c r="H814">
        <v>1</v>
      </c>
    </row>
    <row r="815" spans="1:8" x14ac:dyDescent="0.25">
      <c r="A815" t="s">
        <v>2450</v>
      </c>
      <c r="B815" t="s">
        <v>2451</v>
      </c>
      <c r="C815" t="s">
        <v>14</v>
      </c>
      <c r="D815" s="1">
        <v>39322</v>
      </c>
      <c r="E815">
        <v>5</v>
      </c>
      <c r="F815">
        <v>1</v>
      </c>
      <c r="G815" t="s">
        <v>2452</v>
      </c>
      <c r="H815">
        <v>5</v>
      </c>
    </row>
    <row r="816" spans="1:8" x14ac:dyDescent="0.25">
      <c r="A816" t="s">
        <v>2453</v>
      </c>
      <c r="B816" t="s">
        <v>2454</v>
      </c>
      <c r="C816" t="s">
        <v>14</v>
      </c>
      <c r="D816" s="1">
        <v>34934</v>
      </c>
      <c r="E816">
        <v>1</v>
      </c>
      <c r="F816">
        <v>1</v>
      </c>
      <c r="G816" t="s">
        <v>2455</v>
      </c>
      <c r="H816">
        <v>1</v>
      </c>
    </row>
    <row r="817" spans="1:8" x14ac:dyDescent="0.25">
      <c r="A817" t="s">
        <v>2456</v>
      </c>
      <c r="B817" t="s">
        <v>2457</v>
      </c>
      <c r="C817" t="s">
        <v>14</v>
      </c>
      <c r="D817" s="1">
        <v>42734</v>
      </c>
      <c r="E817">
        <v>10</v>
      </c>
      <c r="F817">
        <v>1</v>
      </c>
      <c r="G817" t="s">
        <v>2458</v>
      </c>
      <c r="H817">
        <v>10</v>
      </c>
    </row>
    <row r="818" spans="1:8" x14ac:dyDescent="0.25">
      <c r="A818" t="s">
        <v>2459</v>
      </c>
      <c r="B818" t="s">
        <v>2460</v>
      </c>
      <c r="C818" t="s">
        <v>14</v>
      </c>
      <c r="D818" s="1">
        <v>36201</v>
      </c>
      <c r="E818">
        <v>1</v>
      </c>
      <c r="F818">
        <v>1</v>
      </c>
      <c r="G818" t="s">
        <v>2461</v>
      </c>
      <c r="H818">
        <v>1</v>
      </c>
    </row>
    <row r="819" spans="1:8" x14ac:dyDescent="0.25">
      <c r="A819" t="s">
        <v>2462</v>
      </c>
      <c r="B819" t="s">
        <v>2463</v>
      </c>
      <c r="C819" t="s">
        <v>14</v>
      </c>
      <c r="D819" s="1">
        <v>37879</v>
      </c>
      <c r="E819">
        <v>10</v>
      </c>
      <c r="F819">
        <v>1</v>
      </c>
      <c r="G819" t="s">
        <v>2464</v>
      </c>
      <c r="H819">
        <v>10</v>
      </c>
    </row>
    <row r="820" spans="1:8" x14ac:dyDescent="0.25">
      <c r="A820" t="s">
        <v>2465</v>
      </c>
      <c r="B820" t="s">
        <v>2466</v>
      </c>
      <c r="C820" t="s">
        <v>14</v>
      </c>
      <c r="D820" s="1">
        <v>36418</v>
      </c>
      <c r="E820">
        <v>2</v>
      </c>
      <c r="F820">
        <v>1</v>
      </c>
      <c r="G820" t="s">
        <v>2467</v>
      </c>
      <c r="H820">
        <v>2</v>
      </c>
    </row>
    <row r="821" spans="1:8" x14ac:dyDescent="0.25">
      <c r="A821" t="s">
        <v>2468</v>
      </c>
      <c r="B821" t="s">
        <v>2469</v>
      </c>
      <c r="C821" t="s">
        <v>14</v>
      </c>
      <c r="D821" s="1">
        <v>34955</v>
      </c>
      <c r="E821">
        <v>10</v>
      </c>
      <c r="F821">
        <v>1</v>
      </c>
      <c r="G821" t="s">
        <v>2470</v>
      </c>
      <c r="H821">
        <v>10</v>
      </c>
    </row>
    <row r="822" spans="1:8" x14ac:dyDescent="0.25">
      <c r="A822" t="s">
        <v>2471</v>
      </c>
      <c r="B822" t="s">
        <v>2472</v>
      </c>
      <c r="C822" t="s">
        <v>14</v>
      </c>
      <c r="D822" s="1">
        <v>44358</v>
      </c>
      <c r="E822">
        <v>10</v>
      </c>
      <c r="F822">
        <v>1</v>
      </c>
      <c r="G822" t="s">
        <v>2473</v>
      </c>
      <c r="H822">
        <v>10</v>
      </c>
    </row>
    <row r="823" spans="1:8" x14ac:dyDescent="0.25">
      <c r="A823" t="s">
        <v>2474</v>
      </c>
      <c r="B823" t="s">
        <v>2475</v>
      </c>
      <c r="C823" t="s">
        <v>10</v>
      </c>
      <c r="D823" s="1">
        <v>39118</v>
      </c>
      <c r="E823">
        <v>10</v>
      </c>
      <c r="F823">
        <v>1</v>
      </c>
      <c r="G823" t="s">
        <v>2476</v>
      </c>
      <c r="H823">
        <v>10</v>
      </c>
    </row>
    <row r="824" spans="1:8" x14ac:dyDescent="0.25">
      <c r="A824" t="s">
        <v>2477</v>
      </c>
      <c r="B824" t="s">
        <v>2478</v>
      </c>
      <c r="C824" t="s">
        <v>14</v>
      </c>
      <c r="D824" s="1">
        <v>35998</v>
      </c>
      <c r="E824">
        <v>1</v>
      </c>
      <c r="F824">
        <v>1</v>
      </c>
      <c r="G824" t="s">
        <v>2479</v>
      </c>
      <c r="H824">
        <v>1</v>
      </c>
    </row>
    <row r="825" spans="1:8" x14ac:dyDescent="0.25">
      <c r="A825" t="s">
        <v>2480</v>
      </c>
      <c r="B825" t="s">
        <v>2481</v>
      </c>
      <c r="C825" t="s">
        <v>14</v>
      </c>
      <c r="D825" s="1">
        <v>38770</v>
      </c>
      <c r="E825">
        <v>2</v>
      </c>
      <c r="F825">
        <v>1</v>
      </c>
      <c r="G825" t="s">
        <v>2482</v>
      </c>
      <c r="H825">
        <v>2</v>
      </c>
    </row>
    <row r="826" spans="1:8" x14ac:dyDescent="0.25">
      <c r="A826" t="s">
        <v>2483</v>
      </c>
      <c r="B826" t="s">
        <v>2484</v>
      </c>
      <c r="C826" t="s">
        <v>14</v>
      </c>
      <c r="D826" s="1">
        <v>36586</v>
      </c>
      <c r="E826">
        <v>5</v>
      </c>
      <c r="F826">
        <v>1</v>
      </c>
      <c r="G826" t="s">
        <v>2485</v>
      </c>
      <c r="H826">
        <v>5</v>
      </c>
    </row>
    <row r="827" spans="1:8" x14ac:dyDescent="0.25">
      <c r="A827" t="s">
        <v>2486</v>
      </c>
      <c r="B827" t="s">
        <v>2487</v>
      </c>
      <c r="C827" t="s">
        <v>10</v>
      </c>
      <c r="D827" s="1">
        <v>37964</v>
      </c>
      <c r="E827">
        <v>10</v>
      </c>
      <c r="F827">
        <v>1</v>
      </c>
      <c r="G827" t="s">
        <v>2488</v>
      </c>
      <c r="H827">
        <v>10</v>
      </c>
    </row>
    <row r="828" spans="1:8" x14ac:dyDescent="0.25">
      <c r="A828" t="s">
        <v>2489</v>
      </c>
      <c r="B828" t="s">
        <v>2490</v>
      </c>
      <c r="C828" t="s">
        <v>14</v>
      </c>
      <c r="D828" s="1">
        <v>35760</v>
      </c>
      <c r="E828">
        <v>1</v>
      </c>
      <c r="F828">
        <v>1</v>
      </c>
      <c r="G828" t="s">
        <v>2491</v>
      </c>
      <c r="H828">
        <v>1</v>
      </c>
    </row>
    <row r="829" spans="1:8" x14ac:dyDescent="0.25">
      <c r="A829" t="s">
        <v>2492</v>
      </c>
      <c r="B829" t="s">
        <v>2493</v>
      </c>
      <c r="C829" t="s">
        <v>14</v>
      </c>
      <c r="D829" s="1">
        <v>44441</v>
      </c>
      <c r="E829">
        <v>10</v>
      </c>
      <c r="F829">
        <v>1</v>
      </c>
      <c r="G829" t="s">
        <v>2494</v>
      </c>
      <c r="H829">
        <v>10</v>
      </c>
    </row>
    <row r="830" spans="1:8" x14ac:dyDescent="0.25">
      <c r="A830" t="s">
        <v>2495</v>
      </c>
      <c r="B830" t="s">
        <v>2496</v>
      </c>
      <c r="C830" t="s">
        <v>14</v>
      </c>
      <c r="D830" s="1">
        <v>40522</v>
      </c>
      <c r="E830">
        <v>1</v>
      </c>
      <c r="F830">
        <v>1</v>
      </c>
      <c r="G830" t="s">
        <v>2497</v>
      </c>
      <c r="H830">
        <v>1</v>
      </c>
    </row>
    <row r="831" spans="1:8" x14ac:dyDescent="0.25">
      <c r="A831" t="s">
        <v>2498</v>
      </c>
      <c r="B831" t="s">
        <v>2499</v>
      </c>
      <c r="C831" t="s">
        <v>14</v>
      </c>
      <c r="D831" s="1">
        <v>43768</v>
      </c>
      <c r="E831">
        <v>10</v>
      </c>
      <c r="F831">
        <v>1</v>
      </c>
      <c r="G831" t="s">
        <v>2500</v>
      </c>
      <c r="H831">
        <v>10</v>
      </c>
    </row>
    <row r="832" spans="1:8" x14ac:dyDescent="0.25">
      <c r="A832" t="s">
        <v>2501</v>
      </c>
      <c r="B832" t="s">
        <v>2502</v>
      </c>
      <c r="C832" t="s">
        <v>14</v>
      </c>
      <c r="D832" s="1">
        <v>35172</v>
      </c>
      <c r="E832">
        <v>5</v>
      </c>
      <c r="F832">
        <v>1</v>
      </c>
      <c r="G832" t="s">
        <v>2503</v>
      </c>
      <c r="H832">
        <v>5</v>
      </c>
    </row>
    <row r="833" spans="1:8" x14ac:dyDescent="0.25">
      <c r="A833" t="s">
        <v>2504</v>
      </c>
      <c r="B833" t="s">
        <v>2505</v>
      </c>
      <c r="C833" t="s">
        <v>14</v>
      </c>
      <c r="D833" s="1">
        <v>35067</v>
      </c>
      <c r="E833">
        <v>2</v>
      </c>
      <c r="F833">
        <v>1</v>
      </c>
      <c r="G833" t="s">
        <v>2506</v>
      </c>
      <c r="H833">
        <v>2</v>
      </c>
    </row>
    <row r="834" spans="1:8" x14ac:dyDescent="0.25">
      <c r="A834" t="s">
        <v>2507</v>
      </c>
      <c r="B834" t="s">
        <v>2508</v>
      </c>
      <c r="C834" t="s">
        <v>14</v>
      </c>
      <c r="D834" s="1">
        <v>34829</v>
      </c>
      <c r="E834">
        <v>10</v>
      </c>
      <c r="F834">
        <v>1</v>
      </c>
      <c r="G834" t="s">
        <v>2509</v>
      </c>
      <c r="H834">
        <v>10</v>
      </c>
    </row>
    <row r="835" spans="1:8" x14ac:dyDescent="0.25">
      <c r="A835" t="s">
        <v>2510</v>
      </c>
      <c r="B835" t="s">
        <v>2511</v>
      </c>
      <c r="C835" t="s">
        <v>14</v>
      </c>
      <c r="D835" s="1">
        <v>34745</v>
      </c>
      <c r="E835">
        <v>5</v>
      </c>
      <c r="F835">
        <v>1</v>
      </c>
      <c r="G835" t="s">
        <v>2512</v>
      </c>
      <c r="H835">
        <v>5</v>
      </c>
    </row>
    <row r="836" spans="1:8" x14ac:dyDescent="0.25">
      <c r="A836" t="s">
        <v>2513</v>
      </c>
      <c r="B836" t="s">
        <v>2514</v>
      </c>
      <c r="C836" t="s">
        <v>14</v>
      </c>
      <c r="D836" s="1">
        <v>37740</v>
      </c>
      <c r="E836">
        <v>1</v>
      </c>
      <c r="F836">
        <v>1</v>
      </c>
      <c r="G836" t="s">
        <v>2515</v>
      </c>
      <c r="H836">
        <v>1</v>
      </c>
    </row>
    <row r="837" spans="1:8" x14ac:dyDescent="0.25">
      <c r="A837" t="s">
        <v>2516</v>
      </c>
      <c r="B837" t="s">
        <v>2517</v>
      </c>
      <c r="C837" t="s">
        <v>10</v>
      </c>
      <c r="D837" s="1">
        <v>38338</v>
      </c>
      <c r="E837">
        <v>2</v>
      </c>
      <c r="F837">
        <v>1</v>
      </c>
      <c r="G837" t="s">
        <v>2518</v>
      </c>
      <c r="H837">
        <v>2</v>
      </c>
    </row>
    <row r="838" spans="1:8" x14ac:dyDescent="0.25">
      <c r="A838" t="s">
        <v>2519</v>
      </c>
      <c r="B838" t="s">
        <v>2520</v>
      </c>
      <c r="C838" t="s">
        <v>14</v>
      </c>
      <c r="D838" s="1">
        <v>36528</v>
      </c>
      <c r="E838">
        <v>10</v>
      </c>
      <c r="F838">
        <v>1</v>
      </c>
      <c r="G838" t="s">
        <v>2521</v>
      </c>
      <c r="H838">
        <v>10</v>
      </c>
    </row>
    <row r="839" spans="1:8" x14ac:dyDescent="0.25">
      <c r="A839" t="s">
        <v>2522</v>
      </c>
      <c r="B839" t="s">
        <v>2523</v>
      </c>
      <c r="C839" t="s">
        <v>786</v>
      </c>
      <c r="D839" s="1">
        <v>38425</v>
      </c>
      <c r="E839">
        <v>10</v>
      </c>
      <c r="F839">
        <v>1</v>
      </c>
      <c r="G839" t="s">
        <v>2524</v>
      </c>
      <c r="H839">
        <v>10</v>
      </c>
    </row>
    <row r="840" spans="1:8" x14ac:dyDescent="0.25">
      <c r="A840" t="s">
        <v>2525</v>
      </c>
      <c r="B840" t="s">
        <v>2526</v>
      </c>
      <c r="C840" t="s">
        <v>14</v>
      </c>
      <c r="D840" s="1">
        <v>44551</v>
      </c>
      <c r="E840">
        <v>5</v>
      </c>
      <c r="F840">
        <v>1</v>
      </c>
      <c r="G840" t="s">
        <v>2527</v>
      </c>
      <c r="H840">
        <v>5</v>
      </c>
    </row>
    <row r="841" spans="1:8" x14ac:dyDescent="0.25">
      <c r="A841" t="s">
        <v>2528</v>
      </c>
      <c r="B841" t="s">
        <v>2529</v>
      </c>
      <c r="C841" t="s">
        <v>14</v>
      </c>
      <c r="D841" s="1">
        <v>39011</v>
      </c>
      <c r="E841">
        <v>10</v>
      </c>
      <c r="F841">
        <v>1</v>
      </c>
      <c r="G841" t="s">
        <v>2530</v>
      </c>
      <c r="H841">
        <v>10</v>
      </c>
    </row>
    <row r="842" spans="1:8" x14ac:dyDescent="0.25">
      <c r="A842" t="s">
        <v>2531</v>
      </c>
      <c r="B842" t="s">
        <v>2532</v>
      </c>
      <c r="C842" t="s">
        <v>14</v>
      </c>
      <c r="D842" s="1">
        <v>38449</v>
      </c>
      <c r="E842">
        <v>10</v>
      </c>
      <c r="F842">
        <v>1</v>
      </c>
      <c r="G842" t="s">
        <v>2533</v>
      </c>
      <c r="H842">
        <v>10</v>
      </c>
    </row>
    <row r="843" spans="1:8" x14ac:dyDescent="0.25">
      <c r="A843" t="s">
        <v>2534</v>
      </c>
      <c r="B843" t="s">
        <v>2535</v>
      </c>
      <c r="C843" t="s">
        <v>14</v>
      </c>
      <c r="D843" s="1">
        <v>37277</v>
      </c>
      <c r="E843">
        <v>10</v>
      </c>
      <c r="F843">
        <v>1</v>
      </c>
      <c r="G843" t="s">
        <v>2536</v>
      </c>
      <c r="H843">
        <v>10</v>
      </c>
    </row>
    <row r="844" spans="1:8" x14ac:dyDescent="0.25">
      <c r="A844" t="s">
        <v>2537</v>
      </c>
      <c r="B844" t="s">
        <v>2538</v>
      </c>
      <c r="C844" t="s">
        <v>14</v>
      </c>
      <c r="D844" s="1">
        <v>37740</v>
      </c>
      <c r="E844">
        <v>2</v>
      </c>
      <c r="F844">
        <v>1</v>
      </c>
      <c r="G844" t="s">
        <v>2539</v>
      </c>
      <c r="H844">
        <v>2</v>
      </c>
    </row>
    <row r="845" spans="1:8" x14ac:dyDescent="0.25">
      <c r="A845" t="s">
        <v>2540</v>
      </c>
      <c r="B845" t="s">
        <v>2541</v>
      </c>
      <c r="C845" t="s">
        <v>14</v>
      </c>
      <c r="D845" s="1">
        <v>36523</v>
      </c>
      <c r="E845">
        <v>1</v>
      </c>
      <c r="F845">
        <v>1</v>
      </c>
      <c r="G845" t="s">
        <v>2542</v>
      </c>
      <c r="H845">
        <v>1</v>
      </c>
    </row>
    <row r="846" spans="1:8" x14ac:dyDescent="0.25">
      <c r="A846" t="s">
        <v>2543</v>
      </c>
      <c r="B846" t="s">
        <v>2544</v>
      </c>
      <c r="C846" t="s">
        <v>14</v>
      </c>
      <c r="D846" s="1">
        <v>39073</v>
      </c>
      <c r="E846">
        <v>5</v>
      </c>
      <c r="F846">
        <v>1</v>
      </c>
      <c r="G846" t="s">
        <v>2545</v>
      </c>
      <c r="H846">
        <v>5</v>
      </c>
    </row>
    <row r="847" spans="1:8" x14ac:dyDescent="0.25">
      <c r="A847" t="s">
        <v>2546</v>
      </c>
      <c r="B847" t="s">
        <v>2547</v>
      </c>
      <c r="C847" t="s">
        <v>14</v>
      </c>
      <c r="D847" s="1">
        <v>40507</v>
      </c>
      <c r="E847">
        <v>1</v>
      </c>
      <c r="F847">
        <v>1</v>
      </c>
      <c r="G847" t="s">
        <v>2548</v>
      </c>
      <c r="H847">
        <v>1</v>
      </c>
    </row>
    <row r="848" spans="1:8" x14ac:dyDescent="0.25">
      <c r="A848" t="s">
        <v>2549</v>
      </c>
      <c r="B848" t="s">
        <v>2550</v>
      </c>
      <c r="C848" t="s">
        <v>14</v>
      </c>
      <c r="D848" s="1">
        <v>45159</v>
      </c>
      <c r="E848">
        <v>10</v>
      </c>
      <c r="F848">
        <v>1</v>
      </c>
      <c r="G848" t="s">
        <v>2551</v>
      </c>
      <c r="H848">
        <v>10</v>
      </c>
    </row>
    <row r="849" spans="1:8" x14ac:dyDescent="0.25">
      <c r="A849" t="s">
        <v>2552</v>
      </c>
      <c r="B849" t="s">
        <v>2553</v>
      </c>
      <c r="C849" t="s">
        <v>10</v>
      </c>
      <c r="D849" s="1">
        <v>40877</v>
      </c>
      <c r="E849">
        <v>2</v>
      </c>
      <c r="F849">
        <v>1</v>
      </c>
      <c r="G849" t="s">
        <v>2554</v>
      </c>
      <c r="H849">
        <v>2</v>
      </c>
    </row>
    <row r="850" spans="1:8" x14ac:dyDescent="0.25">
      <c r="A850" t="s">
        <v>2555</v>
      </c>
      <c r="B850" t="s">
        <v>2553</v>
      </c>
      <c r="C850" t="s">
        <v>14</v>
      </c>
      <c r="D850" s="1">
        <v>37116</v>
      </c>
      <c r="E850">
        <v>2</v>
      </c>
      <c r="F850">
        <v>1</v>
      </c>
      <c r="G850" t="s">
        <v>2556</v>
      </c>
      <c r="H850">
        <v>2</v>
      </c>
    </row>
    <row r="851" spans="1:8" x14ac:dyDescent="0.25">
      <c r="A851" t="s">
        <v>2557</v>
      </c>
      <c r="B851" t="s">
        <v>2558</v>
      </c>
      <c r="C851" t="s">
        <v>10</v>
      </c>
      <c r="D851" s="1">
        <v>42793</v>
      </c>
      <c r="E851">
        <v>2</v>
      </c>
      <c r="F851">
        <v>1</v>
      </c>
      <c r="G851" t="s">
        <v>2559</v>
      </c>
      <c r="H851">
        <v>2</v>
      </c>
    </row>
    <row r="852" spans="1:8" x14ac:dyDescent="0.25">
      <c r="A852" t="s">
        <v>2560</v>
      </c>
      <c r="B852" t="s">
        <v>2561</v>
      </c>
      <c r="C852" t="s">
        <v>14</v>
      </c>
      <c r="D852" s="1">
        <v>38790</v>
      </c>
      <c r="E852">
        <v>10</v>
      </c>
      <c r="F852">
        <v>1</v>
      </c>
      <c r="G852" t="s">
        <v>2562</v>
      </c>
      <c r="H852">
        <v>10</v>
      </c>
    </row>
    <row r="853" spans="1:8" x14ac:dyDescent="0.25">
      <c r="A853" t="s">
        <v>2563</v>
      </c>
      <c r="B853" t="s">
        <v>2564</v>
      </c>
      <c r="C853" t="s">
        <v>14</v>
      </c>
      <c r="D853" s="1">
        <v>39490</v>
      </c>
      <c r="E853">
        <v>5</v>
      </c>
      <c r="F853">
        <v>1</v>
      </c>
      <c r="G853" t="s">
        <v>2565</v>
      </c>
      <c r="H853">
        <v>5</v>
      </c>
    </row>
    <row r="854" spans="1:8" x14ac:dyDescent="0.25">
      <c r="A854" t="s">
        <v>2566</v>
      </c>
      <c r="B854" t="s">
        <v>2567</v>
      </c>
      <c r="C854" t="s">
        <v>14</v>
      </c>
      <c r="D854" s="1">
        <v>38887</v>
      </c>
      <c r="E854">
        <v>5</v>
      </c>
      <c r="F854">
        <v>1</v>
      </c>
      <c r="G854" t="s">
        <v>2568</v>
      </c>
      <c r="H854">
        <v>5</v>
      </c>
    </row>
    <row r="855" spans="1:8" x14ac:dyDescent="0.25">
      <c r="A855" t="s">
        <v>2569</v>
      </c>
      <c r="B855" t="s">
        <v>2570</v>
      </c>
      <c r="C855" t="s">
        <v>14</v>
      </c>
      <c r="D855" s="1">
        <v>38519</v>
      </c>
      <c r="E855">
        <v>10</v>
      </c>
      <c r="F855">
        <v>1</v>
      </c>
      <c r="G855" t="s">
        <v>2571</v>
      </c>
      <c r="H855">
        <v>10</v>
      </c>
    </row>
    <row r="856" spans="1:8" x14ac:dyDescent="0.25">
      <c r="A856" t="s">
        <v>2572</v>
      </c>
      <c r="B856" t="s">
        <v>2573</v>
      </c>
      <c r="C856" t="s">
        <v>14</v>
      </c>
      <c r="D856" s="1">
        <v>39160</v>
      </c>
      <c r="E856">
        <v>2</v>
      </c>
      <c r="F856">
        <v>1</v>
      </c>
      <c r="G856" t="s">
        <v>2574</v>
      </c>
      <c r="H856">
        <v>2</v>
      </c>
    </row>
    <row r="857" spans="1:8" x14ac:dyDescent="0.25">
      <c r="A857" t="s">
        <v>2575</v>
      </c>
      <c r="B857" t="s">
        <v>2576</v>
      </c>
      <c r="C857" t="s">
        <v>14</v>
      </c>
      <c r="D857" s="1">
        <v>45187</v>
      </c>
      <c r="E857">
        <v>10</v>
      </c>
      <c r="F857">
        <v>1</v>
      </c>
      <c r="G857" t="s">
        <v>2577</v>
      </c>
      <c r="H857">
        <v>10</v>
      </c>
    </row>
    <row r="858" spans="1:8" x14ac:dyDescent="0.25">
      <c r="A858" t="s">
        <v>2578</v>
      </c>
      <c r="B858" t="s">
        <v>2579</v>
      </c>
      <c r="C858" t="s">
        <v>14</v>
      </c>
      <c r="D858" s="1">
        <v>42079</v>
      </c>
      <c r="E858">
        <v>2</v>
      </c>
      <c r="F858">
        <v>1</v>
      </c>
      <c r="G858" t="s">
        <v>2580</v>
      </c>
      <c r="H858">
        <v>2</v>
      </c>
    </row>
    <row r="859" spans="1:8" x14ac:dyDescent="0.25">
      <c r="A859" t="s">
        <v>2581</v>
      </c>
      <c r="B859" t="s">
        <v>2582</v>
      </c>
      <c r="C859" t="s">
        <v>14</v>
      </c>
      <c r="D859" s="1">
        <v>39000</v>
      </c>
      <c r="E859">
        <v>1</v>
      </c>
      <c r="F859">
        <v>1</v>
      </c>
      <c r="G859" t="s">
        <v>2583</v>
      </c>
      <c r="H859">
        <v>1</v>
      </c>
    </row>
    <row r="860" spans="1:8" x14ac:dyDescent="0.25">
      <c r="A860" t="s">
        <v>2584</v>
      </c>
      <c r="B860" t="s">
        <v>2585</v>
      </c>
      <c r="C860" t="s">
        <v>14</v>
      </c>
      <c r="D860" s="1">
        <v>39729</v>
      </c>
      <c r="E860">
        <v>10</v>
      </c>
      <c r="F860">
        <v>1</v>
      </c>
      <c r="G860" t="s">
        <v>2586</v>
      </c>
      <c r="H860">
        <v>10</v>
      </c>
    </row>
    <row r="861" spans="1:8" x14ac:dyDescent="0.25">
      <c r="A861" t="s">
        <v>2587</v>
      </c>
      <c r="B861" t="s">
        <v>2588</v>
      </c>
      <c r="C861" t="s">
        <v>14</v>
      </c>
      <c r="D861" s="1">
        <v>38152</v>
      </c>
      <c r="E861">
        <v>2</v>
      </c>
      <c r="F861">
        <v>1</v>
      </c>
      <c r="G861" t="s">
        <v>2589</v>
      </c>
      <c r="H861">
        <v>2</v>
      </c>
    </row>
    <row r="862" spans="1:8" x14ac:dyDescent="0.25">
      <c r="A862" t="s">
        <v>2590</v>
      </c>
      <c r="B862" t="s">
        <v>2591</v>
      </c>
      <c r="C862" t="s">
        <v>14</v>
      </c>
      <c r="D862" s="1">
        <v>41589</v>
      </c>
      <c r="E862">
        <v>10</v>
      </c>
      <c r="F862">
        <v>1</v>
      </c>
      <c r="G862" t="s">
        <v>2592</v>
      </c>
      <c r="H862">
        <v>10</v>
      </c>
    </row>
    <row r="863" spans="1:8" x14ac:dyDescent="0.25">
      <c r="A863" t="s">
        <v>2593</v>
      </c>
      <c r="B863" t="s">
        <v>2594</v>
      </c>
      <c r="C863" t="s">
        <v>14</v>
      </c>
      <c r="D863" s="1">
        <v>38460</v>
      </c>
      <c r="E863">
        <v>10</v>
      </c>
      <c r="F863">
        <v>1</v>
      </c>
      <c r="G863" t="s">
        <v>2595</v>
      </c>
      <c r="H863">
        <v>10</v>
      </c>
    </row>
    <row r="864" spans="1:8" x14ac:dyDescent="0.25">
      <c r="A864" t="s">
        <v>2596</v>
      </c>
      <c r="B864" t="s">
        <v>2597</v>
      </c>
      <c r="C864" t="s">
        <v>14</v>
      </c>
      <c r="D864" s="1">
        <v>37942</v>
      </c>
      <c r="E864">
        <v>2</v>
      </c>
      <c r="F864">
        <v>1</v>
      </c>
      <c r="G864" t="s">
        <v>2598</v>
      </c>
      <c r="H864">
        <v>2</v>
      </c>
    </row>
    <row r="865" spans="1:8" x14ac:dyDescent="0.25">
      <c r="A865" t="s">
        <v>2599</v>
      </c>
      <c r="B865" t="s">
        <v>2600</v>
      </c>
      <c r="C865" t="s">
        <v>14</v>
      </c>
      <c r="D865" s="1">
        <v>40182</v>
      </c>
      <c r="E865">
        <v>10</v>
      </c>
      <c r="F865">
        <v>1</v>
      </c>
      <c r="G865" t="s">
        <v>2601</v>
      </c>
      <c r="H865">
        <v>10</v>
      </c>
    </row>
    <row r="866" spans="1:8" x14ac:dyDescent="0.25">
      <c r="A866" t="s">
        <v>2602</v>
      </c>
      <c r="B866" t="s">
        <v>2603</v>
      </c>
      <c r="C866" t="s">
        <v>14</v>
      </c>
      <c r="D866" s="1">
        <v>38524</v>
      </c>
      <c r="E866">
        <v>10</v>
      </c>
      <c r="F866">
        <v>1</v>
      </c>
      <c r="G866" t="s">
        <v>2604</v>
      </c>
      <c r="H866">
        <v>10</v>
      </c>
    </row>
    <row r="867" spans="1:8" x14ac:dyDescent="0.25">
      <c r="A867" t="s">
        <v>2605</v>
      </c>
      <c r="B867" t="s">
        <v>2606</v>
      </c>
      <c r="C867" t="s">
        <v>14</v>
      </c>
      <c r="D867" s="1">
        <v>45202</v>
      </c>
      <c r="E867">
        <v>2</v>
      </c>
      <c r="F867">
        <v>1</v>
      </c>
      <c r="G867" t="s">
        <v>2607</v>
      </c>
      <c r="H867">
        <v>2</v>
      </c>
    </row>
    <row r="868" spans="1:8" x14ac:dyDescent="0.25">
      <c r="A868" t="s">
        <v>2608</v>
      </c>
      <c r="B868" t="s">
        <v>2609</v>
      </c>
      <c r="C868" t="s">
        <v>14</v>
      </c>
      <c r="D868" s="1">
        <v>38434</v>
      </c>
      <c r="E868">
        <v>1</v>
      </c>
      <c r="F868">
        <v>1</v>
      </c>
      <c r="G868" t="s">
        <v>2610</v>
      </c>
      <c r="H868">
        <v>1</v>
      </c>
    </row>
    <row r="869" spans="1:8" x14ac:dyDescent="0.25">
      <c r="A869" t="s">
        <v>2611</v>
      </c>
      <c r="B869" t="s">
        <v>2612</v>
      </c>
      <c r="C869" t="s">
        <v>14</v>
      </c>
      <c r="D869" s="1">
        <v>37998</v>
      </c>
      <c r="E869">
        <v>1</v>
      </c>
      <c r="F869">
        <v>1</v>
      </c>
      <c r="G869" t="s">
        <v>2613</v>
      </c>
      <c r="H869">
        <v>1</v>
      </c>
    </row>
    <row r="870" spans="1:8" x14ac:dyDescent="0.25">
      <c r="A870" t="s">
        <v>2614</v>
      </c>
      <c r="B870" t="s">
        <v>2615</v>
      </c>
      <c r="C870" t="s">
        <v>14</v>
      </c>
      <c r="D870" s="1">
        <v>45089</v>
      </c>
      <c r="E870">
        <v>2</v>
      </c>
      <c r="F870">
        <v>1</v>
      </c>
      <c r="G870" t="s">
        <v>2616</v>
      </c>
      <c r="H870">
        <v>2</v>
      </c>
    </row>
    <row r="871" spans="1:8" x14ac:dyDescent="0.25">
      <c r="A871" t="s">
        <v>2617</v>
      </c>
      <c r="B871" t="s">
        <v>2618</v>
      </c>
      <c r="C871" t="s">
        <v>14</v>
      </c>
      <c r="D871" s="1">
        <v>40217</v>
      </c>
      <c r="E871">
        <v>2</v>
      </c>
      <c r="F871">
        <v>1</v>
      </c>
      <c r="G871" t="s">
        <v>2619</v>
      </c>
      <c r="H871">
        <v>2</v>
      </c>
    </row>
    <row r="872" spans="1:8" x14ac:dyDescent="0.25">
      <c r="A872" t="s">
        <v>2620</v>
      </c>
      <c r="B872" t="s">
        <v>2621</v>
      </c>
      <c r="C872" t="s">
        <v>14</v>
      </c>
      <c r="D872" s="1">
        <v>40588</v>
      </c>
      <c r="E872">
        <v>10</v>
      </c>
      <c r="F872">
        <v>1</v>
      </c>
      <c r="G872" t="s">
        <v>2622</v>
      </c>
      <c r="H872">
        <v>10</v>
      </c>
    </row>
    <row r="873" spans="1:8" x14ac:dyDescent="0.25">
      <c r="A873" t="s">
        <v>2623</v>
      </c>
      <c r="B873" t="s">
        <v>2624</v>
      </c>
      <c r="C873" t="s">
        <v>14</v>
      </c>
      <c r="D873" s="1">
        <v>44274</v>
      </c>
      <c r="E873">
        <v>1</v>
      </c>
      <c r="F873">
        <v>1</v>
      </c>
      <c r="G873" t="s">
        <v>2625</v>
      </c>
      <c r="H873">
        <v>1</v>
      </c>
    </row>
    <row r="874" spans="1:8" x14ac:dyDescent="0.25">
      <c r="A874" t="s">
        <v>2626</v>
      </c>
      <c r="B874" t="s">
        <v>2627</v>
      </c>
      <c r="C874" t="s">
        <v>14</v>
      </c>
      <c r="D874" s="1">
        <v>37788</v>
      </c>
      <c r="E874">
        <v>1</v>
      </c>
      <c r="F874">
        <v>1</v>
      </c>
      <c r="G874" t="s">
        <v>2628</v>
      </c>
      <c r="H874">
        <v>1</v>
      </c>
    </row>
    <row r="875" spans="1:8" x14ac:dyDescent="0.25">
      <c r="A875" t="s">
        <v>2629</v>
      </c>
      <c r="B875" t="s">
        <v>2630</v>
      </c>
      <c r="C875" t="s">
        <v>14</v>
      </c>
      <c r="D875" s="1">
        <v>41430</v>
      </c>
      <c r="E875">
        <v>10</v>
      </c>
      <c r="F875">
        <v>1</v>
      </c>
      <c r="G875" t="s">
        <v>2631</v>
      </c>
      <c r="H875">
        <v>10</v>
      </c>
    </row>
    <row r="876" spans="1:8" x14ac:dyDescent="0.25">
      <c r="A876" t="s">
        <v>2632</v>
      </c>
      <c r="B876" t="s">
        <v>2633</v>
      </c>
      <c r="C876" t="s">
        <v>14</v>
      </c>
      <c r="D876" s="1">
        <v>40469</v>
      </c>
      <c r="E876">
        <v>10</v>
      </c>
      <c r="F876">
        <v>1</v>
      </c>
      <c r="G876" t="s">
        <v>2634</v>
      </c>
      <c r="H876">
        <v>10</v>
      </c>
    </row>
    <row r="877" spans="1:8" x14ac:dyDescent="0.25">
      <c r="A877" t="s">
        <v>2635</v>
      </c>
      <c r="B877" t="s">
        <v>2636</v>
      </c>
      <c r="C877" t="s">
        <v>14</v>
      </c>
      <c r="D877" s="1">
        <v>39435</v>
      </c>
      <c r="E877">
        <v>1</v>
      </c>
      <c r="F877">
        <v>1</v>
      </c>
      <c r="G877" t="s">
        <v>2637</v>
      </c>
      <c r="H877">
        <v>1</v>
      </c>
    </row>
    <row r="878" spans="1:8" x14ac:dyDescent="0.25">
      <c r="A878" t="s">
        <v>2638</v>
      </c>
      <c r="B878" t="s">
        <v>2639</v>
      </c>
      <c r="C878" t="s">
        <v>10</v>
      </c>
      <c r="D878" s="1">
        <v>34899</v>
      </c>
      <c r="E878">
        <v>2</v>
      </c>
      <c r="F878">
        <v>1</v>
      </c>
      <c r="G878" t="s">
        <v>2640</v>
      </c>
      <c r="H878">
        <v>2</v>
      </c>
    </row>
    <row r="879" spans="1:8" x14ac:dyDescent="0.25">
      <c r="A879" t="s">
        <v>2641</v>
      </c>
      <c r="B879" t="s">
        <v>2642</v>
      </c>
      <c r="C879" t="s">
        <v>14</v>
      </c>
      <c r="D879" s="1">
        <v>34948</v>
      </c>
      <c r="E879">
        <v>5</v>
      </c>
      <c r="F879">
        <v>1</v>
      </c>
      <c r="G879" t="s">
        <v>2643</v>
      </c>
      <c r="H879">
        <v>5</v>
      </c>
    </row>
    <row r="880" spans="1:8" x14ac:dyDescent="0.25">
      <c r="A880" t="s">
        <v>2644</v>
      </c>
      <c r="B880" t="s">
        <v>2645</v>
      </c>
      <c r="C880" t="s">
        <v>14</v>
      </c>
      <c r="D880" s="1">
        <v>38139</v>
      </c>
      <c r="E880">
        <v>1</v>
      </c>
      <c r="F880">
        <v>1</v>
      </c>
      <c r="G880" t="s">
        <v>2646</v>
      </c>
      <c r="H880">
        <v>1</v>
      </c>
    </row>
    <row r="881" spans="1:8" x14ac:dyDescent="0.25">
      <c r="A881" t="s">
        <v>2647</v>
      </c>
      <c r="B881" t="s">
        <v>2648</v>
      </c>
      <c r="C881" t="s">
        <v>14</v>
      </c>
      <c r="D881" s="1">
        <v>35046</v>
      </c>
      <c r="E881">
        <v>10</v>
      </c>
      <c r="F881">
        <v>1</v>
      </c>
      <c r="G881" t="s">
        <v>2649</v>
      </c>
      <c r="H881">
        <v>10</v>
      </c>
    </row>
    <row r="882" spans="1:8" x14ac:dyDescent="0.25">
      <c r="A882" t="s">
        <v>2650</v>
      </c>
      <c r="B882" t="s">
        <v>2651</v>
      </c>
      <c r="C882" t="s">
        <v>14</v>
      </c>
      <c r="D882" s="1">
        <v>45196</v>
      </c>
      <c r="E882">
        <v>2</v>
      </c>
      <c r="F882">
        <v>1</v>
      </c>
      <c r="G882" t="s">
        <v>2652</v>
      </c>
      <c r="H882">
        <v>2</v>
      </c>
    </row>
    <row r="883" spans="1:8" x14ac:dyDescent="0.25">
      <c r="A883" t="s">
        <v>2653</v>
      </c>
      <c r="B883" t="s">
        <v>2654</v>
      </c>
      <c r="C883" t="s">
        <v>10</v>
      </c>
      <c r="D883" s="1">
        <v>42779</v>
      </c>
      <c r="E883">
        <v>10</v>
      </c>
      <c r="F883">
        <v>1</v>
      </c>
      <c r="G883" t="s">
        <v>2655</v>
      </c>
      <c r="H883">
        <v>10</v>
      </c>
    </row>
    <row r="884" spans="1:8" x14ac:dyDescent="0.25">
      <c r="A884" t="s">
        <v>2656</v>
      </c>
      <c r="B884" t="s">
        <v>2657</v>
      </c>
      <c r="C884" t="s">
        <v>10</v>
      </c>
      <c r="D884" s="1">
        <v>39436</v>
      </c>
      <c r="E884">
        <v>10</v>
      </c>
      <c r="F884">
        <v>1</v>
      </c>
      <c r="G884" t="s">
        <v>2658</v>
      </c>
      <c r="H884">
        <v>10</v>
      </c>
    </row>
    <row r="885" spans="1:8" x14ac:dyDescent="0.25">
      <c r="A885" t="s">
        <v>2659</v>
      </c>
      <c r="B885" t="s">
        <v>2660</v>
      </c>
      <c r="C885" t="s">
        <v>14</v>
      </c>
      <c r="D885" s="1">
        <v>44281</v>
      </c>
      <c r="E885">
        <v>10</v>
      </c>
      <c r="F885">
        <v>1</v>
      </c>
      <c r="G885" t="s">
        <v>2661</v>
      </c>
      <c r="H885">
        <v>10</v>
      </c>
    </row>
    <row r="886" spans="1:8" x14ac:dyDescent="0.25">
      <c r="A886" t="s">
        <v>2662</v>
      </c>
      <c r="B886" t="s">
        <v>2663</v>
      </c>
      <c r="C886" t="s">
        <v>14</v>
      </c>
      <c r="D886" s="1">
        <v>35214</v>
      </c>
      <c r="E886">
        <v>10</v>
      </c>
      <c r="F886">
        <v>1</v>
      </c>
      <c r="G886" t="s">
        <v>2664</v>
      </c>
      <c r="H886">
        <v>10</v>
      </c>
    </row>
    <row r="887" spans="1:8" x14ac:dyDescent="0.25">
      <c r="A887" t="s">
        <v>2665</v>
      </c>
      <c r="B887" t="s">
        <v>2666</v>
      </c>
      <c r="C887" t="s">
        <v>14</v>
      </c>
      <c r="D887" s="1">
        <v>38846</v>
      </c>
      <c r="E887">
        <v>10</v>
      </c>
      <c r="F887">
        <v>1</v>
      </c>
      <c r="G887" t="s">
        <v>2667</v>
      </c>
      <c r="H887">
        <v>10</v>
      </c>
    </row>
    <row r="888" spans="1:8" x14ac:dyDescent="0.25">
      <c r="A888" t="s">
        <v>2668</v>
      </c>
      <c r="B888" t="s">
        <v>2669</v>
      </c>
      <c r="C888" t="s">
        <v>14</v>
      </c>
      <c r="D888" s="1">
        <v>44950</v>
      </c>
      <c r="E888">
        <v>5</v>
      </c>
      <c r="F888">
        <v>1</v>
      </c>
      <c r="G888" t="s">
        <v>2670</v>
      </c>
      <c r="H888">
        <v>5</v>
      </c>
    </row>
    <row r="889" spans="1:8" x14ac:dyDescent="0.25">
      <c r="A889" t="s">
        <v>2671</v>
      </c>
      <c r="B889" t="s">
        <v>2672</v>
      </c>
      <c r="C889" t="s">
        <v>14</v>
      </c>
      <c r="D889" s="1">
        <v>40891</v>
      </c>
      <c r="E889">
        <v>1</v>
      </c>
      <c r="F889">
        <v>1</v>
      </c>
      <c r="G889" t="s">
        <v>2673</v>
      </c>
      <c r="H889">
        <v>1</v>
      </c>
    </row>
    <row r="890" spans="1:8" x14ac:dyDescent="0.25">
      <c r="A890" t="s">
        <v>2674</v>
      </c>
      <c r="B890" t="s">
        <v>2675</v>
      </c>
      <c r="C890" t="s">
        <v>14</v>
      </c>
      <c r="D890" s="1">
        <v>34738</v>
      </c>
      <c r="E890">
        <v>5</v>
      </c>
      <c r="F890">
        <v>1</v>
      </c>
      <c r="G890" t="s">
        <v>2676</v>
      </c>
      <c r="H890">
        <v>5</v>
      </c>
    </row>
    <row r="891" spans="1:8" x14ac:dyDescent="0.25">
      <c r="A891" t="s">
        <v>2677</v>
      </c>
      <c r="B891" t="s">
        <v>2678</v>
      </c>
      <c r="C891" t="s">
        <v>14</v>
      </c>
      <c r="D891" s="1">
        <v>44197</v>
      </c>
      <c r="E891">
        <v>10</v>
      </c>
      <c r="F891">
        <v>1</v>
      </c>
      <c r="G891" t="s">
        <v>2679</v>
      </c>
      <c r="H891">
        <v>10</v>
      </c>
    </row>
    <row r="892" spans="1:8" x14ac:dyDescent="0.25">
      <c r="A892" t="s">
        <v>2680</v>
      </c>
      <c r="B892" t="s">
        <v>2681</v>
      </c>
      <c r="C892" t="s">
        <v>14</v>
      </c>
      <c r="D892" s="1">
        <v>37879</v>
      </c>
      <c r="E892">
        <v>1</v>
      </c>
      <c r="F892">
        <v>1</v>
      </c>
      <c r="G892" t="s">
        <v>2682</v>
      </c>
      <c r="H892">
        <v>1</v>
      </c>
    </row>
    <row r="893" spans="1:8" x14ac:dyDescent="0.25">
      <c r="A893" t="s">
        <v>2683</v>
      </c>
      <c r="B893" t="s">
        <v>2684</v>
      </c>
      <c r="C893" t="s">
        <v>10</v>
      </c>
      <c r="D893" s="1">
        <v>43978</v>
      </c>
      <c r="E893">
        <v>10</v>
      </c>
      <c r="F893">
        <v>1</v>
      </c>
      <c r="G893" t="s">
        <v>2685</v>
      </c>
      <c r="H893">
        <v>10</v>
      </c>
    </row>
    <row r="894" spans="1:8" x14ac:dyDescent="0.25">
      <c r="A894" t="s">
        <v>2686</v>
      </c>
      <c r="B894" t="s">
        <v>2687</v>
      </c>
      <c r="C894" t="s">
        <v>14</v>
      </c>
      <c r="D894" s="1">
        <v>40722</v>
      </c>
      <c r="E894">
        <v>10</v>
      </c>
      <c r="F894">
        <v>1</v>
      </c>
      <c r="G894" t="s">
        <v>2688</v>
      </c>
      <c r="H894">
        <v>10</v>
      </c>
    </row>
    <row r="895" spans="1:8" x14ac:dyDescent="0.25">
      <c r="A895" t="s">
        <v>2689</v>
      </c>
      <c r="B895" t="s">
        <v>2690</v>
      </c>
      <c r="C895" t="s">
        <v>14</v>
      </c>
      <c r="D895" s="1">
        <v>36733</v>
      </c>
      <c r="E895">
        <v>2</v>
      </c>
      <c r="F895">
        <v>1</v>
      </c>
      <c r="G895" t="s">
        <v>2691</v>
      </c>
      <c r="H895">
        <v>2</v>
      </c>
    </row>
    <row r="896" spans="1:8" x14ac:dyDescent="0.25">
      <c r="A896" t="s">
        <v>2692</v>
      </c>
      <c r="B896" t="s">
        <v>2693</v>
      </c>
      <c r="C896" t="s">
        <v>10</v>
      </c>
      <c r="D896" s="1">
        <v>39430</v>
      </c>
      <c r="E896">
        <v>10</v>
      </c>
      <c r="F896">
        <v>1</v>
      </c>
      <c r="G896" t="s">
        <v>2694</v>
      </c>
      <c r="H896">
        <v>10</v>
      </c>
    </row>
    <row r="897" spans="1:8" x14ac:dyDescent="0.25">
      <c r="A897" t="s">
        <v>2695</v>
      </c>
      <c r="B897" t="s">
        <v>2696</v>
      </c>
      <c r="C897" t="s">
        <v>14</v>
      </c>
      <c r="D897" s="1">
        <v>39476</v>
      </c>
      <c r="E897">
        <v>10</v>
      </c>
      <c r="F897">
        <v>1</v>
      </c>
      <c r="G897" t="s">
        <v>2697</v>
      </c>
      <c r="H897">
        <v>10</v>
      </c>
    </row>
    <row r="898" spans="1:8" x14ac:dyDescent="0.25">
      <c r="A898" t="s">
        <v>2698</v>
      </c>
      <c r="B898" t="s">
        <v>2699</v>
      </c>
      <c r="C898" t="s">
        <v>14</v>
      </c>
      <c r="D898" s="1">
        <v>42230</v>
      </c>
      <c r="E898">
        <v>10</v>
      </c>
      <c r="F898">
        <v>1</v>
      </c>
      <c r="G898" t="s">
        <v>2700</v>
      </c>
      <c r="H898">
        <v>10</v>
      </c>
    </row>
    <row r="899" spans="1:8" x14ac:dyDescent="0.25">
      <c r="A899" t="s">
        <v>2701</v>
      </c>
      <c r="B899" t="s">
        <v>2702</v>
      </c>
      <c r="C899" t="s">
        <v>14</v>
      </c>
      <c r="D899" s="1">
        <v>44887</v>
      </c>
      <c r="E899">
        <v>10</v>
      </c>
      <c r="F899">
        <v>1</v>
      </c>
      <c r="G899" t="s">
        <v>2703</v>
      </c>
      <c r="H899">
        <v>10</v>
      </c>
    </row>
    <row r="900" spans="1:8" x14ac:dyDescent="0.25">
      <c r="A900" t="s">
        <v>2704</v>
      </c>
      <c r="B900" t="s">
        <v>2705</v>
      </c>
      <c r="C900" t="s">
        <v>14</v>
      </c>
      <c r="D900" s="1">
        <v>43192</v>
      </c>
      <c r="E900">
        <v>1</v>
      </c>
      <c r="F900">
        <v>1</v>
      </c>
      <c r="G900" t="s">
        <v>2706</v>
      </c>
      <c r="H900">
        <v>1</v>
      </c>
    </row>
    <row r="901" spans="1:8" x14ac:dyDescent="0.25">
      <c r="A901" t="s">
        <v>2707</v>
      </c>
      <c r="B901" t="s">
        <v>2708</v>
      </c>
      <c r="C901" t="s">
        <v>14</v>
      </c>
      <c r="D901" s="1">
        <v>35529</v>
      </c>
      <c r="E901">
        <v>1</v>
      </c>
      <c r="F901">
        <v>1</v>
      </c>
      <c r="G901" t="s">
        <v>2709</v>
      </c>
      <c r="H901">
        <v>1</v>
      </c>
    </row>
    <row r="902" spans="1:8" x14ac:dyDescent="0.25">
      <c r="A902" t="s">
        <v>2710</v>
      </c>
      <c r="B902" t="s">
        <v>2711</v>
      </c>
      <c r="C902" t="s">
        <v>10</v>
      </c>
      <c r="D902" s="1">
        <v>35592</v>
      </c>
      <c r="E902">
        <v>1</v>
      </c>
      <c r="F902">
        <v>1</v>
      </c>
      <c r="G902" t="s">
        <v>2712</v>
      </c>
      <c r="H902">
        <v>1</v>
      </c>
    </row>
    <row r="903" spans="1:8" x14ac:dyDescent="0.25">
      <c r="A903" t="s">
        <v>2713</v>
      </c>
      <c r="B903" t="s">
        <v>2714</v>
      </c>
      <c r="C903" t="s">
        <v>14</v>
      </c>
      <c r="D903" s="1">
        <v>42452</v>
      </c>
      <c r="E903">
        <v>10</v>
      </c>
      <c r="F903">
        <v>1</v>
      </c>
      <c r="G903" t="s">
        <v>2715</v>
      </c>
      <c r="H903">
        <v>10</v>
      </c>
    </row>
    <row r="904" spans="1:8" x14ac:dyDescent="0.25">
      <c r="A904" t="s">
        <v>2716</v>
      </c>
      <c r="B904" t="s">
        <v>2717</v>
      </c>
      <c r="C904" t="s">
        <v>14</v>
      </c>
      <c r="D904" s="1">
        <v>38786</v>
      </c>
      <c r="E904">
        <v>2</v>
      </c>
      <c r="F904">
        <v>1</v>
      </c>
      <c r="G904" t="s">
        <v>2718</v>
      </c>
      <c r="H904">
        <v>2</v>
      </c>
    </row>
    <row r="905" spans="1:8" x14ac:dyDescent="0.25">
      <c r="A905" t="s">
        <v>2719</v>
      </c>
      <c r="B905" t="s">
        <v>2720</v>
      </c>
      <c r="C905" t="s">
        <v>14</v>
      </c>
      <c r="D905" s="1">
        <v>40246</v>
      </c>
      <c r="E905">
        <v>10</v>
      </c>
      <c r="F905">
        <v>1</v>
      </c>
      <c r="G905" t="s">
        <v>2721</v>
      </c>
      <c r="H905">
        <v>10</v>
      </c>
    </row>
    <row r="906" spans="1:8" x14ac:dyDescent="0.25">
      <c r="A906" t="s">
        <v>2722</v>
      </c>
      <c r="B906" t="s">
        <v>2723</v>
      </c>
      <c r="C906" t="s">
        <v>10</v>
      </c>
      <c r="D906" s="1">
        <v>34759</v>
      </c>
      <c r="E906">
        <v>1</v>
      </c>
      <c r="F906">
        <v>1</v>
      </c>
      <c r="G906" t="s">
        <v>2724</v>
      </c>
      <c r="H906">
        <v>1</v>
      </c>
    </row>
    <row r="907" spans="1:8" x14ac:dyDescent="0.25">
      <c r="A907" t="s">
        <v>2725</v>
      </c>
      <c r="B907" t="s">
        <v>2726</v>
      </c>
      <c r="C907" t="s">
        <v>14</v>
      </c>
      <c r="D907" s="1">
        <v>38799</v>
      </c>
      <c r="E907">
        <v>2</v>
      </c>
      <c r="F907">
        <v>1</v>
      </c>
      <c r="G907" t="s">
        <v>2727</v>
      </c>
      <c r="H907">
        <v>2</v>
      </c>
    </row>
    <row r="908" spans="1:8" x14ac:dyDescent="0.25">
      <c r="A908" t="s">
        <v>2728</v>
      </c>
      <c r="B908" t="s">
        <v>2729</v>
      </c>
      <c r="C908" t="s">
        <v>14</v>
      </c>
      <c r="D908" s="1">
        <v>42431</v>
      </c>
      <c r="E908">
        <v>5</v>
      </c>
      <c r="F908">
        <v>1</v>
      </c>
      <c r="G908" t="s">
        <v>2730</v>
      </c>
      <c r="H908">
        <v>5</v>
      </c>
    </row>
    <row r="909" spans="1:8" x14ac:dyDescent="0.25">
      <c r="A909" t="s">
        <v>2731</v>
      </c>
      <c r="B909" t="s">
        <v>2732</v>
      </c>
      <c r="C909" t="s">
        <v>10</v>
      </c>
      <c r="D909" s="1">
        <v>38706</v>
      </c>
      <c r="E909">
        <v>10</v>
      </c>
      <c r="F909">
        <v>1</v>
      </c>
      <c r="G909" t="s">
        <v>2733</v>
      </c>
      <c r="H909">
        <v>10</v>
      </c>
    </row>
    <row r="910" spans="1:8" x14ac:dyDescent="0.25">
      <c r="A910" t="s">
        <v>2734</v>
      </c>
      <c r="B910" t="s">
        <v>2735</v>
      </c>
      <c r="C910" t="s">
        <v>14</v>
      </c>
      <c r="D910" s="1">
        <v>34948</v>
      </c>
      <c r="E910">
        <v>10</v>
      </c>
      <c r="F910">
        <v>1</v>
      </c>
      <c r="G910" t="s">
        <v>2736</v>
      </c>
      <c r="H910">
        <v>10</v>
      </c>
    </row>
    <row r="911" spans="1:8" x14ac:dyDescent="0.25">
      <c r="A911" t="s">
        <v>2737</v>
      </c>
      <c r="B911" t="s">
        <v>2738</v>
      </c>
      <c r="C911" t="s">
        <v>10</v>
      </c>
      <c r="D911" s="1">
        <v>35242</v>
      </c>
      <c r="E911">
        <v>10</v>
      </c>
      <c r="F911">
        <v>1</v>
      </c>
      <c r="G911" t="s">
        <v>2739</v>
      </c>
      <c r="H911">
        <v>10</v>
      </c>
    </row>
    <row r="912" spans="1:8" x14ac:dyDescent="0.25">
      <c r="A912" t="s">
        <v>2740</v>
      </c>
      <c r="B912" t="s">
        <v>2741</v>
      </c>
      <c r="C912" t="s">
        <v>14</v>
      </c>
      <c r="D912" s="1">
        <v>44924</v>
      </c>
      <c r="E912">
        <v>10</v>
      </c>
      <c r="F912">
        <v>1</v>
      </c>
      <c r="G912" t="s">
        <v>2742</v>
      </c>
      <c r="H912">
        <v>10</v>
      </c>
    </row>
    <row r="913" spans="1:8" x14ac:dyDescent="0.25">
      <c r="A913" t="s">
        <v>2743</v>
      </c>
      <c r="B913" t="s">
        <v>2744</v>
      </c>
      <c r="C913" t="s">
        <v>10</v>
      </c>
      <c r="D913" s="1">
        <v>43053</v>
      </c>
      <c r="E913">
        <v>10</v>
      </c>
      <c r="F913">
        <v>1</v>
      </c>
      <c r="G913" t="s">
        <v>2745</v>
      </c>
      <c r="H913">
        <v>10</v>
      </c>
    </row>
    <row r="914" spans="1:8" x14ac:dyDescent="0.25">
      <c r="A914" t="s">
        <v>2746</v>
      </c>
      <c r="B914" t="s">
        <v>2747</v>
      </c>
      <c r="C914" t="s">
        <v>14</v>
      </c>
      <c r="D914" s="1">
        <v>44134</v>
      </c>
      <c r="E914">
        <v>1</v>
      </c>
      <c r="F914">
        <v>1</v>
      </c>
      <c r="G914" t="s">
        <v>2748</v>
      </c>
      <c r="H914">
        <v>1</v>
      </c>
    </row>
    <row r="915" spans="1:8" x14ac:dyDescent="0.25">
      <c r="A915" t="s">
        <v>2749</v>
      </c>
      <c r="B915" t="s">
        <v>2750</v>
      </c>
      <c r="C915" t="s">
        <v>14</v>
      </c>
      <c r="D915" s="1">
        <v>35053</v>
      </c>
      <c r="E915">
        <v>10</v>
      </c>
      <c r="F915">
        <v>1</v>
      </c>
      <c r="G915" t="s">
        <v>2751</v>
      </c>
      <c r="H915">
        <v>10</v>
      </c>
    </row>
    <row r="916" spans="1:8" x14ac:dyDescent="0.25">
      <c r="A916" t="s">
        <v>2752</v>
      </c>
      <c r="B916" t="s">
        <v>2753</v>
      </c>
      <c r="C916" t="s">
        <v>14</v>
      </c>
      <c r="D916" s="1">
        <v>36929</v>
      </c>
      <c r="E916">
        <v>10</v>
      </c>
      <c r="F916">
        <v>1</v>
      </c>
      <c r="G916" t="s">
        <v>2754</v>
      </c>
      <c r="H916">
        <v>10</v>
      </c>
    </row>
    <row r="917" spans="1:8" x14ac:dyDescent="0.25">
      <c r="A917" t="s">
        <v>2755</v>
      </c>
      <c r="B917" t="s">
        <v>2756</v>
      </c>
      <c r="C917" t="s">
        <v>14</v>
      </c>
      <c r="D917" s="1">
        <v>40557</v>
      </c>
      <c r="E917">
        <v>10</v>
      </c>
      <c r="F917">
        <v>1</v>
      </c>
      <c r="G917" t="s">
        <v>2757</v>
      </c>
      <c r="H917">
        <v>10</v>
      </c>
    </row>
    <row r="918" spans="1:8" x14ac:dyDescent="0.25">
      <c r="A918" t="s">
        <v>2758</v>
      </c>
      <c r="B918" t="s">
        <v>2759</v>
      </c>
      <c r="C918" t="s">
        <v>10</v>
      </c>
      <c r="D918" s="1">
        <v>40450</v>
      </c>
      <c r="E918">
        <v>10</v>
      </c>
      <c r="F918">
        <v>1</v>
      </c>
      <c r="G918" t="s">
        <v>2760</v>
      </c>
      <c r="H918">
        <v>10</v>
      </c>
    </row>
    <row r="919" spans="1:8" x14ac:dyDescent="0.25">
      <c r="A919" t="s">
        <v>2761</v>
      </c>
      <c r="B919" t="s">
        <v>2762</v>
      </c>
      <c r="C919" t="s">
        <v>14</v>
      </c>
      <c r="D919" s="1">
        <v>44375</v>
      </c>
      <c r="E919">
        <v>10</v>
      </c>
      <c r="F919">
        <v>1</v>
      </c>
      <c r="G919" t="s">
        <v>2763</v>
      </c>
      <c r="H919">
        <v>10</v>
      </c>
    </row>
    <row r="920" spans="1:8" x14ac:dyDescent="0.25">
      <c r="A920" t="s">
        <v>2764</v>
      </c>
      <c r="B920" t="s">
        <v>2765</v>
      </c>
      <c r="C920" t="s">
        <v>14</v>
      </c>
      <c r="D920" s="1">
        <v>42689</v>
      </c>
      <c r="E920">
        <v>10</v>
      </c>
      <c r="F920">
        <v>1</v>
      </c>
      <c r="G920" t="s">
        <v>2766</v>
      </c>
      <c r="H920">
        <v>10</v>
      </c>
    </row>
    <row r="921" spans="1:8" x14ac:dyDescent="0.25">
      <c r="A921" t="s">
        <v>2767</v>
      </c>
      <c r="B921" t="s">
        <v>2768</v>
      </c>
      <c r="C921" t="s">
        <v>14</v>
      </c>
      <c r="D921" s="1">
        <v>42703</v>
      </c>
      <c r="E921">
        <v>10</v>
      </c>
      <c r="F921">
        <v>1</v>
      </c>
      <c r="G921" t="s">
        <v>2769</v>
      </c>
      <c r="H921">
        <v>10</v>
      </c>
    </row>
    <row r="922" spans="1:8" x14ac:dyDescent="0.25">
      <c r="A922" t="s">
        <v>2770</v>
      </c>
      <c r="B922" t="s">
        <v>2771</v>
      </c>
      <c r="C922" t="s">
        <v>14</v>
      </c>
      <c r="D922" s="1">
        <v>39560</v>
      </c>
      <c r="E922">
        <v>10</v>
      </c>
      <c r="F922">
        <v>1</v>
      </c>
      <c r="G922" t="s">
        <v>2772</v>
      </c>
      <c r="H922">
        <v>10</v>
      </c>
    </row>
    <row r="923" spans="1:8" x14ac:dyDescent="0.25">
      <c r="A923" t="s">
        <v>2773</v>
      </c>
      <c r="B923" t="s">
        <v>2774</v>
      </c>
      <c r="C923" t="s">
        <v>14</v>
      </c>
      <c r="D923" s="1">
        <v>40288</v>
      </c>
      <c r="E923">
        <v>2</v>
      </c>
      <c r="F923">
        <v>1</v>
      </c>
      <c r="G923" t="s">
        <v>2775</v>
      </c>
      <c r="H923">
        <v>2</v>
      </c>
    </row>
    <row r="924" spans="1:8" x14ac:dyDescent="0.25">
      <c r="A924" t="s">
        <v>2776</v>
      </c>
      <c r="B924" t="s">
        <v>2777</v>
      </c>
      <c r="C924" t="s">
        <v>14</v>
      </c>
      <c r="D924" s="1">
        <v>40536</v>
      </c>
      <c r="E924">
        <v>2</v>
      </c>
      <c r="F924">
        <v>1</v>
      </c>
      <c r="G924" t="s">
        <v>2778</v>
      </c>
      <c r="H924">
        <v>2</v>
      </c>
    </row>
    <row r="925" spans="1:8" x14ac:dyDescent="0.25">
      <c r="A925" t="s">
        <v>2779</v>
      </c>
      <c r="B925" t="s">
        <v>2780</v>
      </c>
      <c r="C925" t="s">
        <v>14</v>
      </c>
      <c r="D925" s="1">
        <v>40353</v>
      </c>
      <c r="E925">
        <v>10</v>
      </c>
      <c r="F925">
        <v>1</v>
      </c>
      <c r="G925" t="s">
        <v>2781</v>
      </c>
      <c r="H925">
        <v>10</v>
      </c>
    </row>
    <row r="926" spans="1:8" x14ac:dyDescent="0.25">
      <c r="A926" t="s">
        <v>2782</v>
      </c>
      <c r="B926" t="s">
        <v>2783</v>
      </c>
      <c r="C926" t="s">
        <v>14</v>
      </c>
      <c r="D926" s="1">
        <v>45042</v>
      </c>
      <c r="E926">
        <v>2</v>
      </c>
      <c r="F926">
        <v>1</v>
      </c>
      <c r="G926" t="s">
        <v>2784</v>
      </c>
      <c r="H926">
        <v>2</v>
      </c>
    </row>
    <row r="927" spans="1:8" x14ac:dyDescent="0.25">
      <c r="A927" t="s">
        <v>2785</v>
      </c>
      <c r="B927" t="s">
        <v>2786</v>
      </c>
      <c r="C927" t="s">
        <v>14</v>
      </c>
      <c r="D927" s="1">
        <v>41177</v>
      </c>
      <c r="E927">
        <v>1</v>
      </c>
      <c r="F927">
        <v>1</v>
      </c>
      <c r="G927" t="s">
        <v>2787</v>
      </c>
      <c r="H927">
        <v>1</v>
      </c>
    </row>
    <row r="928" spans="1:8" x14ac:dyDescent="0.25">
      <c r="A928" t="s">
        <v>2788</v>
      </c>
      <c r="B928" t="s">
        <v>2789</v>
      </c>
      <c r="C928" t="s">
        <v>14</v>
      </c>
      <c r="D928" s="1">
        <v>38820</v>
      </c>
      <c r="E928">
        <v>10</v>
      </c>
      <c r="F928">
        <v>1</v>
      </c>
      <c r="G928" t="s">
        <v>2790</v>
      </c>
      <c r="H928">
        <v>10</v>
      </c>
    </row>
    <row r="929" spans="1:8" x14ac:dyDescent="0.25">
      <c r="A929" t="s">
        <v>2791</v>
      </c>
      <c r="B929" t="s">
        <v>2792</v>
      </c>
      <c r="C929" t="s">
        <v>14</v>
      </c>
      <c r="D929" s="1">
        <v>39233</v>
      </c>
      <c r="E929">
        <v>2</v>
      </c>
      <c r="F929">
        <v>1</v>
      </c>
      <c r="G929" t="s">
        <v>2793</v>
      </c>
      <c r="H929">
        <v>2</v>
      </c>
    </row>
    <row r="930" spans="1:8" x14ac:dyDescent="0.25">
      <c r="A930" t="s">
        <v>2794</v>
      </c>
      <c r="B930" t="s">
        <v>2795</v>
      </c>
      <c r="C930" t="s">
        <v>14</v>
      </c>
      <c r="D930" s="1">
        <v>39496</v>
      </c>
      <c r="E930">
        <v>2</v>
      </c>
      <c r="F930">
        <v>1</v>
      </c>
      <c r="G930" t="s">
        <v>2796</v>
      </c>
      <c r="H930">
        <v>2</v>
      </c>
    </row>
    <row r="931" spans="1:8" x14ac:dyDescent="0.25">
      <c r="A931" t="s">
        <v>2797</v>
      </c>
      <c r="B931" t="s">
        <v>2798</v>
      </c>
      <c r="C931" t="s">
        <v>14</v>
      </c>
      <c r="D931" s="1">
        <v>36453</v>
      </c>
      <c r="E931">
        <v>10</v>
      </c>
      <c r="F931">
        <v>1</v>
      </c>
      <c r="G931" t="s">
        <v>2799</v>
      </c>
      <c r="H931">
        <v>10</v>
      </c>
    </row>
    <row r="932" spans="1:8" x14ac:dyDescent="0.25">
      <c r="A932" t="s">
        <v>2800</v>
      </c>
      <c r="B932" t="s">
        <v>2801</v>
      </c>
      <c r="C932" t="s">
        <v>14</v>
      </c>
      <c r="D932" s="1">
        <v>39657</v>
      </c>
      <c r="E932">
        <v>1</v>
      </c>
      <c r="F932">
        <v>1</v>
      </c>
      <c r="G932" t="s">
        <v>2802</v>
      </c>
      <c r="H932">
        <v>1</v>
      </c>
    </row>
    <row r="933" spans="1:8" x14ac:dyDescent="0.25">
      <c r="A933" t="s">
        <v>2803</v>
      </c>
      <c r="B933" t="s">
        <v>2804</v>
      </c>
      <c r="C933" t="s">
        <v>14</v>
      </c>
      <c r="D933" s="1">
        <v>39429</v>
      </c>
      <c r="E933">
        <v>10</v>
      </c>
      <c r="F933">
        <v>1</v>
      </c>
      <c r="G933" t="s">
        <v>2805</v>
      </c>
      <c r="H933">
        <v>10</v>
      </c>
    </row>
    <row r="934" spans="1:8" x14ac:dyDescent="0.25">
      <c r="A934" t="s">
        <v>2806</v>
      </c>
      <c r="B934" t="s">
        <v>2807</v>
      </c>
      <c r="C934" t="s">
        <v>14</v>
      </c>
      <c r="D934" s="1">
        <v>36320</v>
      </c>
      <c r="E934">
        <v>10</v>
      </c>
      <c r="F934">
        <v>1</v>
      </c>
      <c r="G934" t="s">
        <v>2808</v>
      </c>
      <c r="H934">
        <v>10</v>
      </c>
    </row>
    <row r="935" spans="1:8" x14ac:dyDescent="0.25">
      <c r="A935" t="s">
        <v>2809</v>
      </c>
      <c r="B935" t="s">
        <v>2810</v>
      </c>
      <c r="C935" t="s">
        <v>14</v>
      </c>
      <c r="D935" s="1">
        <v>35053</v>
      </c>
      <c r="E935">
        <v>5</v>
      </c>
      <c r="F935">
        <v>1</v>
      </c>
      <c r="G935" t="s">
        <v>2811</v>
      </c>
      <c r="H935">
        <v>5</v>
      </c>
    </row>
    <row r="936" spans="1:8" x14ac:dyDescent="0.25">
      <c r="A936" t="s">
        <v>2812</v>
      </c>
      <c r="B936" t="s">
        <v>2813</v>
      </c>
      <c r="C936" t="s">
        <v>10</v>
      </c>
      <c r="D936" s="1">
        <v>38334</v>
      </c>
      <c r="E936">
        <v>10</v>
      </c>
      <c r="F936">
        <v>1</v>
      </c>
      <c r="G936" t="s">
        <v>2814</v>
      </c>
      <c r="H936">
        <v>10</v>
      </c>
    </row>
    <row r="937" spans="1:8" x14ac:dyDescent="0.25">
      <c r="A937" t="s">
        <v>2815</v>
      </c>
      <c r="B937" t="s">
        <v>2816</v>
      </c>
      <c r="C937" t="s">
        <v>14</v>
      </c>
      <c r="D937" s="1">
        <v>35371</v>
      </c>
      <c r="E937">
        <v>10</v>
      </c>
      <c r="F937">
        <v>1</v>
      </c>
      <c r="G937" t="s">
        <v>2817</v>
      </c>
      <c r="H937">
        <v>10</v>
      </c>
    </row>
    <row r="938" spans="1:8" x14ac:dyDescent="0.25">
      <c r="A938" t="s">
        <v>2818</v>
      </c>
      <c r="B938" t="s">
        <v>2819</v>
      </c>
      <c r="C938" t="s">
        <v>14</v>
      </c>
      <c r="D938" s="1">
        <v>35949</v>
      </c>
      <c r="E938">
        <v>10</v>
      </c>
      <c r="F938">
        <v>1</v>
      </c>
      <c r="G938" t="s">
        <v>2820</v>
      </c>
      <c r="H938">
        <v>10</v>
      </c>
    </row>
    <row r="939" spans="1:8" x14ac:dyDescent="0.25">
      <c r="A939" t="s">
        <v>2821</v>
      </c>
      <c r="B939" t="s">
        <v>2822</v>
      </c>
      <c r="C939" t="s">
        <v>14</v>
      </c>
      <c r="D939" s="1">
        <v>44404</v>
      </c>
      <c r="E939">
        <v>10</v>
      </c>
      <c r="F939">
        <v>1</v>
      </c>
      <c r="G939" t="s">
        <v>2823</v>
      </c>
      <c r="H939">
        <v>10</v>
      </c>
    </row>
    <row r="940" spans="1:8" x14ac:dyDescent="0.25">
      <c r="A940" t="s">
        <v>2824</v>
      </c>
      <c r="B940" t="s">
        <v>2825</v>
      </c>
      <c r="C940" t="s">
        <v>14</v>
      </c>
      <c r="D940" s="1">
        <v>36875</v>
      </c>
      <c r="E940">
        <v>2</v>
      </c>
      <c r="F940">
        <v>1</v>
      </c>
      <c r="G940" t="s">
        <v>2826</v>
      </c>
      <c r="H940">
        <v>2</v>
      </c>
    </row>
    <row r="941" spans="1:8" x14ac:dyDescent="0.25">
      <c r="A941" t="s">
        <v>2827</v>
      </c>
      <c r="B941" t="s">
        <v>2828</v>
      </c>
      <c r="C941" t="s">
        <v>14</v>
      </c>
      <c r="D941" s="1">
        <v>43577</v>
      </c>
      <c r="E941">
        <v>10</v>
      </c>
      <c r="F941">
        <v>1</v>
      </c>
      <c r="G941" t="s">
        <v>2829</v>
      </c>
      <c r="H941">
        <v>10</v>
      </c>
    </row>
    <row r="942" spans="1:8" x14ac:dyDescent="0.25">
      <c r="A942" t="s">
        <v>2830</v>
      </c>
      <c r="B942" t="s">
        <v>2831</v>
      </c>
      <c r="C942" t="s">
        <v>14</v>
      </c>
      <c r="D942" s="1">
        <v>39322</v>
      </c>
      <c r="E942">
        <v>1</v>
      </c>
      <c r="F942">
        <v>1</v>
      </c>
      <c r="G942" t="s">
        <v>2832</v>
      </c>
      <c r="H942">
        <v>1</v>
      </c>
    </row>
    <row r="943" spans="1:8" x14ac:dyDescent="0.25">
      <c r="A943" t="s">
        <v>2833</v>
      </c>
      <c r="B943" t="s">
        <v>2834</v>
      </c>
      <c r="C943" t="s">
        <v>14</v>
      </c>
      <c r="D943" s="1">
        <v>37277</v>
      </c>
      <c r="E943">
        <v>1</v>
      </c>
      <c r="F943">
        <v>1</v>
      </c>
      <c r="G943" t="s">
        <v>2835</v>
      </c>
      <c r="H943">
        <v>1</v>
      </c>
    </row>
    <row r="944" spans="1:8" x14ac:dyDescent="0.25">
      <c r="A944" t="s">
        <v>2836</v>
      </c>
      <c r="B944" t="s">
        <v>2837</v>
      </c>
      <c r="C944" t="s">
        <v>14</v>
      </c>
      <c r="D944" s="1">
        <v>35067</v>
      </c>
      <c r="E944">
        <v>10</v>
      </c>
      <c r="F944">
        <v>1</v>
      </c>
      <c r="G944" t="s">
        <v>2838</v>
      </c>
      <c r="H944">
        <v>10</v>
      </c>
    </row>
    <row r="945" spans="1:8" x14ac:dyDescent="0.25">
      <c r="A945" t="s">
        <v>2839</v>
      </c>
      <c r="B945" t="s">
        <v>2840</v>
      </c>
      <c r="C945" t="s">
        <v>10</v>
      </c>
      <c r="D945" s="1">
        <v>42349</v>
      </c>
      <c r="E945">
        <v>2</v>
      </c>
      <c r="F945">
        <v>1</v>
      </c>
      <c r="G945" t="s">
        <v>2841</v>
      </c>
      <c r="H945">
        <v>2</v>
      </c>
    </row>
    <row r="946" spans="1:8" x14ac:dyDescent="0.25">
      <c r="A946" t="s">
        <v>2842</v>
      </c>
      <c r="B946" t="s">
        <v>2843</v>
      </c>
      <c r="C946" t="s">
        <v>14</v>
      </c>
      <c r="D946" s="1">
        <v>43699</v>
      </c>
      <c r="E946">
        <v>10</v>
      </c>
      <c r="F946">
        <v>1</v>
      </c>
      <c r="G946" t="s">
        <v>2844</v>
      </c>
      <c r="H946">
        <v>10</v>
      </c>
    </row>
    <row r="947" spans="1:8" x14ac:dyDescent="0.25">
      <c r="A947" t="s">
        <v>2845</v>
      </c>
      <c r="B947" t="s">
        <v>2846</v>
      </c>
      <c r="C947" t="s">
        <v>14</v>
      </c>
      <c r="D947" s="1">
        <v>44501</v>
      </c>
      <c r="E947">
        <v>1</v>
      </c>
      <c r="F947">
        <v>1</v>
      </c>
      <c r="G947" t="s">
        <v>2847</v>
      </c>
      <c r="H947">
        <v>1</v>
      </c>
    </row>
    <row r="948" spans="1:8" x14ac:dyDescent="0.25">
      <c r="A948" t="s">
        <v>2848</v>
      </c>
      <c r="B948" t="s">
        <v>2849</v>
      </c>
      <c r="C948" t="s">
        <v>10</v>
      </c>
      <c r="D948" s="1">
        <v>44685</v>
      </c>
      <c r="E948">
        <v>2</v>
      </c>
      <c r="F948">
        <v>1</v>
      </c>
      <c r="G948" t="s">
        <v>2850</v>
      </c>
      <c r="H948">
        <v>2</v>
      </c>
    </row>
    <row r="949" spans="1:8" x14ac:dyDescent="0.25">
      <c r="A949" t="s">
        <v>2851</v>
      </c>
      <c r="B949" t="s">
        <v>2852</v>
      </c>
      <c r="C949" t="s">
        <v>10</v>
      </c>
      <c r="D949" s="1">
        <v>44841</v>
      </c>
      <c r="E949">
        <v>1</v>
      </c>
      <c r="F949">
        <v>1</v>
      </c>
      <c r="G949" t="s">
        <v>2853</v>
      </c>
      <c r="H949">
        <v>1</v>
      </c>
    </row>
    <row r="950" spans="1:8" x14ac:dyDescent="0.25">
      <c r="A950" t="s">
        <v>2854</v>
      </c>
      <c r="B950" t="s">
        <v>2855</v>
      </c>
      <c r="C950" t="s">
        <v>14</v>
      </c>
      <c r="D950" s="1">
        <v>44424</v>
      </c>
      <c r="E950">
        <v>5</v>
      </c>
      <c r="F950">
        <v>1</v>
      </c>
      <c r="G950" t="s">
        <v>2856</v>
      </c>
      <c r="H950">
        <v>5</v>
      </c>
    </row>
    <row r="951" spans="1:8" x14ac:dyDescent="0.25">
      <c r="A951" t="s">
        <v>2857</v>
      </c>
      <c r="B951" t="s">
        <v>2858</v>
      </c>
      <c r="C951" t="s">
        <v>14</v>
      </c>
      <c r="D951" s="1">
        <v>34738</v>
      </c>
      <c r="E951">
        <v>10</v>
      </c>
      <c r="F951">
        <v>1</v>
      </c>
      <c r="G951" t="s">
        <v>2859</v>
      </c>
      <c r="H951">
        <v>10</v>
      </c>
    </row>
    <row r="952" spans="1:8" x14ac:dyDescent="0.25">
      <c r="A952" t="s">
        <v>2860</v>
      </c>
      <c r="B952" t="s">
        <v>2861</v>
      </c>
      <c r="C952" t="s">
        <v>14</v>
      </c>
      <c r="D952" s="1">
        <v>39359</v>
      </c>
      <c r="E952">
        <v>2</v>
      </c>
      <c r="F952">
        <v>1</v>
      </c>
      <c r="G952" t="s">
        <v>2862</v>
      </c>
      <c r="H952">
        <v>2</v>
      </c>
    </row>
    <row r="953" spans="1:8" x14ac:dyDescent="0.25">
      <c r="A953" t="s">
        <v>2863</v>
      </c>
      <c r="B953" t="s">
        <v>2864</v>
      </c>
      <c r="C953" t="s">
        <v>10</v>
      </c>
      <c r="D953" s="1">
        <v>44769</v>
      </c>
      <c r="E953">
        <v>2</v>
      </c>
      <c r="F953">
        <v>1</v>
      </c>
      <c r="G953" t="s">
        <v>2865</v>
      </c>
      <c r="H953">
        <v>2</v>
      </c>
    </row>
    <row r="954" spans="1:8" x14ac:dyDescent="0.25">
      <c r="A954" t="s">
        <v>2866</v>
      </c>
      <c r="B954" t="s">
        <v>2867</v>
      </c>
      <c r="C954" t="s">
        <v>14</v>
      </c>
      <c r="D954" s="1">
        <v>40317</v>
      </c>
      <c r="E954">
        <v>5</v>
      </c>
      <c r="F954">
        <v>1</v>
      </c>
      <c r="G954" t="s">
        <v>2868</v>
      </c>
      <c r="H954">
        <v>5</v>
      </c>
    </row>
    <row r="955" spans="1:8" x14ac:dyDescent="0.25">
      <c r="A955" t="s">
        <v>2869</v>
      </c>
      <c r="B955" t="s">
        <v>2870</v>
      </c>
      <c r="C955" t="s">
        <v>10</v>
      </c>
      <c r="D955" s="1">
        <v>44827</v>
      </c>
      <c r="E955">
        <v>10</v>
      </c>
      <c r="F955">
        <v>1</v>
      </c>
      <c r="G955" t="s">
        <v>2871</v>
      </c>
      <c r="H955">
        <v>10</v>
      </c>
    </row>
    <row r="956" spans="1:8" x14ac:dyDescent="0.25">
      <c r="A956" t="s">
        <v>2872</v>
      </c>
      <c r="B956" t="s">
        <v>2873</v>
      </c>
      <c r="C956" t="s">
        <v>14</v>
      </c>
      <c r="D956" s="1">
        <v>36656</v>
      </c>
      <c r="E956">
        <v>10</v>
      </c>
      <c r="F956">
        <v>1</v>
      </c>
      <c r="G956" t="s">
        <v>2874</v>
      </c>
      <c r="H956">
        <v>10</v>
      </c>
    </row>
    <row r="957" spans="1:8" x14ac:dyDescent="0.25">
      <c r="A957" t="s">
        <v>2875</v>
      </c>
      <c r="B957" t="s">
        <v>2876</v>
      </c>
      <c r="C957" t="s">
        <v>14</v>
      </c>
      <c r="D957" s="1">
        <v>43761</v>
      </c>
      <c r="E957">
        <v>1</v>
      </c>
      <c r="F957">
        <v>1</v>
      </c>
      <c r="G957" t="s">
        <v>2877</v>
      </c>
      <c r="H957">
        <v>1</v>
      </c>
    </row>
    <row r="958" spans="1:8" x14ac:dyDescent="0.25">
      <c r="A958" t="s">
        <v>2878</v>
      </c>
      <c r="B958" t="s">
        <v>2879</v>
      </c>
      <c r="C958" t="s">
        <v>14</v>
      </c>
      <c r="D958" s="1">
        <v>40767</v>
      </c>
      <c r="E958">
        <v>10</v>
      </c>
      <c r="F958">
        <v>1</v>
      </c>
      <c r="G958" t="s">
        <v>2880</v>
      </c>
      <c r="H958">
        <v>10</v>
      </c>
    </row>
    <row r="959" spans="1:8" x14ac:dyDescent="0.25">
      <c r="A959" t="s">
        <v>2881</v>
      </c>
      <c r="B959" t="s">
        <v>2882</v>
      </c>
      <c r="C959" t="s">
        <v>14</v>
      </c>
      <c r="D959" s="1">
        <v>44469</v>
      </c>
      <c r="E959">
        <v>10</v>
      </c>
      <c r="F959">
        <v>1</v>
      </c>
      <c r="G959" t="s">
        <v>2883</v>
      </c>
      <c r="H959">
        <v>10</v>
      </c>
    </row>
    <row r="960" spans="1:8" x14ac:dyDescent="0.25">
      <c r="A960" t="s">
        <v>2884</v>
      </c>
      <c r="B960" t="s">
        <v>2885</v>
      </c>
      <c r="C960" t="s">
        <v>786</v>
      </c>
      <c r="D960" s="1">
        <v>38986</v>
      </c>
      <c r="E960">
        <v>10</v>
      </c>
      <c r="F960">
        <v>1</v>
      </c>
      <c r="G960" t="s">
        <v>2886</v>
      </c>
      <c r="H960">
        <v>10</v>
      </c>
    </row>
    <row r="961" spans="1:8" x14ac:dyDescent="0.25">
      <c r="A961" t="s">
        <v>2887</v>
      </c>
      <c r="B961" t="s">
        <v>2888</v>
      </c>
      <c r="C961" t="s">
        <v>10</v>
      </c>
      <c r="D961" s="1">
        <v>45026</v>
      </c>
      <c r="E961">
        <v>10</v>
      </c>
      <c r="F961">
        <v>1</v>
      </c>
      <c r="G961" t="s">
        <v>2889</v>
      </c>
      <c r="H961">
        <v>10</v>
      </c>
    </row>
    <row r="962" spans="1:8" x14ac:dyDescent="0.25">
      <c r="A962" t="s">
        <v>2890</v>
      </c>
      <c r="B962" t="s">
        <v>2891</v>
      </c>
      <c r="C962" t="s">
        <v>14</v>
      </c>
      <c r="D962" s="1">
        <v>42361</v>
      </c>
      <c r="E962">
        <v>10</v>
      </c>
      <c r="F962">
        <v>1</v>
      </c>
      <c r="G962" t="s">
        <v>2892</v>
      </c>
      <c r="H962">
        <v>10</v>
      </c>
    </row>
    <row r="963" spans="1:8" x14ac:dyDescent="0.25">
      <c r="A963" t="s">
        <v>2893</v>
      </c>
      <c r="B963" t="s">
        <v>2894</v>
      </c>
      <c r="C963" t="s">
        <v>14</v>
      </c>
      <c r="D963" s="1">
        <v>42039</v>
      </c>
      <c r="E963">
        <v>5</v>
      </c>
      <c r="F963">
        <v>1</v>
      </c>
      <c r="G963" t="s">
        <v>2895</v>
      </c>
      <c r="H963">
        <v>5</v>
      </c>
    </row>
    <row r="964" spans="1:8" x14ac:dyDescent="0.25">
      <c r="A964" t="s">
        <v>2896</v>
      </c>
      <c r="B964" t="s">
        <v>2897</v>
      </c>
      <c r="C964" t="s">
        <v>14</v>
      </c>
      <c r="D964" s="1">
        <v>44918</v>
      </c>
      <c r="E964">
        <v>5</v>
      </c>
      <c r="F964">
        <v>1</v>
      </c>
      <c r="G964" t="s">
        <v>2898</v>
      </c>
      <c r="H964">
        <v>5</v>
      </c>
    </row>
    <row r="965" spans="1:8" x14ac:dyDescent="0.25">
      <c r="A965" t="s">
        <v>2899</v>
      </c>
      <c r="B965" t="s">
        <v>2900</v>
      </c>
      <c r="C965" t="s">
        <v>14</v>
      </c>
      <c r="D965" s="1">
        <v>39157</v>
      </c>
      <c r="E965">
        <v>2</v>
      </c>
      <c r="F965">
        <v>1</v>
      </c>
      <c r="G965" t="s">
        <v>2901</v>
      </c>
      <c r="H965">
        <v>2</v>
      </c>
    </row>
    <row r="966" spans="1:8" x14ac:dyDescent="0.25">
      <c r="A966" t="s">
        <v>2902</v>
      </c>
      <c r="B966" t="s">
        <v>2903</v>
      </c>
      <c r="C966" t="s">
        <v>14</v>
      </c>
      <c r="D966" s="1">
        <v>42999</v>
      </c>
      <c r="E966">
        <v>10</v>
      </c>
      <c r="F966">
        <v>1</v>
      </c>
      <c r="G966" t="s">
        <v>2904</v>
      </c>
      <c r="H966">
        <v>10</v>
      </c>
    </row>
    <row r="967" spans="1:8" x14ac:dyDescent="0.25">
      <c r="A967" t="s">
        <v>2905</v>
      </c>
      <c r="B967" t="s">
        <v>2906</v>
      </c>
      <c r="C967" t="s">
        <v>14</v>
      </c>
      <c r="D967" s="1">
        <v>44523</v>
      </c>
      <c r="E967">
        <v>1</v>
      </c>
      <c r="F967">
        <v>1</v>
      </c>
      <c r="G967" t="s">
        <v>2907</v>
      </c>
      <c r="H967">
        <v>1</v>
      </c>
    </row>
    <row r="968" spans="1:8" x14ac:dyDescent="0.25">
      <c r="A968" t="s">
        <v>2908</v>
      </c>
      <c r="B968" t="s">
        <v>2909</v>
      </c>
      <c r="C968" t="s">
        <v>14</v>
      </c>
      <c r="D968" s="1">
        <v>45069</v>
      </c>
      <c r="E968">
        <v>2</v>
      </c>
      <c r="F968">
        <v>1</v>
      </c>
      <c r="G968" t="s">
        <v>2910</v>
      </c>
      <c r="H968">
        <v>2</v>
      </c>
    </row>
    <row r="969" spans="1:8" x14ac:dyDescent="0.25">
      <c r="A969" t="s">
        <v>2911</v>
      </c>
      <c r="B969" t="s">
        <v>2912</v>
      </c>
      <c r="C969" t="s">
        <v>14</v>
      </c>
      <c r="D969" s="1">
        <v>42723</v>
      </c>
      <c r="E969">
        <v>2</v>
      </c>
      <c r="F969">
        <v>1</v>
      </c>
      <c r="G969" t="s">
        <v>2913</v>
      </c>
      <c r="H969">
        <v>2</v>
      </c>
    </row>
    <row r="970" spans="1:8" x14ac:dyDescent="0.25">
      <c r="A970" t="s">
        <v>2914</v>
      </c>
      <c r="B970" t="s">
        <v>2915</v>
      </c>
      <c r="C970" t="s">
        <v>14</v>
      </c>
      <c r="D970" s="1">
        <v>44512</v>
      </c>
      <c r="E970">
        <v>10</v>
      </c>
      <c r="F970">
        <v>1</v>
      </c>
      <c r="G970" t="s">
        <v>2916</v>
      </c>
      <c r="H970">
        <v>10</v>
      </c>
    </row>
    <row r="971" spans="1:8" x14ac:dyDescent="0.25">
      <c r="A971" t="s">
        <v>2917</v>
      </c>
      <c r="B971" t="s">
        <v>2918</v>
      </c>
      <c r="C971" t="s">
        <v>14</v>
      </c>
      <c r="D971" s="1">
        <v>34787</v>
      </c>
      <c r="E971">
        <v>10</v>
      </c>
      <c r="F971">
        <v>1</v>
      </c>
      <c r="G971" t="s">
        <v>2919</v>
      </c>
      <c r="H971">
        <v>10</v>
      </c>
    </row>
    <row r="972" spans="1:8" x14ac:dyDescent="0.25">
      <c r="A972" t="s">
        <v>2920</v>
      </c>
      <c r="B972" t="s">
        <v>2921</v>
      </c>
      <c r="C972" t="s">
        <v>14</v>
      </c>
      <c r="D972" s="1">
        <v>36587</v>
      </c>
      <c r="E972">
        <v>2</v>
      </c>
      <c r="F972">
        <v>1</v>
      </c>
      <c r="G972" t="s">
        <v>2922</v>
      </c>
      <c r="H972">
        <v>2</v>
      </c>
    </row>
    <row r="973" spans="1:8" x14ac:dyDescent="0.25">
      <c r="A973" t="s">
        <v>2923</v>
      </c>
      <c r="B973" t="s">
        <v>2924</v>
      </c>
      <c r="C973" t="s">
        <v>14</v>
      </c>
      <c r="D973" s="1">
        <v>43199</v>
      </c>
      <c r="E973">
        <v>10</v>
      </c>
      <c r="F973">
        <v>1</v>
      </c>
      <c r="G973" t="s">
        <v>2925</v>
      </c>
      <c r="H973">
        <v>10</v>
      </c>
    </row>
    <row r="974" spans="1:8" x14ac:dyDescent="0.25">
      <c r="A974" t="s">
        <v>2926</v>
      </c>
      <c r="B974" t="s">
        <v>2927</v>
      </c>
      <c r="C974" t="s">
        <v>10</v>
      </c>
      <c r="D974" s="1">
        <v>44998</v>
      </c>
      <c r="E974">
        <v>10</v>
      </c>
      <c r="F974">
        <v>1</v>
      </c>
      <c r="G974" t="s">
        <v>2928</v>
      </c>
      <c r="H974">
        <v>10</v>
      </c>
    </row>
    <row r="975" spans="1:8" x14ac:dyDescent="0.25">
      <c r="A975" t="s">
        <v>2929</v>
      </c>
      <c r="B975" t="s">
        <v>2930</v>
      </c>
      <c r="C975" t="s">
        <v>14</v>
      </c>
      <c r="D975" s="1">
        <v>42109</v>
      </c>
      <c r="E975">
        <v>10</v>
      </c>
      <c r="F975">
        <v>1</v>
      </c>
      <c r="G975" t="s">
        <v>2931</v>
      </c>
      <c r="H975">
        <v>10</v>
      </c>
    </row>
    <row r="976" spans="1:8" x14ac:dyDescent="0.25">
      <c r="A976" t="s">
        <v>2932</v>
      </c>
      <c r="B976" t="s">
        <v>2933</v>
      </c>
      <c r="C976" t="s">
        <v>14</v>
      </c>
      <c r="D976" s="1">
        <v>40267</v>
      </c>
      <c r="E976">
        <v>10</v>
      </c>
      <c r="F976">
        <v>1</v>
      </c>
      <c r="G976" t="s">
        <v>2934</v>
      </c>
      <c r="H976">
        <v>10</v>
      </c>
    </row>
    <row r="977" spans="1:8" x14ac:dyDescent="0.25">
      <c r="A977" t="s">
        <v>2935</v>
      </c>
      <c r="B977" t="s">
        <v>2936</v>
      </c>
      <c r="C977" t="s">
        <v>14</v>
      </c>
      <c r="D977" s="1">
        <v>39661</v>
      </c>
      <c r="E977">
        <v>1</v>
      </c>
      <c r="F977">
        <v>1</v>
      </c>
      <c r="G977" t="s">
        <v>2937</v>
      </c>
      <c r="H977">
        <v>1</v>
      </c>
    </row>
    <row r="978" spans="1:8" x14ac:dyDescent="0.25">
      <c r="A978" t="s">
        <v>2938</v>
      </c>
      <c r="B978" t="s">
        <v>2939</v>
      </c>
      <c r="C978" t="s">
        <v>10</v>
      </c>
      <c r="D978" s="1">
        <v>45240</v>
      </c>
      <c r="E978">
        <v>10</v>
      </c>
      <c r="F978">
        <v>1</v>
      </c>
      <c r="G978" t="s">
        <v>2940</v>
      </c>
      <c r="H978">
        <v>10</v>
      </c>
    </row>
    <row r="979" spans="1:8" x14ac:dyDescent="0.25">
      <c r="A979" t="s">
        <v>2941</v>
      </c>
      <c r="B979" t="s">
        <v>2942</v>
      </c>
      <c r="C979" t="s">
        <v>14</v>
      </c>
      <c r="D979" s="1">
        <v>43669</v>
      </c>
      <c r="E979">
        <v>10</v>
      </c>
      <c r="F979">
        <v>1</v>
      </c>
      <c r="G979" t="s">
        <v>2943</v>
      </c>
      <c r="H979">
        <v>10</v>
      </c>
    </row>
    <row r="980" spans="1:8" x14ac:dyDescent="0.25">
      <c r="A980" t="s">
        <v>2944</v>
      </c>
      <c r="B980" t="s">
        <v>2945</v>
      </c>
      <c r="C980" t="s">
        <v>14</v>
      </c>
      <c r="D980" s="1">
        <v>34969</v>
      </c>
      <c r="E980">
        <v>10</v>
      </c>
      <c r="F980">
        <v>1</v>
      </c>
      <c r="G980" t="s">
        <v>2946</v>
      </c>
      <c r="H980">
        <v>10</v>
      </c>
    </row>
    <row r="981" spans="1:8" x14ac:dyDescent="0.25">
      <c r="A981" t="s">
        <v>2947</v>
      </c>
      <c r="B981" t="s">
        <v>2948</v>
      </c>
      <c r="C981" t="s">
        <v>14</v>
      </c>
      <c r="D981" s="1">
        <v>36005</v>
      </c>
      <c r="E981">
        <v>2</v>
      </c>
      <c r="F981">
        <v>1</v>
      </c>
      <c r="G981" t="s">
        <v>2949</v>
      </c>
      <c r="H981">
        <v>2</v>
      </c>
    </row>
    <row r="982" spans="1:8" x14ac:dyDescent="0.25">
      <c r="A982" t="s">
        <v>2950</v>
      </c>
      <c r="B982" t="s">
        <v>2951</v>
      </c>
      <c r="C982" t="s">
        <v>14</v>
      </c>
      <c r="D982" s="1">
        <v>44698</v>
      </c>
      <c r="E982">
        <v>10</v>
      </c>
      <c r="F982">
        <v>1</v>
      </c>
      <c r="G982" t="s">
        <v>2952</v>
      </c>
      <c r="H982">
        <v>10</v>
      </c>
    </row>
    <row r="983" spans="1:8" x14ac:dyDescent="0.25">
      <c r="A983" t="s">
        <v>2953</v>
      </c>
      <c r="B983" t="s">
        <v>2954</v>
      </c>
      <c r="C983" t="s">
        <v>14</v>
      </c>
      <c r="D983" s="1">
        <v>44119</v>
      </c>
      <c r="E983">
        <v>5</v>
      </c>
      <c r="F983">
        <v>1</v>
      </c>
      <c r="G983" t="s">
        <v>2955</v>
      </c>
      <c r="H983">
        <v>5</v>
      </c>
    </row>
    <row r="984" spans="1:8" x14ac:dyDescent="0.25">
      <c r="A984" t="s">
        <v>2956</v>
      </c>
      <c r="B984" t="s">
        <v>2957</v>
      </c>
      <c r="C984" t="s">
        <v>14</v>
      </c>
      <c r="D984" s="1">
        <v>42072</v>
      </c>
      <c r="E984">
        <v>10</v>
      </c>
      <c r="F984">
        <v>1</v>
      </c>
      <c r="G984" t="s">
        <v>2958</v>
      </c>
      <c r="H984">
        <v>10</v>
      </c>
    </row>
    <row r="985" spans="1:8" x14ac:dyDescent="0.25">
      <c r="A985" t="s">
        <v>2959</v>
      </c>
      <c r="B985" t="s">
        <v>2960</v>
      </c>
      <c r="C985" t="s">
        <v>14</v>
      </c>
      <c r="D985" s="1">
        <v>42355</v>
      </c>
      <c r="E985">
        <v>10</v>
      </c>
      <c r="F985">
        <v>1</v>
      </c>
      <c r="G985" t="s">
        <v>2961</v>
      </c>
      <c r="H985">
        <v>10</v>
      </c>
    </row>
    <row r="986" spans="1:8" x14ac:dyDescent="0.25">
      <c r="A986" t="s">
        <v>2962</v>
      </c>
      <c r="B986" t="s">
        <v>2963</v>
      </c>
      <c r="C986" t="s">
        <v>14</v>
      </c>
      <c r="D986" s="1">
        <v>36327</v>
      </c>
      <c r="E986">
        <v>10</v>
      </c>
      <c r="F986">
        <v>1</v>
      </c>
      <c r="G986" t="s">
        <v>2964</v>
      </c>
      <c r="H986">
        <v>10</v>
      </c>
    </row>
    <row r="987" spans="1:8" x14ac:dyDescent="0.25">
      <c r="A987" t="s">
        <v>2965</v>
      </c>
      <c r="B987" t="s">
        <v>2966</v>
      </c>
      <c r="C987" t="s">
        <v>14</v>
      </c>
      <c r="D987" s="1">
        <v>42569</v>
      </c>
      <c r="E987">
        <v>1</v>
      </c>
      <c r="F987">
        <v>1</v>
      </c>
      <c r="G987" t="s">
        <v>2967</v>
      </c>
      <c r="H987">
        <v>1</v>
      </c>
    </row>
    <row r="988" spans="1:8" x14ac:dyDescent="0.25">
      <c r="A988" t="s">
        <v>2968</v>
      </c>
      <c r="B988" t="s">
        <v>2969</v>
      </c>
      <c r="C988" t="s">
        <v>14</v>
      </c>
      <c r="D988" s="1">
        <v>45124</v>
      </c>
      <c r="E988">
        <v>1</v>
      </c>
      <c r="F988">
        <v>1</v>
      </c>
      <c r="G988" t="s">
        <v>2970</v>
      </c>
      <c r="H988">
        <v>1</v>
      </c>
    </row>
    <row r="989" spans="1:8" x14ac:dyDescent="0.25">
      <c r="A989" t="s">
        <v>2971</v>
      </c>
      <c r="B989" t="s">
        <v>2972</v>
      </c>
      <c r="C989" t="s">
        <v>14</v>
      </c>
      <c r="D989" s="1">
        <v>44305</v>
      </c>
      <c r="E989">
        <v>10</v>
      </c>
      <c r="F989">
        <v>1</v>
      </c>
      <c r="G989" t="s">
        <v>2973</v>
      </c>
      <c r="H989">
        <v>10</v>
      </c>
    </row>
    <row r="990" spans="1:8" x14ac:dyDescent="0.25">
      <c r="A990" t="s">
        <v>2974</v>
      </c>
      <c r="B990" t="s">
        <v>2975</v>
      </c>
      <c r="C990" t="s">
        <v>14</v>
      </c>
      <c r="D990" s="1">
        <v>38842</v>
      </c>
      <c r="E990">
        <v>10</v>
      </c>
      <c r="F990">
        <v>1</v>
      </c>
      <c r="G990" t="s">
        <v>2976</v>
      </c>
      <c r="H990">
        <v>10</v>
      </c>
    </row>
    <row r="991" spans="1:8" x14ac:dyDescent="0.25">
      <c r="A991" t="s">
        <v>2977</v>
      </c>
      <c r="B991" t="s">
        <v>2978</v>
      </c>
      <c r="C991" t="s">
        <v>14</v>
      </c>
      <c r="D991" s="1">
        <v>45166</v>
      </c>
      <c r="E991">
        <v>10</v>
      </c>
      <c r="F991">
        <v>1</v>
      </c>
      <c r="G991" t="s">
        <v>2979</v>
      </c>
      <c r="H991">
        <v>10</v>
      </c>
    </row>
    <row r="992" spans="1:8" x14ac:dyDescent="0.25">
      <c r="A992" t="s">
        <v>2980</v>
      </c>
      <c r="B992" t="s">
        <v>2981</v>
      </c>
      <c r="C992" t="s">
        <v>14</v>
      </c>
      <c r="D992" s="1">
        <v>39640</v>
      </c>
      <c r="E992">
        <v>10</v>
      </c>
      <c r="F992">
        <v>1</v>
      </c>
      <c r="G992" t="s">
        <v>2982</v>
      </c>
      <c r="H992">
        <v>10</v>
      </c>
    </row>
    <row r="993" spans="1:8" x14ac:dyDescent="0.25">
      <c r="A993" t="s">
        <v>2983</v>
      </c>
      <c r="B993" t="s">
        <v>2984</v>
      </c>
      <c r="C993" t="s">
        <v>14</v>
      </c>
      <c r="D993" s="1">
        <v>40626</v>
      </c>
      <c r="E993">
        <v>10</v>
      </c>
      <c r="F993">
        <v>1</v>
      </c>
      <c r="G993" t="s">
        <v>2985</v>
      </c>
      <c r="H993">
        <v>10</v>
      </c>
    </row>
    <row r="994" spans="1:8" x14ac:dyDescent="0.25">
      <c r="A994" t="s">
        <v>2986</v>
      </c>
      <c r="B994" t="s">
        <v>2987</v>
      </c>
      <c r="C994" t="s">
        <v>14</v>
      </c>
      <c r="D994" s="1">
        <v>44784</v>
      </c>
      <c r="E994">
        <v>10</v>
      </c>
      <c r="F994">
        <v>1</v>
      </c>
      <c r="G994" t="s">
        <v>2988</v>
      </c>
      <c r="H994">
        <v>10</v>
      </c>
    </row>
    <row r="995" spans="1:8" x14ac:dyDescent="0.25">
      <c r="A995" t="s">
        <v>2989</v>
      </c>
      <c r="B995" t="s">
        <v>2990</v>
      </c>
      <c r="C995" t="s">
        <v>10</v>
      </c>
      <c r="D995" s="1">
        <v>39672</v>
      </c>
      <c r="E995">
        <v>1</v>
      </c>
      <c r="F995">
        <v>1</v>
      </c>
      <c r="G995" t="s">
        <v>2991</v>
      </c>
      <c r="H995">
        <v>1</v>
      </c>
    </row>
    <row r="996" spans="1:8" x14ac:dyDescent="0.25">
      <c r="A996" t="s">
        <v>2992</v>
      </c>
      <c r="B996" t="s">
        <v>2993</v>
      </c>
      <c r="C996" t="s">
        <v>14</v>
      </c>
      <c r="D996" s="1">
        <v>38161</v>
      </c>
      <c r="E996">
        <v>2</v>
      </c>
      <c r="F996">
        <v>1</v>
      </c>
      <c r="G996" t="s">
        <v>2994</v>
      </c>
      <c r="H996">
        <v>2</v>
      </c>
    </row>
    <row r="997" spans="1:8" x14ac:dyDescent="0.25">
      <c r="A997" t="s">
        <v>2995</v>
      </c>
      <c r="B997" t="s">
        <v>2996</v>
      </c>
      <c r="C997" t="s">
        <v>14</v>
      </c>
      <c r="D997" s="1">
        <v>39069</v>
      </c>
      <c r="E997">
        <v>1</v>
      </c>
      <c r="F997">
        <v>1</v>
      </c>
      <c r="G997" t="s">
        <v>2997</v>
      </c>
      <c r="H997">
        <v>1</v>
      </c>
    </row>
    <row r="998" spans="1:8" x14ac:dyDescent="0.25">
      <c r="A998" t="s">
        <v>2998</v>
      </c>
      <c r="B998" t="s">
        <v>2999</v>
      </c>
      <c r="C998" t="s">
        <v>14</v>
      </c>
      <c r="D998" s="1">
        <v>42572</v>
      </c>
      <c r="E998">
        <v>1</v>
      </c>
      <c r="F998">
        <v>1</v>
      </c>
      <c r="G998" t="s">
        <v>3000</v>
      </c>
      <c r="H998">
        <v>1</v>
      </c>
    </row>
    <row r="999" spans="1:8" x14ac:dyDescent="0.25">
      <c r="A999" t="s">
        <v>3001</v>
      </c>
      <c r="B999" t="s">
        <v>3002</v>
      </c>
      <c r="C999" t="s">
        <v>14</v>
      </c>
      <c r="D999" s="1">
        <v>42636</v>
      </c>
      <c r="E999">
        <v>2</v>
      </c>
      <c r="F999">
        <v>1</v>
      </c>
      <c r="G999" t="s">
        <v>3003</v>
      </c>
      <c r="H999">
        <v>2</v>
      </c>
    </row>
    <row r="1000" spans="1:8" x14ac:dyDescent="0.25">
      <c r="A1000" t="s">
        <v>3004</v>
      </c>
      <c r="B1000" t="s">
        <v>3005</v>
      </c>
      <c r="C1000" t="s">
        <v>14</v>
      </c>
      <c r="D1000" s="1">
        <v>34948</v>
      </c>
      <c r="E1000">
        <v>10</v>
      </c>
      <c r="F1000">
        <v>1</v>
      </c>
      <c r="G1000" t="s">
        <v>3006</v>
      </c>
      <c r="H1000">
        <v>10</v>
      </c>
    </row>
    <row r="1001" spans="1:8" x14ac:dyDescent="0.25">
      <c r="A1001" t="s">
        <v>3007</v>
      </c>
      <c r="B1001" t="s">
        <v>3008</v>
      </c>
      <c r="C1001" t="s">
        <v>14</v>
      </c>
      <c r="D1001" s="1">
        <v>39098</v>
      </c>
      <c r="E1001">
        <v>2</v>
      </c>
      <c r="F1001">
        <v>1</v>
      </c>
      <c r="G1001" t="s">
        <v>3009</v>
      </c>
      <c r="H1001">
        <v>2</v>
      </c>
    </row>
    <row r="1002" spans="1:8" x14ac:dyDescent="0.25">
      <c r="A1002" t="s">
        <v>3010</v>
      </c>
      <c r="B1002" t="s">
        <v>3011</v>
      </c>
      <c r="C1002" t="s">
        <v>14</v>
      </c>
      <c r="D1002" s="1">
        <v>37144</v>
      </c>
      <c r="E1002">
        <v>2</v>
      </c>
      <c r="F1002">
        <v>1</v>
      </c>
      <c r="G1002" t="s">
        <v>3012</v>
      </c>
      <c r="H1002">
        <v>2</v>
      </c>
    </row>
    <row r="1003" spans="1:8" x14ac:dyDescent="0.25">
      <c r="A1003" t="s">
        <v>3013</v>
      </c>
      <c r="B1003" t="s">
        <v>3014</v>
      </c>
      <c r="C1003" t="s">
        <v>14</v>
      </c>
      <c r="D1003" s="1">
        <v>42338</v>
      </c>
      <c r="E1003">
        <v>2</v>
      </c>
      <c r="F1003">
        <v>1</v>
      </c>
      <c r="G1003" t="s">
        <v>3015</v>
      </c>
      <c r="H1003">
        <v>2</v>
      </c>
    </row>
    <row r="1004" spans="1:8" x14ac:dyDescent="0.25">
      <c r="A1004" t="s">
        <v>3016</v>
      </c>
      <c r="B1004" t="s">
        <v>3017</v>
      </c>
      <c r="C1004" t="s">
        <v>14</v>
      </c>
      <c r="D1004" s="1">
        <v>44280</v>
      </c>
      <c r="E1004">
        <v>2</v>
      </c>
      <c r="F1004">
        <v>1</v>
      </c>
      <c r="G1004" t="s">
        <v>3018</v>
      </c>
      <c r="H1004">
        <v>2</v>
      </c>
    </row>
    <row r="1005" spans="1:8" x14ac:dyDescent="0.25">
      <c r="A1005" t="s">
        <v>3019</v>
      </c>
      <c r="B1005" t="s">
        <v>3020</v>
      </c>
      <c r="C1005" t="s">
        <v>14</v>
      </c>
      <c r="D1005" s="1">
        <v>34738</v>
      </c>
      <c r="E1005">
        <v>10</v>
      </c>
      <c r="F1005">
        <v>1</v>
      </c>
      <c r="G1005" t="s">
        <v>3021</v>
      </c>
      <c r="H1005">
        <v>10</v>
      </c>
    </row>
    <row r="1006" spans="1:8" x14ac:dyDescent="0.25">
      <c r="A1006" t="s">
        <v>3022</v>
      </c>
      <c r="B1006" t="s">
        <v>3023</v>
      </c>
      <c r="C1006" t="s">
        <v>14</v>
      </c>
      <c r="D1006" s="1">
        <v>41583</v>
      </c>
      <c r="E1006">
        <v>10</v>
      </c>
      <c r="F1006">
        <v>1</v>
      </c>
      <c r="G1006" t="s">
        <v>3024</v>
      </c>
      <c r="H1006">
        <v>10</v>
      </c>
    </row>
    <row r="1007" spans="1:8" x14ac:dyDescent="0.25">
      <c r="A1007" t="s">
        <v>3025</v>
      </c>
      <c r="B1007" t="s">
        <v>3026</v>
      </c>
      <c r="C1007" t="s">
        <v>14</v>
      </c>
      <c r="D1007" s="1">
        <v>35067</v>
      </c>
      <c r="E1007">
        <v>5</v>
      </c>
      <c r="F1007">
        <v>1</v>
      </c>
      <c r="G1007" t="s">
        <v>3027</v>
      </c>
      <c r="H1007">
        <v>5</v>
      </c>
    </row>
    <row r="1008" spans="1:8" x14ac:dyDescent="0.25">
      <c r="A1008" t="s">
        <v>3028</v>
      </c>
      <c r="B1008" t="s">
        <v>3029</v>
      </c>
      <c r="C1008" t="s">
        <v>14</v>
      </c>
      <c r="D1008" s="1">
        <v>38793</v>
      </c>
      <c r="E1008">
        <v>2</v>
      </c>
      <c r="F1008">
        <v>1</v>
      </c>
      <c r="G1008" t="s">
        <v>3030</v>
      </c>
      <c r="H1008">
        <v>2</v>
      </c>
    </row>
    <row r="1009" spans="1:8" x14ac:dyDescent="0.25">
      <c r="A1009" t="s">
        <v>3031</v>
      </c>
      <c r="B1009" t="s">
        <v>3032</v>
      </c>
      <c r="C1009" t="s">
        <v>14</v>
      </c>
      <c r="D1009" s="1">
        <v>39377</v>
      </c>
      <c r="E1009">
        <v>5</v>
      </c>
      <c r="F1009">
        <v>1</v>
      </c>
      <c r="G1009" t="s">
        <v>3033</v>
      </c>
      <c r="H1009">
        <v>5</v>
      </c>
    </row>
    <row r="1010" spans="1:8" x14ac:dyDescent="0.25">
      <c r="A1010" t="s">
        <v>3034</v>
      </c>
      <c r="B1010" t="s">
        <v>3035</v>
      </c>
      <c r="C1010" t="s">
        <v>10</v>
      </c>
      <c r="D1010" s="1">
        <v>44062</v>
      </c>
      <c r="E1010">
        <v>10</v>
      </c>
      <c r="F1010">
        <v>1</v>
      </c>
      <c r="G1010" t="s">
        <v>3036</v>
      </c>
      <c r="H1010">
        <v>10</v>
      </c>
    </row>
    <row r="1011" spans="1:8" x14ac:dyDescent="0.25">
      <c r="A1011" t="s">
        <v>3037</v>
      </c>
      <c r="B1011" t="s">
        <v>3038</v>
      </c>
      <c r="C1011" t="s">
        <v>14</v>
      </c>
      <c r="D1011" s="1">
        <v>39436</v>
      </c>
      <c r="E1011">
        <v>10</v>
      </c>
      <c r="F1011">
        <v>1</v>
      </c>
      <c r="G1011" t="s">
        <v>3039</v>
      </c>
      <c r="H1011">
        <v>10</v>
      </c>
    </row>
    <row r="1012" spans="1:8" x14ac:dyDescent="0.25">
      <c r="A1012" t="s">
        <v>3040</v>
      </c>
      <c r="B1012" t="s">
        <v>3041</v>
      </c>
      <c r="C1012" t="s">
        <v>14</v>
      </c>
      <c r="D1012" s="1">
        <v>38995</v>
      </c>
      <c r="E1012">
        <v>1</v>
      </c>
      <c r="F1012">
        <v>1</v>
      </c>
      <c r="G1012" t="s">
        <v>3042</v>
      </c>
      <c r="H1012">
        <v>1</v>
      </c>
    </row>
    <row r="1013" spans="1:8" x14ac:dyDescent="0.25">
      <c r="A1013" t="s">
        <v>3043</v>
      </c>
      <c r="B1013" t="s">
        <v>3044</v>
      </c>
      <c r="C1013" t="s">
        <v>14</v>
      </c>
      <c r="D1013" s="1">
        <v>35636</v>
      </c>
      <c r="E1013">
        <v>10</v>
      </c>
      <c r="F1013">
        <v>1</v>
      </c>
      <c r="G1013" t="s">
        <v>3045</v>
      </c>
      <c r="H1013">
        <v>10</v>
      </c>
    </row>
    <row r="1014" spans="1:8" x14ac:dyDescent="0.25">
      <c r="A1014" t="s">
        <v>3046</v>
      </c>
      <c r="B1014" t="s">
        <v>3047</v>
      </c>
      <c r="C1014" t="s">
        <v>14</v>
      </c>
      <c r="D1014" s="1">
        <v>42944</v>
      </c>
      <c r="E1014">
        <v>10</v>
      </c>
      <c r="F1014">
        <v>1</v>
      </c>
      <c r="G1014" t="s">
        <v>3048</v>
      </c>
      <c r="H1014">
        <v>10</v>
      </c>
    </row>
    <row r="1015" spans="1:8" x14ac:dyDescent="0.25">
      <c r="A1015" t="s">
        <v>3049</v>
      </c>
      <c r="B1015" t="s">
        <v>3050</v>
      </c>
      <c r="C1015" t="s">
        <v>10</v>
      </c>
      <c r="D1015" s="1">
        <v>39345</v>
      </c>
      <c r="E1015">
        <v>10</v>
      </c>
      <c r="F1015">
        <v>1</v>
      </c>
      <c r="G1015" t="s">
        <v>3051</v>
      </c>
      <c r="H1015">
        <v>10</v>
      </c>
    </row>
    <row r="1016" spans="1:8" x14ac:dyDescent="0.25">
      <c r="A1016" t="s">
        <v>3052</v>
      </c>
      <c r="B1016" t="s">
        <v>3053</v>
      </c>
      <c r="C1016" t="s">
        <v>14</v>
      </c>
      <c r="D1016" s="1">
        <v>38089</v>
      </c>
      <c r="E1016">
        <v>10</v>
      </c>
      <c r="F1016">
        <v>1</v>
      </c>
      <c r="G1016" t="s">
        <v>3054</v>
      </c>
      <c r="H1016">
        <v>10</v>
      </c>
    </row>
    <row r="1017" spans="1:8" x14ac:dyDescent="0.25">
      <c r="A1017" t="s">
        <v>3055</v>
      </c>
      <c r="B1017" t="s">
        <v>3056</v>
      </c>
      <c r="C1017" t="s">
        <v>14</v>
      </c>
      <c r="D1017" s="1">
        <v>35816</v>
      </c>
      <c r="E1017">
        <v>10</v>
      </c>
      <c r="F1017">
        <v>1</v>
      </c>
      <c r="G1017" t="s">
        <v>3057</v>
      </c>
      <c r="H1017">
        <v>10</v>
      </c>
    </row>
    <row r="1018" spans="1:8" x14ac:dyDescent="0.25">
      <c r="A1018" t="s">
        <v>3058</v>
      </c>
      <c r="B1018" t="s">
        <v>3059</v>
      </c>
      <c r="C1018" t="s">
        <v>14</v>
      </c>
      <c r="D1018" s="1">
        <v>42552</v>
      </c>
      <c r="E1018">
        <v>10</v>
      </c>
      <c r="F1018">
        <v>1</v>
      </c>
      <c r="G1018" t="s">
        <v>3060</v>
      </c>
      <c r="H1018">
        <v>10</v>
      </c>
    </row>
    <row r="1019" spans="1:8" x14ac:dyDescent="0.25">
      <c r="A1019" t="s">
        <v>3061</v>
      </c>
      <c r="B1019" t="s">
        <v>3062</v>
      </c>
      <c r="C1019" t="s">
        <v>14</v>
      </c>
      <c r="D1019" s="1">
        <v>43875</v>
      </c>
      <c r="E1019">
        <v>10</v>
      </c>
      <c r="F1019">
        <v>1</v>
      </c>
      <c r="G1019" t="s">
        <v>3063</v>
      </c>
      <c r="H1019">
        <v>10</v>
      </c>
    </row>
    <row r="1020" spans="1:8" x14ac:dyDescent="0.25">
      <c r="A1020" t="s">
        <v>3064</v>
      </c>
      <c r="B1020" t="s">
        <v>3065</v>
      </c>
      <c r="C1020" t="s">
        <v>14</v>
      </c>
      <c r="D1020" s="1">
        <v>43570</v>
      </c>
      <c r="E1020">
        <v>10</v>
      </c>
      <c r="F1020">
        <v>1</v>
      </c>
      <c r="G1020" t="s">
        <v>3066</v>
      </c>
      <c r="H1020">
        <v>10</v>
      </c>
    </row>
    <row r="1021" spans="1:8" x14ac:dyDescent="0.25">
      <c r="A1021" t="s">
        <v>3067</v>
      </c>
      <c r="B1021" t="s">
        <v>3068</v>
      </c>
      <c r="C1021" t="s">
        <v>14</v>
      </c>
      <c r="D1021" s="1">
        <v>36656</v>
      </c>
      <c r="E1021">
        <v>10</v>
      </c>
      <c r="F1021">
        <v>1</v>
      </c>
      <c r="G1021" t="s">
        <v>3069</v>
      </c>
      <c r="H1021">
        <v>10</v>
      </c>
    </row>
    <row r="1022" spans="1:8" x14ac:dyDescent="0.25">
      <c r="A1022" t="s">
        <v>3070</v>
      </c>
      <c r="B1022" t="s">
        <v>3071</v>
      </c>
      <c r="C1022" t="s">
        <v>14</v>
      </c>
      <c r="D1022" s="1">
        <v>43049</v>
      </c>
      <c r="E1022">
        <v>10</v>
      </c>
      <c r="F1022">
        <v>1</v>
      </c>
      <c r="G1022" t="s">
        <v>3072</v>
      </c>
      <c r="H1022">
        <v>10</v>
      </c>
    </row>
    <row r="1023" spans="1:8" x14ac:dyDescent="0.25">
      <c r="A1023" t="s">
        <v>3073</v>
      </c>
      <c r="B1023" t="s">
        <v>3074</v>
      </c>
      <c r="C1023" t="s">
        <v>14</v>
      </c>
      <c r="D1023" s="1">
        <v>34738</v>
      </c>
      <c r="E1023">
        <v>10</v>
      </c>
      <c r="F1023">
        <v>1</v>
      </c>
      <c r="G1023" t="s">
        <v>3075</v>
      </c>
      <c r="H1023">
        <v>10</v>
      </c>
    </row>
    <row r="1024" spans="1:8" x14ac:dyDescent="0.25">
      <c r="A1024" t="s">
        <v>3076</v>
      </c>
      <c r="B1024" t="s">
        <v>3077</v>
      </c>
      <c r="C1024" t="s">
        <v>14</v>
      </c>
      <c r="D1024" s="1">
        <v>38224</v>
      </c>
      <c r="E1024">
        <v>5</v>
      </c>
      <c r="F1024">
        <v>1</v>
      </c>
      <c r="G1024" t="s">
        <v>3078</v>
      </c>
      <c r="H1024">
        <v>5</v>
      </c>
    </row>
    <row r="1025" spans="1:8" x14ac:dyDescent="0.25">
      <c r="A1025" t="s">
        <v>3079</v>
      </c>
      <c r="B1025" t="s">
        <v>3080</v>
      </c>
      <c r="C1025" t="s">
        <v>14</v>
      </c>
      <c r="D1025" s="1">
        <v>40729</v>
      </c>
      <c r="E1025">
        <v>10</v>
      </c>
      <c r="F1025">
        <v>1</v>
      </c>
      <c r="G1025" t="s">
        <v>3081</v>
      </c>
      <c r="H1025">
        <v>10</v>
      </c>
    </row>
    <row r="1026" spans="1:8" x14ac:dyDescent="0.25">
      <c r="A1026" t="s">
        <v>3082</v>
      </c>
      <c r="B1026" t="s">
        <v>3083</v>
      </c>
      <c r="C1026" t="s">
        <v>14</v>
      </c>
      <c r="D1026" s="1">
        <v>44594</v>
      </c>
      <c r="E1026">
        <v>10</v>
      </c>
      <c r="F1026">
        <v>1</v>
      </c>
      <c r="G1026" t="s">
        <v>3084</v>
      </c>
      <c r="H1026">
        <v>10</v>
      </c>
    </row>
    <row r="1027" spans="1:8" x14ac:dyDescent="0.25">
      <c r="A1027" t="s">
        <v>3085</v>
      </c>
      <c r="B1027" t="s">
        <v>3086</v>
      </c>
      <c r="C1027" t="s">
        <v>14</v>
      </c>
      <c r="D1027" s="1">
        <v>38812</v>
      </c>
      <c r="E1027">
        <v>10</v>
      </c>
      <c r="F1027">
        <v>1</v>
      </c>
      <c r="G1027" t="s">
        <v>3087</v>
      </c>
      <c r="H1027">
        <v>10</v>
      </c>
    </row>
    <row r="1028" spans="1:8" x14ac:dyDescent="0.25">
      <c r="A1028" t="s">
        <v>3088</v>
      </c>
      <c r="B1028" t="s">
        <v>3089</v>
      </c>
      <c r="C1028" t="s">
        <v>14</v>
      </c>
      <c r="D1028" s="1">
        <v>42093</v>
      </c>
      <c r="E1028">
        <v>1</v>
      </c>
      <c r="F1028">
        <v>1</v>
      </c>
      <c r="G1028" t="s">
        <v>3090</v>
      </c>
      <c r="H1028">
        <v>1</v>
      </c>
    </row>
    <row r="1029" spans="1:8" x14ac:dyDescent="0.25">
      <c r="A1029" t="s">
        <v>3091</v>
      </c>
      <c r="B1029" t="s">
        <v>3092</v>
      </c>
      <c r="C1029" t="s">
        <v>10</v>
      </c>
      <c r="D1029" s="1">
        <v>42093</v>
      </c>
      <c r="E1029">
        <v>1</v>
      </c>
      <c r="F1029">
        <v>1</v>
      </c>
      <c r="G1029" t="s">
        <v>3093</v>
      </c>
      <c r="H1029">
        <v>1</v>
      </c>
    </row>
    <row r="1030" spans="1:8" x14ac:dyDescent="0.25">
      <c r="A1030" t="s">
        <v>3094</v>
      </c>
      <c r="B1030" t="s">
        <v>3095</v>
      </c>
      <c r="C1030" t="s">
        <v>14</v>
      </c>
      <c r="D1030" s="1">
        <v>39455</v>
      </c>
      <c r="E1030">
        <v>2</v>
      </c>
      <c r="F1030">
        <v>1</v>
      </c>
      <c r="G1030" t="s">
        <v>3096</v>
      </c>
      <c r="H1030">
        <v>2</v>
      </c>
    </row>
    <row r="1031" spans="1:8" x14ac:dyDescent="0.25">
      <c r="A1031" t="s">
        <v>3097</v>
      </c>
      <c r="B1031" t="s">
        <v>3098</v>
      </c>
      <c r="C1031" t="s">
        <v>14</v>
      </c>
      <c r="D1031" s="1">
        <v>42093</v>
      </c>
      <c r="E1031">
        <v>1</v>
      </c>
      <c r="F1031">
        <v>1</v>
      </c>
      <c r="G1031" t="s">
        <v>3099</v>
      </c>
      <c r="H1031">
        <v>1</v>
      </c>
    </row>
    <row r="1032" spans="1:8" x14ac:dyDescent="0.25">
      <c r="A1032" t="s">
        <v>3100</v>
      </c>
      <c r="B1032" t="s">
        <v>3101</v>
      </c>
      <c r="C1032" t="s">
        <v>14</v>
      </c>
      <c r="D1032" s="1">
        <v>39057</v>
      </c>
      <c r="E1032">
        <v>5</v>
      </c>
      <c r="F1032">
        <v>1</v>
      </c>
      <c r="G1032" t="s">
        <v>3102</v>
      </c>
      <c r="H1032">
        <v>5</v>
      </c>
    </row>
    <row r="1033" spans="1:8" x14ac:dyDescent="0.25">
      <c r="A1033" t="s">
        <v>3103</v>
      </c>
      <c r="B1033" t="s">
        <v>3104</v>
      </c>
      <c r="C1033" t="s">
        <v>14</v>
      </c>
      <c r="D1033" s="1">
        <v>41974</v>
      </c>
      <c r="E1033">
        <v>2</v>
      </c>
      <c r="F1033">
        <v>1</v>
      </c>
      <c r="G1033" t="s">
        <v>3105</v>
      </c>
      <c r="H1033">
        <v>2</v>
      </c>
    </row>
    <row r="1034" spans="1:8" x14ac:dyDescent="0.25">
      <c r="A1034" t="s">
        <v>3106</v>
      </c>
      <c r="B1034" t="s">
        <v>3107</v>
      </c>
      <c r="C1034" t="s">
        <v>14</v>
      </c>
      <c r="D1034" s="1">
        <v>38495</v>
      </c>
      <c r="E1034">
        <v>10</v>
      </c>
      <c r="F1034">
        <v>1</v>
      </c>
      <c r="G1034" t="s">
        <v>3108</v>
      </c>
      <c r="H1034">
        <v>10</v>
      </c>
    </row>
    <row r="1035" spans="1:8" x14ac:dyDescent="0.25">
      <c r="A1035" t="s">
        <v>3109</v>
      </c>
      <c r="B1035" t="s">
        <v>3110</v>
      </c>
      <c r="C1035" t="s">
        <v>14</v>
      </c>
      <c r="D1035" s="1">
        <v>39377</v>
      </c>
      <c r="E1035">
        <v>10</v>
      </c>
      <c r="F1035">
        <v>1</v>
      </c>
      <c r="G1035" t="s">
        <v>3111</v>
      </c>
      <c r="H1035">
        <v>10</v>
      </c>
    </row>
    <row r="1036" spans="1:8" x14ac:dyDescent="0.25">
      <c r="A1036" t="s">
        <v>3112</v>
      </c>
      <c r="B1036" t="s">
        <v>3113</v>
      </c>
      <c r="C1036" t="s">
        <v>14</v>
      </c>
      <c r="D1036" s="1">
        <v>35067</v>
      </c>
      <c r="E1036">
        <v>10</v>
      </c>
      <c r="F1036">
        <v>1</v>
      </c>
      <c r="G1036" t="s">
        <v>3114</v>
      </c>
      <c r="H1036">
        <v>10</v>
      </c>
    </row>
    <row r="1037" spans="1:8" x14ac:dyDescent="0.25">
      <c r="A1037" t="s">
        <v>3115</v>
      </c>
      <c r="B1037" t="s">
        <v>3116</v>
      </c>
      <c r="C1037" t="s">
        <v>14</v>
      </c>
      <c r="D1037" s="1">
        <v>38527</v>
      </c>
      <c r="E1037">
        <v>5</v>
      </c>
      <c r="F1037">
        <v>1</v>
      </c>
      <c r="G1037" t="s">
        <v>3117</v>
      </c>
      <c r="H1037">
        <v>5</v>
      </c>
    </row>
    <row r="1038" spans="1:8" x14ac:dyDescent="0.25">
      <c r="A1038" t="s">
        <v>3118</v>
      </c>
      <c r="B1038" t="s">
        <v>3119</v>
      </c>
      <c r="C1038" t="s">
        <v>14</v>
      </c>
      <c r="D1038" s="1">
        <v>40248</v>
      </c>
      <c r="E1038">
        <v>2</v>
      </c>
      <c r="F1038">
        <v>1</v>
      </c>
      <c r="G1038" t="s">
        <v>3120</v>
      </c>
      <c r="H1038">
        <v>2</v>
      </c>
    </row>
    <row r="1039" spans="1:8" x14ac:dyDescent="0.25">
      <c r="A1039" t="s">
        <v>3121</v>
      </c>
      <c r="B1039" t="s">
        <v>3122</v>
      </c>
      <c r="C1039" t="s">
        <v>14</v>
      </c>
      <c r="D1039" s="1">
        <v>45055</v>
      </c>
      <c r="E1039">
        <v>1</v>
      </c>
      <c r="F1039">
        <v>1</v>
      </c>
      <c r="G1039" t="s">
        <v>3123</v>
      </c>
      <c r="H1039">
        <v>1</v>
      </c>
    </row>
    <row r="1040" spans="1:8" x14ac:dyDescent="0.25">
      <c r="A1040" t="s">
        <v>3124</v>
      </c>
      <c r="B1040" t="s">
        <v>3125</v>
      </c>
      <c r="C1040" t="s">
        <v>14</v>
      </c>
      <c r="D1040" s="1">
        <v>44944</v>
      </c>
      <c r="E1040">
        <v>10</v>
      </c>
      <c r="F1040">
        <v>1</v>
      </c>
      <c r="G1040" t="s">
        <v>3126</v>
      </c>
      <c r="H1040">
        <v>10</v>
      </c>
    </row>
    <row r="1041" spans="1:8" x14ac:dyDescent="0.25">
      <c r="A1041" t="s">
        <v>3127</v>
      </c>
      <c r="B1041" t="s">
        <v>3128</v>
      </c>
      <c r="C1041" t="s">
        <v>14</v>
      </c>
      <c r="D1041" s="1">
        <v>44743</v>
      </c>
      <c r="E1041">
        <v>10</v>
      </c>
      <c r="F1041">
        <v>1</v>
      </c>
      <c r="G1041" t="s">
        <v>3129</v>
      </c>
      <c r="H1041">
        <v>10</v>
      </c>
    </row>
    <row r="1042" spans="1:8" x14ac:dyDescent="0.25">
      <c r="A1042" t="s">
        <v>3130</v>
      </c>
      <c r="B1042" t="s">
        <v>3131</v>
      </c>
      <c r="C1042" t="s">
        <v>14</v>
      </c>
      <c r="D1042" s="1">
        <v>44502</v>
      </c>
      <c r="E1042">
        <v>10</v>
      </c>
      <c r="F1042">
        <v>1</v>
      </c>
      <c r="G1042" t="s">
        <v>3132</v>
      </c>
      <c r="H1042">
        <v>10</v>
      </c>
    </row>
    <row r="1043" spans="1:8" x14ac:dyDescent="0.25">
      <c r="A1043" t="s">
        <v>3133</v>
      </c>
      <c r="B1043" t="s">
        <v>3134</v>
      </c>
      <c r="C1043" t="s">
        <v>10</v>
      </c>
      <c r="D1043" s="1">
        <v>38974</v>
      </c>
      <c r="E1043">
        <v>2</v>
      </c>
      <c r="F1043">
        <v>1</v>
      </c>
      <c r="G1043" t="s">
        <v>3135</v>
      </c>
      <c r="H1043">
        <v>2</v>
      </c>
    </row>
    <row r="1044" spans="1:8" x14ac:dyDescent="0.25">
      <c r="A1044" t="s">
        <v>3136</v>
      </c>
      <c r="B1044" t="s">
        <v>3137</v>
      </c>
      <c r="C1044" t="s">
        <v>14</v>
      </c>
      <c r="D1044" s="1">
        <v>44608</v>
      </c>
      <c r="E1044">
        <v>1</v>
      </c>
      <c r="F1044">
        <v>1</v>
      </c>
      <c r="G1044" t="s">
        <v>3138</v>
      </c>
      <c r="H1044">
        <v>1</v>
      </c>
    </row>
    <row r="1045" spans="1:8" x14ac:dyDescent="0.25">
      <c r="A1045" t="s">
        <v>3139</v>
      </c>
      <c r="B1045" t="s">
        <v>3140</v>
      </c>
      <c r="C1045" t="s">
        <v>14</v>
      </c>
      <c r="D1045" s="1">
        <v>44551</v>
      </c>
      <c r="E1045">
        <v>2</v>
      </c>
      <c r="F1045">
        <v>1</v>
      </c>
      <c r="G1045" t="s">
        <v>3141</v>
      </c>
      <c r="H1045">
        <v>2</v>
      </c>
    </row>
    <row r="1046" spans="1:8" x14ac:dyDescent="0.25">
      <c r="A1046" t="s">
        <v>3142</v>
      </c>
      <c r="B1046" t="s">
        <v>3143</v>
      </c>
      <c r="C1046" t="s">
        <v>14</v>
      </c>
      <c r="D1046" s="1">
        <v>34738</v>
      </c>
      <c r="E1046">
        <v>10</v>
      </c>
      <c r="F1046">
        <v>1</v>
      </c>
      <c r="G1046" t="s">
        <v>3144</v>
      </c>
      <c r="H1046">
        <v>10</v>
      </c>
    </row>
    <row r="1047" spans="1:8" x14ac:dyDescent="0.25">
      <c r="A1047" t="s">
        <v>3145</v>
      </c>
      <c r="B1047" t="s">
        <v>3146</v>
      </c>
      <c r="C1047" t="s">
        <v>14</v>
      </c>
      <c r="D1047" s="1">
        <v>42642</v>
      </c>
      <c r="E1047">
        <v>5</v>
      </c>
      <c r="F1047">
        <v>1</v>
      </c>
      <c r="G1047" t="s">
        <v>3147</v>
      </c>
      <c r="H1047">
        <v>5</v>
      </c>
    </row>
    <row r="1048" spans="1:8" x14ac:dyDescent="0.25">
      <c r="A1048" t="s">
        <v>3148</v>
      </c>
      <c r="B1048" t="s">
        <v>3149</v>
      </c>
      <c r="C1048" t="s">
        <v>14</v>
      </c>
      <c r="D1048" s="1">
        <v>35186</v>
      </c>
      <c r="E1048">
        <v>1</v>
      </c>
      <c r="F1048">
        <v>1</v>
      </c>
      <c r="G1048" t="s">
        <v>3150</v>
      </c>
      <c r="H1048">
        <v>1</v>
      </c>
    </row>
    <row r="1049" spans="1:8" x14ac:dyDescent="0.25">
      <c r="A1049" t="s">
        <v>3151</v>
      </c>
      <c r="B1049" t="s">
        <v>3152</v>
      </c>
      <c r="C1049" t="s">
        <v>10</v>
      </c>
      <c r="D1049" s="1">
        <v>44167</v>
      </c>
      <c r="E1049">
        <v>2</v>
      </c>
      <c r="F1049">
        <v>1</v>
      </c>
      <c r="G1049" t="s">
        <v>3153</v>
      </c>
      <c r="H1049">
        <v>2</v>
      </c>
    </row>
    <row r="1050" spans="1:8" x14ac:dyDescent="0.25">
      <c r="A1050" t="s">
        <v>3154</v>
      </c>
      <c r="B1050" t="s">
        <v>3155</v>
      </c>
      <c r="C1050" t="s">
        <v>14</v>
      </c>
      <c r="D1050" s="1">
        <v>37277</v>
      </c>
      <c r="E1050">
        <v>1</v>
      </c>
      <c r="F1050">
        <v>1</v>
      </c>
      <c r="G1050" t="s">
        <v>3156</v>
      </c>
      <c r="H1050">
        <v>1</v>
      </c>
    </row>
    <row r="1051" spans="1:8" x14ac:dyDescent="0.25">
      <c r="A1051" t="s">
        <v>3157</v>
      </c>
      <c r="B1051" t="s">
        <v>3158</v>
      </c>
      <c r="C1051" t="s">
        <v>14</v>
      </c>
      <c r="D1051" s="1">
        <v>44522</v>
      </c>
      <c r="E1051">
        <v>10</v>
      </c>
      <c r="F1051">
        <v>1</v>
      </c>
      <c r="G1051" t="s">
        <v>3159</v>
      </c>
      <c r="H1051">
        <v>10</v>
      </c>
    </row>
    <row r="1052" spans="1:8" x14ac:dyDescent="0.25">
      <c r="A1052" t="s">
        <v>3160</v>
      </c>
      <c r="B1052" t="s">
        <v>3161</v>
      </c>
      <c r="C1052" t="s">
        <v>14</v>
      </c>
      <c r="D1052" s="1">
        <v>37811</v>
      </c>
      <c r="E1052">
        <v>5</v>
      </c>
      <c r="F1052">
        <v>1</v>
      </c>
      <c r="G1052" t="s">
        <v>3162</v>
      </c>
      <c r="H1052">
        <v>5</v>
      </c>
    </row>
    <row r="1053" spans="1:8" x14ac:dyDescent="0.25">
      <c r="A1053" t="s">
        <v>3163</v>
      </c>
      <c r="B1053" t="s">
        <v>3164</v>
      </c>
      <c r="C1053" t="s">
        <v>14</v>
      </c>
      <c r="D1053" s="1">
        <v>43026</v>
      </c>
      <c r="E1053">
        <v>10</v>
      </c>
      <c r="F1053">
        <v>1</v>
      </c>
      <c r="G1053" t="s">
        <v>3165</v>
      </c>
      <c r="H1053">
        <v>10</v>
      </c>
    </row>
    <row r="1054" spans="1:8" x14ac:dyDescent="0.25">
      <c r="A1054" t="s">
        <v>3166</v>
      </c>
      <c r="B1054" t="s">
        <v>3167</v>
      </c>
      <c r="C1054" t="s">
        <v>10</v>
      </c>
      <c r="D1054" s="1">
        <v>42657</v>
      </c>
      <c r="E1054">
        <v>10</v>
      </c>
      <c r="F1054">
        <v>1</v>
      </c>
      <c r="G1054" t="s">
        <v>3168</v>
      </c>
      <c r="H1054">
        <v>10</v>
      </c>
    </row>
    <row r="1055" spans="1:8" x14ac:dyDescent="0.25">
      <c r="A1055" t="s">
        <v>3169</v>
      </c>
      <c r="B1055" t="s">
        <v>3170</v>
      </c>
      <c r="C1055" t="s">
        <v>14</v>
      </c>
      <c r="D1055" s="1">
        <v>34829</v>
      </c>
      <c r="E1055">
        <v>5</v>
      </c>
      <c r="F1055">
        <v>1</v>
      </c>
      <c r="G1055" t="s">
        <v>3171</v>
      </c>
      <c r="H1055">
        <v>5</v>
      </c>
    </row>
    <row r="1056" spans="1:8" x14ac:dyDescent="0.25">
      <c r="A1056" t="s">
        <v>3172</v>
      </c>
      <c r="B1056" t="s">
        <v>3173</v>
      </c>
      <c r="C1056" t="s">
        <v>14</v>
      </c>
      <c r="D1056" s="1">
        <v>42999</v>
      </c>
      <c r="E1056">
        <v>5</v>
      </c>
      <c r="F1056">
        <v>1</v>
      </c>
      <c r="G1056" t="s">
        <v>3174</v>
      </c>
      <c r="H1056">
        <v>5</v>
      </c>
    </row>
    <row r="1057" spans="1:8" x14ac:dyDescent="0.25">
      <c r="A1057" t="s">
        <v>3175</v>
      </c>
      <c r="B1057" t="s">
        <v>3176</v>
      </c>
      <c r="C1057" t="s">
        <v>14</v>
      </c>
      <c r="D1057" s="1">
        <v>39892</v>
      </c>
      <c r="E1057">
        <v>10</v>
      </c>
      <c r="F1057">
        <v>1</v>
      </c>
      <c r="G1057" t="s">
        <v>3177</v>
      </c>
      <c r="H1057">
        <v>10</v>
      </c>
    </row>
    <row r="1058" spans="1:8" x14ac:dyDescent="0.25">
      <c r="A1058" t="s">
        <v>3178</v>
      </c>
      <c r="B1058" t="s">
        <v>3179</v>
      </c>
      <c r="C1058" t="s">
        <v>10</v>
      </c>
      <c r="D1058" s="1">
        <v>45229</v>
      </c>
      <c r="E1058">
        <v>10</v>
      </c>
      <c r="F1058">
        <v>1</v>
      </c>
      <c r="G1058" t="s">
        <v>3180</v>
      </c>
      <c r="H1058">
        <v>10</v>
      </c>
    </row>
    <row r="1059" spans="1:8" x14ac:dyDescent="0.25">
      <c r="A1059" t="s">
        <v>3181</v>
      </c>
      <c r="B1059" t="s">
        <v>3182</v>
      </c>
      <c r="C1059" t="s">
        <v>14</v>
      </c>
      <c r="D1059" s="1">
        <v>44064</v>
      </c>
      <c r="E1059">
        <v>10</v>
      </c>
      <c r="F1059">
        <v>1</v>
      </c>
      <c r="G1059" t="s">
        <v>3183</v>
      </c>
      <c r="H1059">
        <v>10</v>
      </c>
    </row>
    <row r="1060" spans="1:8" x14ac:dyDescent="0.25">
      <c r="A1060" t="s">
        <v>3184</v>
      </c>
      <c r="B1060" t="s">
        <v>3185</v>
      </c>
      <c r="C1060" t="s">
        <v>14</v>
      </c>
      <c r="D1060" s="1">
        <v>44071</v>
      </c>
      <c r="E1060">
        <v>10</v>
      </c>
      <c r="F1060">
        <v>1</v>
      </c>
      <c r="G1060" t="s">
        <v>3186</v>
      </c>
      <c r="H1060">
        <v>10</v>
      </c>
    </row>
    <row r="1061" spans="1:8" x14ac:dyDescent="0.25">
      <c r="A1061" t="s">
        <v>3187</v>
      </c>
      <c r="B1061" t="s">
        <v>3188</v>
      </c>
      <c r="C1061" t="s">
        <v>14</v>
      </c>
      <c r="D1061" s="1">
        <v>41177</v>
      </c>
      <c r="E1061">
        <v>5</v>
      </c>
      <c r="F1061">
        <v>1</v>
      </c>
      <c r="G1061" t="s">
        <v>3189</v>
      </c>
      <c r="H1061">
        <v>5</v>
      </c>
    </row>
    <row r="1062" spans="1:8" x14ac:dyDescent="0.25">
      <c r="A1062" t="s">
        <v>3190</v>
      </c>
      <c r="B1062" t="s">
        <v>3191</v>
      </c>
      <c r="C1062" t="s">
        <v>14</v>
      </c>
      <c r="D1062" s="1">
        <v>42675</v>
      </c>
      <c r="E1062">
        <v>10</v>
      </c>
      <c r="F1062">
        <v>1</v>
      </c>
      <c r="G1062" t="s">
        <v>3192</v>
      </c>
      <c r="H1062">
        <v>10</v>
      </c>
    </row>
    <row r="1063" spans="1:8" x14ac:dyDescent="0.25">
      <c r="A1063" t="s">
        <v>3193</v>
      </c>
      <c r="B1063" t="s">
        <v>3194</v>
      </c>
      <c r="C1063" t="s">
        <v>14</v>
      </c>
      <c r="D1063" s="1">
        <v>44116</v>
      </c>
      <c r="E1063">
        <v>10</v>
      </c>
      <c r="F1063">
        <v>1</v>
      </c>
      <c r="G1063" t="s">
        <v>3195</v>
      </c>
      <c r="H1063">
        <v>10</v>
      </c>
    </row>
    <row r="1064" spans="1:8" x14ac:dyDescent="0.25">
      <c r="A1064" t="s">
        <v>3196</v>
      </c>
      <c r="B1064" t="s">
        <v>3197</v>
      </c>
      <c r="C1064" t="s">
        <v>14</v>
      </c>
      <c r="D1064" s="1">
        <v>43699</v>
      </c>
      <c r="E1064">
        <v>10</v>
      </c>
      <c r="F1064">
        <v>1</v>
      </c>
      <c r="G1064" t="s">
        <v>3198</v>
      </c>
      <c r="H1064">
        <v>10</v>
      </c>
    </row>
    <row r="1065" spans="1:8" x14ac:dyDescent="0.25">
      <c r="A1065" t="s">
        <v>3199</v>
      </c>
      <c r="B1065" t="s">
        <v>3200</v>
      </c>
      <c r="C1065" t="s">
        <v>14</v>
      </c>
      <c r="D1065" s="1">
        <v>40189</v>
      </c>
      <c r="E1065">
        <v>10</v>
      </c>
      <c r="F1065">
        <v>1</v>
      </c>
      <c r="G1065" t="s">
        <v>3201</v>
      </c>
      <c r="H1065">
        <v>10</v>
      </c>
    </row>
    <row r="1066" spans="1:8" x14ac:dyDescent="0.25">
      <c r="A1066" t="s">
        <v>3202</v>
      </c>
      <c r="B1066" t="s">
        <v>3203</v>
      </c>
      <c r="C1066" t="s">
        <v>14</v>
      </c>
      <c r="D1066" s="1">
        <v>37161</v>
      </c>
      <c r="E1066">
        <v>2</v>
      </c>
      <c r="F1066">
        <v>1</v>
      </c>
      <c r="G1066" t="s">
        <v>3204</v>
      </c>
      <c r="H1066">
        <v>2</v>
      </c>
    </row>
    <row r="1067" spans="1:8" x14ac:dyDescent="0.25">
      <c r="A1067" t="s">
        <v>3205</v>
      </c>
      <c r="B1067" t="s">
        <v>3206</v>
      </c>
      <c r="C1067" t="s">
        <v>14</v>
      </c>
      <c r="D1067" s="1">
        <v>44062</v>
      </c>
      <c r="E1067">
        <v>5</v>
      </c>
      <c r="F1067">
        <v>1</v>
      </c>
      <c r="G1067" t="s">
        <v>3207</v>
      </c>
      <c r="H1067">
        <v>5</v>
      </c>
    </row>
    <row r="1068" spans="1:8" x14ac:dyDescent="0.25">
      <c r="A1068" t="s">
        <v>3208</v>
      </c>
      <c r="B1068" t="s">
        <v>3209</v>
      </c>
      <c r="C1068" t="s">
        <v>14</v>
      </c>
      <c r="D1068" s="1">
        <v>38562</v>
      </c>
      <c r="E1068">
        <v>5</v>
      </c>
      <c r="F1068">
        <v>1</v>
      </c>
      <c r="G1068" t="s">
        <v>3210</v>
      </c>
      <c r="H1068">
        <v>5</v>
      </c>
    </row>
    <row r="1069" spans="1:8" x14ac:dyDescent="0.25">
      <c r="A1069" t="s">
        <v>3211</v>
      </c>
      <c r="B1069" t="s">
        <v>3212</v>
      </c>
      <c r="C1069" t="s">
        <v>14</v>
      </c>
      <c r="D1069" s="1">
        <v>40977</v>
      </c>
      <c r="E1069">
        <v>10</v>
      </c>
      <c r="F1069">
        <v>1</v>
      </c>
      <c r="G1069" t="s">
        <v>3213</v>
      </c>
      <c r="H1069">
        <v>10</v>
      </c>
    </row>
    <row r="1070" spans="1:8" x14ac:dyDescent="0.25">
      <c r="A1070" t="s">
        <v>3214</v>
      </c>
      <c r="B1070" t="s">
        <v>3215</v>
      </c>
      <c r="C1070" t="s">
        <v>14</v>
      </c>
      <c r="D1070" s="1">
        <v>44881</v>
      </c>
      <c r="E1070">
        <v>2</v>
      </c>
      <c r="F1070">
        <v>1</v>
      </c>
      <c r="G1070" t="s">
        <v>3216</v>
      </c>
      <c r="H1070">
        <v>2</v>
      </c>
    </row>
    <row r="1071" spans="1:8" x14ac:dyDescent="0.25">
      <c r="A1071" t="s">
        <v>3217</v>
      </c>
      <c r="B1071" t="s">
        <v>3218</v>
      </c>
      <c r="C1071" t="s">
        <v>14</v>
      </c>
      <c r="D1071" s="1">
        <v>44496</v>
      </c>
      <c r="E1071">
        <v>10</v>
      </c>
      <c r="F1071">
        <v>1</v>
      </c>
      <c r="G1071" t="s">
        <v>3219</v>
      </c>
      <c r="H1071">
        <v>10</v>
      </c>
    </row>
    <row r="1072" spans="1:8" x14ac:dyDescent="0.25">
      <c r="A1072" t="s">
        <v>3220</v>
      </c>
      <c r="B1072" t="s">
        <v>3221</v>
      </c>
      <c r="C1072" t="s">
        <v>14</v>
      </c>
      <c r="D1072" s="1">
        <v>44707</v>
      </c>
      <c r="E1072">
        <v>2</v>
      </c>
      <c r="F1072">
        <v>1</v>
      </c>
      <c r="G1072" t="s">
        <v>3222</v>
      </c>
      <c r="H1072">
        <v>2</v>
      </c>
    </row>
    <row r="1073" spans="1:8" x14ac:dyDescent="0.25">
      <c r="A1073" t="s">
        <v>3223</v>
      </c>
      <c r="B1073" t="s">
        <v>3224</v>
      </c>
      <c r="C1073" t="s">
        <v>14</v>
      </c>
      <c r="D1073" s="1">
        <v>44553</v>
      </c>
      <c r="E1073">
        <v>2</v>
      </c>
      <c r="F1073">
        <v>1</v>
      </c>
      <c r="G1073" t="s">
        <v>3225</v>
      </c>
      <c r="H1073">
        <v>2</v>
      </c>
    </row>
    <row r="1074" spans="1:8" x14ac:dyDescent="0.25">
      <c r="A1074" t="s">
        <v>3226</v>
      </c>
      <c r="B1074" t="s">
        <v>3227</v>
      </c>
      <c r="C1074" t="s">
        <v>10</v>
      </c>
      <c r="D1074" s="1">
        <v>39282</v>
      </c>
      <c r="E1074">
        <v>10</v>
      </c>
      <c r="F1074">
        <v>1</v>
      </c>
      <c r="G1074" t="s">
        <v>3228</v>
      </c>
      <c r="H1074">
        <v>10</v>
      </c>
    </row>
    <row r="1075" spans="1:8" x14ac:dyDescent="0.25">
      <c r="A1075" t="s">
        <v>3229</v>
      </c>
      <c r="B1075" t="s">
        <v>3230</v>
      </c>
      <c r="C1075" t="s">
        <v>14</v>
      </c>
      <c r="D1075" s="1">
        <v>44608</v>
      </c>
      <c r="E1075">
        <v>10</v>
      </c>
      <c r="F1075">
        <v>1</v>
      </c>
      <c r="G1075" t="s">
        <v>3231</v>
      </c>
      <c r="H1075">
        <v>10</v>
      </c>
    </row>
    <row r="1076" spans="1:8" x14ac:dyDescent="0.25">
      <c r="A1076" t="s">
        <v>3232</v>
      </c>
      <c r="B1076" t="s">
        <v>3233</v>
      </c>
      <c r="C1076" t="s">
        <v>786</v>
      </c>
      <c r="D1076" s="1">
        <v>36592</v>
      </c>
      <c r="E1076">
        <v>10</v>
      </c>
      <c r="F1076">
        <v>1</v>
      </c>
      <c r="G1076" t="s">
        <v>3234</v>
      </c>
      <c r="H1076">
        <v>10</v>
      </c>
    </row>
    <row r="1077" spans="1:8" x14ac:dyDescent="0.25">
      <c r="A1077" t="s">
        <v>3235</v>
      </c>
      <c r="B1077" t="s">
        <v>3236</v>
      </c>
      <c r="C1077" t="s">
        <v>14</v>
      </c>
      <c r="D1077" s="1">
        <v>42072</v>
      </c>
      <c r="E1077">
        <v>1</v>
      </c>
      <c r="F1077">
        <v>1</v>
      </c>
      <c r="G1077" t="s">
        <v>3237</v>
      </c>
      <c r="H1077">
        <v>1</v>
      </c>
    </row>
    <row r="1078" spans="1:8" x14ac:dyDescent="0.25">
      <c r="A1078" t="s">
        <v>3238</v>
      </c>
      <c r="B1078" t="s">
        <v>3239</v>
      </c>
      <c r="C1078" t="s">
        <v>14</v>
      </c>
      <c r="D1078" s="1">
        <v>42130</v>
      </c>
      <c r="E1078">
        <v>10</v>
      </c>
      <c r="F1078">
        <v>1</v>
      </c>
      <c r="G1078" t="s">
        <v>3240</v>
      </c>
      <c r="H1078">
        <v>10</v>
      </c>
    </row>
    <row r="1079" spans="1:8" x14ac:dyDescent="0.25">
      <c r="A1079" t="s">
        <v>3241</v>
      </c>
      <c r="B1079" t="s">
        <v>3242</v>
      </c>
      <c r="C1079" t="s">
        <v>786</v>
      </c>
      <c r="D1079" s="1">
        <v>34934</v>
      </c>
      <c r="E1079">
        <v>10</v>
      </c>
      <c r="F1079">
        <v>1</v>
      </c>
      <c r="G1079" t="s">
        <v>3243</v>
      </c>
      <c r="H1079">
        <v>10</v>
      </c>
    </row>
    <row r="1080" spans="1:8" x14ac:dyDescent="0.25">
      <c r="A1080" t="s">
        <v>3244</v>
      </c>
      <c r="B1080" t="s">
        <v>3245</v>
      </c>
      <c r="C1080" t="s">
        <v>14</v>
      </c>
      <c r="D1080" s="1">
        <v>44552</v>
      </c>
      <c r="E1080">
        <v>5</v>
      </c>
      <c r="F1080">
        <v>1</v>
      </c>
      <c r="G1080" t="s">
        <v>3246</v>
      </c>
      <c r="H1080">
        <v>5</v>
      </c>
    </row>
    <row r="1081" spans="1:8" x14ac:dyDescent="0.25">
      <c r="A1081" t="s">
        <v>3247</v>
      </c>
      <c r="B1081" t="s">
        <v>3248</v>
      </c>
      <c r="C1081" t="s">
        <v>14</v>
      </c>
      <c r="D1081" s="1">
        <v>43570</v>
      </c>
      <c r="E1081">
        <v>2</v>
      </c>
      <c r="F1081">
        <v>1</v>
      </c>
      <c r="G1081" t="s">
        <v>3249</v>
      </c>
      <c r="H1081">
        <v>2</v>
      </c>
    </row>
    <row r="1082" spans="1:8" x14ac:dyDescent="0.25">
      <c r="A1082" t="s">
        <v>3250</v>
      </c>
      <c r="B1082" t="s">
        <v>3251</v>
      </c>
      <c r="C1082" t="s">
        <v>14</v>
      </c>
      <c r="D1082" s="1">
        <v>36663</v>
      </c>
      <c r="E1082">
        <v>2</v>
      </c>
      <c r="F1082">
        <v>1</v>
      </c>
      <c r="G1082" t="s">
        <v>3252</v>
      </c>
      <c r="H1082">
        <v>2</v>
      </c>
    </row>
    <row r="1083" spans="1:8" x14ac:dyDescent="0.25">
      <c r="A1083" t="s">
        <v>3253</v>
      </c>
      <c r="B1083" t="s">
        <v>3254</v>
      </c>
      <c r="C1083" t="s">
        <v>14</v>
      </c>
      <c r="D1083" s="1">
        <v>44188</v>
      </c>
      <c r="E1083">
        <v>2</v>
      </c>
      <c r="F1083">
        <v>1</v>
      </c>
      <c r="G1083" t="s">
        <v>3255</v>
      </c>
      <c r="H1083">
        <v>2</v>
      </c>
    </row>
    <row r="1084" spans="1:8" x14ac:dyDescent="0.25">
      <c r="A1084" t="s">
        <v>3256</v>
      </c>
      <c r="B1084" t="s">
        <v>3257</v>
      </c>
      <c r="C1084" t="s">
        <v>14</v>
      </c>
      <c r="D1084" s="1">
        <v>42552</v>
      </c>
      <c r="E1084">
        <v>10</v>
      </c>
      <c r="F1084">
        <v>1</v>
      </c>
      <c r="G1084" t="s">
        <v>3258</v>
      </c>
      <c r="H1084">
        <v>10</v>
      </c>
    </row>
    <row r="1085" spans="1:8" x14ac:dyDescent="0.25">
      <c r="A1085" t="s">
        <v>3259</v>
      </c>
      <c r="B1085" t="s">
        <v>3260</v>
      </c>
      <c r="C1085" t="s">
        <v>14</v>
      </c>
      <c r="D1085" s="1">
        <v>44588</v>
      </c>
      <c r="E1085">
        <v>10</v>
      </c>
      <c r="F1085">
        <v>1</v>
      </c>
      <c r="G1085" t="s">
        <v>3261</v>
      </c>
      <c r="H1085">
        <v>10</v>
      </c>
    </row>
    <row r="1086" spans="1:8" x14ac:dyDescent="0.25">
      <c r="A1086" t="s">
        <v>3262</v>
      </c>
      <c r="B1086" t="s">
        <v>3263</v>
      </c>
      <c r="C1086" t="s">
        <v>14</v>
      </c>
      <c r="D1086" s="1">
        <v>40010</v>
      </c>
      <c r="E1086">
        <v>10</v>
      </c>
      <c r="F1086">
        <v>1</v>
      </c>
      <c r="G1086" t="s">
        <v>3264</v>
      </c>
      <c r="H1086">
        <v>10</v>
      </c>
    </row>
    <row r="1087" spans="1:8" x14ac:dyDescent="0.25">
      <c r="A1087" t="s">
        <v>3265</v>
      </c>
      <c r="B1087" t="s">
        <v>3266</v>
      </c>
      <c r="C1087" t="s">
        <v>10</v>
      </c>
      <c r="D1087" s="1">
        <v>44547</v>
      </c>
      <c r="E1087">
        <v>2</v>
      </c>
      <c r="F1087">
        <v>1</v>
      </c>
      <c r="G1087" t="s">
        <v>3267</v>
      </c>
      <c r="H1087">
        <v>2</v>
      </c>
    </row>
    <row r="1088" spans="1:8" x14ac:dyDescent="0.25">
      <c r="A1088" t="s">
        <v>3268</v>
      </c>
      <c r="B1088" t="s">
        <v>3269</v>
      </c>
      <c r="C1088" t="s">
        <v>14</v>
      </c>
      <c r="D1088" s="1">
        <v>43194</v>
      </c>
      <c r="E1088">
        <v>10</v>
      </c>
      <c r="F1088">
        <v>1</v>
      </c>
      <c r="G1088" t="s">
        <v>3270</v>
      </c>
      <c r="H1088">
        <v>10</v>
      </c>
    </row>
    <row r="1089" spans="1:8" x14ac:dyDescent="0.25">
      <c r="A1089" t="s">
        <v>3271</v>
      </c>
      <c r="B1089" t="s">
        <v>3272</v>
      </c>
      <c r="C1089" t="s">
        <v>14</v>
      </c>
      <c r="D1089" s="1">
        <v>41928</v>
      </c>
      <c r="E1089">
        <v>2</v>
      </c>
      <c r="F1089">
        <v>1</v>
      </c>
      <c r="G1089" t="s">
        <v>3273</v>
      </c>
      <c r="H1089">
        <v>2</v>
      </c>
    </row>
    <row r="1090" spans="1:8" x14ac:dyDescent="0.25">
      <c r="A1090" t="s">
        <v>3274</v>
      </c>
      <c r="B1090" t="s">
        <v>3275</v>
      </c>
      <c r="C1090" t="s">
        <v>14</v>
      </c>
      <c r="D1090" s="1">
        <v>42584</v>
      </c>
      <c r="E1090">
        <v>10</v>
      </c>
      <c r="F1090">
        <v>1</v>
      </c>
      <c r="G1090" t="s">
        <v>3276</v>
      </c>
      <c r="H1090">
        <v>10</v>
      </c>
    </row>
    <row r="1091" spans="1:8" x14ac:dyDescent="0.25">
      <c r="A1091" t="s">
        <v>3277</v>
      </c>
      <c r="B1091" t="s">
        <v>3278</v>
      </c>
      <c r="C1091" t="s">
        <v>10</v>
      </c>
      <c r="D1091" s="1">
        <v>38131</v>
      </c>
      <c r="E1091">
        <v>1</v>
      </c>
      <c r="F1091">
        <v>1</v>
      </c>
      <c r="G1091" t="s">
        <v>3279</v>
      </c>
      <c r="H1091">
        <v>1</v>
      </c>
    </row>
    <row r="1092" spans="1:8" x14ac:dyDescent="0.25">
      <c r="A1092" t="s">
        <v>3280</v>
      </c>
      <c r="B1092" t="s">
        <v>3281</v>
      </c>
      <c r="C1092" t="s">
        <v>14</v>
      </c>
      <c r="D1092" s="1">
        <v>36278</v>
      </c>
      <c r="E1092">
        <v>2</v>
      </c>
      <c r="F1092">
        <v>1</v>
      </c>
      <c r="G1092" t="s">
        <v>3282</v>
      </c>
      <c r="H1092">
        <v>2</v>
      </c>
    </row>
    <row r="1093" spans="1:8" x14ac:dyDescent="0.25">
      <c r="A1093" t="s">
        <v>3283</v>
      </c>
      <c r="B1093" t="s">
        <v>3284</v>
      </c>
      <c r="C1093" t="s">
        <v>14</v>
      </c>
      <c r="D1093" s="1">
        <v>44637</v>
      </c>
      <c r="E1093">
        <v>10</v>
      </c>
      <c r="F1093">
        <v>1</v>
      </c>
      <c r="G1093" t="s">
        <v>3285</v>
      </c>
      <c r="H1093">
        <v>10</v>
      </c>
    </row>
    <row r="1094" spans="1:8" x14ac:dyDescent="0.25">
      <c r="A1094" t="s">
        <v>3286</v>
      </c>
      <c r="B1094" t="s">
        <v>3287</v>
      </c>
      <c r="C1094" t="s">
        <v>14</v>
      </c>
      <c r="D1094" s="1">
        <v>43950</v>
      </c>
      <c r="E1094">
        <v>1</v>
      </c>
      <c r="F1094">
        <v>1</v>
      </c>
      <c r="G1094" t="s">
        <v>3288</v>
      </c>
      <c r="H1094">
        <v>1</v>
      </c>
    </row>
    <row r="1095" spans="1:8" x14ac:dyDescent="0.25">
      <c r="A1095" t="s">
        <v>3289</v>
      </c>
      <c r="B1095" t="s">
        <v>3290</v>
      </c>
      <c r="C1095" t="s">
        <v>14</v>
      </c>
      <c r="D1095" s="1">
        <v>45090</v>
      </c>
      <c r="E1095">
        <v>1</v>
      </c>
      <c r="F1095">
        <v>1</v>
      </c>
      <c r="G1095" t="s">
        <v>3291</v>
      </c>
      <c r="H1095">
        <v>1</v>
      </c>
    </row>
    <row r="1096" spans="1:8" x14ac:dyDescent="0.25">
      <c r="A1096" t="s">
        <v>3292</v>
      </c>
      <c r="B1096" t="s">
        <v>3293</v>
      </c>
      <c r="C1096" t="s">
        <v>14</v>
      </c>
      <c r="D1096" s="1">
        <v>39071</v>
      </c>
      <c r="E1096">
        <v>10</v>
      </c>
      <c r="F1096">
        <v>1</v>
      </c>
      <c r="G1096" t="s">
        <v>3294</v>
      </c>
      <c r="H1096">
        <v>10</v>
      </c>
    </row>
    <row r="1097" spans="1:8" x14ac:dyDescent="0.25">
      <c r="A1097" t="s">
        <v>3295</v>
      </c>
      <c r="B1097" t="s">
        <v>3296</v>
      </c>
      <c r="C1097" t="s">
        <v>14</v>
      </c>
      <c r="D1097" s="1">
        <v>43839</v>
      </c>
      <c r="E1097">
        <v>10</v>
      </c>
      <c r="F1097">
        <v>1</v>
      </c>
      <c r="G1097" t="s">
        <v>3297</v>
      </c>
      <c r="H1097">
        <v>10</v>
      </c>
    </row>
    <row r="1098" spans="1:8" x14ac:dyDescent="0.25">
      <c r="A1098" t="s">
        <v>3298</v>
      </c>
      <c r="B1098" t="s">
        <v>3299</v>
      </c>
      <c r="C1098" t="s">
        <v>14</v>
      </c>
      <c r="D1098" s="1">
        <v>41008</v>
      </c>
      <c r="E1098">
        <v>1</v>
      </c>
      <c r="F1098">
        <v>1</v>
      </c>
      <c r="G1098" t="s">
        <v>3300</v>
      </c>
      <c r="H1098">
        <v>1</v>
      </c>
    </row>
    <row r="1099" spans="1:8" x14ac:dyDescent="0.25">
      <c r="A1099" t="s">
        <v>3301</v>
      </c>
      <c r="B1099" t="s">
        <v>3302</v>
      </c>
      <c r="C1099" t="s">
        <v>10</v>
      </c>
      <c r="D1099" s="1">
        <v>35102</v>
      </c>
      <c r="E1099">
        <v>10</v>
      </c>
      <c r="F1099">
        <v>1</v>
      </c>
      <c r="G1099" t="s">
        <v>3303</v>
      </c>
      <c r="H1099">
        <v>10</v>
      </c>
    </row>
    <row r="1100" spans="1:8" x14ac:dyDescent="0.25">
      <c r="A1100" t="s">
        <v>3304</v>
      </c>
      <c r="B1100" t="s">
        <v>3305</v>
      </c>
      <c r="C1100" t="s">
        <v>14</v>
      </c>
      <c r="D1100" s="1">
        <v>44319</v>
      </c>
      <c r="E1100">
        <v>1</v>
      </c>
      <c r="F1100">
        <v>1</v>
      </c>
      <c r="G1100" t="s">
        <v>3306</v>
      </c>
      <c r="H1100">
        <v>1</v>
      </c>
    </row>
    <row r="1101" spans="1:8" x14ac:dyDescent="0.25">
      <c r="A1101" t="s">
        <v>3307</v>
      </c>
      <c r="B1101" t="s">
        <v>3308</v>
      </c>
      <c r="C1101" t="s">
        <v>14</v>
      </c>
      <c r="D1101" s="1">
        <v>41347</v>
      </c>
      <c r="E1101">
        <v>10</v>
      </c>
      <c r="F1101">
        <v>1</v>
      </c>
      <c r="G1101" t="s">
        <v>3309</v>
      </c>
      <c r="H1101">
        <v>10</v>
      </c>
    </row>
    <row r="1102" spans="1:8" x14ac:dyDescent="0.25">
      <c r="A1102" t="s">
        <v>3310</v>
      </c>
      <c r="B1102" t="s">
        <v>3311</v>
      </c>
      <c r="C1102" t="s">
        <v>14</v>
      </c>
      <c r="D1102" s="1">
        <v>40527</v>
      </c>
      <c r="E1102">
        <v>10</v>
      </c>
      <c r="F1102">
        <v>1</v>
      </c>
      <c r="G1102" t="s">
        <v>3312</v>
      </c>
      <c r="H1102">
        <v>10</v>
      </c>
    </row>
    <row r="1103" spans="1:8" x14ac:dyDescent="0.25">
      <c r="A1103" t="s">
        <v>3313</v>
      </c>
      <c r="B1103" t="s">
        <v>3314</v>
      </c>
      <c r="C1103" t="s">
        <v>10</v>
      </c>
      <c r="D1103" s="1">
        <v>44337</v>
      </c>
      <c r="E1103">
        <v>2</v>
      </c>
      <c r="F1103">
        <v>1</v>
      </c>
      <c r="G1103" t="s">
        <v>3315</v>
      </c>
      <c r="H1103">
        <v>2</v>
      </c>
    </row>
    <row r="1104" spans="1:8" x14ac:dyDescent="0.25">
      <c r="A1104" t="s">
        <v>3316</v>
      </c>
      <c r="B1104" t="s">
        <v>3317</v>
      </c>
      <c r="C1104" t="s">
        <v>14</v>
      </c>
      <c r="D1104" s="1">
        <v>44426</v>
      </c>
      <c r="E1104">
        <v>1</v>
      </c>
      <c r="F1104">
        <v>1</v>
      </c>
      <c r="G1104" t="s">
        <v>3318</v>
      </c>
      <c r="H1104">
        <v>1</v>
      </c>
    </row>
    <row r="1105" spans="1:8" x14ac:dyDescent="0.25">
      <c r="A1105" t="s">
        <v>3319</v>
      </c>
      <c r="B1105" t="s">
        <v>3320</v>
      </c>
      <c r="C1105" t="s">
        <v>14</v>
      </c>
      <c r="D1105" s="1">
        <v>42558</v>
      </c>
      <c r="E1105">
        <v>2</v>
      </c>
      <c r="F1105">
        <v>1</v>
      </c>
      <c r="G1105" t="s">
        <v>3321</v>
      </c>
      <c r="H1105">
        <v>2</v>
      </c>
    </row>
    <row r="1106" spans="1:8" x14ac:dyDescent="0.25">
      <c r="A1106" t="s">
        <v>3322</v>
      </c>
      <c r="B1106" t="s">
        <v>3323</v>
      </c>
      <c r="C1106" t="s">
        <v>14</v>
      </c>
      <c r="D1106" s="1">
        <v>42058</v>
      </c>
      <c r="E1106">
        <v>5</v>
      </c>
      <c r="F1106">
        <v>1</v>
      </c>
      <c r="G1106" t="s">
        <v>3324</v>
      </c>
      <c r="H1106">
        <v>5</v>
      </c>
    </row>
    <row r="1107" spans="1:8" x14ac:dyDescent="0.25">
      <c r="A1107" t="s">
        <v>3325</v>
      </c>
      <c r="B1107" t="s">
        <v>3326</v>
      </c>
      <c r="C1107" t="s">
        <v>14</v>
      </c>
      <c r="D1107" s="1">
        <v>44567</v>
      </c>
      <c r="E1107">
        <v>10</v>
      </c>
      <c r="F1107">
        <v>1</v>
      </c>
      <c r="G1107" t="s">
        <v>3327</v>
      </c>
      <c r="H1107">
        <v>10</v>
      </c>
    </row>
    <row r="1108" spans="1:8" x14ac:dyDescent="0.25">
      <c r="A1108" t="s">
        <v>3328</v>
      </c>
      <c r="B1108" t="s">
        <v>3329</v>
      </c>
      <c r="C1108" t="s">
        <v>14</v>
      </c>
      <c r="D1108" s="1">
        <v>41992</v>
      </c>
      <c r="E1108">
        <v>10</v>
      </c>
      <c r="F1108">
        <v>1</v>
      </c>
      <c r="G1108" t="s">
        <v>3330</v>
      </c>
      <c r="H1108">
        <v>10</v>
      </c>
    </row>
    <row r="1109" spans="1:8" x14ac:dyDescent="0.25">
      <c r="A1109" t="s">
        <v>3331</v>
      </c>
      <c r="B1109" t="s">
        <v>3332</v>
      </c>
      <c r="C1109" t="s">
        <v>14</v>
      </c>
      <c r="D1109" s="1">
        <v>41166</v>
      </c>
      <c r="E1109">
        <v>7</v>
      </c>
      <c r="F1109">
        <v>1</v>
      </c>
      <c r="G1109" t="s">
        <v>3333</v>
      </c>
      <c r="H1109">
        <v>7</v>
      </c>
    </row>
    <row r="1110" spans="1:8" x14ac:dyDescent="0.25">
      <c r="A1110" t="s">
        <v>3334</v>
      </c>
      <c r="B1110" t="s">
        <v>3335</v>
      </c>
      <c r="C1110" t="s">
        <v>14</v>
      </c>
      <c r="D1110" s="1">
        <v>36488</v>
      </c>
      <c r="E1110">
        <v>2</v>
      </c>
      <c r="F1110">
        <v>1</v>
      </c>
      <c r="G1110" t="s">
        <v>3336</v>
      </c>
      <c r="H1110">
        <v>2</v>
      </c>
    </row>
    <row r="1111" spans="1:8" x14ac:dyDescent="0.25">
      <c r="A1111" t="s">
        <v>3337</v>
      </c>
      <c r="B1111" t="s">
        <v>3338</v>
      </c>
      <c r="C1111" t="s">
        <v>14</v>
      </c>
      <c r="D1111" s="1">
        <v>35291</v>
      </c>
      <c r="E1111">
        <v>1</v>
      </c>
      <c r="F1111">
        <v>1</v>
      </c>
      <c r="G1111" t="s">
        <v>3339</v>
      </c>
      <c r="H1111">
        <v>1</v>
      </c>
    </row>
    <row r="1112" spans="1:8" x14ac:dyDescent="0.25">
      <c r="A1112" t="s">
        <v>3340</v>
      </c>
      <c r="B1112" t="s">
        <v>3341</v>
      </c>
      <c r="C1112" t="s">
        <v>14</v>
      </c>
      <c r="D1112" s="1">
        <v>39336</v>
      </c>
      <c r="E1112">
        <v>1</v>
      </c>
      <c r="F1112">
        <v>1</v>
      </c>
      <c r="G1112" t="s">
        <v>3342</v>
      </c>
      <c r="H1112">
        <v>1</v>
      </c>
    </row>
    <row r="1113" spans="1:8" x14ac:dyDescent="0.25">
      <c r="A1113" t="s">
        <v>3343</v>
      </c>
      <c r="B1113" t="s">
        <v>3344</v>
      </c>
      <c r="C1113" t="s">
        <v>10</v>
      </c>
      <c r="D1113" s="1">
        <v>34738</v>
      </c>
      <c r="E1113">
        <v>5</v>
      </c>
      <c r="F1113">
        <v>1</v>
      </c>
      <c r="G1113" t="s">
        <v>3345</v>
      </c>
      <c r="H1113">
        <v>5</v>
      </c>
    </row>
    <row r="1114" spans="1:8" x14ac:dyDescent="0.25">
      <c r="A1114" t="s">
        <v>3346</v>
      </c>
      <c r="B1114" t="s">
        <v>3347</v>
      </c>
      <c r="C1114" t="s">
        <v>14</v>
      </c>
      <c r="D1114" s="1">
        <v>38142</v>
      </c>
      <c r="E1114">
        <v>10</v>
      </c>
      <c r="F1114">
        <v>1</v>
      </c>
      <c r="G1114" t="s">
        <v>3348</v>
      </c>
      <c r="H1114">
        <v>10</v>
      </c>
    </row>
    <row r="1115" spans="1:8" x14ac:dyDescent="0.25">
      <c r="A1115" t="s">
        <v>3349</v>
      </c>
      <c r="B1115" t="s">
        <v>3350</v>
      </c>
      <c r="C1115" t="s">
        <v>14</v>
      </c>
      <c r="D1115" s="1">
        <v>37277</v>
      </c>
      <c r="E1115">
        <v>10</v>
      </c>
      <c r="F1115">
        <v>1</v>
      </c>
      <c r="G1115" t="s">
        <v>3351</v>
      </c>
      <c r="H1115">
        <v>10</v>
      </c>
    </row>
    <row r="1116" spans="1:8" x14ac:dyDescent="0.25">
      <c r="A1116" t="s">
        <v>3352</v>
      </c>
      <c r="B1116" t="s">
        <v>3353</v>
      </c>
      <c r="C1116" t="s">
        <v>14</v>
      </c>
      <c r="D1116" s="1">
        <v>35326</v>
      </c>
      <c r="E1116">
        <v>10</v>
      </c>
      <c r="F1116">
        <v>1</v>
      </c>
      <c r="G1116" t="s">
        <v>3354</v>
      </c>
      <c r="H1116">
        <v>10</v>
      </c>
    </row>
    <row r="1117" spans="1:8" x14ac:dyDescent="0.25">
      <c r="A1117" t="s">
        <v>3355</v>
      </c>
      <c r="B1117" t="s">
        <v>3356</v>
      </c>
      <c r="C1117" t="s">
        <v>14</v>
      </c>
      <c r="D1117" s="1">
        <v>36831</v>
      </c>
      <c r="E1117">
        <v>5</v>
      </c>
      <c r="F1117">
        <v>1</v>
      </c>
      <c r="G1117" t="s">
        <v>3357</v>
      </c>
      <c r="H1117">
        <v>5</v>
      </c>
    </row>
    <row r="1118" spans="1:8" x14ac:dyDescent="0.25">
      <c r="A1118" t="s">
        <v>3358</v>
      </c>
      <c r="B1118" t="s">
        <v>3359</v>
      </c>
      <c r="C1118" t="s">
        <v>14</v>
      </c>
      <c r="D1118" s="1">
        <v>38359</v>
      </c>
      <c r="E1118">
        <v>10</v>
      </c>
      <c r="F1118">
        <v>1</v>
      </c>
      <c r="G1118" t="s">
        <v>3360</v>
      </c>
      <c r="H1118">
        <v>10</v>
      </c>
    </row>
    <row r="1119" spans="1:8" x14ac:dyDescent="0.25">
      <c r="A1119" t="s">
        <v>3361</v>
      </c>
      <c r="B1119" t="s">
        <v>3362</v>
      </c>
      <c r="C1119" t="s">
        <v>10</v>
      </c>
      <c r="D1119" s="1">
        <v>38551</v>
      </c>
      <c r="E1119">
        <v>10</v>
      </c>
      <c r="F1119">
        <v>1</v>
      </c>
      <c r="G1119" t="s">
        <v>3363</v>
      </c>
      <c r="H1119">
        <v>10</v>
      </c>
    </row>
    <row r="1120" spans="1:8" x14ac:dyDescent="0.25">
      <c r="A1120" t="s">
        <v>3364</v>
      </c>
      <c r="B1120" t="s">
        <v>3365</v>
      </c>
      <c r="C1120" t="s">
        <v>14</v>
      </c>
      <c r="D1120" s="1">
        <v>43553</v>
      </c>
      <c r="E1120">
        <v>10</v>
      </c>
      <c r="F1120">
        <v>1</v>
      </c>
      <c r="G1120" t="s">
        <v>3366</v>
      </c>
      <c r="H1120">
        <v>10</v>
      </c>
    </row>
    <row r="1121" spans="1:8" x14ac:dyDescent="0.25">
      <c r="A1121" t="s">
        <v>3367</v>
      </c>
      <c r="B1121" t="s">
        <v>3368</v>
      </c>
      <c r="C1121" t="s">
        <v>14</v>
      </c>
      <c r="D1121" s="1">
        <v>44648</v>
      </c>
      <c r="E1121">
        <v>1</v>
      </c>
      <c r="F1121">
        <v>1</v>
      </c>
      <c r="G1121" t="s">
        <v>3369</v>
      </c>
      <c r="H1121">
        <v>1</v>
      </c>
    </row>
    <row r="1122" spans="1:8" x14ac:dyDescent="0.25">
      <c r="A1122" t="s">
        <v>3370</v>
      </c>
      <c r="B1122" t="s">
        <v>3371</v>
      </c>
      <c r="C1122" t="s">
        <v>14</v>
      </c>
      <c r="D1122" s="1">
        <v>44270</v>
      </c>
      <c r="E1122">
        <v>10</v>
      </c>
      <c r="F1122">
        <v>1</v>
      </c>
      <c r="G1122" t="s">
        <v>3372</v>
      </c>
      <c r="H1122">
        <v>10</v>
      </c>
    </row>
    <row r="1123" spans="1:8" x14ac:dyDescent="0.25">
      <c r="A1123" t="s">
        <v>3373</v>
      </c>
      <c r="B1123" t="s">
        <v>3374</v>
      </c>
      <c r="C1123" t="s">
        <v>10</v>
      </c>
      <c r="D1123" s="1">
        <v>41011</v>
      </c>
      <c r="E1123">
        <v>10</v>
      </c>
      <c r="F1123">
        <v>1</v>
      </c>
      <c r="G1123" t="s">
        <v>3375</v>
      </c>
      <c r="H1123">
        <v>10</v>
      </c>
    </row>
    <row r="1124" spans="1:8" x14ac:dyDescent="0.25">
      <c r="A1124" t="s">
        <v>3376</v>
      </c>
      <c r="B1124" t="s">
        <v>3377</v>
      </c>
      <c r="C1124" t="s">
        <v>14</v>
      </c>
      <c r="D1124" s="1">
        <v>36208</v>
      </c>
      <c r="E1124">
        <v>10</v>
      </c>
      <c r="F1124">
        <v>1</v>
      </c>
      <c r="G1124" t="s">
        <v>3378</v>
      </c>
      <c r="H1124">
        <v>10</v>
      </c>
    </row>
    <row r="1125" spans="1:8" x14ac:dyDescent="0.25">
      <c r="A1125" t="s">
        <v>3379</v>
      </c>
      <c r="B1125" t="s">
        <v>3380</v>
      </c>
      <c r="C1125" t="s">
        <v>14</v>
      </c>
      <c r="D1125" s="1">
        <v>45236</v>
      </c>
      <c r="E1125">
        <v>1</v>
      </c>
      <c r="F1125">
        <v>1</v>
      </c>
      <c r="G1125" t="s">
        <v>3381</v>
      </c>
      <c r="H1125">
        <v>1</v>
      </c>
    </row>
    <row r="1126" spans="1:8" x14ac:dyDescent="0.25">
      <c r="A1126" t="s">
        <v>3382</v>
      </c>
      <c r="B1126" t="s">
        <v>3383</v>
      </c>
      <c r="C1126" t="s">
        <v>14</v>
      </c>
      <c r="D1126" s="1">
        <v>38040</v>
      </c>
      <c r="E1126">
        <v>10</v>
      </c>
      <c r="F1126">
        <v>1</v>
      </c>
      <c r="G1126" t="s">
        <v>3384</v>
      </c>
      <c r="H1126">
        <v>10</v>
      </c>
    </row>
    <row r="1127" spans="1:8" x14ac:dyDescent="0.25">
      <c r="A1127" t="s">
        <v>3385</v>
      </c>
      <c r="B1127" t="s">
        <v>3386</v>
      </c>
      <c r="C1127" t="s">
        <v>10</v>
      </c>
      <c r="D1127" s="1">
        <v>36781</v>
      </c>
      <c r="E1127">
        <v>5</v>
      </c>
      <c r="F1127">
        <v>1</v>
      </c>
      <c r="G1127" t="s">
        <v>3387</v>
      </c>
      <c r="H1127">
        <v>5</v>
      </c>
    </row>
    <row r="1128" spans="1:8" x14ac:dyDescent="0.25">
      <c r="A1128" t="s">
        <v>3388</v>
      </c>
      <c r="B1128" t="s">
        <v>3389</v>
      </c>
      <c r="C1128" t="s">
        <v>14</v>
      </c>
      <c r="D1128" s="1">
        <v>38917</v>
      </c>
      <c r="E1128">
        <v>2</v>
      </c>
      <c r="F1128">
        <v>1</v>
      </c>
      <c r="G1128" t="s">
        <v>3390</v>
      </c>
      <c r="H1128">
        <v>2</v>
      </c>
    </row>
    <row r="1129" spans="1:8" x14ac:dyDescent="0.25">
      <c r="A1129" t="s">
        <v>3391</v>
      </c>
      <c r="B1129" t="s">
        <v>3392</v>
      </c>
      <c r="C1129" t="s">
        <v>14</v>
      </c>
      <c r="D1129" s="1">
        <v>37753</v>
      </c>
      <c r="E1129">
        <v>2</v>
      </c>
      <c r="F1129">
        <v>1</v>
      </c>
      <c r="G1129" t="s">
        <v>3393</v>
      </c>
      <c r="H1129">
        <v>2</v>
      </c>
    </row>
    <row r="1130" spans="1:8" x14ac:dyDescent="0.25">
      <c r="A1130" t="s">
        <v>3394</v>
      </c>
      <c r="B1130" t="s">
        <v>3395</v>
      </c>
      <c r="C1130" t="s">
        <v>10</v>
      </c>
      <c r="D1130" s="1">
        <v>38135</v>
      </c>
      <c r="E1130">
        <v>10</v>
      </c>
      <c r="F1130">
        <v>1</v>
      </c>
      <c r="G1130" t="s">
        <v>3396</v>
      </c>
      <c r="H1130">
        <v>10</v>
      </c>
    </row>
    <row r="1131" spans="1:8" x14ac:dyDescent="0.25">
      <c r="A1131" t="s">
        <v>3397</v>
      </c>
      <c r="B1131" t="s">
        <v>3398</v>
      </c>
      <c r="C1131" t="s">
        <v>14</v>
      </c>
      <c r="D1131" s="1">
        <v>42240</v>
      </c>
      <c r="E1131">
        <v>10</v>
      </c>
      <c r="F1131">
        <v>1</v>
      </c>
      <c r="G1131" t="s">
        <v>3399</v>
      </c>
      <c r="H1131">
        <v>10</v>
      </c>
    </row>
    <row r="1132" spans="1:8" x14ac:dyDescent="0.25">
      <c r="A1132" t="s">
        <v>3400</v>
      </c>
      <c r="B1132" t="s">
        <v>3401</v>
      </c>
      <c r="C1132" t="s">
        <v>14</v>
      </c>
      <c r="D1132" s="1">
        <v>40669</v>
      </c>
      <c r="E1132">
        <v>10</v>
      </c>
      <c r="F1132">
        <v>1</v>
      </c>
      <c r="G1132" t="s">
        <v>3402</v>
      </c>
      <c r="H1132">
        <v>10</v>
      </c>
    </row>
    <row r="1133" spans="1:8" x14ac:dyDescent="0.25">
      <c r="A1133" t="s">
        <v>3403</v>
      </c>
      <c r="B1133" t="s">
        <v>3404</v>
      </c>
      <c r="C1133" t="s">
        <v>14</v>
      </c>
      <c r="D1133" s="1">
        <v>45202</v>
      </c>
      <c r="E1133">
        <v>10</v>
      </c>
      <c r="F1133">
        <v>1</v>
      </c>
      <c r="G1133" t="s">
        <v>3405</v>
      </c>
      <c r="H1133">
        <v>10</v>
      </c>
    </row>
    <row r="1134" spans="1:8" x14ac:dyDescent="0.25">
      <c r="A1134" t="s">
        <v>3406</v>
      </c>
      <c r="B1134" t="s">
        <v>3407</v>
      </c>
      <c r="C1134" t="s">
        <v>14</v>
      </c>
      <c r="D1134" s="1">
        <v>42832</v>
      </c>
      <c r="E1134">
        <v>1</v>
      </c>
      <c r="F1134">
        <v>1</v>
      </c>
      <c r="G1134" t="s">
        <v>3408</v>
      </c>
      <c r="H1134">
        <v>1</v>
      </c>
    </row>
    <row r="1135" spans="1:8" x14ac:dyDescent="0.25">
      <c r="A1135" t="s">
        <v>3409</v>
      </c>
      <c r="B1135" t="s">
        <v>3410</v>
      </c>
      <c r="C1135" t="s">
        <v>14</v>
      </c>
      <c r="D1135" s="1">
        <v>42536</v>
      </c>
      <c r="E1135">
        <v>1</v>
      </c>
      <c r="F1135">
        <v>1</v>
      </c>
      <c r="G1135" t="s">
        <v>3411</v>
      </c>
      <c r="H1135">
        <v>1</v>
      </c>
    </row>
    <row r="1136" spans="1:8" x14ac:dyDescent="0.25">
      <c r="A1136" t="s">
        <v>3412</v>
      </c>
      <c r="B1136" t="s">
        <v>3413</v>
      </c>
      <c r="C1136" t="s">
        <v>10</v>
      </c>
      <c r="D1136" s="1">
        <v>39343</v>
      </c>
      <c r="E1136">
        <v>5</v>
      </c>
      <c r="F1136">
        <v>1</v>
      </c>
      <c r="G1136" t="s">
        <v>3414</v>
      </c>
      <c r="H1136">
        <v>5</v>
      </c>
    </row>
    <row r="1137" spans="1:8" x14ac:dyDescent="0.25">
      <c r="A1137" t="s">
        <v>3415</v>
      </c>
      <c r="B1137" t="s">
        <v>3416</v>
      </c>
      <c r="C1137" t="s">
        <v>14</v>
      </c>
      <c r="D1137" s="1">
        <v>39251</v>
      </c>
      <c r="E1137">
        <v>5</v>
      </c>
      <c r="F1137">
        <v>1</v>
      </c>
      <c r="G1137" t="s">
        <v>3417</v>
      </c>
      <c r="H1137">
        <v>5</v>
      </c>
    </row>
    <row r="1138" spans="1:8" x14ac:dyDescent="0.25">
      <c r="A1138" t="s">
        <v>3418</v>
      </c>
      <c r="B1138" t="s">
        <v>3419</v>
      </c>
      <c r="C1138" t="s">
        <v>14</v>
      </c>
      <c r="D1138" s="1">
        <v>39518</v>
      </c>
      <c r="E1138">
        <v>5</v>
      </c>
      <c r="F1138">
        <v>1</v>
      </c>
      <c r="G1138" t="s">
        <v>3420</v>
      </c>
      <c r="H1138">
        <v>5</v>
      </c>
    </row>
    <row r="1139" spans="1:8" x14ac:dyDescent="0.25">
      <c r="A1139" t="s">
        <v>3421</v>
      </c>
      <c r="B1139" t="s">
        <v>3422</v>
      </c>
      <c r="C1139" t="s">
        <v>14</v>
      </c>
      <c r="D1139" s="1">
        <v>38701</v>
      </c>
      <c r="E1139">
        <v>10</v>
      </c>
      <c r="F1139">
        <v>1</v>
      </c>
      <c r="G1139" t="s">
        <v>3423</v>
      </c>
      <c r="H1139">
        <v>10</v>
      </c>
    </row>
    <row r="1140" spans="1:8" x14ac:dyDescent="0.25">
      <c r="A1140" t="s">
        <v>3424</v>
      </c>
      <c r="B1140" t="s">
        <v>3425</v>
      </c>
      <c r="C1140" t="s">
        <v>14</v>
      </c>
      <c r="D1140" s="1">
        <v>39164</v>
      </c>
      <c r="E1140">
        <v>5</v>
      </c>
      <c r="F1140">
        <v>1</v>
      </c>
      <c r="G1140" t="s">
        <v>3426</v>
      </c>
      <c r="H1140">
        <v>5</v>
      </c>
    </row>
    <row r="1141" spans="1:8" x14ac:dyDescent="0.25">
      <c r="A1141" t="s">
        <v>3427</v>
      </c>
      <c r="B1141" t="s">
        <v>3428</v>
      </c>
      <c r="C1141" t="s">
        <v>14</v>
      </c>
      <c r="D1141" s="1">
        <v>39164</v>
      </c>
      <c r="E1141">
        <v>5</v>
      </c>
      <c r="F1141">
        <v>1</v>
      </c>
      <c r="G1141" t="s">
        <v>3429</v>
      </c>
      <c r="H1141">
        <v>5</v>
      </c>
    </row>
    <row r="1142" spans="1:8" x14ac:dyDescent="0.25">
      <c r="A1142" t="s">
        <v>3430</v>
      </c>
      <c r="B1142" t="s">
        <v>3431</v>
      </c>
      <c r="C1142" t="s">
        <v>14</v>
      </c>
      <c r="D1142" s="1">
        <v>43045</v>
      </c>
      <c r="E1142">
        <v>10</v>
      </c>
      <c r="F1142">
        <v>1</v>
      </c>
      <c r="G1142" t="s">
        <v>3432</v>
      </c>
      <c r="H1142">
        <v>10</v>
      </c>
    </row>
    <row r="1143" spans="1:8" x14ac:dyDescent="0.25">
      <c r="A1143" t="s">
        <v>3433</v>
      </c>
      <c r="B1143" t="s">
        <v>3434</v>
      </c>
      <c r="C1143" t="s">
        <v>14</v>
      </c>
      <c r="D1143" s="1">
        <v>44861</v>
      </c>
      <c r="E1143">
        <v>10</v>
      </c>
      <c r="F1143">
        <v>1</v>
      </c>
      <c r="G1143" t="s">
        <v>3435</v>
      </c>
      <c r="H1143">
        <v>10</v>
      </c>
    </row>
    <row r="1144" spans="1:8" x14ac:dyDescent="0.25">
      <c r="A1144" t="s">
        <v>3436</v>
      </c>
      <c r="B1144" t="s">
        <v>3437</v>
      </c>
      <c r="C1144" t="s">
        <v>14</v>
      </c>
      <c r="D1144" s="1">
        <v>35060</v>
      </c>
      <c r="E1144">
        <v>2</v>
      </c>
      <c r="F1144">
        <v>1</v>
      </c>
      <c r="G1144" t="s">
        <v>3438</v>
      </c>
      <c r="H1144">
        <v>2</v>
      </c>
    </row>
    <row r="1145" spans="1:8" x14ac:dyDescent="0.25">
      <c r="A1145" t="s">
        <v>3439</v>
      </c>
      <c r="B1145" t="s">
        <v>3440</v>
      </c>
      <c r="C1145" t="s">
        <v>14</v>
      </c>
      <c r="D1145" s="1">
        <v>41667</v>
      </c>
      <c r="E1145">
        <v>10</v>
      </c>
      <c r="F1145">
        <v>1</v>
      </c>
      <c r="G1145" t="s">
        <v>3441</v>
      </c>
      <c r="H1145">
        <v>10</v>
      </c>
    </row>
    <row r="1146" spans="1:8" x14ac:dyDescent="0.25">
      <c r="A1146" t="s">
        <v>3442</v>
      </c>
      <c r="B1146" t="s">
        <v>3443</v>
      </c>
      <c r="C1146" t="s">
        <v>14</v>
      </c>
      <c r="D1146" s="1">
        <v>36278</v>
      </c>
      <c r="E1146">
        <v>5</v>
      </c>
      <c r="F1146">
        <v>1</v>
      </c>
      <c r="G1146" t="s">
        <v>3444</v>
      </c>
      <c r="H1146">
        <v>5</v>
      </c>
    </row>
    <row r="1147" spans="1:8" x14ac:dyDescent="0.25">
      <c r="A1147" t="s">
        <v>3445</v>
      </c>
      <c r="B1147" t="s">
        <v>3446</v>
      </c>
      <c r="C1147" t="s">
        <v>14</v>
      </c>
      <c r="D1147" s="1">
        <v>39042</v>
      </c>
      <c r="E1147">
        <v>10</v>
      </c>
      <c r="F1147">
        <v>1</v>
      </c>
      <c r="G1147" t="s">
        <v>3447</v>
      </c>
      <c r="H1147">
        <v>10</v>
      </c>
    </row>
    <row r="1148" spans="1:8" x14ac:dyDescent="0.25">
      <c r="A1148" t="s">
        <v>3448</v>
      </c>
      <c r="B1148" t="s">
        <v>3449</v>
      </c>
      <c r="C1148" t="s">
        <v>14</v>
      </c>
      <c r="D1148" s="1">
        <v>35158</v>
      </c>
      <c r="E1148">
        <v>2</v>
      </c>
      <c r="F1148">
        <v>1</v>
      </c>
      <c r="G1148" t="s">
        <v>3450</v>
      </c>
      <c r="H1148">
        <v>2</v>
      </c>
    </row>
    <row r="1149" spans="1:8" x14ac:dyDescent="0.25">
      <c r="A1149" t="s">
        <v>3451</v>
      </c>
      <c r="B1149" t="s">
        <v>3452</v>
      </c>
      <c r="C1149" t="s">
        <v>14</v>
      </c>
      <c r="D1149" s="1">
        <v>39234</v>
      </c>
      <c r="E1149">
        <v>2</v>
      </c>
      <c r="F1149">
        <v>1</v>
      </c>
      <c r="G1149" t="s">
        <v>3453</v>
      </c>
      <c r="H1149">
        <v>2</v>
      </c>
    </row>
    <row r="1150" spans="1:8" x14ac:dyDescent="0.25">
      <c r="A1150" t="s">
        <v>3454</v>
      </c>
      <c r="B1150" t="s">
        <v>3455</v>
      </c>
      <c r="C1150" t="s">
        <v>14</v>
      </c>
      <c r="D1150" s="1">
        <v>42256</v>
      </c>
      <c r="E1150">
        <v>10</v>
      </c>
      <c r="F1150">
        <v>1</v>
      </c>
      <c r="G1150" t="s">
        <v>3456</v>
      </c>
      <c r="H1150">
        <v>10</v>
      </c>
    </row>
    <row r="1151" spans="1:8" x14ac:dyDescent="0.25">
      <c r="A1151" t="s">
        <v>3457</v>
      </c>
      <c r="B1151" t="s">
        <v>3458</v>
      </c>
      <c r="C1151" t="s">
        <v>14</v>
      </c>
      <c r="D1151" s="1">
        <v>34738</v>
      </c>
      <c r="E1151">
        <v>2</v>
      </c>
      <c r="F1151">
        <v>1</v>
      </c>
      <c r="G1151" t="s">
        <v>3459</v>
      </c>
      <c r="H1151">
        <v>2</v>
      </c>
    </row>
    <row r="1152" spans="1:8" x14ac:dyDescent="0.25">
      <c r="A1152" t="s">
        <v>3460</v>
      </c>
      <c r="B1152" t="s">
        <v>3461</v>
      </c>
      <c r="C1152" t="s">
        <v>14</v>
      </c>
      <c r="D1152" s="1">
        <v>44285</v>
      </c>
      <c r="E1152">
        <v>4</v>
      </c>
      <c r="F1152">
        <v>1</v>
      </c>
      <c r="G1152" t="s">
        <v>3462</v>
      </c>
      <c r="H1152">
        <v>4</v>
      </c>
    </row>
    <row r="1153" spans="1:8" x14ac:dyDescent="0.25">
      <c r="A1153" t="s">
        <v>3463</v>
      </c>
      <c r="B1153" t="s">
        <v>3464</v>
      </c>
      <c r="C1153" t="s">
        <v>14</v>
      </c>
      <c r="D1153" s="1">
        <v>41011</v>
      </c>
      <c r="E1153">
        <v>1</v>
      </c>
      <c r="F1153">
        <v>1</v>
      </c>
      <c r="G1153" t="s">
        <v>3465</v>
      </c>
      <c r="H1153">
        <v>1</v>
      </c>
    </row>
    <row r="1154" spans="1:8" x14ac:dyDescent="0.25">
      <c r="A1154" t="s">
        <v>3466</v>
      </c>
      <c r="B1154" t="s">
        <v>3467</v>
      </c>
      <c r="C1154" t="s">
        <v>14</v>
      </c>
      <c r="D1154" s="1">
        <v>42697</v>
      </c>
      <c r="E1154">
        <v>5</v>
      </c>
      <c r="F1154">
        <v>1</v>
      </c>
      <c r="G1154" t="s">
        <v>3468</v>
      </c>
      <c r="H1154">
        <v>5</v>
      </c>
    </row>
    <row r="1155" spans="1:8" x14ac:dyDescent="0.25">
      <c r="A1155" t="s">
        <v>3469</v>
      </c>
      <c r="B1155" t="s">
        <v>3470</v>
      </c>
      <c r="C1155" t="s">
        <v>14</v>
      </c>
      <c r="D1155" s="1">
        <v>37908</v>
      </c>
      <c r="E1155">
        <v>2</v>
      </c>
      <c r="F1155">
        <v>1</v>
      </c>
      <c r="G1155" t="s">
        <v>3471</v>
      </c>
      <c r="H1155">
        <v>2</v>
      </c>
    </row>
    <row r="1156" spans="1:8" x14ac:dyDescent="0.25">
      <c r="A1156" t="s">
        <v>3472</v>
      </c>
      <c r="B1156" t="s">
        <v>3473</v>
      </c>
      <c r="C1156" t="s">
        <v>14</v>
      </c>
      <c r="D1156" s="1">
        <v>39175</v>
      </c>
      <c r="E1156">
        <v>10</v>
      </c>
      <c r="F1156">
        <v>1</v>
      </c>
      <c r="G1156" t="s">
        <v>3474</v>
      </c>
      <c r="H1156">
        <v>10</v>
      </c>
    </row>
    <row r="1157" spans="1:8" x14ac:dyDescent="0.25">
      <c r="A1157" t="s">
        <v>3475</v>
      </c>
      <c r="B1157" t="s">
        <v>3476</v>
      </c>
      <c r="C1157" t="s">
        <v>14</v>
      </c>
      <c r="D1157" s="1">
        <v>42611</v>
      </c>
      <c r="E1157">
        <v>10</v>
      </c>
      <c r="F1157">
        <v>1</v>
      </c>
      <c r="G1157" t="s">
        <v>3477</v>
      </c>
      <c r="H1157">
        <v>10</v>
      </c>
    </row>
    <row r="1158" spans="1:8" x14ac:dyDescent="0.25">
      <c r="A1158" t="s">
        <v>3478</v>
      </c>
      <c r="B1158" t="s">
        <v>3479</v>
      </c>
      <c r="C1158" t="s">
        <v>14</v>
      </c>
      <c r="D1158" s="1">
        <v>40991</v>
      </c>
      <c r="E1158">
        <v>10</v>
      </c>
      <c r="F1158">
        <v>1</v>
      </c>
      <c r="G1158" t="s">
        <v>3480</v>
      </c>
      <c r="H1158">
        <v>10</v>
      </c>
    </row>
    <row r="1159" spans="1:8" x14ac:dyDescent="0.25">
      <c r="A1159" t="s">
        <v>3481</v>
      </c>
      <c r="B1159" t="s">
        <v>3482</v>
      </c>
      <c r="C1159" t="s">
        <v>10</v>
      </c>
      <c r="D1159" s="1">
        <v>39196</v>
      </c>
      <c r="E1159">
        <v>10</v>
      </c>
      <c r="F1159">
        <v>1</v>
      </c>
      <c r="G1159" t="s">
        <v>3483</v>
      </c>
      <c r="H1159">
        <v>10</v>
      </c>
    </row>
    <row r="1160" spans="1:8" x14ac:dyDescent="0.25">
      <c r="A1160" t="s">
        <v>3484</v>
      </c>
      <c r="B1160" t="s">
        <v>3485</v>
      </c>
      <c r="C1160" t="s">
        <v>10</v>
      </c>
      <c r="D1160" s="1">
        <v>44042</v>
      </c>
      <c r="E1160">
        <v>10</v>
      </c>
      <c r="F1160">
        <v>1</v>
      </c>
      <c r="G1160" t="s">
        <v>3486</v>
      </c>
      <c r="H1160">
        <v>10</v>
      </c>
    </row>
    <row r="1161" spans="1:8" x14ac:dyDescent="0.25">
      <c r="A1161" t="s">
        <v>3487</v>
      </c>
      <c r="B1161" t="s">
        <v>3488</v>
      </c>
      <c r="C1161" t="s">
        <v>14</v>
      </c>
      <c r="D1161" s="1">
        <v>38126</v>
      </c>
      <c r="E1161">
        <v>4</v>
      </c>
      <c r="F1161">
        <v>1</v>
      </c>
      <c r="G1161" t="s">
        <v>3489</v>
      </c>
      <c r="H1161">
        <v>4</v>
      </c>
    </row>
    <row r="1162" spans="1:8" x14ac:dyDescent="0.25">
      <c r="A1162" t="s">
        <v>3490</v>
      </c>
      <c r="B1162" t="s">
        <v>3491</v>
      </c>
      <c r="C1162" t="s">
        <v>14</v>
      </c>
      <c r="D1162" s="1">
        <v>42431</v>
      </c>
      <c r="E1162">
        <v>10</v>
      </c>
      <c r="F1162">
        <v>1</v>
      </c>
      <c r="G1162" t="s">
        <v>3492</v>
      </c>
      <c r="H1162">
        <v>10</v>
      </c>
    </row>
    <row r="1163" spans="1:8" x14ac:dyDescent="0.25">
      <c r="A1163" t="s">
        <v>3493</v>
      </c>
      <c r="B1163" t="s">
        <v>3494</v>
      </c>
      <c r="C1163" t="s">
        <v>14</v>
      </c>
      <c r="D1163" s="1">
        <v>38551</v>
      </c>
      <c r="E1163">
        <v>1</v>
      </c>
      <c r="F1163">
        <v>1</v>
      </c>
      <c r="G1163" t="s">
        <v>3495</v>
      </c>
      <c r="H1163">
        <v>1</v>
      </c>
    </row>
    <row r="1164" spans="1:8" x14ac:dyDescent="0.25">
      <c r="A1164" t="s">
        <v>3496</v>
      </c>
      <c r="B1164" t="s">
        <v>3497</v>
      </c>
      <c r="C1164" t="s">
        <v>14</v>
      </c>
      <c r="D1164" s="1">
        <v>39260</v>
      </c>
      <c r="E1164">
        <v>2</v>
      </c>
      <c r="F1164">
        <v>1</v>
      </c>
      <c r="G1164" t="s">
        <v>3498</v>
      </c>
      <c r="H1164">
        <v>2</v>
      </c>
    </row>
    <row r="1165" spans="1:8" x14ac:dyDescent="0.25">
      <c r="A1165" t="s">
        <v>3499</v>
      </c>
      <c r="B1165" t="s">
        <v>3500</v>
      </c>
      <c r="C1165" t="s">
        <v>14</v>
      </c>
      <c r="D1165" s="1">
        <v>37769</v>
      </c>
      <c r="E1165">
        <v>10</v>
      </c>
      <c r="F1165">
        <v>1</v>
      </c>
      <c r="G1165" t="s">
        <v>3501</v>
      </c>
      <c r="H1165">
        <v>10</v>
      </c>
    </row>
    <row r="1166" spans="1:8" x14ac:dyDescent="0.25">
      <c r="A1166" t="s">
        <v>3502</v>
      </c>
      <c r="B1166" t="s">
        <v>3503</v>
      </c>
      <c r="C1166" t="s">
        <v>14</v>
      </c>
      <c r="D1166" s="1">
        <v>43593</v>
      </c>
      <c r="E1166">
        <v>10</v>
      </c>
      <c r="F1166">
        <v>1</v>
      </c>
      <c r="G1166" t="s">
        <v>3504</v>
      </c>
      <c r="H1166">
        <v>10</v>
      </c>
    </row>
    <row r="1167" spans="1:8" x14ac:dyDescent="0.25">
      <c r="A1167" t="s">
        <v>3505</v>
      </c>
      <c r="B1167" t="s">
        <v>3506</v>
      </c>
      <c r="C1167" t="s">
        <v>14</v>
      </c>
      <c r="D1167" s="1">
        <v>39546</v>
      </c>
      <c r="E1167">
        <v>2</v>
      </c>
      <c r="F1167">
        <v>1</v>
      </c>
      <c r="G1167" t="s">
        <v>3507</v>
      </c>
      <c r="H1167">
        <v>2</v>
      </c>
    </row>
    <row r="1168" spans="1:8" x14ac:dyDescent="0.25">
      <c r="A1168" t="s">
        <v>3508</v>
      </c>
      <c r="B1168" t="s">
        <v>3509</v>
      </c>
      <c r="C1168" t="s">
        <v>14</v>
      </c>
      <c r="D1168" s="1">
        <v>45139</v>
      </c>
      <c r="E1168">
        <v>10</v>
      </c>
      <c r="F1168">
        <v>1</v>
      </c>
      <c r="G1168" t="s">
        <v>3510</v>
      </c>
      <c r="H1168">
        <v>10</v>
      </c>
    </row>
    <row r="1169" spans="1:8" x14ac:dyDescent="0.25">
      <c r="A1169" t="s">
        <v>3511</v>
      </c>
      <c r="B1169" t="s">
        <v>3512</v>
      </c>
      <c r="C1169" t="s">
        <v>14</v>
      </c>
      <c r="D1169" s="1">
        <v>45134</v>
      </c>
      <c r="E1169">
        <v>2</v>
      </c>
      <c r="F1169">
        <v>1</v>
      </c>
      <c r="G1169" t="s">
        <v>3513</v>
      </c>
      <c r="H1169">
        <v>2</v>
      </c>
    </row>
    <row r="1170" spans="1:8" x14ac:dyDescent="0.25">
      <c r="A1170" t="s">
        <v>3514</v>
      </c>
      <c r="B1170" t="s">
        <v>3515</v>
      </c>
      <c r="C1170" t="s">
        <v>14</v>
      </c>
      <c r="D1170" s="1">
        <v>39115</v>
      </c>
      <c r="E1170">
        <v>5</v>
      </c>
      <c r="F1170">
        <v>1</v>
      </c>
      <c r="G1170" t="s">
        <v>3516</v>
      </c>
      <c r="H1170">
        <v>5</v>
      </c>
    </row>
    <row r="1171" spans="1:8" x14ac:dyDescent="0.25">
      <c r="A1171" t="s">
        <v>3517</v>
      </c>
      <c r="B1171" t="s">
        <v>3518</v>
      </c>
      <c r="C1171" t="s">
        <v>14</v>
      </c>
      <c r="D1171" s="1">
        <v>39734</v>
      </c>
      <c r="E1171">
        <v>10</v>
      </c>
      <c r="F1171">
        <v>1</v>
      </c>
      <c r="G1171" t="s">
        <v>3519</v>
      </c>
      <c r="H1171">
        <v>10</v>
      </c>
    </row>
    <row r="1172" spans="1:8" x14ac:dyDescent="0.25">
      <c r="A1172" t="s">
        <v>3520</v>
      </c>
      <c r="B1172" t="s">
        <v>3521</v>
      </c>
      <c r="C1172" t="s">
        <v>10</v>
      </c>
      <c r="D1172" s="1">
        <v>43129</v>
      </c>
      <c r="E1172">
        <v>10</v>
      </c>
      <c r="F1172">
        <v>1</v>
      </c>
      <c r="G1172" t="s">
        <v>3522</v>
      </c>
      <c r="H1172">
        <v>10</v>
      </c>
    </row>
    <row r="1173" spans="1:8" x14ac:dyDescent="0.25">
      <c r="A1173" t="s">
        <v>3523</v>
      </c>
      <c r="B1173" t="s">
        <v>3524</v>
      </c>
      <c r="C1173" t="s">
        <v>10</v>
      </c>
      <c r="D1173" s="1">
        <v>36985</v>
      </c>
      <c r="E1173">
        <v>10</v>
      </c>
      <c r="F1173">
        <v>1</v>
      </c>
      <c r="G1173" t="s">
        <v>3525</v>
      </c>
      <c r="H1173">
        <v>10</v>
      </c>
    </row>
    <row r="1174" spans="1:8" x14ac:dyDescent="0.25">
      <c r="A1174" t="s">
        <v>3526</v>
      </c>
      <c r="B1174" t="s">
        <v>3527</v>
      </c>
      <c r="C1174" t="s">
        <v>14</v>
      </c>
      <c r="D1174" s="1">
        <v>39079</v>
      </c>
      <c r="E1174">
        <v>10</v>
      </c>
      <c r="F1174">
        <v>1</v>
      </c>
      <c r="G1174" t="s">
        <v>3528</v>
      </c>
      <c r="H1174">
        <v>10</v>
      </c>
    </row>
    <row r="1175" spans="1:8" x14ac:dyDescent="0.25">
      <c r="A1175" t="s">
        <v>3529</v>
      </c>
      <c r="B1175" t="s">
        <v>3530</v>
      </c>
      <c r="C1175" t="s">
        <v>14</v>
      </c>
      <c r="D1175" s="1">
        <v>44428</v>
      </c>
      <c r="E1175">
        <v>10</v>
      </c>
      <c r="F1175">
        <v>1</v>
      </c>
      <c r="G1175" t="s">
        <v>3531</v>
      </c>
      <c r="H1175">
        <v>10</v>
      </c>
    </row>
    <row r="1176" spans="1:8" x14ac:dyDescent="0.25">
      <c r="A1176" t="s">
        <v>3532</v>
      </c>
      <c r="B1176" t="s">
        <v>3533</v>
      </c>
      <c r="C1176" t="s">
        <v>14</v>
      </c>
      <c r="D1176" s="1">
        <v>44750</v>
      </c>
      <c r="E1176">
        <v>5</v>
      </c>
      <c r="F1176">
        <v>1</v>
      </c>
      <c r="G1176" t="s">
        <v>3534</v>
      </c>
      <c r="H1176">
        <v>5</v>
      </c>
    </row>
    <row r="1177" spans="1:8" x14ac:dyDescent="0.25">
      <c r="A1177" t="s">
        <v>3535</v>
      </c>
      <c r="B1177" t="s">
        <v>3536</v>
      </c>
      <c r="C1177" t="s">
        <v>14</v>
      </c>
      <c r="D1177" s="1">
        <v>42375</v>
      </c>
      <c r="E1177">
        <v>10</v>
      </c>
      <c r="F1177">
        <v>1</v>
      </c>
      <c r="G1177" t="s">
        <v>3537</v>
      </c>
      <c r="H1177">
        <v>10</v>
      </c>
    </row>
    <row r="1178" spans="1:8" x14ac:dyDescent="0.25">
      <c r="A1178" t="s">
        <v>3538</v>
      </c>
      <c r="B1178" t="s">
        <v>3539</v>
      </c>
      <c r="C1178" t="s">
        <v>14</v>
      </c>
      <c r="D1178" s="1">
        <v>40057</v>
      </c>
      <c r="E1178">
        <v>10</v>
      </c>
      <c r="F1178">
        <v>1</v>
      </c>
      <c r="G1178" t="s">
        <v>3540</v>
      </c>
      <c r="H1178">
        <v>10</v>
      </c>
    </row>
    <row r="1179" spans="1:8" x14ac:dyDescent="0.25">
      <c r="A1179" t="s">
        <v>3541</v>
      </c>
      <c r="B1179" t="s">
        <v>3542</v>
      </c>
      <c r="C1179" t="s">
        <v>14</v>
      </c>
      <c r="D1179" s="1">
        <v>43052</v>
      </c>
      <c r="E1179">
        <v>5</v>
      </c>
      <c r="F1179">
        <v>1</v>
      </c>
      <c r="G1179" t="s">
        <v>3543</v>
      </c>
      <c r="H1179">
        <v>5</v>
      </c>
    </row>
    <row r="1180" spans="1:8" x14ac:dyDescent="0.25">
      <c r="A1180" t="s">
        <v>3544</v>
      </c>
      <c r="B1180" t="s">
        <v>3545</v>
      </c>
      <c r="C1180" t="s">
        <v>14</v>
      </c>
      <c r="D1180" s="1">
        <v>41373</v>
      </c>
      <c r="E1180">
        <v>2</v>
      </c>
      <c r="F1180">
        <v>1</v>
      </c>
      <c r="G1180" t="s">
        <v>3546</v>
      </c>
      <c r="H1180">
        <v>2</v>
      </c>
    </row>
    <row r="1181" spans="1:8" x14ac:dyDescent="0.25">
      <c r="A1181" t="s">
        <v>3547</v>
      </c>
      <c r="B1181" t="s">
        <v>3548</v>
      </c>
      <c r="C1181" t="s">
        <v>14</v>
      </c>
      <c r="D1181" s="1">
        <v>38215</v>
      </c>
      <c r="E1181">
        <v>2</v>
      </c>
      <c r="F1181">
        <v>1</v>
      </c>
      <c r="G1181" t="s">
        <v>3549</v>
      </c>
      <c r="H1181">
        <v>2</v>
      </c>
    </row>
    <row r="1182" spans="1:8" x14ac:dyDescent="0.25">
      <c r="A1182" t="s">
        <v>3550</v>
      </c>
      <c r="B1182" t="s">
        <v>3551</v>
      </c>
      <c r="C1182" t="s">
        <v>14</v>
      </c>
      <c r="D1182" s="1">
        <v>45146</v>
      </c>
      <c r="E1182">
        <v>2</v>
      </c>
      <c r="F1182">
        <v>1</v>
      </c>
      <c r="G1182" t="s">
        <v>3552</v>
      </c>
      <c r="H1182">
        <v>2</v>
      </c>
    </row>
    <row r="1183" spans="1:8" x14ac:dyDescent="0.25">
      <c r="A1183" t="s">
        <v>3553</v>
      </c>
      <c r="B1183" t="s">
        <v>3554</v>
      </c>
      <c r="C1183" t="s">
        <v>10</v>
      </c>
      <c r="D1183" s="1">
        <v>42145</v>
      </c>
      <c r="E1183">
        <v>1</v>
      </c>
      <c r="F1183">
        <v>1</v>
      </c>
      <c r="G1183" t="s">
        <v>3555</v>
      </c>
      <c r="H1183">
        <v>1</v>
      </c>
    </row>
    <row r="1184" spans="1:8" x14ac:dyDescent="0.25">
      <c r="A1184" t="s">
        <v>3556</v>
      </c>
      <c r="B1184" t="s">
        <v>3557</v>
      </c>
      <c r="C1184" t="s">
        <v>14</v>
      </c>
      <c r="D1184" s="1">
        <v>43462</v>
      </c>
      <c r="E1184">
        <v>1</v>
      </c>
      <c r="F1184">
        <v>1</v>
      </c>
      <c r="G1184" t="s">
        <v>3558</v>
      </c>
      <c r="H1184">
        <v>1</v>
      </c>
    </row>
    <row r="1185" spans="1:8" x14ac:dyDescent="0.25">
      <c r="A1185" t="s">
        <v>3559</v>
      </c>
      <c r="B1185" t="s">
        <v>3560</v>
      </c>
      <c r="C1185" t="s">
        <v>14</v>
      </c>
      <c r="D1185" s="1">
        <v>35004</v>
      </c>
      <c r="E1185">
        <v>10</v>
      </c>
      <c r="F1185">
        <v>1</v>
      </c>
      <c r="G1185" t="s">
        <v>3561</v>
      </c>
      <c r="H1185">
        <v>10</v>
      </c>
    </row>
    <row r="1186" spans="1:8" x14ac:dyDescent="0.25">
      <c r="A1186" t="s">
        <v>3562</v>
      </c>
      <c r="B1186" t="s">
        <v>3563</v>
      </c>
      <c r="C1186" t="s">
        <v>14</v>
      </c>
      <c r="D1186" s="1">
        <v>44978</v>
      </c>
      <c r="E1186">
        <v>10</v>
      </c>
      <c r="F1186">
        <v>1</v>
      </c>
      <c r="G1186" t="s">
        <v>3564</v>
      </c>
      <c r="H1186">
        <v>10</v>
      </c>
    </row>
    <row r="1187" spans="1:8" x14ac:dyDescent="0.25">
      <c r="A1187" t="s">
        <v>3565</v>
      </c>
      <c r="B1187" t="s">
        <v>3566</v>
      </c>
      <c r="C1187" t="s">
        <v>10</v>
      </c>
      <c r="D1187" s="1">
        <v>36439</v>
      </c>
      <c r="E1187">
        <v>5</v>
      </c>
      <c r="F1187">
        <v>1</v>
      </c>
      <c r="G1187" t="s">
        <v>3567</v>
      </c>
      <c r="H1187">
        <v>5</v>
      </c>
    </row>
    <row r="1188" spans="1:8" x14ac:dyDescent="0.25">
      <c r="A1188" t="s">
        <v>3568</v>
      </c>
      <c r="B1188" t="s">
        <v>3569</v>
      </c>
      <c r="C1188" t="s">
        <v>10</v>
      </c>
      <c r="D1188" s="1">
        <v>44105</v>
      </c>
      <c r="E1188">
        <v>10</v>
      </c>
      <c r="F1188">
        <v>1</v>
      </c>
      <c r="G1188" t="s">
        <v>3570</v>
      </c>
      <c r="H1188">
        <v>10</v>
      </c>
    </row>
    <row r="1189" spans="1:8" x14ac:dyDescent="0.25">
      <c r="A1189" t="s">
        <v>3571</v>
      </c>
      <c r="B1189" t="s">
        <v>3572</v>
      </c>
      <c r="C1189" t="s">
        <v>10</v>
      </c>
      <c r="D1189" s="1">
        <v>42670</v>
      </c>
      <c r="E1189">
        <v>10</v>
      </c>
      <c r="F1189">
        <v>1</v>
      </c>
      <c r="G1189" t="s">
        <v>3573</v>
      </c>
      <c r="H1189">
        <v>10</v>
      </c>
    </row>
    <row r="1190" spans="1:8" x14ac:dyDescent="0.25">
      <c r="A1190" t="s">
        <v>3574</v>
      </c>
      <c r="B1190" t="s">
        <v>3575</v>
      </c>
      <c r="C1190" t="s">
        <v>10</v>
      </c>
      <c r="D1190" s="1">
        <v>38797</v>
      </c>
      <c r="E1190">
        <v>10</v>
      </c>
      <c r="F1190">
        <v>1</v>
      </c>
      <c r="G1190" t="s">
        <v>3576</v>
      </c>
      <c r="H1190">
        <v>10</v>
      </c>
    </row>
    <row r="1191" spans="1:8" x14ac:dyDescent="0.25">
      <c r="A1191" t="s">
        <v>3577</v>
      </c>
      <c r="B1191" t="s">
        <v>3578</v>
      </c>
      <c r="C1191" t="s">
        <v>14</v>
      </c>
      <c r="D1191" s="1">
        <v>38750</v>
      </c>
      <c r="E1191">
        <v>10</v>
      </c>
      <c r="F1191">
        <v>1</v>
      </c>
      <c r="G1191" t="s">
        <v>3579</v>
      </c>
      <c r="H1191">
        <v>10</v>
      </c>
    </row>
    <row r="1192" spans="1:8" x14ac:dyDescent="0.25">
      <c r="A1192" t="s">
        <v>3580</v>
      </c>
      <c r="B1192" t="s">
        <v>3581</v>
      </c>
      <c r="C1192" t="s">
        <v>10</v>
      </c>
      <c r="D1192" s="1">
        <v>44308</v>
      </c>
      <c r="E1192">
        <v>10</v>
      </c>
      <c r="F1192">
        <v>1</v>
      </c>
      <c r="G1192" t="s">
        <v>3582</v>
      </c>
      <c r="H1192">
        <v>10</v>
      </c>
    </row>
    <row r="1193" spans="1:8" x14ac:dyDescent="0.25">
      <c r="A1193" t="s">
        <v>3583</v>
      </c>
      <c r="B1193" t="s">
        <v>3584</v>
      </c>
      <c r="C1193" t="s">
        <v>10</v>
      </c>
      <c r="D1193" s="1">
        <v>34887</v>
      </c>
      <c r="E1193">
        <v>10</v>
      </c>
      <c r="F1193">
        <v>1</v>
      </c>
      <c r="G1193" t="s">
        <v>3585</v>
      </c>
      <c r="H1193">
        <v>10</v>
      </c>
    </row>
    <row r="1194" spans="1:8" x14ac:dyDescent="0.25">
      <c r="A1194" t="s">
        <v>3586</v>
      </c>
      <c r="B1194" t="s">
        <v>3587</v>
      </c>
      <c r="C1194" t="s">
        <v>14</v>
      </c>
      <c r="D1194" s="1">
        <v>36761</v>
      </c>
      <c r="E1194">
        <v>10</v>
      </c>
      <c r="F1194">
        <v>1</v>
      </c>
      <c r="G1194" t="s">
        <v>3588</v>
      </c>
      <c r="H1194">
        <v>10</v>
      </c>
    </row>
    <row r="1195" spans="1:8" x14ac:dyDescent="0.25">
      <c r="A1195" t="s">
        <v>3589</v>
      </c>
      <c r="B1195" t="s">
        <v>3590</v>
      </c>
      <c r="C1195" t="s">
        <v>14</v>
      </c>
      <c r="D1195" s="1">
        <v>39510</v>
      </c>
      <c r="E1195">
        <v>1</v>
      </c>
      <c r="F1195">
        <v>1</v>
      </c>
      <c r="G1195" t="s">
        <v>3591</v>
      </c>
      <c r="H1195">
        <v>1</v>
      </c>
    </row>
    <row r="1196" spans="1:8" x14ac:dyDescent="0.25">
      <c r="A1196" t="s">
        <v>3592</v>
      </c>
      <c r="B1196" t="s">
        <v>3593</v>
      </c>
      <c r="C1196" t="s">
        <v>14</v>
      </c>
      <c r="D1196" s="1">
        <v>35081</v>
      </c>
      <c r="E1196">
        <v>10</v>
      </c>
      <c r="F1196">
        <v>1</v>
      </c>
      <c r="G1196" t="s">
        <v>3594</v>
      </c>
      <c r="H1196">
        <v>10</v>
      </c>
    </row>
    <row r="1197" spans="1:8" x14ac:dyDescent="0.25">
      <c r="A1197" t="s">
        <v>3595</v>
      </c>
      <c r="B1197" t="s">
        <v>3596</v>
      </c>
      <c r="C1197" t="s">
        <v>10</v>
      </c>
      <c r="D1197" s="1">
        <v>37596</v>
      </c>
      <c r="E1197">
        <v>10</v>
      </c>
      <c r="F1197">
        <v>1</v>
      </c>
      <c r="G1197" t="s">
        <v>3597</v>
      </c>
      <c r="H1197">
        <v>10</v>
      </c>
    </row>
    <row r="1198" spans="1:8" x14ac:dyDescent="0.25">
      <c r="A1198" t="s">
        <v>3598</v>
      </c>
      <c r="B1198" t="s">
        <v>3599</v>
      </c>
      <c r="C1198" t="s">
        <v>10</v>
      </c>
      <c r="D1198" s="1">
        <v>35242</v>
      </c>
      <c r="E1198">
        <v>10</v>
      </c>
      <c r="F1198">
        <v>1</v>
      </c>
      <c r="G1198" t="s">
        <v>3600</v>
      </c>
      <c r="H1198">
        <v>10</v>
      </c>
    </row>
    <row r="1199" spans="1:8" x14ac:dyDescent="0.25">
      <c r="A1199" t="s">
        <v>3601</v>
      </c>
      <c r="B1199" t="s">
        <v>3602</v>
      </c>
      <c r="C1199" t="s">
        <v>14</v>
      </c>
      <c r="D1199" s="1">
        <v>42830</v>
      </c>
      <c r="E1199">
        <v>10</v>
      </c>
      <c r="F1199">
        <v>1</v>
      </c>
      <c r="G1199" t="s">
        <v>3603</v>
      </c>
      <c r="H1199">
        <v>10</v>
      </c>
    </row>
    <row r="1200" spans="1:8" x14ac:dyDescent="0.25">
      <c r="A1200" t="s">
        <v>3604</v>
      </c>
      <c r="B1200" t="s">
        <v>3605</v>
      </c>
      <c r="C1200" t="s">
        <v>14</v>
      </c>
      <c r="D1200" s="1">
        <v>36593</v>
      </c>
      <c r="E1200">
        <v>2</v>
      </c>
      <c r="F1200">
        <v>1</v>
      </c>
      <c r="G1200" t="s">
        <v>3606</v>
      </c>
      <c r="H1200">
        <v>2</v>
      </c>
    </row>
    <row r="1201" spans="1:8" x14ac:dyDescent="0.25">
      <c r="A1201" t="s">
        <v>3607</v>
      </c>
      <c r="B1201" t="s">
        <v>3608</v>
      </c>
      <c r="C1201" t="s">
        <v>14</v>
      </c>
      <c r="D1201" s="1">
        <v>44938</v>
      </c>
      <c r="E1201">
        <v>10</v>
      </c>
      <c r="F1201">
        <v>1</v>
      </c>
      <c r="G1201" t="s">
        <v>3609</v>
      </c>
      <c r="H1201">
        <v>10</v>
      </c>
    </row>
    <row r="1202" spans="1:8" x14ac:dyDescent="0.25">
      <c r="A1202" t="s">
        <v>3610</v>
      </c>
      <c r="B1202" t="s">
        <v>3611</v>
      </c>
      <c r="C1202" t="s">
        <v>14</v>
      </c>
      <c r="D1202" s="1">
        <v>37942</v>
      </c>
      <c r="E1202">
        <v>10</v>
      </c>
      <c r="F1202">
        <v>1</v>
      </c>
      <c r="G1202" t="s">
        <v>3612</v>
      </c>
      <c r="H1202">
        <v>10</v>
      </c>
    </row>
    <row r="1203" spans="1:8" x14ac:dyDescent="0.25">
      <c r="A1203" t="s">
        <v>3613</v>
      </c>
      <c r="B1203" t="s">
        <v>3614</v>
      </c>
      <c r="C1203" t="s">
        <v>14</v>
      </c>
      <c r="D1203" s="1">
        <v>44977</v>
      </c>
      <c r="E1203">
        <v>10</v>
      </c>
      <c r="F1203">
        <v>1</v>
      </c>
      <c r="G1203" t="s">
        <v>3615</v>
      </c>
      <c r="H1203">
        <v>10</v>
      </c>
    </row>
    <row r="1204" spans="1:8" x14ac:dyDescent="0.25">
      <c r="A1204" t="s">
        <v>3616</v>
      </c>
      <c r="B1204" t="s">
        <v>3617</v>
      </c>
      <c r="C1204" t="s">
        <v>14</v>
      </c>
      <c r="D1204" s="1">
        <v>38296</v>
      </c>
      <c r="E1204">
        <v>10</v>
      </c>
      <c r="F1204">
        <v>1</v>
      </c>
      <c r="G1204" t="s">
        <v>3618</v>
      </c>
      <c r="H1204">
        <v>10</v>
      </c>
    </row>
    <row r="1205" spans="1:8" x14ac:dyDescent="0.25">
      <c r="A1205" t="s">
        <v>3619</v>
      </c>
      <c r="B1205" t="s">
        <v>3620</v>
      </c>
      <c r="C1205" t="s">
        <v>10</v>
      </c>
      <c r="D1205" s="1">
        <v>37609</v>
      </c>
      <c r="E1205">
        <v>10</v>
      </c>
      <c r="F1205">
        <v>1</v>
      </c>
      <c r="G1205" t="s">
        <v>3621</v>
      </c>
      <c r="H1205">
        <v>10</v>
      </c>
    </row>
    <row r="1206" spans="1:8" x14ac:dyDescent="0.25">
      <c r="A1206" t="s">
        <v>3622</v>
      </c>
      <c r="B1206" t="s">
        <v>3623</v>
      </c>
      <c r="C1206" t="s">
        <v>14</v>
      </c>
      <c r="D1206" s="1">
        <v>44252</v>
      </c>
      <c r="E1206">
        <v>10</v>
      </c>
      <c r="F1206">
        <v>1</v>
      </c>
      <c r="G1206" t="s">
        <v>3624</v>
      </c>
      <c r="H1206">
        <v>10</v>
      </c>
    </row>
    <row r="1207" spans="1:8" x14ac:dyDescent="0.25">
      <c r="A1207" t="s">
        <v>3625</v>
      </c>
      <c r="B1207" t="s">
        <v>3626</v>
      </c>
      <c r="C1207" t="s">
        <v>14</v>
      </c>
      <c r="D1207" s="1">
        <v>45195</v>
      </c>
      <c r="E1207">
        <v>10</v>
      </c>
      <c r="F1207">
        <v>1</v>
      </c>
      <c r="G1207" t="s">
        <v>3627</v>
      </c>
      <c r="H1207">
        <v>10</v>
      </c>
    </row>
    <row r="1208" spans="1:8" x14ac:dyDescent="0.25">
      <c r="A1208" t="s">
        <v>3628</v>
      </c>
      <c r="B1208" t="s">
        <v>3629</v>
      </c>
      <c r="C1208" t="s">
        <v>14</v>
      </c>
      <c r="D1208" s="1">
        <v>44431</v>
      </c>
      <c r="E1208">
        <v>10</v>
      </c>
      <c r="F1208">
        <v>1</v>
      </c>
      <c r="G1208" t="s">
        <v>3630</v>
      </c>
      <c r="H1208">
        <v>10</v>
      </c>
    </row>
    <row r="1209" spans="1:8" x14ac:dyDescent="0.25">
      <c r="A1209" t="s">
        <v>3631</v>
      </c>
      <c r="B1209" t="s">
        <v>3632</v>
      </c>
      <c r="C1209" t="s">
        <v>14</v>
      </c>
      <c r="D1209" s="1">
        <v>44510</v>
      </c>
      <c r="E1209">
        <v>1</v>
      </c>
      <c r="F1209">
        <v>1</v>
      </c>
      <c r="G1209" t="s">
        <v>3633</v>
      </c>
      <c r="H1209">
        <v>1</v>
      </c>
    </row>
    <row r="1210" spans="1:8" x14ac:dyDescent="0.25">
      <c r="A1210" t="s">
        <v>3634</v>
      </c>
      <c r="B1210" t="s">
        <v>3635</v>
      </c>
      <c r="C1210" t="s">
        <v>14</v>
      </c>
      <c r="D1210" s="1">
        <v>43657</v>
      </c>
      <c r="E1210">
        <v>5</v>
      </c>
      <c r="F1210">
        <v>1</v>
      </c>
      <c r="G1210" t="s">
        <v>3636</v>
      </c>
      <c r="H1210">
        <v>5</v>
      </c>
    </row>
    <row r="1211" spans="1:8" x14ac:dyDescent="0.25">
      <c r="A1211" t="s">
        <v>3637</v>
      </c>
      <c r="B1211" t="s">
        <v>3638</v>
      </c>
      <c r="C1211" t="s">
        <v>14</v>
      </c>
      <c r="D1211" s="1">
        <v>44658</v>
      </c>
      <c r="E1211">
        <v>10</v>
      </c>
      <c r="F1211">
        <v>1</v>
      </c>
      <c r="G1211" t="s">
        <v>3639</v>
      </c>
      <c r="H1211">
        <v>10</v>
      </c>
    </row>
    <row r="1212" spans="1:8" x14ac:dyDescent="0.25">
      <c r="A1212" t="s">
        <v>3640</v>
      </c>
      <c r="B1212" t="s">
        <v>3641</v>
      </c>
      <c r="C1212" t="s">
        <v>14</v>
      </c>
      <c r="D1212" s="1">
        <v>40471</v>
      </c>
      <c r="E1212">
        <v>10</v>
      </c>
      <c r="F1212">
        <v>1</v>
      </c>
      <c r="G1212" t="s">
        <v>3642</v>
      </c>
      <c r="H1212">
        <v>10</v>
      </c>
    </row>
    <row r="1213" spans="1:8" x14ac:dyDescent="0.25">
      <c r="A1213" t="s">
        <v>3643</v>
      </c>
      <c r="B1213" t="s">
        <v>3644</v>
      </c>
      <c r="C1213" t="s">
        <v>14</v>
      </c>
      <c r="D1213" s="1">
        <v>42396</v>
      </c>
      <c r="E1213">
        <v>10</v>
      </c>
      <c r="F1213">
        <v>1</v>
      </c>
      <c r="G1213" t="s">
        <v>3645</v>
      </c>
      <c r="H1213">
        <v>10</v>
      </c>
    </row>
    <row r="1214" spans="1:8" x14ac:dyDescent="0.25">
      <c r="A1214" t="s">
        <v>3646</v>
      </c>
      <c r="B1214" t="s">
        <v>3647</v>
      </c>
      <c r="C1214" t="s">
        <v>14</v>
      </c>
      <c r="D1214" s="1">
        <v>37435</v>
      </c>
      <c r="E1214">
        <v>5</v>
      </c>
      <c r="F1214">
        <v>1</v>
      </c>
      <c r="G1214" t="s">
        <v>3648</v>
      </c>
      <c r="H1214">
        <v>5</v>
      </c>
    </row>
    <row r="1215" spans="1:8" x14ac:dyDescent="0.25">
      <c r="A1215" t="s">
        <v>3649</v>
      </c>
      <c r="B1215" t="s">
        <v>3650</v>
      </c>
      <c r="C1215" t="s">
        <v>14</v>
      </c>
      <c r="D1215" s="1">
        <v>40086</v>
      </c>
      <c r="E1215">
        <v>10</v>
      </c>
      <c r="F1215">
        <v>1</v>
      </c>
      <c r="G1215" t="s">
        <v>3651</v>
      </c>
      <c r="H1215">
        <v>10</v>
      </c>
    </row>
    <row r="1216" spans="1:8" x14ac:dyDescent="0.25">
      <c r="A1216" t="s">
        <v>3652</v>
      </c>
      <c r="B1216" t="s">
        <v>3653</v>
      </c>
      <c r="C1216" t="s">
        <v>10</v>
      </c>
      <c r="D1216" s="1">
        <v>34941</v>
      </c>
      <c r="E1216">
        <v>10</v>
      </c>
      <c r="F1216">
        <v>1</v>
      </c>
      <c r="G1216" t="s">
        <v>3654</v>
      </c>
      <c r="H1216">
        <v>10</v>
      </c>
    </row>
    <row r="1217" spans="1:8" x14ac:dyDescent="0.25">
      <c r="A1217" t="s">
        <v>3655</v>
      </c>
      <c r="B1217" t="s">
        <v>3656</v>
      </c>
      <c r="C1217" t="s">
        <v>14</v>
      </c>
      <c r="D1217" s="1">
        <v>37335</v>
      </c>
      <c r="E1217">
        <v>4</v>
      </c>
      <c r="F1217">
        <v>1</v>
      </c>
      <c r="G1217" t="s">
        <v>3657</v>
      </c>
      <c r="H1217">
        <v>4</v>
      </c>
    </row>
    <row r="1218" spans="1:8" x14ac:dyDescent="0.25">
      <c r="A1218" t="s">
        <v>3658</v>
      </c>
      <c r="B1218" t="s">
        <v>3659</v>
      </c>
      <c r="C1218" t="s">
        <v>14</v>
      </c>
      <c r="D1218" s="1">
        <v>37672</v>
      </c>
      <c r="E1218">
        <v>10</v>
      </c>
      <c r="F1218">
        <v>1</v>
      </c>
      <c r="G1218" t="s">
        <v>3660</v>
      </c>
      <c r="H1218">
        <v>10</v>
      </c>
    </row>
    <row r="1219" spans="1:8" x14ac:dyDescent="0.25">
      <c r="A1219" t="s">
        <v>3661</v>
      </c>
      <c r="B1219" t="s">
        <v>3662</v>
      </c>
      <c r="C1219" t="s">
        <v>14</v>
      </c>
      <c r="D1219" s="1">
        <v>39303</v>
      </c>
      <c r="E1219">
        <v>10</v>
      </c>
      <c r="F1219">
        <v>1</v>
      </c>
      <c r="G1219" t="s">
        <v>3663</v>
      </c>
      <c r="H1219">
        <v>10</v>
      </c>
    </row>
    <row r="1220" spans="1:8" x14ac:dyDescent="0.25">
      <c r="A1220" t="s">
        <v>3664</v>
      </c>
      <c r="B1220" t="s">
        <v>3665</v>
      </c>
      <c r="C1220" t="s">
        <v>10</v>
      </c>
      <c r="D1220" s="1">
        <v>40711</v>
      </c>
      <c r="E1220">
        <v>1</v>
      </c>
      <c r="F1220">
        <v>1</v>
      </c>
      <c r="G1220" t="s">
        <v>3666</v>
      </c>
      <c r="H1220">
        <v>1</v>
      </c>
    </row>
    <row r="1221" spans="1:8" x14ac:dyDescent="0.25">
      <c r="A1221" t="s">
        <v>3667</v>
      </c>
      <c r="B1221" t="s">
        <v>3668</v>
      </c>
      <c r="C1221" t="s">
        <v>786</v>
      </c>
      <c r="D1221" s="1">
        <v>40584</v>
      </c>
      <c r="E1221">
        <v>10</v>
      </c>
      <c r="F1221">
        <v>1</v>
      </c>
      <c r="G1221" t="s">
        <v>3669</v>
      </c>
      <c r="H1221">
        <v>10</v>
      </c>
    </row>
    <row r="1222" spans="1:8" x14ac:dyDescent="0.25">
      <c r="A1222" t="s">
        <v>3670</v>
      </c>
      <c r="B1222" t="s">
        <v>3671</v>
      </c>
      <c r="C1222" t="s">
        <v>14</v>
      </c>
      <c r="D1222" s="1">
        <v>40833</v>
      </c>
      <c r="E1222">
        <v>10</v>
      </c>
      <c r="F1222">
        <v>1</v>
      </c>
      <c r="G1222" t="s">
        <v>3672</v>
      </c>
      <c r="H1222">
        <v>10</v>
      </c>
    </row>
    <row r="1223" spans="1:8" x14ac:dyDescent="0.25">
      <c r="A1223" t="s">
        <v>3673</v>
      </c>
      <c r="B1223" t="s">
        <v>3674</v>
      </c>
      <c r="C1223" t="s">
        <v>10</v>
      </c>
      <c r="D1223" s="1">
        <v>43594</v>
      </c>
      <c r="E1223">
        <v>2</v>
      </c>
      <c r="F1223">
        <v>1</v>
      </c>
      <c r="G1223" t="s">
        <v>3675</v>
      </c>
      <c r="H1223">
        <v>2</v>
      </c>
    </row>
    <row r="1224" spans="1:8" x14ac:dyDescent="0.25">
      <c r="A1224" t="s">
        <v>3676</v>
      </c>
      <c r="B1224" t="s">
        <v>3677</v>
      </c>
      <c r="C1224" t="s">
        <v>14</v>
      </c>
      <c r="D1224" s="1">
        <v>34899</v>
      </c>
      <c r="E1224">
        <v>5</v>
      </c>
      <c r="F1224">
        <v>1</v>
      </c>
      <c r="G1224" t="s">
        <v>3678</v>
      </c>
      <c r="H1224">
        <v>5</v>
      </c>
    </row>
    <row r="1225" spans="1:8" x14ac:dyDescent="0.25">
      <c r="A1225" t="s">
        <v>3679</v>
      </c>
      <c r="B1225" t="s">
        <v>3680</v>
      </c>
      <c r="C1225" t="s">
        <v>14</v>
      </c>
      <c r="D1225" s="1">
        <v>39497</v>
      </c>
      <c r="E1225">
        <v>10</v>
      </c>
      <c r="F1225">
        <v>1</v>
      </c>
      <c r="G1225" t="s">
        <v>3681</v>
      </c>
      <c r="H1225">
        <v>10</v>
      </c>
    </row>
    <row r="1226" spans="1:8" x14ac:dyDescent="0.25">
      <c r="A1226" t="s">
        <v>3682</v>
      </c>
      <c r="B1226" t="s">
        <v>3683</v>
      </c>
      <c r="C1226" t="s">
        <v>14</v>
      </c>
      <c r="D1226" s="1">
        <v>36957</v>
      </c>
      <c r="E1226">
        <v>10</v>
      </c>
      <c r="F1226">
        <v>1</v>
      </c>
      <c r="G1226" t="s">
        <v>3684</v>
      </c>
      <c r="H1226">
        <v>10</v>
      </c>
    </row>
    <row r="1227" spans="1:8" x14ac:dyDescent="0.25">
      <c r="A1227" t="s">
        <v>3685</v>
      </c>
      <c r="B1227" t="s">
        <v>3686</v>
      </c>
      <c r="C1227" t="s">
        <v>14</v>
      </c>
      <c r="D1227" s="1">
        <v>42955</v>
      </c>
      <c r="E1227">
        <v>10</v>
      </c>
      <c r="F1227">
        <v>1</v>
      </c>
      <c r="G1227" t="s">
        <v>3687</v>
      </c>
      <c r="H1227">
        <v>10</v>
      </c>
    </row>
    <row r="1228" spans="1:8" x14ac:dyDescent="0.25">
      <c r="A1228" t="s">
        <v>3688</v>
      </c>
      <c r="B1228" t="s">
        <v>3689</v>
      </c>
      <c r="C1228" t="s">
        <v>14</v>
      </c>
      <c r="D1228" s="1">
        <v>41583</v>
      </c>
      <c r="E1228">
        <v>10</v>
      </c>
      <c r="F1228">
        <v>1</v>
      </c>
      <c r="G1228" t="s">
        <v>3690</v>
      </c>
      <c r="H1228">
        <v>10</v>
      </c>
    </row>
    <row r="1229" spans="1:8" x14ac:dyDescent="0.25">
      <c r="A1229" t="s">
        <v>3691</v>
      </c>
      <c r="B1229" t="s">
        <v>3692</v>
      </c>
      <c r="C1229" t="s">
        <v>14</v>
      </c>
      <c r="D1229" s="1">
        <v>44137</v>
      </c>
      <c r="E1229">
        <v>10</v>
      </c>
      <c r="F1229">
        <v>1</v>
      </c>
      <c r="G1229" t="s">
        <v>3693</v>
      </c>
      <c r="H1229">
        <v>10</v>
      </c>
    </row>
    <row r="1230" spans="1:8" x14ac:dyDescent="0.25">
      <c r="A1230" t="s">
        <v>3694</v>
      </c>
      <c r="B1230" t="s">
        <v>3695</v>
      </c>
      <c r="C1230" t="s">
        <v>14</v>
      </c>
      <c r="D1230" s="1">
        <v>42209</v>
      </c>
      <c r="E1230">
        <v>2</v>
      </c>
      <c r="F1230">
        <v>1</v>
      </c>
      <c r="G1230" t="s">
        <v>3696</v>
      </c>
      <c r="H1230">
        <v>2</v>
      </c>
    </row>
    <row r="1231" spans="1:8" x14ac:dyDescent="0.25">
      <c r="A1231" t="s">
        <v>3697</v>
      </c>
      <c r="B1231" t="s">
        <v>3698</v>
      </c>
      <c r="C1231" t="s">
        <v>14</v>
      </c>
      <c r="D1231" s="1">
        <v>39148</v>
      </c>
      <c r="E1231">
        <v>10</v>
      </c>
      <c r="F1231">
        <v>1</v>
      </c>
      <c r="G1231" t="s">
        <v>3699</v>
      </c>
      <c r="H1231">
        <v>10</v>
      </c>
    </row>
    <row r="1232" spans="1:8" x14ac:dyDescent="0.25">
      <c r="A1232" t="s">
        <v>3700</v>
      </c>
      <c r="B1232" t="s">
        <v>3701</v>
      </c>
      <c r="C1232" t="s">
        <v>14</v>
      </c>
      <c r="D1232" s="1">
        <v>39127</v>
      </c>
      <c r="E1232">
        <v>10</v>
      </c>
      <c r="F1232">
        <v>1</v>
      </c>
      <c r="G1232" t="s">
        <v>3702</v>
      </c>
      <c r="H1232">
        <v>10</v>
      </c>
    </row>
    <row r="1233" spans="1:8" x14ac:dyDescent="0.25">
      <c r="A1233" t="s">
        <v>3703</v>
      </c>
      <c r="B1233" t="s">
        <v>3704</v>
      </c>
      <c r="C1233" t="s">
        <v>14</v>
      </c>
      <c r="D1233" s="1">
        <v>41467</v>
      </c>
      <c r="E1233">
        <v>1</v>
      </c>
      <c r="F1233">
        <v>1</v>
      </c>
      <c r="G1233" t="s">
        <v>3705</v>
      </c>
      <c r="H1233">
        <v>1</v>
      </c>
    </row>
    <row r="1234" spans="1:8" x14ac:dyDescent="0.25">
      <c r="A1234" t="s">
        <v>3706</v>
      </c>
      <c r="B1234" t="s">
        <v>3707</v>
      </c>
      <c r="C1234" t="s">
        <v>14</v>
      </c>
      <c r="D1234" s="1">
        <v>38701</v>
      </c>
      <c r="E1234">
        <v>1</v>
      </c>
      <c r="F1234">
        <v>1</v>
      </c>
      <c r="G1234" t="s">
        <v>3708</v>
      </c>
      <c r="H1234">
        <v>1</v>
      </c>
    </row>
    <row r="1235" spans="1:8" x14ac:dyDescent="0.25">
      <c r="A1235" t="s">
        <v>3709</v>
      </c>
      <c r="B1235" t="s">
        <v>3710</v>
      </c>
      <c r="C1235" t="s">
        <v>14</v>
      </c>
      <c r="D1235" s="1">
        <v>43234</v>
      </c>
      <c r="E1235">
        <v>1</v>
      </c>
      <c r="F1235">
        <v>1</v>
      </c>
      <c r="G1235" t="s">
        <v>3711</v>
      </c>
      <c r="H1235">
        <v>1</v>
      </c>
    </row>
    <row r="1236" spans="1:8" x14ac:dyDescent="0.25">
      <c r="A1236" t="s">
        <v>3712</v>
      </c>
      <c r="B1236" t="s">
        <v>3713</v>
      </c>
      <c r="C1236" t="s">
        <v>14</v>
      </c>
      <c r="D1236" s="1">
        <v>36034</v>
      </c>
      <c r="E1236">
        <v>1</v>
      </c>
      <c r="F1236">
        <v>1</v>
      </c>
      <c r="G1236" t="s">
        <v>3714</v>
      </c>
      <c r="H1236">
        <v>1</v>
      </c>
    </row>
    <row r="1237" spans="1:8" x14ac:dyDescent="0.25">
      <c r="A1237" t="s">
        <v>3715</v>
      </c>
      <c r="B1237" t="s">
        <v>3716</v>
      </c>
      <c r="C1237" t="s">
        <v>14</v>
      </c>
      <c r="D1237" s="1">
        <v>40240</v>
      </c>
      <c r="E1237">
        <v>10</v>
      </c>
      <c r="F1237">
        <v>1</v>
      </c>
      <c r="G1237" t="s">
        <v>3717</v>
      </c>
      <c r="H1237">
        <v>10</v>
      </c>
    </row>
    <row r="1238" spans="1:8" x14ac:dyDescent="0.25">
      <c r="A1238" t="s">
        <v>3718</v>
      </c>
      <c r="B1238" t="s">
        <v>3719</v>
      </c>
      <c r="C1238" t="s">
        <v>14</v>
      </c>
      <c r="D1238" s="1">
        <v>34787</v>
      </c>
      <c r="E1238">
        <v>1</v>
      </c>
      <c r="F1238">
        <v>1</v>
      </c>
      <c r="G1238" t="s">
        <v>3720</v>
      </c>
      <c r="H1238">
        <v>1</v>
      </c>
    </row>
    <row r="1239" spans="1:8" x14ac:dyDescent="0.25">
      <c r="A1239" t="s">
        <v>3721</v>
      </c>
      <c r="B1239" t="s">
        <v>3722</v>
      </c>
      <c r="C1239" t="s">
        <v>14</v>
      </c>
      <c r="D1239" s="1">
        <v>40450</v>
      </c>
      <c r="E1239">
        <v>1</v>
      </c>
      <c r="F1239">
        <v>1</v>
      </c>
      <c r="G1239" t="s">
        <v>3723</v>
      </c>
      <c r="H1239">
        <v>1</v>
      </c>
    </row>
    <row r="1240" spans="1:8" x14ac:dyDescent="0.25">
      <c r="A1240" t="s">
        <v>3724</v>
      </c>
      <c r="B1240" t="s">
        <v>3725</v>
      </c>
      <c r="C1240" t="s">
        <v>786</v>
      </c>
      <c r="D1240" s="1">
        <v>42082</v>
      </c>
      <c r="E1240">
        <v>10</v>
      </c>
      <c r="F1240">
        <v>1</v>
      </c>
      <c r="G1240" t="s">
        <v>3726</v>
      </c>
      <c r="H1240">
        <v>10</v>
      </c>
    </row>
    <row r="1241" spans="1:8" x14ac:dyDescent="0.25">
      <c r="A1241" t="s">
        <v>3727</v>
      </c>
      <c r="B1241" t="s">
        <v>3728</v>
      </c>
      <c r="C1241" t="s">
        <v>14</v>
      </c>
      <c r="D1241" s="1">
        <v>44285</v>
      </c>
      <c r="E1241">
        <v>10</v>
      </c>
      <c r="F1241">
        <v>1</v>
      </c>
      <c r="G1241" t="s">
        <v>3729</v>
      </c>
      <c r="H1241">
        <v>10</v>
      </c>
    </row>
    <row r="1242" spans="1:8" x14ac:dyDescent="0.25">
      <c r="A1242" t="s">
        <v>3730</v>
      </c>
      <c r="B1242" t="s">
        <v>3731</v>
      </c>
      <c r="C1242" t="s">
        <v>14</v>
      </c>
      <c r="D1242" s="1">
        <v>44896</v>
      </c>
      <c r="E1242">
        <v>1</v>
      </c>
      <c r="F1242">
        <v>1</v>
      </c>
      <c r="G1242" t="s">
        <v>3732</v>
      </c>
      <c r="H1242">
        <v>1</v>
      </c>
    </row>
    <row r="1243" spans="1:8" x14ac:dyDescent="0.25">
      <c r="A1243" t="s">
        <v>3733</v>
      </c>
      <c r="B1243" t="s">
        <v>3734</v>
      </c>
      <c r="C1243" t="s">
        <v>14</v>
      </c>
      <c r="D1243" s="1">
        <v>34787</v>
      </c>
      <c r="E1243">
        <v>10</v>
      </c>
      <c r="F1243">
        <v>1</v>
      </c>
      <c r="G1243" t="s">
        <v>3735</v>
      </c>
      <c r="H1243">
        <v>10</v>
      </c>
    </row>
    <row r="1244" spans="1:8" x14ac:dyDescent="0.25">
      <c r="A1244" t="s">
        <v>3736</v>
      </c>
      <c r="B1244" t="s">
        <v>3737</v>
      </c>
      <c r="C1244" t="s">
        <v>14</v>
      </c>
      <c r="D1244" s="1">
        <v>35305</v>
      </c>
      <c r="E1244">
        <v>10</v>
      </c>
      <c r="F1244">
        <v>1</v>
      </c>
      <c r="G1244" t="s">
        <v>3738</v>
      </c>
      <c r="H1244">
        <v>10</v>
      </c>
    </row>
    <row r="1245" spans="1:8" x14ac:dyDescent="0.25">
      <c r="A1245" t="s">
        <v>3739</v>
      </c>
      <c r="B1245" t="s">
        <v>3740</v>
      </c>
      <c r="C1245" t="s">
        <v>14</v>
      </c>
      <c r="D1245" s="1">
        <v>44985</v>
      </c>
      <c r="E1245">
        <v>2</v>
      </c>
      <c r="F1245">
        <v>1</v>
      </c>
      <c r="G1245" t="s">
        <v>3741</v>
      </c>
      <c r="H1245">
        <v>2</v>
      </c>
    </row>
    <row r="1246" spans="1:8" x14ac:dyDescent="0.25">
      <c r="A1246" t="s">
        <v>3742</v>
      </c>
      <c r="B1246" t="s">
        <v>3743</v>
      </c>
      <c r="C1246" t="s">
        <v>14</v>
      </c>
      <c r="D1246" s="1">
        <v>39157</v>
      </c>
      <c r="E1246">
        <v>10</v>
      </c>
      <c r="F1246">
        <v>1</v>
      </c>
      <c r="G1246" t="s">
        <v>3744</v>
      </c>
      <c r="H1246">
        <v>10</v>
      </c>
    </row>
    <row r="1247" spans="1:8" x14ac:dyDescent="0.25">
      <c r="A1247" t="s">
        <v>3745</v>
      </c>
      <c r="B1247" t="s">
        <v>3746</v>
      </c>
      <c r="C1247" t="s">
        <v>14</v>
      </c>
      <c r="D1247" s="1">
        <v>40833</v>
      </c>
      <c r="E1247">
        <v>1</v>
      </c>
      <c r="F1247">
        <v>1</v>
      </c>
      <c r="G1247" t="s">
        <v>3747</v>
      </c>
      <c r="H1247">
        <v>1</v>
      </c>
    </row>
    <row r="1248" spans="1:8" x14ac:dyDescent="0.25">
      <c r="A1248" t="s">
        <v>3748</v>
      </c>
      <c r="B1248" t="s">
        <v>3749</v>
      </c>
      <c r="C1248" t="s">
        <v>14</v>
      </c>
      <c r="D1248" s="1">
        <v>45118</v>
      </c>
      <c r="E1248">
        <v>10</v>
      </c>
      <c r="F1248">
        <v>1</v>
      </c>
      <c r="G1248" t="s">
        <v>3750</v>
      </c>
      <c r="H1248">
        <v>10</v>
      </c>
    </row>
    <row r="1249" spans="1:8" x14ac:dyDescent="0.25">
      <c r="A1249" t="s">
        <v>3751</v>
      </c>
      <c r="B1249" t="s">
        <v>3752</v>
      </c>
      <c r="C1249" t="s">
        <v>14</v>
      </c>
      <c r="D1249" s="1">
        <v>42944</v>
      </c>
      <c r="E1249">
        <v>10</v>
      </c>
      <c r="F1249">
        <v>1</v>
      </c>
      <c r="G1249" t="s">
        <v>3753</v>
      </c>
      <c r="H1249">
        <v>10</v>
      </c>
    </row>
    <row r="1250" spans="1:8" x14ac:dyDescent="0.25">
      <c r="A1250" t="s">
        <v>3754</v>
      </c>
      <c r="B1250" t="s">
        <v>3755</v>
      </c>
      <c r="C1250" t="s">
        <v>14</v>
      </c>
      <c r="D1250" s="1">
        <v>42499</v>
      </c>
      <c r="E1250">
        <v>10</v>
      </c>
      <c r="F1250">
        <v>1</v>
      </c>
      <c r="G1250" t="s">
        <v>3756</v>
      </c>
      <c r="H1250">
        <v>10</v>
      </c>
    </row>
    <row r="1251" spans="1:8" x14ac:dyDescent="0.25">
      <c r="A1251" t="s">
        <v>3757</v>
      </c>
      <c r="B1251" t="s">
        <v>3758</v>
      </c>
      <c r="C1251" t="s">
        <v>14</v>
      </c>
      <c r="D1251" s="1">
        <v>35172</v>
      </c>
      <c r="E1251">
        <v>1</v>
      </c>
      <c r="F1251">
        <v>1</v>
      </c>
      <c r="G1251" t="s">
        <v>3759</v>
      </c>
      <c r="H1251">
        <v>1</v>
      </c>
    </row>
    <row r="1252" spans="1:8" x14ac:dyDescent="0.25">
      <c r="A1252" t="s">
        <v>3760</v>
      </c>
      <c r="B1252" t="s">
        <v>3761</v>
      </c>
      <c r="C1252" t="s">
        <v>10</v>
      </c>
      <c r="D1252" s="1">
        <v>43836</v>
      </c>
      <c r="E1252">
        <v>10</v>
      </c>
      <c r="F1252">
        <v>1</v>
      </c>
      <c r="G1252" t="s">
        <v>3762</v>
      </c>
      <c r="H1252">
        <v>10</v>
      </c>
    </row>
    <row r="1253" spans="1:8" x14ac:dyDescent="0.25">
      <c r="A1253" t="s">
        <v>3763</v>
      </c>
      <c r="B1253" t="s">
        <v>3764</v>
      </c>
      <c r="C1253" t="s">
        <v>14</v>
      </c>
      <c r="D1253" s="1">
        <v>40816</v>
      </c>
      <c r="E1253">
        <v>2</v>
      </c>
      <c r="F1253">
        <v>1</v>
      </c>
      <c r="G1253" t="s">
        <v>3765</v>
      </c>
      <c r="H1253">
        <v>2</v>
      </c>
    </row>
    <row r="1254" spans="1:8" x14ac:dyDescent="0.25">
      <c r="A1254" t="s">
        <v>3766</v>
      </c>
      <c r="B1254" t="s">
        <v>3767</v>
      </c>
      <c r="C1254" t="s">
        <v>10</v>
      </c>
      <c r="D1254" s="1">
        <v>44487</v>
      </c>
      <c r="E1254">
        <v>10</v>
      </c>
      <c r="F1254">
        <v>1</v>
      </c>
      <c r="G1254" t="s">
        <v>3768</v>
      </c>
      <c r="H1254">
        <v>10</v>
      </c>
    </row>
    <row r="1255" spans="1:8" x14ac:dyDescent="0.25">
      <c r="A1255" t="s">
        <v>3769</v>
      </c>
      <c r="B1255" t="s">
        <v>3770</v>
      </c>
      <c r="C1255" t="s">
        <v>14</v>
      </c>
      <c r="D1255" s="1">
        <v>44455</v>
      </c>
      <c r="E1255">
        <v>10</v>
      </c>
      <c r="F1255">
        <v>1</v>
      </c>
      <c r="G1255" t="s">
        <v>3771</v>
      </c>
      <c r="H1255">
        <v>10</v>
      </c>
    </row>
    <row r="1256" spans="1:8" x14ac:dyDescent="0.25">
      <c r="A1256" t="s">
        <v>3772</v>
      </c>
      <c r="B1256" t="s">
        <v>3773</v>
      </c>
      <c r="C1256" t="s">
        <v>10</v>
      </c>
      <c r="D1256" s="1">
        <v>39085</v>
      </c>
      <c r="E1256">
        <v>2</v>
      </c>
      <c r="F1256">
        <v>1</v>
      </c>
      <c r="G1256" t="s">
        <v>3774</v>
      </c>
      <c r="H1256">
        <v>2</v>
      </c>
    </row>
    <row r="1257" spans="1:8" x14ac:dyDescent="0.25">
      <c r="A1257" t="s">
        <v>3775</v>
      </c>
      <c r="B1257" t="s">
        <v>3776</v>
      </c>
      <c r="C1257" t="s">
        <v>14</v>
      </c>
      <c r="D1257" s="1">
        <v>44708</v>
      </c>
      <c r="E1257">
        <v>10</v>
      </c>
      <c r="F1257">
        <v>1</v>
      </c>
      <c r="G1257" t="s">
        <v>3777</v>
      </c>
      <c r="H1257">
        <v>10</v>
      </c>
    </row>
    <row r="1258" spans="1:8" x14ac:dyDescent="0.25">
      <c r="A1258" t="s">
        <v>3778</v>
      </c>
      <c r="B1258" t="s">
        <v>3779</v>
      </c>
      <c r="C1258" t="s">
        <v>14</v>
      </c>
      <c r="D1258" s="1">
        <v>42509</v>
      </c>
      <c r="E1258">
        <v>10</v>
      </c>
      <c r="F1258">
        <v>1</v>
      </c>
      <c r="G1258" t="s">
        <v>3780</v>
      </c>
      <c r="H1258">
        <v>10</v>
      </c>
    </row>
    <row r="1259" spans="1:8" x14ac:dyDescent="0.25">
      <c r="A1259" t="s">
        <v>3781</v>
      </c>
      <c r="B1259" t="s">
        <v>3782</v>
      </c>
      <c r="C1259" t="s">
        <v>14</v>
      </c>
      <c r="D1259" s="1">
        <v>44470</v>
      </c>
      <c r="E1259">
        <v>10</v>
      </c>
      <c r="F1259">
        <v>1</v>
      </c>
      <c r="G1259" t="s">
        <v>3783</v>
      </c>
      <c r="H1259">
        <v>10</v>
      </c>
    </row>
    <row r="1260" spans="1:8" x14ac:dyDescent="0.25">
      <c r="A1260" t="s">
        <v>3784</v>
      </c>
      <c r="B1260" t="s">
        <v>3785</v>
      </c>
      <c r="C1260" t="s">
        <v>10</v>
      </c>
      <c r="D1260" s="1">
        <v>35109</v>
      </c>
      <c r="E1260">
        <v>1</v>
      </c>
      <c r="F1260">
        <v>1</v>
      </c>
      <c r="G1260" t="s">
        <v>3786</v>
      </c>
      <c r="H1260">
        <v>1</v>
      </c>
    </row>
    <row r="1261" spans="1:8" x14ac:dyDescent="0.25">
      <c r="A1261" t="s">
        <v>3787</v>
      </c>
      <c r="B1261" t="s">
        <v>3788</v>
      </c>
      <c r="C1261" t="s">
        <v>10</v>
      </c>
      <c r="D1261" s="1">
        <v>39051</v>
      </c>
      <c r="E1261">
        <v>5</v>
      </c>
      <c r="F1261">
        <v>1</v>
      </c>
      <c r="G1261" t="s">
        <v>3789</v>
      </c>
      <c r="H1261">
        <v>5</v>
      </c>
    </row>
    <row r="1262" spans="1:8" x14ac:dyDescent="0.25">
      <c r="A1262" t="s">
        <v>3790</v>
      </c>
      <c r="B1262" t="s">
        <v>3791</v>
      </c>
      <c r="C1262" t="s">
        <v>14</v>
      </c>
      <c r="D1262" s="1">
        <v>44481</v>
      </c>
      <c r="E1262">
        <v>10</v>
      </c>
      <c r="F1262">
        <v>1</v>
      </c>
      <c r="G1262" t="s">
        <v>3792</v>
      </c>
      <c r="H1262">
        <v>10</v>
      </c>
    </row>
    <row r="1263" spans="1:8" x14ac:dyDescent="0.25">
      <c r="A1263" t="s">
        <v>3793</v>
      </c>
      <c r="B1263" t="s">
        <v>3794</v>
      </c>
      <c r="C1263" t="s">
        <v>14</v>
      </c>
      <c r="D1263" s="1">
        <v>43854</v>
      </c>
      <c r="E1263">
        <v>2</v>
      </c>
      <c r="F1263">
        <v>1</v>
      </c>
      <c r="G1263" t="s">
        <v>3795</v>
      </c>
      <c r="H1263">
        <v>2</v>
      </c>
    </row>
    <row r="1264" spans="1:8" x14ac:dyDescent="0.25">
      <c r="A1264" t="s">
        <v>3796</v>
      </c>
      <c r="B1264" t="s">
        <v>3797</v>
      </c>
      <c r="C1264" t="s">
        <v>14</v>
      </c>
      <c r="D1264" s="1">
        <v>38407</v>
      </c>
      <c r="E1264">
        <v>1</v>
      </c>
      <c r="F1264">
        <v>1</v>
      </c>
      <c r="G1264" t="s">
        <v>3798</v>
      </c>
      <c r="H1264">
        <v>1</v>
      </c>
    </row>
    <row r="1265" spans="1:8" x14ac:dyDescent="0.25">
      <c r="A1265" t="s">
        <v>3799</v>
      </c>
      <c r="B1265" t="s">
        <v>3800</v>
      </c>
      <c r="C1265" t="s">
        <v>10</v>
      </c>
      <c r="D1265" s="1">
        <v>39458</v>
      </c>
      <c r="E1265">
        <v>10</v>
      </c>
      <c r="F1265">
        <v>1</v>
      </c>
      <c r="G1265" t="s">
        <v>3801</v>
      </c>
      <c r="H1265">
        <v>10</v>
      </c>
    </row>
    <row r="1266" spans="1:8" x14ac:dyDescent="0.25">
      <c r="A1266" t="s">
        <v>3802</v>
      </c>
      <c r="B1266" t="s">
        <v>3803</v>
      </c>
      <c r="C1266" t="s">
        <v>14</v>
      </c>
      <c r="D1266" s="1">
        <v>45078</v>
      </c>
      <c r="E1266">
        <v>10</v>
      </c>
      <c r="F1266">
        <v>1</v>
      </c>
      <c r="G1266" t="s">
        <v>3804</v>
      </c>
      <c r="H1266">
        <v>10</v>
      </c>
    </row>
    <row r="1267" spans="1:8" x14ac:dyDescent="0.25">
      <c r="A1267" t="s">
        <v>3805</v>
      </c>
      <c r="B1267" t="s">
        <v>3806</v>
      </c>
      <c r="C1267" t="s">
        <v>14</v>
      </c>
      <c r="D1267" s="1">
        <v>44518</v>
      </c>
      <c r="E1267">
        <v>1</v>
      </c>
      <c r="F1267">
        <v>1</v>
      </c>
      <c r="G1267" t="s">
        <v>3807</v>
      </c>
      <c r="H1267">
        <v>1</v>
      </c>
    </row>
    <row r="1268" spans="1:8" x14ac:dyDescent="0.25">
      <c r="A1268" t="s">
        <v>3808</v>
      </c>
      <c r="B1268" t="s">
        <v>3809</v>
      </c>
      <c r="C1268" t="s">
        <v>14</v>
      </c>
      <c r="D1268" s="1">
        <v>34787</v>
      </c>
      <c r="E1268">
        <v>1</v>
      </c>
      <c r="F1268">
        <v>1</v>
      </c>
      <c r="G1268" t="s">
        <v>3810</v>
      </c>
      <c r="H1268">
        <v>1</v>
      </c>
    </row>
    <row r="1269" spans="1:8" x14ac:dyDescent="0.25">
      <c r="A1269" t="s">
        <v>3811</v>
      </c>
      <c r="B1269" t="s">
        <v>3812</v>
      </c>
      <c r="C1269" t="s">
        <v>14</v>
      </c>
      <c r="D1269" s="1">
        <v>41270</v>
      </c>
      <c r="E1269">
        <v>10</v>
      </c>
      <c r="F1269">
        <v>1</v>
      </c>
      <c r="G1269" t="s">
        <v>3813</v>
      </c>
      <c r="H1269">
        <v>10</v>
      </c>
    </row>
    <row r="1270" spans="1:8" x14ac:dyDescent="0.25">
      <c r="A1270" t="s">
        <v>3814</v>
      </c>
      <c r="B1270" t="s">
        <v>3815</v>
      </c>
      <c r="C1270" t="s">
        <v>14</v>
      </c>
      <c r="D1270" s="1">
        <v>42459</v>
      </c>
      <c r="E1270">
        <v>1</v>
      </c>
      <c r="F1270">
        <v>1</v>
      </c>
      <c r="G1270" t="s">
        <v>3816</v>
      </c>
      <c r="H1270">
        <v>1</v>
      </c>
    </row>
    <row r="1271" spans="1:8" x14ac:dyDescent="0.25">
      <c r="A1271" t="s">
        <v>3817</v>
      </c>
      <c r="B1271" t="s">
        <v>3818</v>
      </c>
      <c r="C1271" t="s">
        <v>14</v>
      </c>
      <c r="D1271" s="1">
        <v>41933</v>
      </c>
      <c r="E1271">
        <v>2</v>
      </c>
      <c r="F1271">
        <v>1</v>
      </c>
      <c r="G1271" t="s">
        <v>3819</v>
      </c>
      <c r="H1271">
        <v>2</v>
      </c>
    </row>
    <row r="1272" spans="1:8" x14ac:dyDescent="0.25">
      <c r="A1272" t="s">
        <v>3820</v>
      </c>
      <c r="B1272" t="s">
        <v>3821</v>
      </c>
      <c r="C1272" t="s">
        <v>14</v>
      </c>
      <c r="D1272" s="1">
        <v>34983</v>
      </c>
      <c r="E1272">
        <v>10</v>
      </c>
      <c r="F1272">
        <v>1</v>
      </c>
      <c r="G1272" t="s">
        <v>3822</v>
      </c>
      <c r="H1272">
        <v>10</v>
      </c>
    </row>
    <row r="1273" spans="1:8" x14ac:dyDescent="0.25">
      <c r="A1273" t="s">
        <v>3823</v>
      </c>
      <c r="B1273" t="s">
        <v>3824</v>
      </c>
      <c r="C1273" t="s">
        <v>14</v>
      </c>
      <c r="D1273" s="1">
        <v>34738</v>
      </c>
      <c r="E1273">
        <v>2</v>
      </c>
      <c r="F1273">
        <v>1</v>
      </c>
      <c r="G1273" t="s">
        <v>3825</v>
      </c>
      <c r="H1273">
        <v>2</v>
      </c>
    </row>
    <row r="1274" spans="1:8" x14ac:dyDescent="0.25">
      <c r="A1274" t="s">
        <v>3826</v>
      </c>
      <c r="B1274" t="s">
        <v>3827</v>
      </c>
      <c r="C1274" t="s">
        <v>14</v>
      </c>
      <c r="D1274" s="1">
        <v>40507</v>
      </c>
      <c r="E1274">
        <v>5</v>
      </c>
      <c r="F1274">
        <v>1</v>
      </c>
      <c r="G1274" t="s">
        <v>3828</v>
      </c>
      <c r="H1274">
        <v>5</v>
      </c>
    </row>
    <row r="1275" spans="1:8" x14ac:dyDescent="0.25">
      <c r="A1275" t="s">
        <v>3829</v>
      </c>
      <c r="B1275" t="s">
        <v>3830</v>
      </c>
      <c r="C1275" t="s">
        <v>14</v>
      </c>
      <c r="D1275" s="1">
        <v>34738</v>
      </c>
      <c r="E1275">
        <v>2</v>
      </c>
      <c r="F1275">
        <v>1</v>
      </c>
      <c r="G1275" t="s">
        <v>3831</v>
      </c>
      <c r="H1275">
        <v>2</v>
      </c>
    </row>
    <row r="1276" spans="1:8" x14ac:dyDescent="0.25">
      <c r="A1276" t="s">
        <v>3832</v>
      </c>
      <c r="B1276" t="s">
        <v>3833</v>
      </c>
      <c r="C1276" t="s">
        <v>14</v>
      </c>
      <c r="D1276" s="1">
        <v>40274</v>
      </c>
      <c r="E1276">
        <v>10</v>
      </c>
      <c r="F1276">
        <v>1</v>
      </c>
      <c r="G1276" t="s">
        <v>3834</v>
      </c>
      <c r="H1276">
        <v>10</v>
      </c>
    </row>
    <row r="1277" spans="1:8" x14ac:dyDescent="0.25">
      <c r="A1277" t="s">
        <v>3835</v>
      </c>
      <c r="B1277" t="s">
        <v>3836</v>
      </c>
      <c r="C1277" t="s">
        <v>14</v>
      </c>
      <c r="D1277" s="1">
        <v>38072</v>
      </c>
      <c r="E1277">
        <v>10</v>
      </c>
      <c r="F1277">
        <v>1</v>
      </c>
      <c r="G1277" t="s">
        <v>3837</v>
      </c>
      <c r="H1277">
        <v>10</v>
      </c>
    </row>
    <row r="1278" spans="1:8" x14ac:dyDescent="0.25">
      <c r="A1278" t="s">
        <v>3838</v>
      </c>
      <c r="B1278" t="s">
        <v>3839</v>
      </c>
      <c r="C1278" t="s">
        <v>14</v>
      </c>
      <c r="D1278" s="1">
        <v>39136</v>
      </c>
      <c r="E1278">
        <v>10</v>
      </c>
      <c r="F1278">
        <v>1</v>
      </c>
      <c r="G1278" t="s">
        <v>3840</v>
      </c>
      <c r="H1278">
        <v>10</v>
      </c>
    </row>
    <row r="1279" spans="1:8" x14ac:dyDescent="0.25">
      <c r="A1279" t="s">
        <v>3841</v>
      </c>
      <c r="B1279" t="s">
        <v>3842</v>
      </c>
      <c r="C1279" t="s">
        <v>14</v>
      </c>
      <c r="D1279" s="1">
        <v>36278</v>
      </c>
      <c r="E1279">
        <v>10</v>
      </c>
      <c r="F1279">
        <v>1</v>
      </c>
      <c r="G1279" t="s">
        <v>3843</v>
      </c>
      <c r="H1279">
        <v>10</v>
      </c>
    </row>
    <row r="1280" spans="1:8" x14ac:dyDescent="0.25">
      <c r="A1280" t="s">
        <v>3844</v>
      </c>
      <c r="B1280" t="s">
        <v>3845</v>
      </c>
      <c r="C1280" t="s">
        <v>14</v>
      </c>
      <c r="D1280" s="1">
        <v>38888</v>
      </c>
      <c r="E1280">
        <v>1</v>
      </c>
      <c r="F1280">
        <v>1</v>
      </c>
      <c r="G1280" t="s">
        <v>3846</v>
      </c>
      <c r="H1280">
        <v>1</v>
      </c>
    </row>
    <row r="1281" spans="1:8" x14ac:dyDescent="0.25">
      <c r="A1281" t="s">
        <v>3847</v>
      </c>
      <c r="B1281" t="s">
        <v>3848</v>
      </c>
      <c r="C1281" t="s">
        <v>14</v>
      </c>
      <c r="D1281" s="1">
        <v>40632</v>
      </c>
      <c r="E1281">
        <v>10</v>
      </c>
      <c r="F1281">
        <v>1</v>
      </c>
      <c r="G1281" t="s">
        <v>3849</v>
      </c>
      <c r="H1281">
        <v>10</v>
      </c>
    </row>
    <row r="1282" spans="1:8" x14ac:dyDescent="0.25">
      <c r="A1282" t="s">
        <v>3850</v>
      </c>
      <c r="B1282" t="s">
        <v>3851</v>
      </c>
      <c r="C1282" t="s">
        <v>14</v>
      </c>
      <c r="D1282" s="1">
        <v>40812</v>
      </c>
      <c r="E1282">
        <v>10</v>
      </c>
      <c r="F1282">
        <v>1</v>
      </c>
      <c r="G1282" t="s">
        <v>3852</v>
      </c>
      <c r="H1282">
        <v>10</v>
      </c>
    </row>
    <row r="1283" spans="1:8" x14ac:dyDescent="0.25">
      <c r="A1283" t="s">
        <v>3853</v>
      </c>
      <c r="B1283" t="s">
        <v>3854</v>
      </c>
      <c r="C1283" t="s">
        <v>14</v>
      </c>
      <c r="D1283" s="1">
        <v>38175</v>
      </c>
      <c r="E1283">
        <v>10</v>
      </c>
      <c r="F1283">
        <v>1</v>
      </c>
      <c r="G1283" t="s">
        <v>3855</v>
      </c>
      <c r="H1283">
        <v>10</v>
      </c>
    </row>
    <row r="1284" spans="1:8" x14ac:dyDescent="0.25">
      <c r="A1284" t="s">
        <v>3856</v>
      </c>
      <c r="B1284" t="s">
        <v>3857</v>
      </c>
      <c r="C1284" t="s">
        <v>14</v>
      </c>
      <c r="D1284" s="1">
        <v>35179</v>
      </c>
      <c r="E1284">
        <v>10</v>
      </c>
      <c r="F1284">
        <v>1</v>
      </c>
      <c r="G1284" t="s">
        <v>3858</v>
      </c>
      <c r="H1284">
        <v>10</v>
      </c>
    </row>
    <row r="1285" spans="1:8" x14ac:dyDescent="0.25">
      <c r="A1285" t="s">
        <v>3859</v>
      </c>
      <c r="B1285" t="s">
        <v>3860</v>
      </c>
      <c r="C1285" t="s">
        <v>10</v>
      </c>
      <c r="D1285" s="1">
        <v>39128</v>
      </c>
      <c r="E1285">
        <v>10</v>
      </c>
      <c r="F1285">
        <v>1</v>
      </c>
      <c r="G1285" t="s">
        <v>3861</v>
      </c>
      <c r="H1285">
        <v>10</v>
      </c>
    </row>
    <row r="1286" spans="1:8" x14ac:dyDescent="0.25">
      <c r="A1286" t="s">
        <v>3862</v>
      </c>
      <c r="B1286" t="s">
        <v>3863</v>
      </c>
      <c r="C1286" t="s">
        <v>14</v>
      </c>
      <c r="D1286" s="1">
        <v>39195</v>
      </c>
      <c r="E1286">
        <v>2</v>
      </c>
      <c r="F1286">
        <v>1</v>
      </c>
      <c r="G1286" t="s">
        <v>3864</v>
      </c>
      <c r="H1286">
        <v>2</v>
      </c>
    </row>
    <row r="1287" spans="1:8" x14ac:dyDescent="0.25">
      <c r="A1287" t="s">
        <v>3865</v>
      </c>
      <c r="B1287" t="s">
        <v>3866</v>
      </c>
      <c r="C1287" t="s">
        <v>14</v>
      </c>
      <c r="D1287" s="1">
        <v>34787</v>
      </c>
      <c r="E1287">
        <v>1</v>
      </c>
      <c r="F1287">
        <v>1</v>
      </c>
      <c r="G1287" t="s">
        <v>3867</v>
      </c>
      <c r="H1287">
        <v>1</v>
      </c>
    </row>
    <row r="1288" spans="1:8" x14ac:dyDescent="0.25">
      <c r="A1288" t="s">
        <v>3868</v>
      </c>
      <c r="B1288" t="s">
        <v>3869</v>
      </c>
      <c r="C1288" t="s">
        <v>10</v>
      </c>
      <c r="D1288" s="1">
        <v>45063</v>
      </c>
      <c r="E1288">
        <v>10</v>
      </c>
      <c r="F1288">
        <v>1</v>
      </c>
      <c r="G1288" t="s">
        <v>3870</v>
      </c>
      <c r="H1288">
        <v>10</v>
      </c>
    </row>
    <row r="1289" spans="1:8" x14ac:dyDescent="0.25">
      <c r="A1289" t="s">
        <v>3871</v>
      </c>
      <c r="B1289" t="s">
        <v>3872</v>
      </c>
      <c r="C1289" t="s">
        <v>14</v>
      </c>
      <c r="D1289" s="1">
        <v>40709</v>
      </c>
      <c r="E1289">
        <v>1</v>
      </c>
      <c r="F1289">
        <v>1</v>
      </c>
      <c r="G1289" t="s">
        <v>3873</v>
      </c>
      <c r="H1289">
        <v>1</v>
      </c>
    </row>
    <row r="1290" spans="1:8" x14ac:dyDescent="0.25">
      <c r="A1290" t="s">
        <v>3874</v>
      </c>
      <c r="B1290" t="s">
        <v>3875</v>
      </c>
      <c r="C1290" t="s">
        <v>14</v>
      </c>
      <c r="D1290" s="1">
        <v>42346</v>
      </c>
      <c r="E1290">
        <v>10</v>
      </c>
      <c r="F1290">
        <v>1</v>
      </c>
      <c r="G1290" t="s">
        <v>3876</v>
      </c>
      <c r="H1290">
        <v>10</v>
      </c>
    </row>
    <row r="1291" spans="1:8" x14ac:dyDescent="0.25">
      <c r="A1291" t="s">
        <v>3877</v>
      </c>
      <c r="B1291" t="s">
        <v>3878</v>
      </c>
      <c r="C1291" t="s">
        <v>14</v>
      </c>
      <c r="D1291" s="1">
        <v>41554</v>
      </c>
      <c r="E1291">
        <v>1</v>
      </c>
      <c r="F1291">
        <v>1</v>
      </c>
      <c r="G1291" t="s">
        <v>3879</v>
      </c>
      <c r="H1291">
        <v>1</v>
      </c>
    </row>
    <row r="1292" spans="1:8" x14ac:dyDescent="0.25">
      <c r="A1292" t="s">
        <v>3880</v>
      </c>
      <c r="B1292" t="s">
        <v>3881</v>
      </c>
      <c r="C1292" t="s">
        <v>10</v>
      </c>
      <c r="D1292" s="1">
        <v>38853</v>
      </c>
      <c r="E1292">
        <v>10</v>
      </c>
      <c r="F1292">
        <v>1</v>
      </c>
      <c r="G1292" t="s">
        <v>3882</v>
      </c>
      <c r="H1292">
        <v>10</v>
      </c>
    </row>
    <row r="1293" spans="1:8" x14ac:dyDescent="0.25">
      <c r="A1293" t="s">
        <v>3883</v>
      </c>
      <c r="B1293" t="s">
        <v>3884</v>
      </c>
      <c r="C1293" t="s">
        <v>14</v>
      </c>
      <c r="D1293" s="1">
        <v>39115</v>
      </c>
      <c r="E1293">
        <v>5</v>
      </c>
      <c r="F1293">
        <v>1</v>
      </c>
      <c r="G1293" t="s">
        <v>3885</v>
      </c>
      <c r="H1293">
        <v>5</v>
      </c>
    </row>
    <row r="1294" spans="1:8" x14ac:dyDescent="0.25">
      <c r="A1294" t="s">
        <v>3886</v>
      </c>
      <c r="B1294" t="s">
        <v>3887</v>
      </c>
      <c r="C1294" t="s">
        <v>14</v>
      </c>
      <c r="D1294" s="1">
        <v>44679</v>
      </c>
      <c r="E1294">
        <v>10</v>
      </c>
      <c r="F1294">
        <v>1</v>
      </c>
      <c r="G1294" t="s">
        <v>3888</v>
      </c>
      <c r="H1294">
        <v>10</v>
      </c>
    </row>
    <row r="1295" spans="1:8" x14ac:dyDescent="0.25">
      <c r="A1295" t="s">
        <v>3889</v>
      </c>
      <c r="B1295" t="s">
        <v>3890</v>
      </c>
      <c r="C1295" t="s">
        <v>10</v>
      </c>
      <c r="D1295" s="1">
        <v>42235</v>
      </c>
      <c r="E1295">
        <v>10</v>
      </c>
      <c r="F1295">
        <v>1</v>
      </c>
      <c r="G1295" t="s">
        <v>3891</v>
      </c>
      <c r="H1295">
        <v>10</v>
      </c>
    </row>
    <row r="1296" spans="1:8" x14ac:dyDescent="0.25">
      <c r="A1296" t="s">
        <v>3892</v>
      </c>
      <c r="B1296" t="s">
        <v>3893</v>
      </c>
      <c r="C1296" t="s">
        <v>14</v>
      </c>
      <c r="D1296" s="1">
        <v>39079</v>
      </c>
      <c r="E1296">
        <v>5</v>
      </c>
      <c r="F1296">
        <v>1</v>
      </c>
      <c r="G1296" t="s">
        <v>3894</v>
      </c>
      <c r="H1296">
        <v>5</v>
      </c>
    </row>
    <row r="1297" spans="1:8" x14ac:dyDescent="0.25">
      <c r="A1297" t="s">
        <v>3895</v>
      </c>
      <c r="B1297" t="s">
        <v>3896</v>
      </c>
      <c r="C1297" t="s">
        <v>14</v>
      </c>
      <c r="D1297" s="1">
        <v>45211</v>
      </c>
      <c r="E1297">
        <v>10</v>
      </c>
      <c r="F1297">
        <v>1</v>
      </c>
      <c r="G1297" t="s">
        <v>3897</v>
      </c>
      <c r="H1297">
        <v>10</v>
      </c>
    </row>
    <row r="1298" spans="1:8" x14ac:dyDescent="0.25">
      <c r="A1298" t="s">
        <v>3898</v>
      </c>
      <c r="B1298" t="s">
        <v>3899</v>
      </c>
      <c r="C1298" t="s">
        <v>14</v>
      </c>
      <c r="D1298" s="1">
        <v>37370</v>
      </c>
      <c r="E1298">
        <v>2</v>
      </c>
      <c r="F1298">
        <v>1</v>
      </c>
      <c r="G1298" t="s">
        <v>3900</v>
      </c>
      <c r="H1298">
        <v>2</v>
      </c>
    </row>
    <row r="1299" spans="1:8" x14ac:dyDescent="0.25">
      <c r="A1299" t="s">
        <v>3901</v>
      </c>
      <c r="B1299" t="s">
        <v>3902</v>
      </c>
      <c r="C1299" t="s">
        <v>14</v>
      </c>
      <c r="D1299" s="1">
        <v>36787</v>
      </c>
      <c r="E1299">
        <v>10</v>
      </c>
      <c r="F1299">
        <v>1</v>
      </c>
      <c r="G1299" t="s">
        <v>3903</v>
      </c>
      <c r="H1299">
        <v>10</v>
      </c>
    </row>
    <row r="1300" spans="1:8" x14ac:dyDescent="0.25">
      <c r="A1300" t="s">
        <v>3904</v>
      </c>
      <c r="B1300" t="s">
        <v>3905</v>
      </c>
      <c r="C1300" t="s">
        <v>14</v>
      </c>
      <c r="D1300" s="1">
        <v>42681</v>
      </c>
      <c r="E1300">
        <v>10</v>
      </c>
      <c r="F1300">
        <v>1</v>
      </c>
      <c r="G1300" t="s">
        <v>3906</v>
      </c>
      <c r="H1300">
        <v>10</v>
      </c>
    </row>
    <row r="1301" spans="1:8" x14ac:dyDescent="0.25">
      <c r="A1301" t="s">
        <v>3907</v>
      </c>
      <c r="B1301" t="s">
        <v>3908</v>
      </c>
      <c r="C1301" t="s">
        <v>14</v>
      </c>
      <c r="D1301" s="1">
        <v>36871</v>
      </c>
      <c r="E1301">
        <v>10</v>
      </c>
      <c r="F1301">
        <v>1</v>
      </c>
      <c r="G1301" t="s">
        <v>3909</v>
      </c>
      <c r="H1301">
        <v>10</v>
      </c>
    </row>
    <row r="1302" spans="1:8" x14ac:dyDescent="0.25">
      <c r="A1302" t="s">
        <v>3910</v>
      </c>
      <c r="B1302" t="s">
        <v>3911</v>
      </c>
      <c r="C1302" t="s">
        <v>14</v>
      </c>
      <c r="D1302" s="1">
        <v>42150</v>
      </c>
      <c r="E1302">
        <v>2</v>
      </c>
      <c r="F1302">
        <v>1</v>
      </c>
      <c r="G1302" t="s">
        <v>3912</v>
      </c>
      <c r="H1302">
        <v>2</v>
      </c>
    </row>
    <row r="1303" spans="1:8" x14ac:dyDescent="0.25">
      <c r="A1303" t="s">
        <v>3913</v>
      </c>
      <c r="B1303" t="s">
        <v>3914</v>
      </c>
      <c r="C1303" t="s">
        <v>14</v>
      </c>
      <c r="D1303" s="1">
        <v>44991</v>
      </c>
      <c r="E1303">
        <v>10</v>
      </c>
      <c r="F1303">
        <v>1</v>
      </c>
      <c r="G1303" t="s">
        <v>3915</v>
      </c>
      <c r="H1303">
        <v>10</v>
      </c>
    </row>
    <row r="1304" spans="1:8" x14ac:dyDescent="0.25">
      <c r="A1304" t="s">
        <v>3916</v>
      </c>
      <c r="B1304" t="s">
        <v>3917</v>
      </c>
      <c r="C1304" t="s">
        <v>786</v>
      </c>
      <c r="D1304" s="1">
        <v>42835</v>
      </c>
      <c r="E1304">
        <v>10</v>
      </c>
      <c r="F1304">
        <v>1</v>
      </c>
      <c r="G1304" t="s">
        <v>3918</v>
      </c>
      <c r="H1304">
        <v>10</v>
      </c>
    </row>
    <row r="1305" spans="1:8" x14ac:dyDescent="0.25">
      <c r="A1305" t="s">
        <v>3919</v>
      </c>
      <c r="B1305" t="s">
        <v>3920</v>
      </c>
      <c r="C1305" t="s">
        <v>14</v>
      </c>
      <c r="D1305" s="1">
        <v>42696</v>
      </c>
      <c r="E1305">
        <v>10</v>
      </c>
      <c r="F1305">
        <v>1</v>
      </c>
      <c r="G1305" t="s">
        <v>3921</v>
      </c>
      <c r="H1305">
        <v>10</v>
      </c>
    </row>
    <row r="1306" spans="1:8" x14ac:dyDescent="0.25">
      <c r="A1306" t="s">
        <v>3922</v>
      </c>
      <c r="B1306" t="s">
        <v>3923</v>
      </c>
      <c r="C1306" t="s">
        <v>14</v>
      </c>
      <c r="D1306" s="1">
        <v>42558</v>
      </c>
      <c r="E1306">
        <v>2</v>
      </c>
      <c r="F1306">
        <v>1</v>
      </c>
      <c r="G1306" t="s">
        <v>3924</v>
      </c>
      <c r="H1306">
        <v>2</v>
      </c>
    </row>
    <row r="1307" spans="1:8" x14ac:dyDescent="0.25">
      <c r="A1307" t="s">
        <v>3925</v>
      </c>
      <c r="B1307" t="s">
        <v>3926</v>
      </c>
      <c r="C1307" t="s">
        <v>14</v>
      </c>
      <c r="D1307" s="1">
        <v>44515</v>
      </c>
      <c r="E1307">
        <v>2</v>
      </c>
      <c r="F1307">
        <v>1</v>
      </c>
      <c r="G1307" t="s">
        <v>3927</v>
      </c>
      <c r="H1307">
        <v>2</v>
      </c>
    </row>
    <row r="1308" spans="1:8" x14ac:dyDescent="0.25">
      <c r="A1308" t="s">
        <v>3928</v>
      </c>
      <c r="B1308" t="s">
        <v>3929</v>
      </c>
      <c r="C1308" t="s">
        <v>14</v>
      </c>
      <c r="D1308" s="1">
        <v>43571</v>
      </c>
      <c r="E1308">
        <v>10</v>
      </c>
      <c r="F1308">
        <v>1</v>
      </c>
      <c r="G1308" t="s">
        <v>3930</v>
      </c>
      <c r="H1308">
        <v>10</v>
      </c>
    </row>
    <row r="1309" spans="1:8" x14ac:dyDescent="0.25">
      <c r="A1309" t="s">
        <v>3931</v>
      </c>
      <c r="B1309" t="s">
        <v>3932</v>
      </c>
      <c r="C1309" t="s">
        <v>14</v>
      </c>
      <c r="D1309" s="1">
        <v>40884</v>
      </c>
      <c r="E1309">
        <v>5</v>
      </c>
      <c r="F1309">
        <v>1</v>
      </c>
      <c r="G1309" t="s">
        <v>3933</v>
      </c>
      <c r="H1309">
        <v>5</v>
      </c>
    </row>
    <row r="1310" spans="1:8" x14ac:dyDescent="0.25">
      <c r="A1310" t="s">
        <v>3934</v>
      </c>
      <c r="B1310" t="s">
        <v>3935</v>
      </c>
      <c r="C1310" t="s">
        <v>14</v>
      </c>
      <c r="D1310" s="1">
        <v>37722</v>
      </c>
      <c r="E1310">
        <v>10</v>
      </c>
      <c r="F1310">
        <v>1</v>
      </c>
      <c r="G1310" t="s">
        <v>3936</v>
      </c>
      <c r="H1310">
        <v>10</v>
      </c>
    </row>
    <row r="1311" spans="1:8" x14ac:dyDescent="0.25">
      <c r="A1311" t="s">
        <v>3937</v>
      </c>
      <c r="B1311" t="s">
        <v>3938</v>
      </c>
      <c r="C1311" t="s">
        <v>14</v>
      </c>
      <c r="D1311" s="1">
        <v>37362</v>
      </c>
      <c r="E1311">
        <v>10</v>
      </c>
      <c r="F1311">
        <v>1</v>
      </c>
      <c r="G1311" t="s">
        <v>3939</v>
      </c>
      <c r="H1311">
        <v>10</v>
      </c>
    </row>
    <row r="1312" spans="1:8" x14ac:dyDescent="0.25">
      <c r="A1312" t="s">
        <v>3940</v>
      </c>
      <c r="B1312" t="s">
        <v>3941</v>
      </c>
      <c r="C1312" t="s">
        <v>14</v>
      </c>
      <c r="D1312" s="1">
        <v>38104</v>
      </c>
      <c r="E1312">
        <v>2</v>
      </c>
      <c r="F1312">
        <v>1</v>
      </c>
      <c r="G1312" t="s">
        <v>3942</v>
      </c>
      <c r="H1312">
        <v>2</v>
      </c>
    </row>
    <row r="1313" spans="1:8" x14ac:dyDescent="0.25">
      <c r="A1313" t="s">
        <v>3943</v>
      </c>
      <c r="B1313" t="s">
        <v>3944</v>
      </c>
      <c r="C1313" t="s">
        <v>14</v>
      </c>
      <c r="D1313" s="1">
        <v>39360</v>
      </c>
      <c r="E1313">
        <v>10</v>
      </c>
      <c r="F1313">
        <v>1</v>
      </c>
      <c r="G1313" t="s">
        <v>3945</v>
      </c>
      <c r="H1313">
        <v>10</v>
      </c>
    </row>
    <row r="1314" spans="1:8" x14ac:dyDescent="0.25">
      <c r="A1314" t="s">
        <v>3946</v>
      </c>
      <c r="B1314" t="s">
        <v>3947</v>
      </c>
      <c r="C1314" t="s">
        <v>14</v>
      </c>
      <c r="D1314" s="1">
        <v>43920</v>
      </c>
      <c r="E1314">
        <v>2</v>
      </c>
      <c r="F1314">
        <v>1</v>
      </c>
      <c r="G1314" t="s">
        <v>3948</v>
      </c>
      <c r="H1314">
        <v>2</v>
      </c>
    </row>
    <row r="1315" spans="1:8" x14ac:dyDescent="0.25">
      <c r="A1315" t="s">
        <v>3949</v>
      </c>
      <c r="B1315" t="s">
        <v>3950</v>
      </c>
      <c r="C1315" t="s">
        <v>14</v>
      </c>
      <c r="D1315" s="1">
        <v>42242</v>
      </c>
      <c r="E1315">
        <v>10</v>
      </c>
      <c r="F1315">
        <v>1</v>
      </c>
      <c r="G1315" t="s">
        <v>3951</v>
      </c>
      <c r="H1315">
        <v>10</v>
      </c>
    </row>
    <row r="1316" spans="1:8" x14ac:dyDescent="0.25">
      <c r="A1316" t="s">
        <v>3952</v>
      </c>
      <c r="B1316" t="s">
        <v>3953</v>
      </c>
      <c r="C1316" t="s">
        <v>14</v>
      </c>
      <c r="D1316" s="1">
        <v>39458</v>
      </c>
      <c r="E1316">
        <v>10</v>
      </c>
      <c r="F1316">
        <v>1</v>
      </c>
      <c r="G1316" t="s">
        <v>3954</v>
      </c>
      <c r="H1316">
        <v>10</v>
      </c>
    </row>
    <row r="1317" spans="1:8" x14ac:dyDescent="0.25">
      <c r="A1317" t="s">
        <v>3955</v>
      </c>
      <c r="B1317" t="s">
        <v>3956</v>
      </c>
      <c r="C1317" t="s">
        <v>14</v>
      </c>
      <c r="D1317" s="1">
        <v>43630</v>
      </c>
      <c r="E1317">
        <v>10</v>
      </c>
      <c r="F1317">
        <v>1</v>
      </c>
      <c r="G1317" t="s">
        <v>3957</v>
      </c>
      <c r="H1317">
        <v>10</v>
      </c>
    </row>
    <row r="1318" spans="1:8" x14ac:dyDescent="0.25">
      <c r="A1318" t="s">
        <v>3958</v>
      </c>
      <c r="B1318" t="s">
        <v>3959</v>
      </c>
      <c r="C1318" t="s">
        <v>14</v>
      </c>
      <c r="D1318" s="1">
        <v>44853</v>
      </c>
      <c r="E1318">
        <v>10</v>
      </c>
      <c r="F1318">
        <v>1</v>
      </c>
      <c r="G1318" t="s">
        <v>3960</v>
      </c>
      <c r="H1318">
        <v>10</v>
      </c>
    </row>
    <row r="1319" spans="1:8" x14ac:dyDescent="0.25">
      <c r="A1319" t="s">
        <v>3961</v>
      </c>
      <c r="B1319" t="s">
        <v>3962</v>
      </c>
      <c r="C1319" t="s">
        <v>10</v>
      </c>
      <c r="D1319" s="1">
        <v>39084</v>
      </c>
      <c r="E1319">
        <v>10</v>
      </c>
      <c r="F1319">
        <v>1</v>
      </c>
      <c r="G1319" t="s">
        <v>3963</v>
      </c>
      <c r="H1319">
        <v>10</v>
      </c>
    </row>
    <row r="1320" spans="1:8" x14ac:dyDescent="0.25">
      <c r="A1320" t="s">
        <v>3964</v>
      </c>
      <c r="B1320" t="s">
        <v>3965</v>
      </c>
      <c r="C1320" t="s">
        <v>14</v>
      </c>
      <c r="D1320" s="1">
        <v>34983</v>
      </c>
      <c r="E1320">
        <v>2</v>
      </c>
      <c r="F1320">
        <v>1</v>
      </c>
      <c r="G1320" t="s">
        <v>3966</v>
      </c>
      <c r="H1320">
        <v>2</v>
      </c>
    </row>
    <row r="1321" spans="1:8" x14ac:dyDescent="0.25">
      <c r="A1321" t="s">
        <v>3967</v>
      </c>
      <c r="B1321" t="s">
        <v>3968</v>
      </c>
      <c r="C1321" t="s">
        <v>10</v>
      </c>
      <c r="D1321" s="1">
        <v>34829</v>
      </c>
      <c r="E1321">
        <v>10</v>
      </c>
      <c r="F1321">
        <v>1</v>
      </c>
      <c r="G1321" t="s">
        <v>3969</v>
      </c>
      <c r="H1321">
        <v>10</v>
      </c>
    </row>
    <row r="1322" spans="1:8" x14ac:dyDescent="0.25">
      <c r="A1322" t="s">
        <v>3970</v>
      </c>
      <c r="B1322" t="s">
        <v>3971</v>
      </c>
      <c r="C1322" t="s">
        <v>10</v>
      </c>
      <c r="D1322" s="1">
        <v>40415</v>
      </c>
      <c r="E1322">
        <v>1</v>
      </c>
      <c r="F1322">
        <v>1</v>
      </c>
      <c r="G1322" t="s">
        <v>3972</v>
      </c>
      <c r="H1322">
        <v>1</v>
      </c>
    </row>
    <row r="1323" spans="1:8" x14ac:dyDescent="0.25">
      <c r="A1323" t="s">
        <v>3973</v>
      </c>
      <c r="B1323" t="s">
        <v>3974</v>
      </c>
      <c r="C1323" t="s">
        <v>10</v>
      </c>
      <c r="D1323" s="1">
        <v>43131</v>
      </c>
      <c r="E1323">
        <v>5</v>
      </c>
      <c r="F1323">
        <v>1</v>
      </c>
      <c r="G1323" t="s">
        <v>3975</v>
      </c>
      <c r="H1323">
        <v>5</v>
      </c>
    </row>
    <row r="1324" spans="1:8" x14ac:dyDescent="0.25">
      <c r="A1324" t="s">
        <v>3976</v>
      </c>
      <c r="B1324" t="s">
        <v>3977</v>
      </c>
      <c r="C1324" t="s">
        <v>14</v>
      </c>
      <c r="D1324" s="1">
        <v>42408</v>
      </c>
      <c r="E1324">
        <v>10</v>
      </c>
      <c r="F1324">
        <v>1</v>
      </c>
      <c r="G1324" t="s">
        <v>3978</v>
      </c>
      <c r="H1324">
        <v>10</v>
      </c>
    </row>
    <row r="1325" spans="1:8" x14ac:dyDescent="0.25">
      <c r="A1325" t="s">
        <v>3979</v>
      </c>
      <c r="B1325" t="s">
        <v>3980</v>
      </c>
      <c r="C1325" t="s">
        <v>14</v>
      </c>
      <c r="D1325" s="1">
        <v>38583</v>
      </c>
      <c r="E1325">
        <v>10</v>
      </c>
      <c r="F1325">
        <v>1</v>
      </c>
      <c r="G1325" t="s">
        <v>3981</v>
      </c>
      <c r="H1325">
        <v>10</v>
      </c>
    </row>
    <row r="1326" spans="1:8" x14ac:dyDescent="0.25">
      <c r="A1326" t="s">
        <v>3982</v>
      </c>
      <c r="B1326" t="s">
        <v>3983</v>
      </c>
      <c r="C1326" t="s">
        <v>14</v>
      </c>
      <c r="D1326" s="1">
        <v>34948</v>
      </c>
      <c r="E1326">
        <v>1</v>
      </c>
      <c r="F1326">
        <v>1</v>
      </c>
      <c r="G1326" t="s">
        <v>3984</v>
      </c>
      <c r="H1326">
        <v>1</v>
      </c>
    </row>
    <row r="1327" spans="1:8" x14ac:dyDescent="0.25">
      <c r="A1327" t="s">
        <v>3985</v>
      </c>
      <c r="B1327" t="s">
        <v>3986</v>
      </c>
      <c r="C1327" t="s">
        <v>14</v>
      </c>
      <c r="D1327" s="1">
        <v>42538</v>
      </c>
      <c r="E1327">
        <v>10</v>
      </c>
      <c r="F1327">
        <v>1</v>
      </c>
      <c r="G1327" t="s">
        <v>3987</v>
      </c>
      <c r="H1327">
        <v>10</v>
      </c>
    </row>
    <row r="1328" spans="1:8" x14ac:dyDescent="0.25">
      <c r="A1328" t="s">
        <v>3988</v>
      </c>
      <c r="B1328" t="s">
        <v>3989</v>
      </c>
      <c r="C1328" t="s">
        <v>10</v>
      </c>
      <c r="D1328" s="1">
        <v>35046</v>
      </c>
      <c r="E1328">
        <v>5</v>
      </c>
      <c r="F1328">
        <v>1</v>
      </c>
      <c r="G1328" t="s">
        <v>3990</v>
      </c>
      <c r="H1328">
        <v>5</v>
      </c>
    </row>
    <row r="1329" spans="1:8" x14ac:dyDescent="0.25">
      <c r="A1329" t="s">
        <v>3991</v>
      </c>
      <c r="B1329" t="s">
        <v>3992</v>
      </c>
      <c r="C1329" t="s">
        <v>14</v>
      </c>
      <c r="D1329" s="1">
        <v>40478</v>
      </c>
      <c r="E1329">
        <v>10</v>
      </c>
      <c r="F1329">
        <v>1</v>
      </c>
      <c r="G1329" t="s">
        <v>3993</v>
      </c>
      <c r="H1329">
        <v>10</v>
      </c>
    </row>
    <row r="1330" spans="1:8" x14ac:dyDescent="0.25">
      <c r="A1330" t="s">
        <v>3994</v>
      </c>
      <c r="B1330" t="s">
        <v>3995</v>
      </c>
      <c r="C1330" t="s">
        <v>14</v>
      </c>
      <c r="D1330" s="1">
        <v>42776</v>
      </c>
      <c r="E1330">
        <v>1</v>
      </c>
      <c r="F1330">
        <v>1</v>
      </c>
      <c r="G1330" t="s">
        <v>3996</v>
      </c>
      <c r="H1330">
        <v>1</v>
      </c>
    </row>
    <row r="1331" spans="1:8" x14ac:dyDescent="0.25">
      <c r="A1331" t="s">
        <v>3997</v>
      </c>
      <c r="B1331" t="s">
        <v>3998</v>
      </c>
      <c r="C1331" t="s">
        <v>14</v>
      </c>
      <c r="D1331" s="1">
        <v>38520</v>
      </c>
      <c r="E1331">
        <v>5</v>
      </c>
      <c r="F1331">
        <v>1</v>
      </c>
      <c r="G1331" t="s">
        <v>3999</v>
      </c>
      <c r="H1331">
        <v>5</v>
      </c>
    </row>
    <row r="1332" spans="1:8" x14ac:dyDescent="0.25">
      <c r="A1332" t="s">
        <v>4000</v>
      </c>
      <c r="B1332" t="s">
        <v>4001</v>
      </c>
      <c r="C1332" t="s">
        <v>14</v>
      </c>
      <c r="D1332" s="1">
        <v>43829</v>
      </c>
      <c r="E1332">
        <v>10</v>
      </c>
      <c r="F1332">
        <v>1</v>
      </c>
      <c r="G1332" t="s">
        <v>4002</v>
      </c>
      <c r="H1332">
        <v>10</v>
      </c>
    </row>
    <row r="1333" spans="1:8" x14ac:dyDescent="0.25">
      <c r="A1333" t="s">
        <v>4003</v>
      </c>
      <c r="B1333" t="s">
        <v>4004</v>
      </c>
      <c r="C1333" t="s">
        <v>14</v>
      </c>
      <c r="D1333" s="1">
        <v>44622</v>
      </c>
      <c r="E1333">
        <v>10</v>
      </c>
      <c r="F1333">
        <v>1</v>
      </c>
      <c r="G1333" t="s">
        <v>4005</v>
      </c>
      <c r="H1333">
        <v>10</v>
      </c>
    </row>
    <row r="1334" spans="1:8" x14ac:dyDescent="0.25">
      <c r="A1334" t="s">
        <v>4006</v>
      </c>
      <c r="B1334" t="s">
        <v>4007</v>
      </c>
      <c r="C1334" t="s">
        <v>10</v>
      </c>
      <c r="D1334" s="1">
        <v>44418</v>
      </c>
      <c r="E1334">
        <v>2</v>
      </c>
      <c r="F1334">
        <v>1</v>
      </c>
      <c r="G1334" t="s">
        <v>4008</v>
      </c>
      <c r="H1334">
        <v>2</v>
      </c>
    </row>
    <row r="1335" spans="1:8" x14ac:dyDescent="0.25">
      <c r="A1335" t="s">
        <v>4009</v>
      </c>
      <c r="B1335" t="s">
        <v>4010</v>
      </c>
      <c r="C1335" t="s">
        <v>14</v>
      </c>
      <c r="D1335" s="1">
        <v>42132</v>
      </c>
      <c r="E1335">
        <v>10</v>
      </c>
      <c r="F1335">
        <v>1</v>
      </c>
      <c r="G1335" t="s">
        <v>4011</v>
      </c>
      <c r="H1335">
        <v>10</v>
      </c>
    </row>
    <row r="1336" spans="1:8" x14ac:dyDescent="0.25">
      <c r="A1336" t="s">
        <v>4012</v>
      </c>
      <c r="B1336" t="s">
        <v>4013</v>
      </c>
      <c r="C1336" t="s">
        <v>14</v>
      </c>
      <c r="D1336" s="1">
        <v>41164</v>
      </c>
      <c r="E1336">
        <v>2</v>
      </c>
      <c r="F1336">
        <v>1</v>
      </c>
      <c r="G1336" t="s">
        <v>4014</v>
      </c>
      <c r="H1336">
        <v>2</v>
      </c>
    </row>
    <row r="1337" spans="1:8" x14ac:dyDescent="0.25">
      <c r="A1337" t="s">
        <v>4015</v>
      </c>
      <c r="B1337" t="s">
        <v>4016</v>
      </c>
      <c r="C1337" t="s">
        <v>14</v>
      </c>
      <c r="D1337" s="1">
        <v>37853</v>
      </c>
      <c r="E1337">
        <v>10</v>
      </c>
      <c r="F1337">
        <v>1</v>
      </c>
      <c r="G1337" t="s">
        <v>4017</v>
      </c>
      <c r="H1337">
        <v>10</v>
      </c>
    </row>
    <row r="1338" spans="1:8" x14ac:dyDescent="0.25">
      <c r="A1338" t="s">
        <v>4018</v>
      </c>
      <c r="B1338" t="s">
        <v>4019</v>
      </c>
      <c r="C1338" t="s">
        <v>14</v>
      </c>
      <c r="D1338" s="1">
        <v>44701</v>
      </c>
      <c r="E1338">
        <v>5</v>
      </c>
      <c r="F1338">
        <v>1</v>
      </c>
      <c r="G1338" t="s">
        <v>4020</v>
      </c>
      <c r="H1338">
        <v>5</v>
      </c>
    </row>
    <row r="1339" spans="1:8" x14ac:dyDescent="0.25">
      <c r="A1339" t="s">
        <v>4021</v>
      </c>
      <c r="B1339" t="s">
        <v>4022</v>
      </c>
      <c r="C1339" t="s">
        <v>14</v>
      </c>
      <c r="D1339" s="1">
        <v>40542</v>
      </c>
      <c r="E1339">
        <v>10</v>
      </c>
      <c r="F1339">
        <v>1</v>
      </c>
      <c r="G1339" t="s">
        <v>4023</v>
      </c>
      <c r="H1339">
        <v>10</v>
      </c>
    </row>
    <row r="1340" spans="1:8" x14ac:dyDescent="0.25">
      <c r="A1340" t="s">
        <v>4024</v>
      </c>
      <c r="B1340" t="s">
        <v>4025</v>
      </c>
      <c r="C1340" t="s">
        <v>14</v>
      </c>
      <c r="D1340" s="1">
        <v>42884</v>
      </c>
      <c r="E1340">
        <v>10</v>
      </c>
      <c r="F1340">
        <v>1</v>
      </c>
      <c r="G1340" t="s">
        <v>4026</v>
      </c>
      <c r="H1340">
        <v>10</v>
      </c>
    </row>
    <row r="1341" spans="1:8" x14ac:dyDescent="0.25">
      <c r="A1341" t="s">
        <v>4027</v>
      </c>
      <c r="B1341" t="s">
        <v>4028</v>
      </c>
      <c r="C1341" t="s">
        <v>14</v>
      </c>
      <c r="D1341" s="1">
        <v>38084</v>
      </c>
      <c r="E1341">
        <v>10</v>
      </c>
      <c r="F1341">
        <v>1</v>
      </c>
      <c r="G1341" t="s">
        <v>4029</v>
      </c>
      <c r="H1341">
        <v>10</v>
      </c>
    </row>
    <row r="1342" spans="1:8" x14ac:dyDescent="0.25">
      <c r="A1342" t="s">
        <v>4030</v>
      </c>
      <c r="B1342" t="s">
        <v>4031</v>
      </c>
      <c r="C1342" t="s">
        <v>14</v>
      </c>
      <c r="D1342" s="1">
        <v>45086</v>
      </c>
      <c r="E1342">
        <v>10</v>
      </c>
      <c r="F1342">
        <v>1</v>
      </c>
      <c r="G1342" t="s">
        <v>4032</v>
      </c>
      <c r="H1342">
        <v>10</v>
      </c>
    </row>
    <row r="1343" spans="1:8" x14ac:dyDescent="0.25">
      <c r="A1343" t="s">
        <v>4033</v>
      </c>
      <c r="B1343" t="s">
        <v>4034</v>
      </c>
      <c r="C1343" t="s">
        <v>14</v>
      </c>
      <c r="D1343" s="1">
        <v>39111</v>
      </c>
      <c r="E1343">
        <v>1</v>
      </c>
      <c r="F1343">
        <v>1</v>
      </c>
      <c r="G1343" t="s">
        <v>4035</v>
      </c>
      <c r="H1343">
        <v>1</v>
      </c>
    </row>
    <row r="1344" spans="1:8" x14ac:dyDescent="0.25">
      <c r="A1344" t="s">
        <v>4036</v>
      </c>
      <c r="B1344" t="s">
        <v>4037</v>
      </c>
      <c r="C1344" t="s">
        <v>14</v>
      </c>
      <c r="D1344" s="1">
        <v>39149</v>
      </c>
      <c r="E1344">
        <v>10</v>
      </c>
      <c r="F1344">
        <v>1</v>
      </c>
      <c r="G1344" t="s">
        <v>4038</v>
      </c>
      <c r="H1344">
        <v>10</v>
      </c>
    </row>
    <row r="1345" spans="1:8" x14ac:dyDescent="0.25">
      <c r="A1345" t="s">
        <v>4039</v>
      </c>
      <c r="B1345" t="s">
        <v>4040</v>
      </c>
      <c r="C1345" t="s">
        <v>14</v>
      </c>
      <c r="D1345" s="1">
        <v>39324</v>
      </c>
      <c r="E1345">
        <v>5</v>
      </c>
      <c r="F1345">
        <v>1</v>
      </c>
      <c r="G1345" t="s">
        <v>4041</v>
      </c>
      <c r="H1345">
        <v>5</v>
      </c>
    </row>
    <row r="1346" spans="1:8" x14ac:dyDescent="0.25">
      <c r="A1346" t="s">
        <v>4042</v>
      </c>
      <c r="B1346" t="s">
        <v>4043</v>
      </c>
      <c r="C1346" t="s">
        <v>10</v>
      </c>
      <c r="D1346" s="1">
        <v>35158</v>
      </c>
      <c r="E1346">
        <v>10</v>
      </c>
      <c r="F1346">
        <v>1</v>
      </c>
      <c r="G1346" t="s">
        <v>4044</v>
      </c>
      <c r="H1346">
        <v>10</v>
      </c>
    </row>
    <row r="1347" spans="1:8" x14ac:dyDescent="0.25">
      <c r="A1347" t="s">
        <v>4045</v>
      </c>
      <c r="B1347" t="s">
        <v>4046</v>
      </c>
      <c r="C1347" t="s">
        <v>14</v>
      </c>
      <c r="D1347" s="1">
        <v>38721</v>
      </c>
      <c r="E1347">
        <v>10</v>
      </c>
      <c r="F1347">
        <v>1</v>
      </c>
      <c r="G1347" t="s">
        <v>4047</v>
      </c>
      <c r="H1347">
        <v>10</v>
      </c>
    </row>
    <row r="1348" spans="1:8" x14ac:dyDescent="0.25">
      <c r="A1348" t="s">
        <v>4048</v>
      </c>
      <c r="B1348" t="s">
        <v>4049</v>
      </c>
      <c r="C1348" t="s">
        <v>14</v>
      </c>
      <c r="D1348" s="1">
        <v>45167</v>
      </c>
      <c r="E1348">
        <v>10</v>
      </c>
      <c r="F1348">
        <v>1</v>
      </c>
      <c r="G1348" t="s">
        <v>4050</v>
      </c>
      <c r="H1348">
        <v>10</v>
      </c>
    </row>
    <row r="1349" spans="1:8" x14ac:dyDescent="0.25">
      <c r="A1349" t="s">
        <v>4051</v>
      </c>
      <c r="B1349" t="s">
        <v>4052</v>
      </c>
      <c r="C1349" t="s">
        <v>14</v>
      </c>
      <c r="D1349" s="1">
        <v>42563</v>
      </c>
      <c r="E1349">
        <v>10</v>
      </c>
      <c r="F1349">
        <v>1</v>
      </c>
      <c r="G1349" t="s">
        <v>4053</v>
      </c>
      <c r="H1349">
        <v>10</v>
      </c>
    </row>
    <row r="1350" spans="1:8" x14ac:dyDescent="0.25">
      <c r="A1350" t="s">
        <v>4054</v>
      </c>
      <c r="B1350" t="s">
        <v>4055</v>
      </c>
      <c r="C1350" t="s">
        <v>14</v>
      </c>
      <c r="D1350" s="1">
        <v>42418</v>
      </c>
      <c r="E1350">
        <v>10</v>
      </c>
      <c r="F1350">
        <v>1</v>
      </c>
      <c r="G1350" t="s">
        <v>4056</v>
      </c>
      <c r="H1350">
        <v>10</v>
      </c>
    </row>
    <row r="1351" spans="1:8" x14ac:dyDescent="0.25">
      <c r="A1351" t="s">
        <v>4057</v>
      </c>
      <c r="B1351" t="s">
        <v>4058</v>
      </c>
      <c r="C1351" t="s">
        <v>14</v>
      </c>
      <c r="D1351" s="1">
        <v>45055</v>
      </c>
      <c r="E1351">
        <v>10</v>
      </c>
      <c r="F1351">
        <v>1</v>
      </c>
      <c r="G1351" t="s">
        <v>4059</v>
      </c>
      <c r="H1351">
        <v>10</v>
      </c>
    </row>
    <row r="1352" spans="1:8" x14ac:dyDescent="0.25">
      <c r="A1352" t="s">
        <v>4060</v>
      </c>
      <c r="B1352" t="s">
        <v>4061</v>
      </c>
      <c r="C1352" t="s">
        <v>10</v>
      </c>
      <c r="D1352" s="1">
        <v>37679</v>
      </c>
      <c r="E1352">
        <v>2</v>
      </c>
      <c r="F1352">
        <v>1</v>
      </c>
      <c r="G1352" t="s">
        <v>4062</v>
      </c>
      <c r="H1352">
        <v>2</v>
      </c>
    </row>
    <row r="1353" spans="1:8" x14ac:dyDescent="0.25">
      <c r="A1353" t="s">
        <v>4063</v>
      </c>
      <c r="B1353" t="s">
        <v>4064</v>
      </c>
      <c r="C1353" t="s">
        <v>14</v>
      </c>
      <c r="D1353" s="1">
        <v>44760</v>
      </c>
      <c r="E1353">
        <v>2</v>
      </c>
      <c r="F1353">
        <v>1</v>
      </c>
      <c r="G1353" t="s">
        <v>4065</v>
      </c>
      <c r="H1353">
        <v>2</v>
      </c>
    </row>
    <row r="1354" spans="1:8" x14ac:dyDescent="0.25">
      <c r="A1354" t="s">
        <v>4066</v>
      </c>
      <c r="B1354" t="s">
        <v>4067</v>
      </c>
      <c r="C1354" t="s">
        <v>14</v>
      </c>
      <c r="D1354" s="1">
        <v>44930</v>
      </c>
      <c r="E1354">
        <v>1</v>
      </c>
      <c r="F1354">
        <v>1</v>
      </c>
      <c r="G1354" t="s">
        <v>4068</v>
      </c>
      <c r="H1354">
        <v>1</v>
      </c>
    </row>
    <row r="1355" spans="1:8" x14ac:dyDescent="0.25">
      <c r="A1355" t="s">
        <v>4069</v>
      </c>
      <c r="B1355" t="s">
        <v>4070</v>
      </c>
      <c r="C1355" t="s">
        <v>14</v>
      </c>
      <c r="D1355" s="1">
        <v>37790</v>
      </c>
      <c r="E1355">
        <v>2</v>
      </c>
      <c r="F1355">
        <v>1</v>
      </c>
      <c r="G1355" t="s">
        <v>4071</v>
      </c>
      <c r="H1355">
        <v>2</v>
      </c>
    </row>
    <row r="1356" spans="1:8" x14ac:dyDescent="0.25">
      <c r="A1356" t="s">
        <v>4072</v>
      </c>
      <c r="B1356" t="s">
        <v>4073</v>
      </c>
      <c r="C1356" t="s">
        <v>14</v>
      </c>
      <c r="D1356" s="1">
        <v>42811</v>
      </c>
      <c r="E1356">
        <v>2</v>
      </c>
      <c r="F1356">
        <v>1</v>
      </c>
      <c r="G1356" t="s">
        <v>4074</v>
      </c>
      <c r="H1356">
        <v>2</v>
      </c>
    </row>
    <row r="1357" spans="1:8" x14ac:dyDescent="0.25">
      <c r="A1357" t="s">
        <v>4075</v>
      </c>
      <c r="B1357" t="s">
        <v>4076</v>
      </c>
      <c r="C1357" t="s">
        <v>14</v>
      </c>
      <c r="D1357" s="1">
        <v>44253</v>
      </c>
      <c r="E1357">
        <v>10</v>
      </c>
      <c r="F1357">
        <v>1</v>
      </c>
      <c r="G1357" t="s">
        <v>4077</v>
      </c>
      <c r="H1357">
        <v>10</v>
      </c>
    </row>
    <row r="1358" spans="1:8" x14ac:dyDescent="0.25">
      <c r="A1358" t="s">
        <v>4078</v>
      </c>
      <c r="B1358" t="s">
        <v>4079</v>
      </c>
      <c r="C1358" t="s">
        <v>14</v>
      </c>
      <c r="D1358" s="1">
        <v>39510</v>
      </c>
      <c r="E1358">
        <v>2</v>
      </c>
      <c r="F1358">
        <v>1</v>
      </c>
      <c r="G1358" t="s">
        <v>4080</v>
      </c>
      <c r="H1358">
        <v>2</v>
      </c>
    </row>
    <row r="1359" spans="1:8" x14ac:dyDescent="0.25">
      <c r="A1359" t="s">
        <v>4081</v>
      </c>
      <c r="B1359" t="s">
        <v>4082</v>
      </c>
      <c r="C1359" t="s">
        <v>14</v>
      </c>
      <c r="D1359" s="1">
        <v>44691</v>
      </c>
      <c r="E1359">
        <v>10</v>
      </c>
      <c r="F1359">
        <v>1</v>
      </c>
      <c r="G1359" t="s">
        <v>4083</v>
      </c>
      <c r="H1359">
        <v>10</v>
      </c>
    </row>
    <row r="1360" spans="1:8" x14ac:dyDescent="0.25">
      <c r="A1360" t="s">
        <v>4084</v>
      </c>
      <c r="B1360" t="s">
        <v>4085</v>
      </c>
      <c r="C1360" t="s">
        <v>14</v>
      </c>
      <c r="D1360" s="1">
        <v>36565</v>
      </c>
      <c r="E1360">
        <v>1</v>
      </c>
      <c r="F1360">
        <v>1</v>
      </c>
      <c r="G1360" t="s">
        <v>4086</v>
      </c>
      <c r="H1360">
        <v>1</v>
      </c>
    </row>
    <row r="1361" spans="1:8" x14ac:dyDescent="0.25">
      <c r="A1361" t="s">
        <v>4087</v>
      </c>
      <c r="B1361" t="s">
        <v>4088</v>
      </c>
      <c r="C1361" t="s">
        <v>10</v>
      </c>
      <c r="D1361" s="1">
        <v>44243</v>
      </c>
      <c r="E1361">
        <v>1</v>
      </c>
      <c r="F1361">
        <v>1</v>
      </c>
      <c r="G1361" t="s">
        <v>4089</v>
      </c>
      <c r="H1361">
        <v>1</v>
      </c>
    </row>
    <row r="1362" spans="1:8" x14ac:dyDescent="0.25">
      <c r="A1362" t="s">
        <v>4090</v>
      </c>
      <c r="B1362" t="s">
        <v>4091</v>
      </c>
      <c r="C1362" t="s">
        <v>14</v>
      </c>
      <c r="D1362" s="1">
        <v>43973</v>
      </c>
      <c r="E1362">
        <v>2</v>
      </c>
      <c r="F1362">
        <v>1</v>
      </c>
      <c r="G1362" t="s">
        <v>4092</v>
      </c>
      <c r="H1362">
        <v>2</v>
      </c>
    </row>
    <row r="1363" spans="1:8" x14ac:dyDescent="0.25">
      <c r="A1363" t="s">
        <v>4093</v>
      </c>
      <c r="B1363" t="s">
        <v>4094</v>
      </c>
      <c r="C1363" t="s">
        <v>10</v>
      </c>
      <c r="D1363" s="1">
        <v>44636</v>
      </c>
      <c r="E1363">
        <v>1</v>
      </c>
      <c r="F1363">
        <v>1</v>
      </c>
      <c r="G1363" t="s">
        <v>4095</v>
      </c>
      <c r="H1363">
        <v>1</v>
      </c>
    </row>
    <row r="1364" spans="1:8" x14ac:dyDescent="0.25">
      <c r="A1364" t="s">
        <v>4096</v>
      </c>
      <c r="B1364" t="s">
        <v>4097</v>
      </c>
      <c r="C1364" t="s">
        <v>10</v>
      </c>
      <c r="D1364" s="1">
        <v>34787</v>
      </c>
      <c r="E1364">
        <v>10</v>
      </c>
      <c r="F1364">
        <v>1</v>
      </c>
      <c r="G1364" t="s">
        <v>4098</v>
      </c>
      <c r="H1364">
        <v>10</v>
      </c>
    </row>
    <row r="1365" spans="1:8" x14ac:dyDescent="0.25">
      <c r="A1365" t="s">
        <v>4099</v>
      </c>
      <c r="B1365" t="s">
        <v>4100</v>
      </c>
      <c r="C1365" t="s">
        <v>14</v>
      </c>
      <c r="D1365" s="1">
        <v>39157</v>
      </c>
      <c r="E1365">
        <v>5</v>
      </c>
      <c r="F1365">
        <v>1</v>
      </c>
      <c r="G1365" t="s">
        <v>4101</v>
      </c>
      <c r="H1365">
        <v>5</v>
      </c>
    </row>
    <row r="1366" spans="1:8" x14ac:dyDescent="0.25">
      <c r="A1366" t="s">
        <v>4102</v>
      </c>
      <c r="B1366" t="s">
        <v>4103</v>
      </c>
      <c r="C1366" t="s">
        <v>14</v>
      </c>
      <c r="D1366" s="1">
        <v>36251</v>
      </c>
      <c r="E1366">
        <v>1</v>
      </c>
      <c r="F1366">
        <v>1</v>
      </c>
      <c r="G1366" t="s">
        <v>4104</v>
      </c>
      <c r="H1366">
        <v>1</v>
      </c>
    </row>
    <row r="1367" spans="1:8" x14ac:dyDescent="0.25">
      <c r="A1367" t="s">
        <v>4105</v>
      </c>
      <c r="B1367" t="s">
        <v>4106</v>
      </c>
      <c r="C1367" t="s">
        <v>14</v>
      </c>
      <c r="D1367" s="1">
        <v>38980</v>
      </c>
      <c r="E1367">
        <v>10</v>
      </c>
      <c r="F1367">
        <v>1</v>
      </c>
      <c r="G1367" t="s">
        <v>4107</v>
      </c>
      <c r="H1367">
        <v>10</v>
      </c>
    </row>
    <row r="1368" spans="1:8" x14ac:dyDescent="0.25">
      <c r="A1368" t="s">
        <v>4108</v>
      </c>
      <c r="B1368" t="s">
        <v>4109</v>
      </c>
      <c r="C1368" t="s">
        <v>14</v>
      </c>
      <c r="D1368" s="1">
        <v>44778</v>
      </c>
      <c r="E1368">
        <v>10</v>
      </c>
      <c r="F1368">
        <v>1</v>
      </c>
      <c r="G1368" t="s">
        <v>4110</v>
      </c>
      <c r="H1368">
        <v>10</v>
      </c>
    </row>
    <row r="1369" spans="1:8" x14ac:dyDescent="0.25">
      <c r="A1369" t="s">
        <v>4111</v>
      </c>
      <c r="B1369" t="s">
        <v>4112</v>
      </c>
      <c r="C1369" t="s">
        <v>14</v>
      </c>
      <c r="D1369" s="1">
        <v>42235</v>
      </c>
      <c r="E1369">
        <v>1</v>
      </c>
      <c r="F1369">
        <v>1</v>
      </c>
      <c r="G1369" t="s">
        <v>4113</v>
      </c>
      <c r="H1369">
        <v>1</v>
      </c>
    </row>
    <row r="1370" spans="1:8" x14ac:dyDescent="0.25">
      <c r="A1370" t="s">
        <v>4114</v>
      </c>
      <c r="B1370" t="s">
        <v>4115</v>
      </c>
      <c r="C1370" t="s">
        <v>14</v>
      </c>
      <c r="D1370" s="1">
        <v>35529</v>
      </c>
      <c r="E1370">
        <v>1</v>
      </c>
      <c r="F1370">
        <v>1</v>
      </c>
      <c r="G1370" t="s">
        <v>4116</v>
      </c>
      <c r="H1370">
        <v>1</v>
      </c>
    </row>
    <row r="1371" spans="1:8" x14ac:dyDescent="0.25">
      <c r="A1371" t="s">
        <v>4117</v>
      </c>
      <c r="B1371" t="s">
        <v>4118</v>
      </c>
      <c r="C1371" t="s">
        <v>14</v>
      </c>
      <c r="D1371" s="1">
        <v>35375</v>
      </c>
      <c r="E1371">
        <v>1</v>
      </c>
      <c r="F1371">
        <v>1</v>
      </c>
      <c r="G1371" t="s">
        <v>4119</v>
      </c>
      <c r="H1371">
        <v>1</v>
      </c>
    </row>
    <row r="1372" spans="1:8" x14ac:dyDescent="0.25">
      <c r="A1372" t="s">
        <v>4120</v>
      </c>
      <c r="B1372" t="s">
        <v>4121</v>
      </c>
      <c r="C1372" t="s">
        <v>14</v>
      </c>
      <c r="D1372" s="1">
        <v>36628</v>
      </c>
      <c r="E1372">
        <v>10</v>
      </c>
      <c r="F1372">
        <v>1</v>
      </c>
      <c r="G1372" t="s">
        <v>4122</v>
      </c>
      <c r="H1372">
        <v>10</v>
      </c>
    </row>
    <row r="1373" spans="1:8" x14ac:dyDescent="0.25">
      <c r="A1373" t="s">
        <v>4123</v>
      </c>
      <c r="B1373" t="s">
        <v>4124</v>
      </c>
      <c r="C1373" t="s">
        <v>14</v>
      </c>
      <c r="D1373" s="1">
        <v>40459</v>
      </c>
      <c r="E1373">
        <v>10</v>
      </c>
      <c r="F1373">
        <v>1</v>
      </c>
      <c r="G1373" t="s">
        <v>4125</v>
      </c>
      <c r="H1373">
        <v>10</v>
      </c>
    </row>
    <row r="1374" spans="1:8" x14ac:dyDescent="0.25">
      <c r="A1374" t="s">
        <v>4126</v>
      </c>
      <c r="B1374" t="s">
        <v>4127</v>
      </c>
      <c r="C1374" t="s">
        <v>14</v>
      </c>
      <c r="D1374" s="1">
        <v>44771</v>
      </c>
      <c r="E1374">
        <v>5</v>
      </c>
      <c r="F1374">
        <v>1</v>
      </c>
      <c r="G1374" t="s">
        <v>4128</v>
      </c>
      <c r="H1374">
        <v>5</v>
      </c>
    </row>
    <row r="1375" spans="1:8" x14ac:dyDescent="0.25">
      <c r="A1375" t="s">
        <v>4129</v>
      </c>
      <c r="B1375" t="s">
        <v>4130</v>
      </c>
      <c r="C1375" t="s">
        <v>14</v>
      </c>
      <c r="D1375" s="1">
        <v>38407</v>
      </c>
      <c r="E1375">
        <v>10</v>
      </c>
      <c r="F1375">
        <v>1</v>
      </c>
      <c r="G1375" t="s">
        <v>4131</v>
      </c>
      <c r="H1375">
        <v>10</v>
      </c>
    </row>
    <row r="1376" spans="1:8" x14ac:dyDescent="0.25">
      <c r="A1376" t="s">
        <v>4132</v>
      </c>
      <c r="B1376" t="s">
        <v>4133</v>
      </c>
      <c r="C1376" t="s">
        <v>14</v>
      </c>
      <c r="D1376" s="1">
        <v>39623</v>
      </c>
      <c r="E1376">
        <v>10</v>
      </c>
      <c r="F1376">
        <v>1</v>
      </c>
      <c r="G1376" t="s">
        <v>4134</v>
      </c>
      <c r="H1376">
        <v>10</v>
      </c>
    </row>
    <row r="1377" spans="1:8" x14ac:dyDescent="0.25">
      <c r="A1377" t="s">
        <v>4135</v>
      </c>
      <c r="B1377" t="s">
        <v>4136</v>
      </c>
      <c r="C1377" t="s">
        <v>14</v>
      </c>
      <c r="D1377" s="1">
        <v>35697</v>
      </c>
      <c r="E1377">
        <v>10</v>
      </c>
      <c r="F1377">
        <v>1</v>
      </c>
      <c r="G1377" t="s">
        <v>4137</v>
      </c>
      <c r="H1377">
        <v>10</v>
      </c>
    </row>
    <row r="1378" spans="1:8" x14ac:dyDescent="0.25">
      <c r="A1378" t="s">
        <v>4138</v>
      </c>
      <c r="B1378" t="s">
        <v>4139</v>
      </c>
      <c r="C1378" t="s">
        <v>14</v>
      </c>
      <c r="D1378" s="1">
        <v>44547</v>
      </c>
      <c r="E1378">
        <v>1</v>
      </c>
      <c r="F1378">
        <v>1</v>
      </c>
      <c r="G1378" t="s">
        <v>4140</v>
      </c>
      <c r="H1378">
        <v>1</v>
      </c>
    </row>
    <row r="1379" spans="1:8" x14ac:dyDescent="0.25">
      <c r="A1379" t="s">
        <v>4141</v>
      </c>
      <c r="B1379" t="s">
        <v>4142</v>
      </c>
      <c r="C1379" t="s">
        <v>14</v>
      </c>
      <c r="D1379" s="1">
        <v>38846</v>
      </c>
      <c r="E1379">
        <v>2</v>
      </c>
      <c r="F1379">
        <v>1</v>
      </c>
      <c r="G1379" t="s">
        <v>4143</v>
      </c>
      <c r="H1379">
        <v>2</v>
      </c>
    </row>
    <row r="1380" spans="1:8" x14ac:dyDescent="0.25">
      <c r="A1380" t="s">
        <v>4144</v>
      </c>
      <c r="B1380" t="s">
        <v>4145</v>
      </c>
      <c r="C1380" t="s">
        <v>14</v>
      </c>
      <c r="D1380" s="1">
        <v>45180</v>
      </c>
      <c r="E1380">
        <v>10</v>
      </c>
      <c r="F1380">
        <v>1</v>
      </c>
      <c r="G1380" t="s">
        <v>4146</v>
      </c>
      <c r="H1380">
        <v>10</v>
      </c>
    </row>
    <row r="1381" spans="1:8" x14ac:dyDescent="0.25">
      <c r="A1381" t="s">
        <v>4147</v>
      </c>
      <c r="B1381" t="s">
        <v>4148</v>
      </c>
      <c r="C1381" t="s">
        <v>14</v>
      </c>
      <c r="D1381" s="1">
        <v>34990</v>
      </c>
      <c r="E1381">
        <v>10</v>
      </c>
      <c r="F1381">
        <v>1</v>
      </c>
      <c r="G1381" t="s">
        <v>4149</v>
      </c>
      <c r="H1381">
        <v>10</v>
      </c>
    </row>
    <row r="1382" spans="1:8" x14ac:dyDescent="0.25">
      <c r="A1382" t="s">
        <v>4150</v>
      </c>
      <c r="B1382" t="s">
        <v>4151</v>
      </c>
      <c r="C1382" t="s">
        <v>14</v>
      </c>
      <c r="D1382" s="1">
        <v>44179</v>
      </c>
      <c r="E1382">
        <v>10</v>
      </c>
      <c r="F1382">
        <v>1</v>
      </c>
      <c r="G1382" t="s">
        <v>4152</v>
      </c>
      <c r="H1382">
        <v>10</v>
      </c>
    </row>
    <row r="1383" spans="1:8" x14ac:dyDescent="0.25">
      <c r="A1383" t="s">
        <v>4153</v>
      </c>
      <c r="B1383" t="s">
        <v>4154</v>
      </c>
      <c r="C1383" t="s">
        <v>14</v>
      </c>
      <c r="D1383" s="1">
        <v>39619</v>
      </c>
      <c r="E1383">
        <v>10</v>
      </c>
      <c r="F1383">
        <v>1</v>
      </c>
      <c r="G1383" t="s">
        <v>4155</v>
      </c>
      <c r="H1383">
        <v>10</v>
      </c>
    </row>
    <row r="1384" spans="1:8" x14ac:dyDescent="0.25">
      <c r="A1384" t="s">
        <v>4156</v>
      </c>
      <c r="B1384" t="s">
        <v>4157</v>
      </c>
      <c r="C1384" t="s">
        <v>14</v>
      </c>
      <c r="D1384" s="1">
        <v>42613</v>
      </c>
      <c r="E1384">
        <v>10</v>
      </c>
      <c r="F1384">
        <v>1</v>
      </c>
      <c r="G1384" t="s">
        <v>4158</v>
      </c>
      <c r="H1384">
        <v>10</v>
      </c>
    </row>
    <row r="1385" spans="1:8" x14ac:dyDescent="0.25">
      <c r="A1385" t="s">
        <v>4159</v>
      </c>
      <c r="B1385" t="s">
        <v>4160</v>
      </c>
      <c r="C1385" t="s">
        <v>14</v>
      </c>
      <c r="D1385" s="1">
        <v>35802</v>
      </c>
      <c r="E1385">
        <v>10</v>
      </c>
      <c r="F1385">
        <v>1</v>
      </c>
      <c r="G1385" t="s">
        <v>4161</v>
      </c>
      <c r="H1385">
        <v>10</v>
      </c>
    </row>
    <row r="1386" spans="1:8" x14ac:dyDescent="0.25">
      <c r="A1386" t="s">
        <v>4162</v>
      </c>
      <c r="B1386" t="s">
        <v>4163</v>
      </c>
      <c r="C1386" t="s">
        <v>10</v>
      </c>
      <c r="D1386" s="1">
        <v>38782</v>
      </c>
      <c r="E1386">
        <v>5</v>
      </c>
      <c r="F1386">
        <v>1</v>
      </c>
      <c r="G1386" t="s">
        <v>4164</v>
      </c>
      <c r="H1386">
        <v>5</v>
      </c>
    </row>
    <row r="1387" spans="1:8" x14ac:dyDescent="0.25">
      <c r="A1387" t="s">
        <v>4165</v>
      </c>
      <c r="B1387" t="s">
        <v>4166</v>
      </c>
      <c r="C1387" t="s">
        <v>14</v>
      </c>
      <c r="D1387" s="1">
        <v>39519</v>
      </c>
      <c r="E1387">
        <v>10</v>
      </c>
      <c r="F1387">
        <v>1</v>
      </c>
      <c r="G1387" t="s">
        <v>4167</v>
      </c>
      <c r="H1387">
        <v>10</v>
      </c>
    </row>
    <row r="1388" spans="1:8" x14ac:dyDescent="0.25">
      <c r="A1388" t="s">
        <v>4168</v>
      </c>
      <c r="B1388" t="s">
        <v>4169</v>
      </c>
      <c r="C1388" t="s">
        <v>14</v>
      </c>
      <c r="D1388" s="1">
        <v>39128</v>
      </c>
      <c r="E1388">
        <v>2</v>
      </c>
      <c r="F1388">
        <v>1</v>
      </c>
      <c r="G1388" t="s">
        <v>4170</v>
      </c>
      <c r="H1388">
        <v>2</v>
      </c>
    </row>
    <row r="1389" spans="1:8" x14ac:dyDescent="0.25">
      <c r="A1389" t="s">
        <v>4171</v>
      </c>
      <c r="B1389" t="s">
        <v>4172</v>
      </c>
      <c r="C1389" t="s">
        <v>14</v>
      </c>
      <c r="D1389" s="1">
        <v>45149</v>
      </c>
      <c r="E1389">
        <v>2</v>
      </c>
      <c r="F1389">
        <v>1</v>
      </c>
      <c r="G1389" t="s">
        <v>4173</v>
      </c>
      <c r="H1389">
        <v>2</v>
      </c>
    </row>
    <row r="1390" spans="1:8" x14ac:dyDescent="0.25">
      <c r="A1390" t="s">
        <v>4174</v>
      </c>
      <c r="B1390" t="s">
        <v>4175</v>
      </c>
      <c r="C1390" t="s">
        <v>14</v>
      </c>
      <c r="D1390" s="1">
        <v>40150</v>
      </c>
      <c r="E1390">
        <v>10</v>
      </c>
      <c r="F1390">
        <v>1</v>
      </c>
      <c r="G1390" t="s">
        <v>4176</v>
      </c>
      <c r="H1390">
        <v>10</v>
      </c>
    </row>
    <row r="1391" spans="1:8" x14ac:dyDescent="0.25">
      <c r="A1391" t="s">
        <v>4177</v>
      </c>
      <c r="B1391" t="s">
        <v>4178</v>
      </c>
      <c r="C1391" t="s">
        <v>10</v>
      </c>
      <c r="D1391" s="1">
        <v>35221</v>
      </c>
      <c r="E1391">
        <v>10</v>
      </c>
      <c r="F1391">
        <v>1</v>
      </c>
      <c r="G1391" t="s">
        <v>4179</v>
      </c>
      <c r="H1391">
        <v>10</v>
      </c>
    </row>
    <row r="1392" spans="1:8" x14ac:dyDescent="0.25">
      <c r="A1392" t="s">
        <v>4180</v>
      </c>
      <c r="B1392" t="s">
        <v>4181</v>
      </c>
      <c r="C1392" t="s">
        <v>14</v>
      </c>
      <c r="D1392" s="1">
        <v>40711</v>
      </c>
      <c r="E1392">
        <v>1</v>
      </c>
      <c r="F1392">
        <v>1</v>
      </c>
      <c r="G1392" t="s">
        <v>4182</v>
      </c>
      <c r="H1392">
        <v>1</v>
      </c>
    </row>
    <row r="1393" spans="1:8" x14ac:dyDescent="0.25">
      <c r="A1393" t="s">
        <v>4183</v>
      </c>
      <c r="B1393" t="s">
        <v>4184</v>
      </c>
      <c r="C1393" t="s">
        <v>14</v>
      </c>
      <c r="D1393" s="1">
        <v>44706</v>
      </c>
      <c r="E1393">
        <v>10</v>
      </c>
      <c r="F1393">
        <v>1</v>
      </c>
      <c r="G1393" t="s">
        <v>4185</v>
      </c>
      <c r="H1393">
        <v>10</v>
      </c>
    </row>
    <row r="1394" spans="1:8" x14ac:dyDescent="0.25">
      <c r="A1394" t="s">
        <v>4186</v>
      </c>
      <c r="B1394" t="s">
        <v>4187</v>
      </c>
      <c r="C1394" t="s">
        <v>14</v>
      </c>
      <c r="D1394" s="1">
        <v>35032</v>
      </c>
      <c r="E1394">
        <v>10</v>
      </c>
      <c r="F1394">
        <v>1</v>
      </c>
      <c r="G1394" t="s">
        <v>4188</v>
      </c>
      <c r="H1394">
        <v>10</v>
      </c>
    </row>
    <row r="1395" spans="1:8" x14ac:dyDescent="0.25">
      <c r="A1395" t="s">
        <v>4189</v>
      </c>
      <c r="B1395" t="s">
        <v>4190</v>
      </c>
      <c r="C1395" t="s">
        <v>14</v>
      </c>
      <c r="D1395" s="1">
        <v>39407</v>
      </c>
      <c r="E1395">
        <v>10</v>
      </c>
      <c r="F1395">
        <v>1</v>
      </c>
      <c r="G1395" t="s">
        <v>4191</v>
      </c>
      <c r="H1395">
        <v>10</v>
      </c>
    </row>
    <row r="1396" spans="1:8" x14ac:dyDescent="0.25">
      <c r="A1396" t="s">
        <v>4192</v>
      </c>
      <c r="B1396" t="s">
        <v>4193</v>
      </c>
      <c r="C1396" t="s">
        <v>14</v>
      </c>
      <c r="D1396" s="1">
        <v>34738</v>
      </c>
      <c r="E1396">
        <v>10</v>
      </c>
      <c r="F1396">
        <v>1</v>
      </c>
      <c r="G1396" t="s">
        <v>4194</v>
      </c>
      <c r="H1396">
        <v>10</v>
      </c>
    </row>
    <row r="1397" spans="1:8" x14ac:dyDescent="0.25">
      <c r="A1397" t="s">
        <v>4195</v>
      </c>
      <c r="B1397" t="s">
        <v>4196</v>
      </c>
      <c r="C1397" t="s">
        <v>10</v>
      </c>
      <c r="D1397" s="1">
        <v>35095</v>
      </c>
      <c r="E1397">
        <v>10</v>
      </c>
      <c r="F1397">
        <v>1</v>
      </c>
      <c r="G1397" t="s">
        <v>4197</v>
      </c>
      <c r="H1397">
        <v>10</v>
      </c>
    </row>
    <row r="1398" spans="1:8" x14ac:dyDescent="0.25">
      <c r="A1398" t="s">
        <v>4198</v>
      </c>
      <c r="B1398" t="s">
        <v>4199</v>
      </c>
      <c r="C1398" t="s">
        <v>14</v>
      </c>
      <c r="D1398" s="1">
        <v>38656</v>
      </c>
      <c r="E1398">
        <v>1</v>
      </c>
      <c r="F1398">
        <v>1</v>
      </c>
      <c r="G1398" t="s">
        <v>4200</v>
      </c>
      <c r="H1398">
        <v>1</v>
      </c>
    </row>
    <row r="1399" spans="1:8" x14ac:dyDescent="0.25">
      <c r="A1399" t="s">
        <v>4201</v>
      </c>
      <c r="B1399" t="s">
        <v>4202</v>
      </c>
      <c r="C1399" t="s">
        <v>14</v>
      </c>
      <c r="D1399" s="1">
        <v>41365</v>
      </c>
      <c r="E1399">
        <v>10</v>
      </c>
      <c r="F1399">
        <v>1</v>
      </c>
      <c r="G1399" t="s">
        <v>4203</v>
      </c>
      <c r="H1399">
        <v>10</v>
      </c>
    </row>
    <row r="1400" spans="1:8" x14ac:dyDescent="0.25">
      <c r="A1400" t="s">
        <v>4204</v>
      </c>
      <c r="B1400" t="s">
        <v>4205</v>
      </c>
      <c r="C1400" t="s">
        <v>14</v>
      </c>
      <c r="D1400" s="1">
        <v>44179</v>
      </c>
      <c r="E1400">
        <v>10</v>
      </c>
      <c r="F1400">
        <v>1</v>
      </c>
      <c r="G1400" t="s">
        <v>4206</v>
      </c>
      <c r="H1400">
        <v>10</v>
      </c>
    </row>
    <row r="1401" spans="1:8" x14ac:dyDescent="0.25">
      <c r="A1401" t="s">
        <v>4207</v>
      </c>
      <c r="B1401" t="s">
        <v>4208</v>
      </c>
      <c r="C1401" t="s">
        <v>14</v>
      </c>
      <c r="D1401" s="1">
        <v>38708</v>
      </c>
      <c r="E1401">
        <v>10</v>
      </c>
      <c r="F1401">
        <v>1</v>
      </c>
      <c r="G1401" t="s">
        <v>4209</v>
      </c>
      <c r="H1401">
        <v>10</v>
      </c>
    </row>
    <row r="1402" spans="1:8" x14ac:dyDescent="0.25">
      <c r="A1402" t="s">
        <v>4210</v>
      </c>
      <c r="B1402" t="s">
        <v>4211</v>
      </c>
      <c r="C1402" t="s">
        <v>14</v>
      </c>
      <c r="D1402" s="1">
        <v>40480</v>
      </c>
      <c r="E1402">
        <v>1</v>
      </c>
      <c r="F1402">
        <v>1</v>
      </c>
      <c r="G1402" t="s">
        <v>4212</v>
      </c>
      <c r="H1402">
        <v>1</v>
      </c>
    </row>
    <row r="1403" spans="1:8" x14ac:dyDescent="0.25">
      <c r="A1403" t="s">
        <v>4213</v>
      </c>
      <c r="B1403" t="s">
        <v>4214</v>
      </c>
      <c r="C1403" t="s">
        <v>14</v>
      </c>
      <c r="D1403" s="1">
        <v>39428</v>
      </c>
      <c r="E1403">
        <v>2</v>
      </c>
      <c r="F1403">
        <v>1</v>
      </c>
      <c r="G1403" t="s">
        <v>4215</v>
      </c>
      <c r="H1403">
        <v>2</v>
      </c>
    </row>
    <row r="1404" spans="1:8" x14ac:dyDescent="0.25">
      <c r="A1404" t="s">
        <v>4216</v>
      </c>
      <c r="B1404" t="s">
        <v>4217</v>
      </c>
      <c r="C1404" t="s">
        <v>10</v>
      </c>
      <c r="D1404" s="1">
        <v>43000</v>
      </c>
      <c r="E1404">
        <v>10</v>
      </c>
      <c r="F1404">
        <v>1</v>
      </c>
      <c r="G1404" t="s">
        <v>4218</v>
      </c>
      <c r="H1404">
        <v>10</v>
      </c>
    </row>
    <row r="1405" spans="1:8" x14ac:dyDescent="0.25">
      <c r="A1405" t="s">
        <v>4219</v>
      </c>
      <c r="B1405" t="s">
        <v>4220</v>
      </c>
      <c r="C1405" t="s">
        <v>14</v>
      </c>
      <c r="D1405" s="1">
        <v>40980</v>
      </c>
      <c r="E1405">
        <v>1</v>
      </c>
      <c r="F1405">
        <v>1</v>
      </c>
      <c r="G1405" t="s">
        <v>4221</v>
      </c>
      <c r="H1405">
        <v>1</v>
      </c>
    </row>
    <row r="1406" spans="1:8" x14ac:dyDescent="0.25">
      <c r="A1406" t="s">
        <v>4222</v>
      </c>
      <c r="B1406" t="s">
        <v>4223</v>
      </c>
      <c r="C1406" t="s">
        <v>14</v>
      </c>
      <c r="D1406" s="1">
        <v>45041</v>
      </c>
      <c r="E1406">
        <v>10</v>
      </c>
      <c r="F1406">
        <v>1</v>
      </c>
      <c r="G1406" t="s">
        <v>4224</v>
      </c>
      <c r="H1406">
        <v>10</v>
      </c>
    </row>
    <row r="1407" spans="1:8" x14ac:dyDescent="0.25">
      <c r="A1407" t="s">
        <v>4225</v>
      </c>
      <c r="B1407" t="s">
        <v>4226</v>
      </c>
      <c r="C1407" t="s">
        <v>14</v>
      </c>
      <c r="D1407" s="1">
        <v>37753</v>
      </c>
      <c r="E1407">
        <v>1</v>
      </c>
      <c r="F1407">
        <v>1</v>
      </c>
      <c r="G1407" t="s">
        <v>4227</v>
      </c>
      <c r="H1407">
        <v>1</v>
      </c>
    </row>
    <row r="1408" spans="1:8" x14ac:dyDescent="0.25">
      <c r="A1408" t="s">
        <v>4228</v>
      </c>
      <c r="B1408" t="s">
        <v>4229</v>
      </c>
      <c r="C1408" t="s">
        <v>14</v>
      </c>
      <c r="D1408" s="1">
        <v>35032</v>
      </c>
      <c r="E1408">
        <v>10</v>
      </c>
      <c r="F1408">
        <v>1</v>
      </c>
      <c r="G1408" t="s">
        <v>4230</v>
      </c>
      <c r="H1408">
        <v>10</v>
      </c>
    </row>
    <row r="1409" spans="1:8" x14ac:dyDescent="0.25">
      <c r="A1409" t="s">
        <v>4231</v>
      </c>
      <c r="B1409" t="s">
        <v>4232</v>
      </c>
      <c r="C1409" t="s">
        <v>14</v>
      </c>
      <c r="D1409" s="1">
        <v>45180</v>
      </c>
      <c r="E1409">
        <v>10</v>
      </c>
      <c r="F1409">
        <v>1</v>
      </c>
      <c r="G1409" t="s">
        <v>4233</v>
      </c>
      <c r="H1409">
        <v>10</v>
      </c>
    </row>
    <row r="1410" spans="1:8" x14ac:dyDescent="0.25">
      <c r="A1410" t="s">
        <v>4234</v>
      </c>
      <c r="B1410" t="s">
        <v>4235</v>
      </c>
      <c r="C1410" t="s">
        <v>14</v>
      </c>
      <c r="D1410" s="1">
        <v>44663</v>
      </c>
      <c r="E1410">
        <v>10</v>
      </c>
      <c r="F1410">
        <v>1</v>
      </c>
      <c r="G1410" t="s">
        <v>4236</v>
      </c>
      <c r="H1410">
        <v>10</v>
      </c>
    </row>
    <row r="1411" spans="1:8" x14ac:dyDescent="0.25">
      <c r="A1411" t="s">
        <v>4237</v>
      </c>
      <c r="B1411" t="s">
        <v>4238</v>
      </c>
      <c r="C1411" t="s">
        <v>14</v>
      </c>
      <c r="D1411" s="1">
        <v>43283</v>
      </c>
      <c r="E1411">
        <v>10</v>
      </c>
      <c r="F1411">
        <v>1</v>
      </c>
      <c r="G1411" t="s">
        <v>4239</v>
      </c>
      <c r="H1411">
        <v>10</v>
      </c>
    </row>
    <row r="1412" spans="1:8" x14ac:dyDescent="0.25">
      <c r="A1412" t="s">
        <v>4240</v>
      </c>
      <c r="B1412" t="s">
        <v>4241</v>
      </c>
      <c r="C1412" t="s">
        <v>10</v>
      </c>
      <c r="D1412" s="1">
        <v>40539</v>
      </c>
      <c r="E1412">
        <v>10</v>
      </c>
      <c r="F1412">
        <v>1</v>
      </c>
      <c r="G1412" t="s">
        <v>4242</v>
      </c>
      <c r="H1412">
        <v>10</v>
      </c>
    </row>
    <row r="1413" spans="1:8" x14ac:dyDescent="0.25">
      <c r="A1413" t="s">
        <v>4243</v>
      </c>
      <c r="B1413" t="s">
        <v>4244</v>
      </c>
      <c r="C1413" t="s">
        <v>14</v>
      </c>
      <c r="D1413" s="1">
        <v>44183</v>
      </c>
      <c r="E1413">
        <v>10</v>
      </c>
      <c r="F1413">
        <v>1</v>
      </c>
      <c r="G1413" t="s">
        <v>4245</v>
      </c>
      <c r="H1413">
        <v>10</v>
      </c>
    </row>
    <row r="1414" spans="1:8" x14ac:dyDescent="0.25">
      <c r="A1414" t="s">
        <v>4246</v>
      </c>
      <c r="B1414" t="s">
        <v>4247</v>
      </c>
      <c r="C1414" t="s">
        <v>14</v>
      </c>
      <c r="D1414" s="1">
        <v>38112</v>
      </c>
      <c r="E1414">
        <v>2</v>
      </c>
      <c r="F1414">
        <v>1</v>
      </c>
      <c r="G1414" t="s">
        <v>4248</v>
      </c>
      <c r="H1414">
        <v>2</v>
      </c>
    </row>
    <row r="1415" spans="1:8" x14ac:dyDescent="0.25">
      <c r="A1415" t="s">
        <v>4249</v>
      </c>
      <c r="B1415" t="s">
        <v>4250</v>
      </c>
      <c r="C1415" t="s">
        <v>786</v>
      </c>
      <c r="D1415" s="1">
        <v>39412</v>
      </c>
      <c r="E1415">
        <v>10</v>
      </c>
      <c r="F1415">
        <v>1</v>
      </c>
      <c r="G1415" t="s">
        <v>4251</v>
      </c>
      <c r="H1415">
        <v>10</v>
      </c>
    </row>
    <row r="1416" spans="1:8" x14ac:dyDescent="0.25">
      <c r="A1416" t="s">
        <v>4252</v>
      </c>
      <c r="B1416" t="s">
        <v>4253</v>
      </c>
      <c r="C1416" t="s">
        <v>14</v>
      </c>
      <c r="D1416" s="1">
        <v>38594</v>
      </c>
      <c r="E1416">
        <v>10</v>
      </c>
      <c r="F1416">
        <v>1</v>
      </c>
      <c r="G1416" t="s">
        <v>4254</v>
      </c>
      <c r="H1416">
        <v>10</v>
      </c>
    </row>
    <row r="1417" spans="1:8" x14ac:dyDescent="0.25">
      <c r="A1417" t="s">
        <v>4255</v>
      </c>
      <c r="B1417" t="s">
        <v>4256</v>
      </c>
      <c r="C1417" t="s">
        <v>14</v>
      </c>
      <c r="D1417" s="1">
        <v>38754</v>
      </c>
      <c r="E1417">
        <v>10</v>
      </c>
      <c r="F1417">
        <v>1</v>
      </c>
      <c r="G1417" t="s">
        <v>4257</v>
      </c>
      <c r="H1417">
        <v>10</v>
      </c>
    </row>
    <row r="1418" spans="1:8" x14ac:dyDescent="0.25">
      <c r="A1418" t="s">
        <v>4258</v>
      </c>
      <c r="B1418" t="s">
        <v>4259</v>
      </c>
      <c r="C1418" t="s">
        <v>14</v>
      </c>
      <c r="D1418" s="1">
        <v>44417</v>
      </c>
      <c r="E1418">
        <v>10</v>
      </c>
      <c r="F1418">
        <v>1</v>
      </c>
      <c r="G1418" t="s">
        <v>4260</v>
      </c>
      <c r="H1418">
        <v>10</v>
      </c>
    </row>
    <row r="1419" spans="1:8" x14ac:dyDescent="0.25">
      <c r="A1419" t="s">
        <v>4261</v>
      </c>
      <c r="B1419" t="s">
        <v>4262</v>
      </c>
      <c r="C1419" t="s">
        <v>10</v>
      </c>
      <c r="D1419" s="1">
        <v>42696</v>
      </c>
      <c r="E1419">
        <v>1</v>
      </c>
      <c r="F1419">
        <v>1</v>
      </c>
      <c r="G1419" t="s">
        <v>4263</v>
      </c>
      <c r="H1419">
        <v>1</v>
      </c>
    </row>
    <row r="1420" spans="1:8" x14ac:dyDescent="0.25">
      <c r="A1420" t="s">
        <v>4264</v>
      </c>
      <c r="B1420" t="s">
        <v>4265</v>
      </c>
      <c r="C1420" t="s">
        <v>14</v>
      </c>
      <c r="D1420" s="1">
        <v>44110</v>
      </c>
      <c r="E1420">
        <v>10</v>
      </c>
      <c r="F1420">
        <v>1</v>
      </c>
      <c r="G1420" t="s">
        <v>4266</v>
      </c>
      <c r="H1420">
        <v>10</v>
      </c>
    </row>
    <row r="1421" spans="1:8" x14ac:dyDescent="0.25">
      <c r="A1421" t="s">
        <v>4267</v>
      </c>
      <c r="B1421" t="s">
        <v>4268</v>
      </c>
      <c r="C1421" t="s">
        <v>14</v>
      </c>
      <c r="D1421" s="1">
        <v>44035</v>
      </c>
      <c r="E1421">
        <v>2</v>
      </c>
      <c r="F1421">
        <v>1</v>
      </c>
      <c r="G1421" t="s">
        <v>4269</v>
      </c>
      <c r="H1421">
        <v>2</v>
      </c>
    </row>
    <row r="1422" spans="1:8" x14ac:dyDescent="0.25">
      <c r="A1422" t="s">
        <v>4270</v>
      </c>
      <c r="B1422" t="s">
        <v>4271</v>
      </c>
      <c r="C1422" t="s">
        <v>14</v>
      </c>
      <c r="D1422" s="1">
        <v>41177</v>
      </c>
      <c r="E1422">
        <v>2</v>
      </c>
      <c r="F1422">
        <v>1</v>
      </c>
      <c r="G1422" t="s">
        <v>4272</v>
      </c>
      <c r="H1422">
        <v>2</v>
      </c>
    </row>
    <row r="1423" spans="1:8" x14ac:dyDescent="0.25">
      <c r="A1423" t="s">
        <v>4273</v>
      </c>
      <c r="B1423" t="s">
        <v>4274</v>
      </c>
      <c r="C1423" t="s">
        <v>14</v>
      </c>
      <c r="D1423" s="1">
        <v>44672</v>
      </c>
      <c r="E1423">
        <v>2</v>
      </c>
      <c r="F1423">
        <v>1</v>
      </c>
      <c r="G1423" t="s">
        <v>4275</v>
      </c>
      <c r="H1423">
        <v>2</v>
      </c>
    </row>
    <row r="1424" spans="1:8" x14ac:dyDescent="0.25">
      <c r="A1424" t="s">
        <v>4276</v>
      </c>
      <c r="B1424" t="s">
        <v>4277</v>
      </c>
      <c r="C1424" t="s">
        <v>14</v>
      </c>
      <c r="D1424" s="1">
        <v>44095</v>
      </c>
      <c r="E1424">
        <v>10</v>
      </c>
      <c r="F1424">
        <v>1</v>
      </c>
      <c r="G1424" t="s">
        <v>4278</v>
      </c>
      <c r="H1424">
        <v>10</v>
      </c>
    </row>
    <row r="1425" spans="1:8" x14ac:dyDescent="0.25">
      <c r="A1425" t="s">
        <v>4279</v>
      </c>
      <c r="B1425" t="s">
        <v>4280</v>
      </c>
      <c r="C1425" t="s">
        <v>14</v>
      </c>
      <c r="D1425" s="1">
        <v>39609</v>
      </c>
      <c r="E1425">
        <v>8</v>
      </c>
      <c r="F1425">
        <v>1</v>
      </c>
      <c r="G1425" t="s">
        <v>4281</v>
      </c>
      <c r="H1425">
        <v>8</v>
      </c>
    </row>
    <row r="1426" spans="1:8" x14ac:dyDescent="0.25">
      <c r="A1426" t="s">
        <v>4282</v>
      </c>
      <c r="B1426" t="s">
        <v>4283</v>
      </c>
      <c r="C1426" t="s">
        <v>14</v>
      </c>
      <c r="D1426" s="1">
        <v>39489</v>
      </c>
      <c r="E1426">
        <v>10</v>
      </c>
      <c r="F1426">
        <v>1</v>
      </c>
      <c r="G1426" t="s">
        <v>4284</v>
      </c>
      <c r="H1426">
        <v>10</v>
      </c>
    </row>
    <row r="1427" spans="1:8" x14ac:dyDescent="0.25">
      <c r="A1427" t="s">
        <v>4285</v>
      </c>
      <c r="B1427" t="s">
        <v>4286</v>
      </c>
      <c r="C1427" t="s">
        <v>10</v>
      </c>
      <c r="D1427" s="1">
        <v>40518</v>
      </c>
      <c r="E1427">
        <v>10</v>
      </c>
      <c r="F1427">
        <v>1</v>
      </c>
      <c r="G1427" t="s">
        <v>4287</v>
      </c>
      <c r="H1427">
        <v>10</v>
      </c>
    </row>
    <row r="1428" spans="1:8" x14ac:dyDescent="0.25">
      <c r="A1428" t="s">
        <v>4288</v>
      </c>
      <c r="B1428" t="s">
        <v>4289</v>
      </c>
      <c r="C1428" t="s">
        <v>14</v>
      </c>
      <c r="D1428" s="1">
        <v>44526</v>
      </c>
      <c r="E1428">
        <v>10</v>
      </c>
      <c r="F1428">
        <v>1</v>
      </c>
      <c r="G1428" t="s">
        <v>4290</v>
      </c>
      <c r="H1428">
        <v>10</v>
      </c>
    </row>
    <row r="1429" spans="1:8" x14ac:dyDescent="0.25">
      <c r="A1429" t="s">
        <v>4291</v>
      </c>
      <c r="B1429" t="s">
        <v>4292</v>
      </c>
      <c r="C1429" t="s">
        <v>14</v>
      </c>
      <c r="D1429" s="1">
        <v>43490</v>
      </c>
      <c r="E1429">
        <v>10</v>
      </c>
      <c r="F1429">
        <v>1</v>
      </c>
      <c r="G1429" t="s">
        <v>4293</v>
      </c>
      <c r="H1429">
        <v>10</v>
      </c>
    </row>
    <row r="1430" spans="1:8" x14ac:dyDescent="0.25">
      <c r="A1430" t="s">
        <v>4294</v>
      </c>
      <c r="B1430" t="s">
        <v>4295</v>
      </c>
      <c r="C1430" t="s">
        <v>14</v>
      </c>
      <c r="D1430" s="1">
        <v>45189</v>
      </c>
      <c r="E1430">
        <v>5</v>
      </c>
      <c r="F1430">
        <v>1</v>
      </c>
      <c r="G1430" t="s">
        <v>4296</v>
      </c>
      <c r="H1430">
        <v>5</v>
      </c>
    </row>
    <row r="1431" spans="1:8" x14ac:dyDescent="0.25">
      <c r="A1431" t="s">
        <v>4297</v>
      </c>
      <c r="B1431" t="s">
        <v>4298</v>
      </c>
      <c r="C1431" t="s">
        <v>10</v>
      </c>
      <c r="D1431" s="1">
        <v>36299</v>
      </c>
      <c r="E1431">
        <v>5</v>
      </c>
      <c r="F1431">
        <v>1</v>
      </c>
      <c r="G1431" t="s">
        <v>4299</v>
      </c>
      <c r="H1431">
        <v>5</v>
      </c>
    </row>
    <row r="1432" spans="1:8" x14ac:dyDescent="0.25">
      <c r="A1432" t="s">
        <v>4300</v>
      </c>
      <c r="B1432" t="s">
        <v>4301</v>
      </c>
      <c r="C1432" t="s">
        <v>14</v>
      </c>
      <c r="D1432" s="1">
        <v>34745</v>
      </c>
      <c r="E1432">
        <v>10</v>
      </c>
      <c r="F1432">
        <v>1</v>
      </c>
      <c r="G1432" t="s">
        <v>4302</v>
      </c>
      <c r="H1432">
        <v>10</v>
      </c>
    </row>
    <row r="1433" spans="1:8" x14ac:dyDescent="0.25">
      <c r="A1433" t="s">
        <v>4303</v>
      </c>
      <c r="B1433" t="s">
        <v>4304</v>
      </c>
      <c r="C1433" t="s">
        <v>14</v>
      </c>
      <c r="D1433" s="1">
        <v>38833</v>
      </c>
      <c r="E1433">
        <v>1</v>
      </c>
      <c r="F1433">
        <v>1</v>
      </c>
      <c r="G1433" t="s">
        <v>4305</v>
      </c>
      <c r="H1433">
        <v>1</v>
      </c>
    </row>
    <row r="1434" spans="1:8" x14ac:dyDescent="0.25">
      <c r="A1434" t="s">
        <v>4306</v>
      </c>
      <c r="B1434" t="s">
        <v>4307</v>
      </c>
      <c r="C1434" t="s">
        <v>14</v>
      </c>
      <c r="D1434" s="1">
        <v>41120</v>
      </c>
      <c r="E1434">
        <v>2</v>
      </c>
      <c r="F1434">
        <v>1</v>
      </c>
      <c r="G1434" t="s">
        <v>4308</v>
      </c>
      <c r="H1434">
        <v>2</v>
      </c>
    </row>
    <row r="1435" spans="1:8" x14ac:dyDescent="0.25">
      <c r="A1435" t="s">
        <v>4309</v>
      </c>
      <c r="B1435" t="s">
        <v>4310</v>
      </c>
      <c r="C1435" t="s">
        <v>14</v>
      </c>
      <c r="D1435" s="1">
        <v>40116</v>
      </c>
      <c r="E1435">
        <v>10</v>
      </c>
      <c r="F1435">
        <v>1</v>
      </c>
      <c r="G1435" t="s">
        <v>4311</v>
      </c>
      <c r="H1435">
        <v>10</v>
      </c>
    </row>
    <row r="1436" spans="1:8" x14ac:dyDescent="0.25">
      <c r="A1436" t="s">
        <v>4312</v>
      </c>
      <c r="B1436" t="s">
        <v>4313</v>
      </c>
      <c r="C1436" t="s">
        <v>14</v>
      </c>
      <c r="D1436" s="1">
        <v>34787</v>
      </c>
      <c r="E1436">
        <v>5</v>
      </c>
      <c r="F1436">
        <v>1</v>
      </c>
      <c r="G1436" t="s">
        <v>4314</v>
      </c>
      <c r="H1436">
        <v>5</v>
      </c>
    </row>
    <row r="1437" spans="1:8" x14ac:dyDescent="0.25">
      <c r="A1437" t="s">
        <v>4315</v>
      </c>
      <c r="B1437" t="s">
        <v>4316</v>
      </c>
      <c r="C1437" t="s">
        <v>10</v>
      </c>
      <c r="D1437" s="1">
        <v>35354</v>
      </c>
      <c r="E1437">
        <v>1</v>
      </c>
      <c r="F1437">
        <v>1</v>
      </c>
      <c r="G1437" t="s">
        <v>4317</v>
      </c>
      <c r="H1437">
        <v>1</v>
      </c>
    </row>
    <row r="1438" spans="1:8" x14ac:dyDescent="0.25">
      <c r="A1438" t="s">
        <v>4318</v>
      </c>
      <c r="B1438" t="s">
        <v>4319</v>
      </c>
      <c r="C1438" t="s">
        <v>14</v>
      </c>
      <c r="D1438" s="1">
        <v>39071</v>
      </c>
      <c r="E1438">
        <v>10</v>
      </c>
      <c r="F1438">
        <v>1</v>
      </c>
      <c r="G1438" t="s">
        <v>4320</v>
      </c>
      <c r="H1438">
        <v>10</v>
      </c>
    </row>
    <row r="1439" spans="1:8" x14ac:dyDescent="0.25">
      <c r="A1439" t="s">
        <v>4321</v>
      </c>
      <c r="B1439" t="s">
        <v>4322</v>
      </c>
      <c r="C1439" t="s">
        <v>14</v>
      </c>
      <c r="D1439" s="1">
        <v>40884</v>
      </c>
      <c r="E1439">
        <v>1</v>
      </c>
      <c r="F1439">
        <v>1</v>
      </c>
      <c r="G1439" t="s">
        <v>4323</v>
      </c>
      <c r="H1439">
        <v>1</v>
      </c>
    </row>
    <row r="1440" spans="1:8" x14ac:dyDescent="0.25">
      <c r="A1440" t="s">
        <v>4324</v>
      </c>
      <c r="B1440" t="s">
        <v>4325</v>
      </c>
      <c r="C1440" t="s">
        <v>14</v>
      </c>
      <c r="D1440" s="1">
        <v>40731</v>
      </c>
      <c r="E1440">
        <v>10</v>
      </c>
      <c r="F1440">
        <v>1</v>
      </c>
      <c r="G1440" t="s">
        <v>4326</v>
      </c>
      <c r="H1440">
        <v>10</v>
      </c>
    </row>
    <row r="1441" spans="1:8" x14ac:dyDescent="0.25">
      <c r="A1441" t="s">
        <v>4327</v>
      </c>
      <c r="B1441" t="s">
        <v>4328</v>
      </c>
      <c r="C1441" t="s">
        <v>14</v>
      </c>
      <c r="D1441" s="1">
        <v>44889</v>
      </c>
      <c r="E1441">
        <v>10</v>
      </c>
      <c r="F1441">
        <v>1</v>
      </c>
      <c r="G1441" t="s">
        <v>4329</v>
      </c>
      <c r="H1441">
        <v>10</v>
      </c>
    </row>
    <row r="1442" spans="1:8" x14ac:dyDescent="0.25">
      <c r="A1442" t="s">
        <v>4330</v>
      </c>
      <c r="B1442" t="s">
        <v>4331</v>
      </c>
      <c r="C1442" t="s">
        <v>10</v>
      </c>
      <c r="D1442" s="1">
        <v>44183</v>
      </c>
      <c r="E1442">
        <v>1</v>
      </c>
      <c r="F1442">
        <v>1</v>
      </c>
      <c r="G1442" t="s">
        <v>4332</v>
      </c>
      <c r="H1442">
        <v>1</v>
      </c>
    </row>
    <row r="1443" spans="1:8" x14ac:dyDescent="0.25">
      <c r="A1443" t="s">
        <v>4333</v>
      </c>
      <c r="B1443" t="s">
        <v>4334</v>
      </c>
      <c r="C1443" t="s">
        <v>14</v>
      </c>
      <c r="D1443" s="1">
        <v>43566</v>
      </c>
      <c r="E1443">
        <v>10</v>
      </c>
      <c r="F1443">
        <v>1</v>
      </c>
      <c r="G1443" t="s">
        <v>4335</v>
      </c>
      <c r="H1443">
        <v>10</v>
      </c>
    </row>
    <row r="1444" spans="1:8" x14ac:dyDescent="0.25">
      <c r="A1444" t="s">
        <v>4336</v>
      </c>
      <c r="B1444" t="s">
        <v>4337</v>
      </c>
      <c r="C1444" t="s">
        <v>10</v>
      </c>
      <c r="D1444" s="1">
        <v>34969</v>
      </c>
      <c r="E1444">
        <v>10</v>
      </c>
      <c r="F1444">
        <v>1</v>
      </c>
      <c r="G1444" t="s">
        <v>4338</v>
      </c>
      <c r="H1444">
        <v>10</v>
      </c>
    </row>
    <row r="1445" spans="1:8" x14ac:dyDescent="0.25">
      <c r="A1445" t="s">
        <v>4339</v>
      </c>
      <c r="B1445" t="s">
        <v>4340</v>
      </c>
      <c r="C1445" t="s">
        <v>10</v>
      </c>
      <c r="D1445" s="1">
        <v>42628</v>
      </c>
      <c r="E1445">
        <v>10</v>
      </c>
      <c r="F1445">
        <v>1</v>
      </c>
      <c r="G1445" t="s">
        <v>4341</v>
      </c>
      <c r="H1445">
        <v>10</v>
      </c>
    </row>
    <row r="1446" spans="1:8" x14ac:dyDescent="0.25">
      <c r="A1446" t="s">
        <v>4342</v>
      </c>
      <c r="B1446" t="s">
        <v>4343</v>
      </c>
      <c r="C1446" t="s">
        <v>10</v>
      </c>
      <c r="D1446" s="1">
        <v>38777</v>
      </c>
      <c r="E1446">
        <v>1</v>
      </c>
      <c r="F1446">
        <v>1</v>
      </c>
      <c r="G1446" t="s">
        <v>4344</v>
      </c>
      <c r="H1446">
        <v>1</v>
      </c>
    </row>
    <row r="1447" spans="1:8" x14ac:dyDescent="0.25">
      <c r="A1447" t="s">
        <v>4345</v>
      </c>
      <c r="B1447" t="s">
        <v>4346</v>
      </c>
      <c r="C1447" t="s">
        <v>10</v>
      </c>
      <c r="D1447" s="1">
        <v>42263</v>
      </c>
      <c r="E1447">
        <v>10</v>
      </c>
      <c r="F1447">
        <v>1</v>
      </c>
      <c r="G1447" t="s">
        <v>4347</v>
      </c>
      <c r="H1447">
        <v>10</v>
      </c>
    </row>
    <row r="1448" spans="1:8" x14ac:dyDescent="0.25">
      <c r="A1448" t="s">
        <v>4348</v>
      </c>
      <c r="B1448" t="s">
        <v>4349</v>
      </c>
      <c r="C1448" t="s">
        <v>14</v>
      </c>
      <c r="D1448" s="1">
        <v>45051</v>
      </c>
      <c r="E1448">
        <v>1</v>
      </c>
      <c r="F1448">
        <v>1</v>
      </c>
      <c r="G1448" t="s">
        <v>4350</v>
      </c>
      <c r="H1448">
        <v>1</v>
      </c>
    </row>
    <row r="1449" spans="1:8" x14ac:dyDescent="0.25">
      <c r="A1449" t="s">
        <v>4351</v>
      </c>
      <c r="B1449" t="s">
        <v>4352</v>
      </c>
      <c r="C1449" t="s">
        <v>14</v>
      </c>
      <c r="D1449" s="1">
        <v>43720</v>
      </c>
      <c r="E1449">
        <v>2</v>
      </c>
      <c r="F1449">
        <v>1</v>
      </c>
      <c r="G1449" t="s">
        <v>4353</v>
      </c>
      <c r="H1449">
        <v>2</v>
      </c>
    </row>
    <row r="1450" spans="1:8" x14ac:dyDescent="0.25">
      <c r="A1450" t="s">
        <v>4354</v>
      </c>
      <c r="B1450" t="s">
        <v>4355</v>
      </c>
      <c r="C1450" t="s">
        <v>14</v>
      </c>
      <c r="D1450" s="1">
        <v>43490</v>
      </c>
      <c r="E1450">
        <v>10</v>
      </c>
      <c r="F1450">
        <v>1</v>
      </c>
      <c r="G1450" t="s">
        <v>4356</v>
      </c>
      <c r="H1450">
        <v>10</v>
      </c>
    </row>
    <row r="1451" spans="1:8" x14ac:dyDescent="0.25">
      <c r="A1451" t="s">
        <v>4357</v>
      </c>
      <c r="B1451" t="s">
        <v>4358</v>
      </c>
      <c r="C1451" t="s">
        <v>14</v>
      </c>
      <c r="D1451" s="1">
        <v>39111</v>
      </c>
      <c r="E1451">
        <v>2</v>
      </c>
      <c r="F1451">
        <v>1</v>
      </c>
      <c r="G1451" t="s">
        <v>4359</v>
      </c>
      <c r="H1451">
        <v>2</v>
      </c>
    </row>
    <row r="1452" spans="1:8" x14ac:dyDescent="0.25">
      <c r="A1452" t="s">
        <v>4360</v>
      </c>
      <c r="B1452" t="s">
        <v>4361</v>
      </c>
      <c r="C1452" t="s">
        <v>14</v>
      </c>
      <c r="D1452" s="1">
        <v>44938</v>
      </c>
      <c r="E1452">
        <v>10</v>
      </c>
      <c r="F1452">
        <v>1</v>
      </c>
      <c r="G1452" t="s">
        <v>4362</v>
      </c>
      <c r="H1452">
        <v>10</v>
      </c>
    </row>
    <row r="1453" spans="1:8" x14ac:dyDescent="0.25">
      <c r="A1453" t="s">
        <v>4363</v>
      </c>
      <c r="B1453" t="s">
        <v>4364</v>
      </c>
      <c r="C1453" t="s">
        <v>14</v>
      </c>
      <c r="D1453" s="1">
        <v>45022</v>
      </c>
      <c r="E1453">
        <v>10</v>
      </c>
      <c r="F1453">
        <v>1</v>
      </c>
      <c r="G1453" t="s">
        <v>4365</v>
      </c>
      <c r="H1453">
        <v>10</v>
      </c>
    </row>
    <row r="1454" spans="1:8" x14ac:dyDescent="0.25">
      <c r="A1454" t="s">
        <v>4366</v>
      </c>
      <c r="B1454" t="s">
        <v>4367</v>
      </c>
      <c r="C1454" t="s">
        <v>14</v>
      </c>
      <c r="D1454" s="1">
        <v>34886</v>
      </c>
      <c r="E1454">
        <v>10</v>
      </c>
      <c r="F1454">
        <v>1</v>
      </c>
      <c r="G1454" t="s">
        <v>4368</v>
      </c>
      <c r="H1454">
        <v>10</v>
      </c>
    </row>
    <row r="1455" spans="1:8" x14ac:dyDescent="0.25">
      <c r="A1455" t="s">
        <v>4369</v>
      </c>
      <c r="B1455" t="s">
        <v>4370</v>
      </c>
      <c r="C1455" t="s">
        <v>14</v>
      </c>
      <c r="D1455" s="1">
        <v>43566</v>
      </c>
      <c r="E1455">
        <v>10</v>
      </c>
      <c r="F1455">
        <v>1</v>
      </c>
      <c r="G1455" t="s">
        <v>4371</v>
      </c>
      <c r="H1455">
        <v>10</v>
      </c>
    </row>
    <row r="1456" spans="1:8" x14ac:dyDescent="0.25">
      <c r="A1456" t="s">
        <v>4372</v>
      </c>
      <c r="B1456" t="s">
        <v>4373</v>
      </c>
      <c r="C1456" t="s">
        <v>14</v>
      </c>
      <c r="D1456" s="1">
        <v>34948</v>
      </c>
      <c r="E1456">
        <v>10</v>
      </c>
      <c r="F1456">
        <v>1</v>
      </c>
      <c r="G1456" t="s">
        <v>4374</v>
      </c>
      <c r="H1456">
        <v>10</v>
      </c>
    </row>
    <row r="1457" spans="1:8" x14ac:dyDescent="0.25">
      <c r="A1457" t="s">
        <v>4375</v>
      </c>
      <c r="B1457" t="s">
        <v>4376</v>
      </c>
      <c r="C1457" t="s">
        <v>10</v>
      </c>
      <c r="D1457" s="1">
        <v>38481</v>
      </c>
      <c r="E1457">
        <v>1</v>
      </c>
      <c r="F1457">
        <v>1</v>
      </c>
      <c r="G1457" t="s">
        <v>4377</v>
      </c>
      <c r="H1457">
        <v>1</v>
      </c>
    </row>
    <row r="1458" spans="1:8" x14ac:dyDescent="0.25">
      <c r="A1458" t="s">
        <v>4378</v>
      </c>
      <c r="B1458" t="s">
        <v>4379</v>
      </c>
      <c r="C1458" t="s">
        <v>10</v>
      </c>
      <c r="D1458" s="1">
        <v>38784</v>
      </c>
      <c r="E1458">
        <v>1</v>
      </c>
      <c r="F1458">
        <v>1</v>
      </c>
      <c r="G1458" t="s">
        <v>4380</v>
      </c>
      <c r="H1458">
        <v>1</v>
      </c>
    </row>
    <row r="1459" spans="1:8" x14ac:dyDescent="0.25">
      <c r="A1459" t="s">
        <v>4381</v>
      </c>
      <c r="B1459" t="s">
        <v>4382</v>
      </c>
      <c r="C1459" t="s">
        <v>14</v>
      </c>
      <c r="D1459" s="1">
        <v>42941</v>
      </c>
      <c r="E1459">
        <v>1</v>
      </c>
      <c r="F1459">
        <v>1</v>
      </c>
      <c r="G1459" t="s">
        <v>4383</v>
      </c>
      <c r="H1459">
        <v>1</v>
      </c>
    </row>
    <row r="1460" spans="1:8" x14ac:dyDescent="0.25">
      <c r="A1460" t="s">
        <v>4384</v>
      </c>
      <c r="B1460" t="s">
        <v>4385</v>
      </c>
      <c r="C1460" t="s">
        <v>14</v>
      </c>
      <c r="D1460" s="1">
        <v>42537</v>
      </c>
      <c r="E1460">
        <v>10</v>
      </c>
      <c r="F1460">
        <v>1</v>
      </c>
      <c r="G1460" t="s">
        <v>4386</v>
      </c>
      <c r="H1460">
        <v>10</v>
      </c>
    </row>
    <row r="1461" spans="1:8" x14ac:dyDescent="0.25">
      <c r="A1461" t="s">
        <v>4387</v>
      </c>
      <c r="B1461" t="s">
        <v>4388</v>
      </c>
      <c r="C1461" t="s">
        <v>14</v>
      </c>
      <c r="D1461" s="1">
        <v>38315</v>
      </c>
      <c r="E1461">
        <v>10</v>
      </c>
      <c r="F1461">
        <v>1</v>
      </c>
      <c r="G1461" t="s">
        <v>4389</v>
      </c>
      <c r="H1461">
        <v>10</v>
      </c>
    </row>
    <row r="1462" spans="1:8" x14ac:dyDescent="0.25">
      <c r="A1462" t="s">
        <v>4390</v>
      </c>
      <c r="B1462" t="s">
        <v>4391</v>
      </c>
      <c r="C1462" t="s">
        <v>14</v>
      </c>
      <c r="D1462" s="1">
        <v>42340</v>
      </c>
      <c r="E1462">
        <v>10</v>
      </c>
      <c r="F1462">
        <v>1</v>
      </c>
      <c r="G1462" t="s">
        <v>4392</v>
      </c>
      <c r="H1462">
        <v>10</v>
      </c>
    </row>
    <row r="1463" spans="1:8" x14ac:dyDescent="0.25">
      <c r="A1463" t="s">
        <v>4393</v>
      </c>
      <c r="B1463" t="s">
        <v>4394</v>
      </c>
      <c r="C1463" t="s">
        <v>10</v>
      </c>
      <c r="D1463" s="1">
        <v>35221</v>
      </c>
      <c r="E1463">
        <v>1</v>
      </c>
      <c r="F1463">
        <v>1</v>
      </c>
      <c r="G1463" t="s">
        <v>4395</v>
      </c>
      <c r="H1463">
        <v>1</v>
      </c>
    </row>
    <row r="1464" spans="1:8" x14ac:dyDescent="0.25">
      <c r="A1464" t="s">
        <v>4396</v>
      </c>
      <c r="B1464" t="s">
        <v>4397</v>
      </c>
      <c r="C1464" t="s">
        <v>14</v>
      </c>
      <c r="D1464" s="1">
        <v>45191</v>
      </c>
      <c r="E1464">
        <v>1</v>
      </c>
      <c r="F1464">
        <v>1</v>
      </c>
      <c r="G1464" t="s">
        <v>4398</v>
      </c>
      <c r="H1464">
        <v>1</v>
      </c>
    </row>
    <row r="1465" spans="1:8" x14ac:dyDescent="0.25">
      <c r="A1465" t="s">
        <v>4399</v>
      </c>
      <c r="B1465" t="s">
        <v>4400</v>
      </c>
      <c r="C1465" t="s">
        <v>14</v>
      </c>
      <c r="D1465" s="1">
        <v>41117</v>
      </c>
      <c r="E1465">
        <v>10</v>
      </c>
      <c r="F1465">
        <v>1</v>
      </c>
      <c r="G1465" t="s">
        <v>4401</v>
      </c>
      <c r="H1465">
        <v>10</v>
      </c>
    </row>
    <row r="1466" spans="1:8" x14ac:dyDescent="0.25">
      <c r="A1466" t="s">
        <v>4402</v>
      </c>
      <c r="B1466" t="s">
        <v>4403</v>
      </c>
      <c r="C1466" t="s">
        <v>786</v>
      </c>
      <c r="D1466" s="1">
        <v>42696</v>
      </c>
      <c r="E1466">
        <v>10</v>
      </c>
      <c r="F1466">
        <v>1</v>
      </c>
      <c r="G1466" t="s">
        <v>4404</v>
      </c>
      <c r="H1466">
        <v>10</v>
      </c>
    </row>
    <row r="1467" spans="1:8" x14ac:dyDescent="0.25">
      <c r="A1467" t="s">
        <v>4405</v>
      </c>
      <c r="B1467" t="s">
        <v>4406</v>
      </c>
      <c r="C1467" t="s">
        <v>14</v>
      </c>
      <c r="D1467" s="1">
        <v>37586</v>
      </c>
      <c r="E1467">
        <v>10</v>
      </c>
      <c r="F1467">
        <v>1</v>
      </c>
      <c r="G1467" t="s">
        <v>4407</v>
      </c>
      <c r="H1467">
        <v>10</v>
      </c>
    </row>
    <row r="1468" spans="1:8" x14ac:dyDescent="0.25">
      <c r="A1468" t="s">
        <v>4408</v>
      </c>
      <c r="B1468" t="s">
        <v>4409</v>
      </c>
      <c r="C1468" t="s">
        <v>14</v>
      </c>
      <c r="D1468" s="1">
        <v>43192</v>
      </c>
      <c r="E1468">
        <v>10</v>
      </c>
      <c r="F1468">
        <v>1</v>
      </c>
      <c r="G1468" t="s">
        <v>4410</v>
      </c>
      <c r="H1468">
        <v>10</v>
      </c>
    </row>
    <row r="1469" spans="1:8" x14ac:dyDescent="0.25">
      <c r="A1469" t="s">
        <v>4411</v>
      </c>
      <c r="B1469" t="s">
        <v>4412</v>
      </c>
      <c r="C1469" t="s">
        <v>14</v>
      </c>
      <c r="D1469" s="1">
        <v>45176</v>
      </c>
      <c r="E1469">
        <v>10</v>
      </c>
      <c r="F1469">
        <v>1</v>
      </c>
      <c r="G1469" t="s">
        <v>4413</v>
      </c>
      <c r="H1469">
        <v>10</v>
      </c>
    </row>
    <row r="1470" spans="1:8" x14ac:dyDescent="0.25">
      <c r="A1470" t="s">
        <v>4414</v>
      </c>
      <c r="B1470" t="s">
        <v>4415</v>
      </c>
      <c r="C1470" t="s">
        <v>14</v>
      </c>
      <c r="D1470" s="1">
        <v>35263</v>
      </c>
      <c r="E1470">
        <v>10</v>
      </c>
      <c r="F1470">
        <v>1</v>
      </c>
      <c r="G1470" t="s">
        <v>4416</v>
      </c>
      <c r="H1470">
        <v>10</v>
      </c>
    </row>
    <row r="1471" spans="1:8" x14ac:dyDescent="0.25">
      <c r="A1471" t="s">
        <v>4417</v>
      </c>
      <c r="B1471" t="s">
        <v>4418</v>
      </c>
      <c r="C1471" t="s">
        <v>14</v>
      </c>
      <c r="D1471" s="1">
        <v>34829</v>
      </c>
      <c r="E1471">
        <v>10</v>
      </c>
      <c r="F1471">
        <v>1</v>
      </c>
      <c r="G1471" t="s">
        <v>4419</v>
      </c>
      <c r="H1471">
        <v>10</v>
      </c>
    </row>
    <row r="1472" spans="1:8" x14ac:dyDescent="0.25">
      <c r="A1472" t="s">
        <v>4420</v>
      </c>
      <c r="B1472" t="s">
        <v>4421</v>
      </c>
      <c r="C1472" t="s">
        <v>14</v>
      </c>
      <c r="D1472" s="1">
        <v>39106</v>
      </c>
      <c r="E1472">
        <v>2</v>
      </c>
      <c r="F1472">
        <v>1</v>
      </c>
      <c r="G1472" t="s">
        <v>4422</v>
      </c>
      <c r="H1472">
        <v>2</v>
      </c>
    </row>
    <row r="1473" spans="1:8" x14ac:dyDescent="0.25">
      <c r="A1473" t="s">
        <v>4423</v>
      </c>
      <c r="B1473" t="s">
        <v>4424</v>
      </c>
      <c r="C1473" t="s">
        <v>14</v>
      </c>
      <c r="D1473" s="1">
        <v>43661</v>
      </c>
      <c r="E1473">
        <v>10</v>
      </c>
      <c r="F1473">
        <v>1</v>
      </c>
      <c r="G1473" t="s">
        <v>4425</v>
      </c>
      <c r="H1473">
        <v>10</v>
      </c>
    </row>
    <row r="1474" spans="1:8" x14ac:dyDescent="0.25">
      <c r="A1474" t="s">
        <v>4426</v>
      </c>
      <c r="B1474" t="s">
        <v>4427</v>
      </c>
      <c r="C1474" t="s">
        <v>14</v>
      </c>
      <c r="D1474" s="1">
        <v>37760</v>
      </c>
      <c r="E1474">
        <v>10</v>
      </c>
      <c r="F1474">
        <v>1</v>
      </c>
      <c r="G1474" t="s">
        <v>4428</v>
      </c>
      <c r="H1474">
        <v>10</v>
      </c>
    </row>
    <row r="1475" spans="1:8" x14ac:dyDescent="0.25">
      <c r="A1475" t="s">
        <v>4429</v>
      </c>
      <c r="B1475" t="s">
        <v>4430</v>
      </c>
      <c r="C1475" t="s">
        <v>14</v>
      </c>
      <c r="D1475" s="1">
        <v>44463</v>
      </c>
      <c r="E1475">
        <v>2</v>
      </c>
      <c r="F1475">
        <v>1</v>
      </c>
      <c r="G1475" t="s">
        <v>4431</v>
      </c>
      <c r="H1475">
        <v>2</v>
      </c>
    </row>
    <row r="1476" spans="1:8" x14ac:dyDescent="0.25">
      <c r="A1476" t="s">
        <v>4432</v>
      </c>
      <c r="B1476" t="s">
        <v>4433</v>
      </c>
      <c r="C1476" t="s">
        <v>14</v>
      </c>
      <c r="D1476" s="1">
        <v>44518</v>
      </c>
      <c r="E1476">
        <v>10</v>
      </c>
      <c r="F1476">
        <v>1</v>
      </c>
      <c r="G1476" t="s">
        <v>4434</v>
      </c>
      <c r="H1476">
        <v>10</v>
      </c>
    </row>
    <row r="1477" spans="1:8" x14ac:dyDescent="0.25">
      <c r="A1477" t="s">
        <v>4435</v>
      </c>
      <c r="B1477" t="s">
        <v>4436</v>
      </c>
      <c r="C1477" t="s">
        <v>14</v>
      </c>
      <c r="D1477" s="1">
        <v>40150</v>
      </c>
      <c r="E1477">
        <v>1</v>
      </c>
      <c r="F1477">
        <v>1</v>
      </c>
      <c r="G1477" t="s">
        <v>4437</v>
      </c>
      <c r="H1477">
        <v>1</v>
      </c>
    </row>
    <row r="1478" spans="1:8" x14ac:dyDescent="0.25">
      <c r="A1478" t="s">
        <v>4438</v>
      </c>
      <c r="B1478" t="s">
        <v>4439</v>
      </c>
      <c r="C1478" t="s">
        <v>14</v>
      </c>
      <c r="D1478" s="1">
        <v>35641</v>
      </c>
      <c r="E1478">
        <v>1</v>
      </c>
      <c r="F1478">
        <v>1</v>
      </c>
      <c r="G1478" t="s">
        <v>4440</v>
      </c>
      <c r="H1478">
        <v>1</v>
      </c>
    </row>
    <row r="1479" spans="1:8" x14ac:dyDescent="0.25">
      <c r="A1479" t="s">
        <v>4441</v>
      </c>
      <c r="B1479" t="s">
        <v>4442</v>
      </c>
      <c r="C1479" t="s">
        <v>14</v>
      </c>
      <c r="D1479" s="1">
        <v>39101</v>
      </c>
      <c r="E1479">
        <v>1</v>
      </c>
      <c r="F1479">
        <v>1</v>
      </c>
      <c r="G1479" t="s">
        <v>4443</v>
      </c>
      <c r="H1479">
        <v>1</v>
      </c>
    </row>
    <row r="1480" spans="1:8" x14ac:dyDescent="0.25">
      <c r="A1480" t="s">
        <v>4444</v>
      </c>
      <c r="B1480" t="s">
        <v>4445</v>
      </c>
      <c r="C1480" t="s">
        <v>10</v>
      </c>
      <c r="D1480" s="1">
        <v>44903</v>
      </c>
      <c r="E1480">
        <v>1</v>
      </c>
      <c r="F1480">
        <v>1</v>
      </c>
      <c r="G1480" t="s">
        <v>4446</v>
      </c>
      <c r="H1480">
        <v>1</v>
      </c>
    </row>
    <row r="1481" spans="1:8" x14ac:dyDescent="0.25">
      <c r="A1481" t="s">
        <v>4447</v>
      </c>
      <c r="B1481" t="s">
        <v>4448</v>
      </c>
      <c r="C1481" t="s">
        <v>14</v>
      </c>
      <c r="D1481" s="1">
        <v>38604</v>
      </c>
      <c r="E1481">
        <v>10</v>
      </c>
      <c r="F1481">
        <v>1</v>
      </c>
      <c r="G1481" t="s">
        <v>4449</v>
      </c>
      <c r="H1481">
        <v>10</v>
      </c>
    </row>
    <row r="1482" spans="1:8" x14ac:dyDescent="0.25">
      <c r="A1482" t="s">
        <v>4450</v>
      </c>
      <c r="B1482" t="s">
        <v>4451</v>
      </c>
      <c r="C1482" t="s">
        <v>14</v>
      </c>
      <c r="D1482" s="1">
        <v>40456</v>
      </c>
      <c r="E1482">
        <v>10</v>
      </c>
      <c r="F1482">
        <v>1</v>
      </c>
      <c r="G1482" t="s">
        <v>4452</v>
      </c>
      <c r="H1482">
        <v>10</v>
      </c>
    </row>
    <row r="1483" spans="1:8" x14ac:dyDescent="0.25">
      <c r="A1483" t="s">
        <v>4453</v>
      </c>
      <c r="B1483" t="s">
        <v>4454</v>
      </c>
      <c r="C1483" t="s">
        <v>14</v>
      </c>
      <c r="D1483" s="1">
        <v>43663</v>
      </c>
      <c r="E1483">
        <v>1</v>
      </c>
      <c r="F1483">
        <v>1</v>
      </c>
      <c r="G1483" t="s">
        <v>4455</v>
      </c>
      <c r="H1483">
        <v>1</v>
      </c>
    </row>
    <row r="1484" spans="1:8" x14ac:dyDescent="0.25">
      <c r="A1484" t="s">
        <v>4456</v>
      </c>
      <c r="B1484" t="s">
        <v>4457</v>
      </c>
      <c r="C1484" t="s">
        <v>14</v>
      </c>
      <c r="D1484" s="1">
        <v>42242</v>
      </c>
      <c r="E1484">
        <v>10</v>
      </c>
      <c r="F1484">
        <v>1</v>
      </c>
      <c r="G1484" t="s">
        <v>4458</v>
      </c>
      <c r="H1484">
        <v>10</v>
      </c>
    </row>
    <row r="1485" spans="1:8" x14ac:dyDescent="0.25">
      <c r="A1485" t="s">
        <v>4459</v>
      </c>
      <c r="B1485" t="s">
        <v>4460</v>
      </c>
      <c r="C1485" t="s">
        <v>14</v>
      </c>
      <c r="D1485" s="1">
        <v>44886</v>
      </c>
      <c r="E1485">
        <v>2</v>
      </c>
      <c r="F1485">
        <v>1</v>
      </c>
      <c r="G1485" t="s">
        <v>4461</v>
      </c>
      <c r="H1485">
        <v>2</v>
      </c>
    </row>
    <row r="1486" spans="1:8" x14ac:dyDescent="0.25">
      <c r="A1486" t="s">
        <v>4462</v>
      </c>
      <c r="B1486" t="s">
        <v>4463</v>
      </c>
      <c r="C1486" t="s">
        <v>14</v>
      </c>
      <c r="D1486" s="1">
        <v>44523</v>
      </c>
      <c r="E1486">
        <v>1</v>
      </c>
      <c r="F1486">
        <v>1</v>
      </c>
      <c r="G1486" t="s">
        <v>4464</v>
      </c>
      <c r="H1486">
        <v>1</v>
      </c>
    </row>
    <row r="1487" spans="1:8" x14ac:dyDescent="0.25">
      <c r="A1487" t="s">
        <v>4465</v>
      </c>
      <c r="B1487" t="s">
        <v>4466</v>
      </c>
      <c r="C1487" t="s">
        <v>14</v>
      </c>
      <c r="D1487" s="1">
        <v>44371</v>
      </c>
      <c r="E1487">
        <v>2</v>
      </c>
      <c r="F1487">
        <v>1</v>
      </c>
      <c r="G1487" t="s">
        <v>4467</v>
      </c>
      <c r="H1487">
        <v>2</v>
      </c>
    </row>
    <row r="1488" spans="1:8" x14ac:dyDescent="0.25">
      <c r="A1488" t="s">
        <v>4468</v>
      </c>
      <c r="B1488" t="s">
        <v>4469</v>
      </c>
      <c r="C1488" t="s">
        <v>14</v>
      </c>
      <c r="D1488" s="1">
        <v>45154</v>
      </c>
      <c r="E1488">
        <v>10</v>
      </c>
      <c r="F1488">
        <v>1</v>
      </c>
      <c r="G1488" t="s">
        <v>4470</v>
      </c>
      <c r="H1488">
        <v>10</v>
      </c>
    </row>
    <row r="1489" spans="1:8" x14ac:dyDescent="0.25">
      <c r="A1489" t="s">
        <v>4471</v>
      </c>
      <c r="B1489" t="s">
        <v>4472</v>
      </c>
      <c r="C1489" t="s">
        <v>14</v>
      </c>
      <c r="D1489" s="1">
        <v>44967</v>
      </c>
      <c r="E1489">
        <v>10</v>
      </c>
      <c r="F1489">
        <v>1</v>
      </c>
      <c r="G1489" t="s">
        <v>4473</v>
      </c>
      <c r="H1489">
        <v>10</v>
      </c>
    </row>
    <row r="1490" spans="1:8" x14ac:dyDescent="0.25">
      <c r="A1490" t="s">
        <v>4474</v>
      </c>
      <c r="B1490" t="s">
        <v>4475</v>
      </c>
      <c r="C1490" t="s">
        <v>14</v>
      </c>
      <c r="D1490" s="1">
        <v>43906</v>
      </c>
      <c r="E1490">
        <v>10</v>
      </c>
      <c r="F1490">
        <v>1</v>
      </c>
      <c r="G1490" t="s">
        <v>4476</v>
      </c>
      <c r="H1490">
        <v>10</v>
      </c>
    </row>
    <row r="1491" spans="1:8" x14ac:dyDescent="0.25">
      <c r="A1491" t="s">
        <v>4477</v>
      </c>
      <c r="B1491" t="s">
        <v>4478</v>
      </c>
      <c r="C1491" t="s">
        <v>14</v>
      </c>
      <c r="D1491" s="1">
        <v>43011</v>
      </c>
      <c r="E1491">
        <v>10</v>
      </c>
      <c r="F1491">
        <v>1</v>
      </c>
      <c r="G1491" t="s">
        <v>4479</v>
      </c>
      <c r="H1491">
        <v>10</v>
      </c>
    </row>
    <row r="1492" spans="1:8" x14ac:dyDescent="0.25">
      <c r="A1492" t="s">
        <v>4480</v>
      </c>
      <c r="B1492" t="s">
        <v>4481</v>
      </c>
      <c r="C1492" t="s">
        <v>14</v>
      </c>
      <c r="D1492" s="1">
        <v>34759</v>
      </c>
      <c r="E1492">
        <v>1</v>
      </c>
      <c r="F1492">
        <v>1</v>
      </c>
      <c r="G1492" t="s">
        <v>4482</v>
      </c>
      <c r="H1492">
        <v>1</v>
      </c>
    </row>
    <row r="1493" spans="1:8" x14ac:dyDescent="0.25">
      <c r="A1493" t="s">
        <v>4483</v>
      </c>
      <c r="B1493" t="s">
        <v>4484</v>
      </c>
      <c r="C1493" t="s">
        <v>14</v>
      </c>
      <c r="D1493" s="1">
        <v>36859</v>
      </c>
      <c r="E1493">
        <v>2</v>
      </c>
      <c r="F1493">
        <v>1</v>
      </c>
      <c r="G1493" t="s">
        <v>4485</v>
      </c>
      <c r="H1493">
        <v>2</v>
      </c>
    </row>
    <row r="1494" spans="1:8" x14ac:dyDescent="0.25">
      <c r="A1494" t="s">
        <v>4486</v>
      </c>
      <c r="B1494" t="s">
        <v>4487</v>
      </c>
      <c r="C1494" t="s">
        <v>14</v>
      </c>
      <c r="D1494" s="1">
        <v>42864</v>
      </c>
      <c r="E1494">
        <v>5</v>
      </c>
      <c r="F1494">
        <v>1</v>
      </c>
      <c r="G1494" t="s">
        <v>4488</v>
      </c>
      <c r="H1494">
        <v>5</v>
      </c>
    </row>
    <row r="1495" spans="1:8" x14ac:dyDescent="0.25">
      <c r="A1495" t="s">
        <v>4489</v>
      </c>
      <c r="B1495" t="s">
        <v>4490</v>
      </c>
      <c r="C1495" t="s">
        <v>14</v>
      </c>
      <c r="D1495" s="1">
        <v>40988</v>
      </c>
      <c r="E1495">
        <v>2</v>
      </c>
      <c r="F1495">
        <v>1</v>
      </c>
      <c r="G1495" t="s">
        <v>4491</v>
      </c>
      <c r="H1495">
        <v>2</v>
      </c>
    </row>
    <row r="1496" spans="1:8" x14ac:dyDescent="0.25">
      <c r="A1496" t="s">
        <v>4492</v>
      </c>
      <c r="B1496" t="s">
        <v>4493</v>
      </c>
      <c r="C1496" t="s">
        <v>14</v>
      </c>
      <c r="D1496" s="1">
        <v>35655</v>
      </c>
      <c r="E1496">
        <v>10</v>
      </c>
      <c r="F1496">
        <v>1</v>
      </c>
      <c r="G1496" t="s">
        <v>4494</v>
      </c>
      <c r="H1496">
        <v>10</v>
      </c>
    </row>
    <row r="1497" spans="1:8" x14ac:dyDescent="0.25">
      <c r="A1497" t="s">
        <v>4495</v>
      </c>
      <c r="B1497" t="s">
        <v>4496</v>
      </c>
      <c r="C1497" t="s">
        <v>14</v>
      </c>
      <c r="D1497" s="1">
        <v>44887</v>
      </c>
      <c r="E1497">
        <v>10</v>
      </c>
      <c r="F1497">
        <v>1</v>
      </c>
      <c r="G1497" t="s">
        <v>4497</v>
      </c>
      <c r="H1497">
        <v>10</v>
      </c>
    </row>
    <row r="1498" spans="1:8" x14ac:dyDescent="0.25">
      <c r="A1498" t="s">
        <v>4498</v>
      </c>
      <c r="B1498" t="s">
        <v>4499</v>
      </c>
      <c r="C1498" t="s">
        <v>14</v>
      </c>
      <c r="D1498" s="1">
        <v>41716</v>
      </c>
      <c r="E1498">
        <v>5</v>
      </c>
      <c r="F1498">
        <v>1</v>
      </c>
      <c r="G1498" t="s">
        <v>4500</v>
      </c>
      <c r="H1498">
        <v>5</v>
      </c>
    </row>
    <row r="1499" spans="1:8" x14ac:dyDescent="0.25">
      <c r="A1499" t="s">
        <v>4501</v>
      </c>
      <c r="B1499" t="s">
        <v>4502</v>
      </c>
      <c r="C1499" t="s">
        <v>14</v>
      </c>
      <c r="D1499" s="1">
        <v>34878</v>
      </c>
      <c r="E1499">
        <v>10</v>
      </c>
      <c r="F1499">
        <v>1</v>
      </c>
      <c r="G1499" t="s">
        <v>4503</v>
      </c>
      <c r="H1499">
        <v>10</v>
      </c>
    </row>
    <row r="1500" spans="1:8" x14ac:dyDescent="0.25">
      <c r="A1500" t="s">
        <v>4504</v>
      </c>
      <c r="B1500" t="s">
        <v>4505</v>
      </c>
      <c r="C1500" t="s">
        <v>14</v>
      </c>
      <c r="D1500" s="1">
        <v>45215</v>
      </c>
      <c r="E1500">
        <v>10</v>
      </c>
      <c r="F1500">
        <v>1</v>
      </c>
      <c r="G1500" t="s">
        <v>4506</v>
      </c>
      <c r="H1500">
        <v>10</v>
      </c>
    </row>
    <row r="1501" spans="1:8" x14ac:dyDescent="0.25">
      <c r="A1501" t="s">
        <v>4507</v>
      </c>
      <c r="B1501" t="s">
        <v>4508</v>
      </c>
      <c r="C1501" t="s">
        <v>14</v>
      </c>
      <c r="D1501" s="1">
        <v>44851</v>
      </c>
      <c r="E1501">
        <v>10</v>
      </c>
      <c r="F1501">
        <v>1</v>
      </c>
      <c r="G1501" t="s">
        <v>4509</v>
      </c>
      <c r="H1501">
        <v>10</v>
      </c>
    </row>
    <row r="1502" spans="1:8" x14ac:dyDescent="0.25">
      <c r="A1502" t="s">
        <v>4510</v>
      </c>
      <c r="B1502" t="s">
        <v>4511</v>
      </c>
      <c r="C1502" t="s">
        <v>14</v>
      </c>
      <c r="D1502" s="1">
        <v>41668</v>
      </c>
      <c r="E1502">
        <v>5</v>
      </c>
      <c r="F1502">
        <v>1</v>
      </c>
      <c r="G1502" t="s">
        <v>4512</v>
      </c>
      <c r="H1502">
        <v>5</v>
      </c>
    </row>
    <row r="1503" spans="1:8" x14ac:dyDescent="0.25">
      <c r="A1503" t="s">
        <v>4513</v>
      </c>
      <c r="B1503" t="s">
        <v>4514</v>
      </c>
      <c r="C1503" t="s">
        <v>10</v>
      </c>
      <c r="D1503" s="1">
        <v>44543</v>
      </c>
      <c r="E1503">
        <v>10</v>
      </c>
      <c r="F1503">
        <v>1</v>
      </c>
      <c r="G1503" t="s">
        <v>4515</v>
      </c>
      <c r="H1503">
        <v>10</v>
      </c>
    </row>
    <row r="1504" spans="1:8" x14ac:dyDescent="0.25">
      <c r="A1504" t="s">
        <v>4516</v>
      </c>
      <c r="B1504" t="s">
        <v>4517</v>
      </c>
      <c r="C1504" t="s">
        <v>14</v>
      </c>
      <c r="D1504" s="1">
        <v>38986</v>
      </c>
      <c r="E1504">
        <v>10</v>
      </c>
      <c r="F1504">
        <v>1</v>
      </c>
      <c r="G1504" t="s">
        <v>4518</v>
      </c>
      <c r="H1504">
        <v>10</v>
      </c>
    </row>
    <row r="1505" spans="1:8" x14ac:dyDescent="0.25">
      <c r="A1505" t="s">
        <v>4519</v>
      </c>
      <c r="B1505" t="s">
        <v>4520</v>
      </c>
      <c r="C1505" t="s">
        <v>10</v>
      </c>
      <c r="D1505" s="1">
        <v>44495</v>
      </c>
      <c r="E1505">
        <v>10</v>
      </c>
      <c r="F1505">
        <v>1</v>
      </c>
      <c r="G1505" t="s">
        <v>4521</v>
      </c>
      <c r="H1505">
        <v>10</v>
      </c>
    </row>
    <row r="1506" spans="1:8" x14ac:dyDescent="0.25">
      <c r="A1506" t="s">
        <v>4522</v>
      </c>
      <c r="B1506" t="s">
        <v>4523</v>
      </c>
      <c r="C1506" t="s">
        <v>10</v>
      </c>
      <c r="D1506" s="1">
        <v>38575</v>
      </c>
      <c r="E1506">
        <v>10</v>
      </c>
      <c r="F1506">
        <v>1</v>
      </c>
      <c r="G1506" t="s">
        <v>4524</v>
      </c>
      <c r="H1506">
        <v>10</v>
      </c>
    </row>
    <row r="1507" spans="1:8" x14ac:dyDescent="0.25">
      <c r="A1507" t="s">
        <v>4525</v>
      </c>
      <c r="B1507" t="s">
        <v>4526</v>
      </c>
      <c r="C1507" t="s">
        <v>14</v>
      </c>
      <c r="D1507" s="1">
        <v>45121</v>
      </c>
      <c r="E1507">
        <v>10</v>
      </c>
      <c r="F1507">
        <v>1</v>
      </c>
      <c r="G1507" t="s">
        <v>4527</v>
      </c>
      <c r="H1507">
        <v>10</v>
      </c>
    </row>
    <row r="1508" spans="1:8" x14ac:dyDescent="0.25">
      <c r="A1508" t="s">
        <v>4528</v>
      </c>
      <c r="B1508" t="s">
        <v>4529</v>
      </c>
      <c r="C1508" t="s">
        <v>14</v>
      </c>
      <c r="D1508" s="1">
        <v>39498</v>
      </c>
      <c r="E1508">
        <v>10</v>
      </c>
      <c r="F1508">
        <v>1</v>
      </c>
      <c r="G1508" t="s">
        <v>4530</v>
      </c>
      <c r="H1508">
        <v>10</v>
      </c>
    </row>
    <row r="1509" spans="1:8" x14ac:dyDescent="0.25">
      <c r="A1509" t="s">
        <v>4531</v>
      </c>
      <c r="B1509" t="s">
        <v>4532</v>
      </c>
      <c r="C1509" t="s">
        <v>14</v>
      </c>
      <c r="D1509" s="1">
        <v>42439</v>
      </c>
      <c r="E1509">
        <v>2</v>
      </c>
      <c r="F1509">
        <v>1</v>
      </c>
      <c r="G1509" t="s">
        <v>4533</v>
      </c>
      <c r="H1509">
        <v>2</v>
      </c>
    </row>
    <row r="1510" spans="1:8" x14ac:dyDescent="0.25">
      <c r="A1510" t="s">
        <v>4534</v>
      </c>
      <c r="B1510" t="s">
        <v>4535</v>
      </c>
      <c r="C1510" t="s">
        <v>10</v>
      </c>
      <c r="D1510" s="1">
        <v>44441</v>
      </c>
      <c r="E1510">
        <v>1</v>
      </c>
      <c r="F1510">
        <v>1</v>
      </c>
      <c r="G1510" t="s">
        <v>4536</v>
      </c>
      <c r="H1510">
        <v>1</v>
      </c>
    </row>
    <row r="1511" spans="1:8" x14ac:dyDescent="0.25">
      <c r="A1511" t="s">
        <v>4537</v>
      </c>
      <c r="B1511" t="s">
        <v>4538</v>
      </c>
      <c r="C1511" t="s">
        <v>14</v>
      </c>
      <c r="D1511" s="1">
        <v>34787</v>
      </c>
      <c r="E1511">
        <v>2</v>
      </c>
      <c r="F1511">
        <v>1</v>
      </c>
      <c r="G1511" t="s">
        <v>4539</v>
      </c>
      <c r="H1511">
        <v>2</v>
      </c>
    </row>
    <row r="1512" spans="1:8" x14ac:dyDescent="0.25">
      <c r="A1512" t="s">
        <v>4540</v>
      </c>
      <c r="B1512" t="s">
        <v>4541</v>
      </c>
      <c r="C1512" t="s">
        <v>10</v>
      </c>
      <c r="D1512" s="1">
        <v>42552</v>
      </c>
      <c r="E1512">
        <v>2</v>
      </c>
      <c r="F1512">
        <v>1</v>
      </c>
      <c r="G1512" t="s">
        <v>4542</v>
      </c>
      <c r="H1512">
        <v>2</v>
      </c>
    </row>
    <row r="1513" spans="1:8" x14ac:dyDescent="0.25">
      <c r="A1513" t="s">
        <v>4543</v>
      </c>
      <c r="B1513" t="s">
        <v>4544</v>
      </c>
      <c r="C1513" t="s">
        <v>10</v>
      </c>
      <c r="D1513" s="1">
        <v>43657</v>
      </c>
      <c r="E1513">
        <v>10</v>
      </c>
      <c r="F1513">
        <v>1</v>
      </c>
      <c r="G1513" t="s">
        <v>4545</v>
      </c>
      <c r="H1513">
        <v>10</v>
      </c>
    </row>
    <row r="1514" spans="1:8" x14ac:dyDescent="0.25">
      <c r="A1514" t="s">
        <v>4546</v>
      </c>
      <c r="B1514" t="s">
        <v>4547</v>
      </c>
      <c r="C1514" t="s">
        <v>14</v>
      </c>
      <c r="D1514" s="1">
        <v>42713</v>
      </c>
      <c r="E1514">
        <v>5</v>
      </c>
      <c r="F1514">
        <v>1</v>
      </c>
      <c r="G1514" t="s">
        <v>4548</v>
      </c>
      <c r="H1514">
        <v>5</v>
      </c>
    </row>
    <row r="1515" spans="1:8" x14ac:dyDescent="0.25">
      <c r="A1515" t="s">
        <v>4549</v>
      </c>
      <c r="B1515" t="s">
        <v>4550</v>
      </c>
      <c r="C1515" t="s">
        <v>10</v>
      </c>
      <c r="D1515" s="1">
        <v>44405</v>
      </c>
      <c r="E1515">
        <v>10</v>
      </c>
      <c r="F1515">
        <v>1</v>
      </c>
      <c r="G1515" t="s">
        <v>4551</v>
      </c>
      <c r="H1515">
        <v>10</v>
      </c>
    </row>
    <row r="1516" spans="1:8" x14ac:dyDescent="0.25">
      <c r="A1516" t="s">
        <v>4552</v>
      </c>
      <c r="B1516" t="s">
        <v>4553</v>
      </c>
      <c r="C1516" t="s">
        <v>10</v>
      </c>
      <c r="D1516" s="1">
        <v>38817</v>
      </c>
      <c r="E1516">
        <v>10</v>
      </c>
      <c r="F1516">
        <v>1</v>
      </c>
      <c r="G1516" t="s">
        <v>4554</v>
      </c>
      <c r="H1516">
        <v>10</v>
      </c>
    </row>
    <row r="1517" spans="1:8" x14ac:dyDescent="0.25">
      <c r="A1517" t="s">
        <v>4555</v>
      </c>
      <c r="B1517" t="s">
        <v>4556</v>
      </c>
      <c r="C1517" t="s">
        <v>14</v>
      </c>
      <c r="D1517" s="1">
        <v>40478</v>
      </c>
      <c r="E1517">
        <v>1</v>
      </c>
      <c r="F1517">
        <v>1</v>
      </c>
      <c r="G1517" t="s">
        <v>4557</v>
      </c>
      <c r="H1517">
        <v>1</v>
      </c>
    </row>
    <row r="1518" spans="1:8" x14ac:dyDescent="0.25">
      <c r="A1518" t="s">
        <v>4558</v>
      </c>
      <c r="B1518" t="s">
        <v>4559</v>
      </c>
      <c r="C1518" t="s">
        <v>10</v>
      </c>
      <c r="D1518" s="1">
        <v>38519</v>
      </c>
      <c r="E1518">
        <v>10</v>
      </c>
      <c r="F1518">
        <v>1</v>
      </c>
      <c r="G1518" t="s">
        <v>4560</v>
      </c>
      <c r="H1518">
        <v>10</v>
      </c>
    </row>
    <row r="1519" spans="1:8" x14ac:dyDescent="0.25">
      <c r="A1519" t="s">
        <v>4561</v>
      </c>
      <c r="B1519" t="s">
        <v>4562</v>
      </c>
      <c r="C1519" t="s">
        <v>14</v>
      </c>
      <c r="D1519" s="1">
        <v>44655</v>
      </c>
      <c r="E1519">
        <v>10</v>
      </c>
      <c r="F1519">
        <v>1</v>
      </c>
      <c r="G1519" t="s">
        <v>4563</v>
      </c>
      <c r="H1519">
        <v>10</v>
      </c>
    </row>
    <row r="1520" spans="1:8" x14ac:dyDescent="0.25">
      <c r="A1520" t="s">
        <v>4564</v>
      </c>
      <c r="B1520" t="s">
        <v>4565</v>
      </c>
      <c r="C1520" t="s">
        <v>14</v>
      </c>
      <c r="D1520" s="1">
        <v>42033</v>
      </c>
      <c r="E1520">
        <v>10</v>
      </c>
      <c r="F1520">
        <v>1</v>
      </c>
      <c r="G1520" t="s">
        <v>4566</v>
      </c>
      <c r="H1520">
        <v>10</v>
      </c>
    </row>
    <row r="1521" spans="1:8" x14ac:dyDescent="0.25">
      <c r="A1521" t="s">
        <v>4567</v>
      </c>
      <c r="B1521" t="s">
        <v>4568</v>
      </c>
      <c r="C1521" t="s">
        <v>14</v>
      </c>
      <c r="D1521" s="1">
        <v>43084</v>
      </c>
      <c r="E1521">
        <v>10</v>
      </c>
      <c r="F1521">
        <v>1</v>
      </c>
      <c r="G1521" t="s">
        <v>4569</v>
      </c>
      <c r="H1521">
        <v>10</v>
      </c>
    </row>
    <row r="1522" spans="1:8" x14ac:dyDescent="0.25">
      <c r="A1522" t="s">
        <v>4570</v>
      </c>
      <c r="B1522" t="s">
        <v>4571</v>
      </c>
      <c r="C1522" t="s">
        <v>14</v>
      </c>
      <c r="D1522" s="1">
        <v>39510</v>
      </c>
      <c r="E1522">
        <v>2</v>
      </c>
      <c r="F1522">
        <v>1</v>
      </c>
      <c r="G1522" t="s">
        <v>4572</v>
      </c>
      <c r="H1522">
        <v>2</v>
      </c>
    </row>
    <row r="1523" spans="1:8" x14ac:dyDescent="0.25">
      <c r="A1523" t="s">
        <v>4573</v>
      </c>
      <c r="B1523" t="s">
        <v>4574</v>
      </c>
      <c r="C1523" t="s">
        <v>14</v>
      </c>
      <c r="D1523" s="1">
        <v>42830</v>
      </c>
      <c r="E1523">
        <v>10</v>
      </c>
      <c r="F1523">
        <v>1</v>
      </c>
      <c r="G1523" t="s">
        <v>4575</v>
      </c>
      <c r="H1523">
        <v>10</v>
      </c>
    </row>
    <row r="1524" spans="1:8" x14ac:dyDescent="0.25">
      <c r="A1524" t="s">
        <v>4576</v>
      </c>
      <c r="B1524" t="s">
        <v>4577</v>
      </c>
      <c r="C1524" t="s">
        <v>14</v>
      </c>
      <c r="D1524" s="1">
        <v>44455</v>
      </c>
      <c r="E1524">
        <v>10</v>
      </c>
      <c r="F1524">
        <v>1</v>
      </c>
      <c r="G1524" t="s">
        <v>4578</v>
      </c>
      <c r="H1524">
        <v>10</v>
      </c>
    </row>
    <row r="1525" spans="1:8" x14ac:dyDescent="0.25">
      <c r="A1525" t="s">
        <v>4579</v>
      </c>
      <c r="B1525" t="s">
        <v>4580</v>
      </c>
      <c r="C1525" t="s">
        <v>14</v>
      </c>
      <c r="D1525" s="1">
        <v>35081</v>
      </c>
      <c r="E1525">
        <v>1</v>
      </c>
      <c r="F1525">
        <v>1</v>
      </c>
      <c r="G1525" t="s">
        <v>4581</v>
      </c>
      <c r="H1525">
        <v>1</v>
      </c>
    </row>
    <row r="1526" spans="1:8" x14ac:dyDescent="0.25">
      <c r="A1526" t="s">
        <v>4582</v>
      </c>
      <c r="B1526" t="s">
        <v>4583</v>
      </c>
      <c r="C1526" t="s">
        <v>14</v>
      </c>
      <c r="D1526" s="1">
        <v>41905</v>
      </c>
      <c r="E1526">
        <v>10</v>
      </c>
      <c r="F1526">
        <v>1</v>
      </c>
      <c r="G1526" t="s">
        <v>4584</v>
      </c>
      <c r="H1526">
        <v>10</v>
      </c>
    </row>
    <row r="1527" spans="1:8" x14ac:dyDescent="0.25">
      <c r="A1527" t="s">
        <v>4585</v>
      </c>
      <c r="B1527" t="s">
        <v>4586</v>
      </c>
      <c r="C1527" t="s">
        <v>14</v>
      </c>
      <c r="D1527" s="1">
        <v>42250</v>
      </c>
      <c r="E1527">
        <v>2</v>
      </c>
      <c r="F1527">
        <v>1</v>
      </c>
      <c r="G1527" t="s">
        <v>4587</v>
      </c>
      <c r="H1527">
        <v>2</v>
      </c>
    </row>
    <row r="1528" spans="1:8" x14ac:dyDescent="0.25">
      <c r="A1528" t="s">
        <v>4588</v>
      </c>
      <c r="B1528" t="s">
        <v>4589</v>
      </c>
      <c r="C1528" t="s">
        <v>14</v>
      </c>
      <c r="D1528" s="1">
        <v>44095</v>
      </c>
      <c r="E1528">
        <v>10</v>
      </c>
      <c r="F1528">
        <v>1</v>
      </c>
      <c r="G1528" t="s">
        <v>4590</v>
      </c>
      <c r="H1528">
        <v>10</v>
      </c>
    </row>
    <row r="1529" spans="1:8" x14ac:dyDescent="0.25">
      <c r="A1529" t="s">
        <v>4591</v>
      </c>
      <c r="B1529" t="s">
        <v>4592</v>
      </c>
      <c r="C1529" t="s">
        <v>14</v>
      </c>
      <c r="D1529" s="1">
        <v>41913</v>
      </c>
      <c r="E1529">
        <v>10</v>
      </c>
      <c r="F1529">
        <v>1</v>
      </c>
      <c r="G1529" t="s">
        <v>4593</v>
      </c>
      <c r="H1529">
        <v>10</v>
      </c>
    </row>
    <row r="1530" spans="1:8" x14ac:dyDescent="0.25">
      <c r="A1530" t="s">
        <v>4594</v>
      </c>
      <c r="B1530" t="s">
        <v>4595</v>
      </c>
      <c r="C1530" t="s">
        <v>14</v>
      </c>
      <c r="D1530" s="1">
        <v>40150</v>
      </c>
      <c r="E1530">
        <v>1</v>
      </c>
      <c r="F1530">
        <v>1</v>
      </c>
      <c r="G1530" t="s">
        <v>4596</v>
      </c>
      <c r="H1530">
        <v>1</v>
      </c>
    </row>
    <row r="1531" spans="1:8" x14ac:dyDescent="0.25">
      <c r="A1531" t="s">
        <v>4597</v>
      </c>
      <c r="B1531" t="s">
        <v>4598</v>
      </c>
      <c r="C1531" t="s">
        <v>14</v>
      </c>
      <c r="D1531" s="1">
        <v>44539</v>
      </c>
      <c r="E1531">
        <v>5</v>
      </c>
      <c r="F1531">
        <v>1</v>
      </c>
      <c r="G1531" t="s">
        <v>4599</v>
      </c>
      <c r="H1531">
        <v>5</v>
      </c>
    </row>
    <row r="1532" spans="1:8" x14ac:dyDescent="0.25">
      <c r="A1532" t="s">
        <v>4600</v>
      </c>
      <c r="B1532" t="s">
        <v>4601</v>
      </c>
      <c r="C1532" t="s">
        <v>10</v>
      </c>
      <c r="D1532" s="1">
        <v>39042</v>
      </c>
      <c r="E1532">
        <v>2</v>
      </c>
      <c r="F1532">
        <v>1</v>
      </c>
      <c r="G1532" t="s">
        <v>4602</v>
      </c>
      <c r="H1532">
        <v>2</v>
      </c>
    </row>
    <row r="1533" spans="1:8" x14ac:dyDescent="0.25">
      <c r="A1533" t="s">
        <v>4603</v>
      </c>
      <c r="B1533" t="s">
        <v>4604</v>
      </c>
      <c r="C1533" t="s">
        <v>14</v>
      </c>
      <c r="D1533" s="1">
        <v>43157</v>
      </c>
      <c r="E1533">
        <v>10</v>
      </c>
      <c r="F1533">
        <v>1</v>
      </c>
      <c r="G1533" t="s">
        <v>4605</v>
      </c>
      <c r="H1533">
        <v>10</v>
      </c>
    </row>
    <row r="1534" spans="1:8" x14ac:dyDescent="0.25">
      <c r="A1534" t="s">
        <v>4606</v>
      </c>
      <c r="B1534" t="s">
        <v>4607</v>
      </c>
      <c r="C1534" t="s">
        <v>14</v>
      </c>
      <c r="D1534" s="1">
        <v>43095</v>
      </c>
      <c r="E1534">
        <v>10</v>
      </c>
      <c r="F1534">
        <v>1</v>
      </c>
      <c r="G1534" t="s">
        <v>4608</v>
      </c>
      <c r="H1534">
        <v>10</v>
      </c>
    </row>
    <row r="1535" spans="1:8" x14ac:dyDescent="0.25">
      <c r="A1535" t="s">
        <v>4609</v>
      </c>
      <c r="B1535" t="s">
        <v>4610</v>
      </c>
      <c r="C1535" t="s">
        <v>14</v>
      </c>
      <c r="D1535" s="1">
        <v>42324</v>
      </c>
      <c r="E1535">
        <v>10</v>
      </c>
      <c r="F1535">
        <v>1</v>
      </c>
      <c r="G1535" t="s">
        <v>4611</v>
      </c>
      <c r="H1535">
        <v>10</v>
      </c>
    </row>
    <row r="1536" spans="1:8" x14ac:dyDescent="0.25">
      <c r="A1536" t="s">
        <v>4612</v>
      </c>
      <c r="B1536" t="s">
        <v>4613</v>
      </c>
      <c r="C1536" t="s">
        <v>14</v>
      </c>
      <c r="D1536" s="1">
        <v>38495</v>
      </c>
      <c r="E1536">
        <v>5</v>
      </c>
      <c r="F1536">
        <v>1</v>
      </c>
      <c r="G1536" t="s">
        <v>4614</v>
      </c>
      <c r="H1536">
        <v>5</v>
      </c>
    </row>
    <row r="1537" spans="1:8" x14ac:dyDescent="0.25">
      <c r="A1537" t="s">
        <v>4615</v>
      </c>
      <c r="B1537" t="s">
        <v>4616</v>
      </c>
      <c r="C1537" t="s">
        <v>14</v>
      </c>
      <c r="D1537" s="1">
        <v>44126</v>
      </c>
      <c r="E1537">
        <v>5</v>
      </c>
      <c r="F1537">
        <v>1</v>
      </c>
      <c r="G1537" t="s">
        <v>4617</v>
      </c>
      <c r="H1537">
        <v>5</v>
      </c>
    </row>
    <row r="1538" spans="1:8" x14ac:dyDescent="0.25">
      <c r="A1538" t="s">
        <v>4618</v>
      </c>
      <c r="B1538" t="s">
        <v>4619</v>
      </c>
      <c r="C1538" t="s">
        <v>14</v>
      </c>
      <c r="D1538" s="1">
        <v>43858</v>
      </c>
      <c r="E1538">
        <v>10</v>
      </c>
      <c r="F1538">
        <v>1</v>
      </c>
      <c r="G1538" t="s">
        <v>4620</v>
      </c>
      <c r="H1538">
        <v>10</v>
      </c>
    </row>
    <row r="1539" spans="1:8" x14ac:dyDescent="0.25">
      <c r="A1539" t="s">
        <v>4621</v>
      </c>
      <c r="B1539" t="s">
        <v>4622</v>
      </c>
      <c r="C1539" t="s">
        <v>14</v>
      </c>
      <c r="D1539" s="1">
        <v>34815</v>
      </c>
      <c r="E1539">
        <v>10</v>
      </c>
      <c r="F1539">
        <v>1</v>
      </c>
      <c r="G1539" t="s">
        <v>4623</v>
      </c>
      <c r="H1539">
        <v>10</v>
      </c>
    </row>
    <row r="1540" spans="1:8" x14ac:dyDescent="0.25">
      <c r="A1540" t="s">
        <v>4624</v>
      </c>
      <c r="B1540" t="s">
        <v>4625</v>
      </c>
      <c r="C1540" t="s">
        <v>14</v>
      </c>
      <c r="D1540" s="1">
        <v>42257</v>
      </c>
      <c r="E1540">
        <v>10</v>
      </c>
      <c r="F1540">
        <v>1</v>
      </c>
      <c r="G1540" t="s">
        <v>4626</v>
      </c>
      <c r="H1540">
        <v>10</v>
      </c>
    </row>
    <row r="1541" spans="1:8" x14ac:dyDescent="0.25">
      <c r="A1541" t="s">
        <v>4627</v>
      </c>
      <c r="B1541" t="s">
        <v>4628</v>
      </c>
      <c r="C1541" t="s">
        <v>10</v>
      </c>
      <c r="D1541" s="1">
        <v>36598</v>
      </c>
      <c r="E1541">
        <v>5</v>
      </c>
      <c r="F1541">
        <v>1</v>
      </c>
      <c r="G1541" t="s">
        <v>4629</v>
      </c>
      <c r="H1541">
        <v>5</v>
      </c>
    </row>
    <row r="1542" spans="1:8" x14ac:dyDescent="0.25">
      <c r="A1542" t="s">
        <v>4630</v>
      </c>
      <c r="B1542" t="s">
        <v>4631</v>
      </c>
      <c r="C1542" t="s">
        <v>14</v>
      </c>
      <c r="D1542" s="1">
        <v>43679</v>
      </c>
      <c r="E1542">
        <v>1</v>
      </c>
      <c r="F1542">
        <v>1</v>
      </c>
      <c r="G1542" t="s">
        <v>4632</v>
      </c>
      <c r="H1542">
        <v>1</v>
      </c>
    </row>
    <row r="1543" spans="1:8" x14ac:dyDescent="0.25">
      <c r="A1543" t="s">
        <v>4633</v>
      </c>
      <c r="B1543" t="s">
        <v>4634</v>
      </c>
      <c r="C1543" t="s">
        <v>10</v>
      </c>
      <c r="D1543" s="1">
        <v>35375</v>
      </c>
      <c r="E1543">
        <v>10</v>
      </c>
      <c r="F1543">
        <v>1</v>
      </c>
      <c r="G1543" t="s">
        <v>4635</v>
      </c>
      <c r="H1543">
        <v>10</v>
      </c>
    </row>
    <row r="1544" spans="1:8" x14ac:dyDescent="0.25">
      <c r="A1544" t="s">
        <v>4636</v>
      </c>
      <c r="B1544" t="s">
        <v>4637</v>
      </c>
      <c r="C1544" t="s">
        <v>14</v>
      </c>
      <c r="D1544" s="1">
        <v>34759</v>
      </c>
      <c r="E1544">
        <v>10</v>
      </c>
      <c r="F1544">
        <v>1</v>
      </c>
      <c r="G1544" t="s">
        <v>4638</v>
      </c>
      <c r="H1544">
        <v>10</v>
      </c>
    </row>
    <row r="1545" spans="1:8" x14ac:dyDescent="0.25">
      <c r="A1545" t="s">
        <v>4639</v>
      </c>
      <c r="B1545" t="s">
        <v>4640</v>
      </c>
      <c r="C1545" t="s">
        <v>14</v>
      </c>
      <c r="D1545" s="1">
        <v>42523</v>
      </c>
      <c r="E1545">
        <v>10</v>
      </c>
      <c r="F1545">
        <v>1</v>
      </c>
      <c r="G1545" t="s">
        <v>4641</v>
      </c>
      <c r="H1545">
        <v>10</v>
      </c>
    </row>
    <row r="1546" spans="1:8" x14ac:dyDescent="0.25">
      <c r="A1546" t="s">
        <v>4642</v>
      </c>
      <c r="B1546" t="s">
        <v>4643</v>
      </c>
      <c r="C1546" t="s">
        <v>14</v>
      </c>
      <c r="D1546" s="1">
        <v>35410</v>
      </c>
      <c r="E1546">
        <v>10</v>
      </c>
      <c r="F1546">
        <v>1</v>
      </c>
      <c r="G1546" t="s">
        <v>4644</v>
      </c>
      <c r="H1546">
        <v>10</v>
      </c>
    </row>
    <row r="1547" spans="1:8" x14ac:dyDescent="0.25">
      <c r="A1547" t="s">
        <v>4645</v>
      </c>
      <c r="B1547" t="s">
        <v>4646</v>
      </c>
      <c r="C1547" t="s">
        <v>14</v>
      </c>
      <c r="D1547" s="1">
        <v>44550</v>
      </c>
      <c r="E1547">
        <v>10</v>
      </c>
      <c r="F1547">
        <v>1</v>
      </c>
      <c r="G1547" t="s">
        <v>4647</v>
      </c>
      <c r="H1547">
        <v>10</v>
      </c>
    </row>
    <row r="1548" spans="1:8" x14ac:dyDescent="0.25">
      <c r="A1548" t="s">
        <v>4648</v>
      </c>
      <c r="B1548" t="s">
        <v>4649</v>
      </c>
      <c r="C1548" t="s">
        <v>14</v>
      </c>
      <c r="D1548" s="1">
        <v>42213</v>
      </c>
      <c r="E1548">
        <v>1</v>
      </c>
      <c r="F1548">
        <v>1</v>
      </c>
      <c r="G1548" t="s">
        <v>4650</v>
      </c>
      <c r="H1548">
        <v>1</v>
      </c>
    </row>
    <row r="1549" spans="1:8" x14ac:dyDescent="0.25">
      <c r="A1549" t="s">
        <v>4651</v>
      </c>
      <c r="B1549" t="s">
        <v>4652</v>
      </c>
      <c r="C1549" t="s">
        <v>14</v>
      </c>
      <c r="D1549" s="1">
        <v>44371</v>
      </c>
      <c r="E1549">
        <v>10</v>
      </c>
      <c r="F1549">
        <v>1</v>
      </c>
      <c r="G1549" t="s">
        <v>4653</v>
      </c>
      <c r="H1549">
        <v>10</v>
      </c>
    </row>
    <row r="1550" spans="1:8" x14ac:dyDescent="0.25">
      <c r="A1550" t="s">
        <v>4654</v>
      </c>
      <c r="B1550" t="s">
        <v>4655</v>
      </c>
      <c r="C1550" t="s">
        <v>14</v>
      </c>
      <c r="D1550" s="1">
        <v>39027</v>
      </c>
      <c r="E1550">
        <v>10</v>
      </c>
      <c r="F1550">
        <v>1</v>
      </c>
      <c r="G1550" t="s">
        <v>4656</v>
      </c>
      <c r="H1550">
        <v>10</v>
      </c>
    </row>
    <row r="1551" spans="1:8" x14ac:dyDescent="0.25">
      <c r="A1551" t="s">
        <v>4657</v>
      </c>
      <c r="B1551" t="s">
        <v>4658</v>
      </c>
      <c r="C1551" t="s">
        <v>10</v>
      </c>
      <c r="D1551" s="1">
        <v>45211</v>
      </c>
      <c r="E1551">
        <v>10</v>
      </c>
      <c r="F1551">
        <v>1</v>
      </c>
      <c r="G1551" t="s">
        <v>4659</v>
      </c>
      <c r="H1551">
        <v>10</v>
      </c>
    </row>
    <row r="1552" spans="1:8" x14ac:dyDescent="0.25">
      <c r="A1552" t="s">
        <v>4660</v>
      </c>
      <c r="B1552" t="s">
        <v>4661</v>
      </c>
      <c r="C1552" t="s">
        <v>14</v>
      </c>
      <c r="D1552" s="1">
        <v>34948</v>
      </c>
      <c r="E1552">
        <v>2</v>
      </c>
      <c r="F1552">
        <v>1</v>
      </c>
      <c r="G1552" t="s">
        <v>4662</v>
      </c>
      <c r="H1552">
        <v>2</v>
      </c>
    </row>
    <row r="1553" spans="1:8" x14ac:dyDescent="0.25">
      <c r="A1553" t="s">
        <v>4663</v>
      </c>
      <c r="B1553" t="s">
        <v>4664</v>
      </c>
      <c r="C1553" t="s">
        <v>14</v>
      </c>
      <c r="D1553" s="1">
        <v>44515</v>
      </c>
      <c r="E1553">
        <v>1</v>
      </c>
      <c r="F1553">
        <v>1</v>
      </c>
      <c r="G1553" t="s">
        <v>4665</v>
      </c>
      <c r="H1553">
        <v>1</v>
      </c>
    </row>
    <row r="1554" spans="1:8" x14ac:dyDescent="0.25">
      <c r="A1554" t="s">
        <v>4666</v>
      </c>
      <c r="B1554" t="s">
        <v>4667</v>
      </c>
      <c r="C1554" t="s">
        <v>10</v>
      </c>
      <c r="D1554" s="1">
        <v>43341</v>
      </c>
      <c r="E1554">
        <v>10</v>
      </c>
      <c r="F1554">
        <v>1</v>
      </c>
      <c r="G1554" t="s">
        <v>4668</v>
      </c>
      <c r="H1554">
        <v>10</v>
      </c>
    </row>
    <row r="1555" spans="1:8" x14ac:dyDescent="0.25">
      <c r="A1555" t="s">
        <v>4669</v>
      </c>
      <c r="B1555" t="s">
        <v>4670</v>
      </c>
      <c r="C1555" t="s">
        <v>14</v>
      </c>
      <c r="D1555" s="1">
        <v>45086</v>
      </c>
      <c r="E1555">
        <v>10</v>
      </c>
      <c r="F1555">
        <v>1</v>
      </c>
      <c r="G1555" t="s">
        <v>4671</v>
      </c>
      <c r="H1555">
        <v>10</v>
      </c>
    </row>
    <row r="1556" spans="1:8" x14ac:dyDescent="0.25">
      <c r="A1556" t="s">
        <v>4672</v>
      </c>
      <c r="B1556" t="s">
        <v>4673</v>
      </c>
      <c r="C1556" t="s">
        <v>14</v>
      </c>
      <c r="D1556" s="1">
        <v>45196</v>
      </c>
      <c r="E1556">
        <v>1</v>
      </c>
      <c r="F1556">
        <v>1</v>
      </c>
      <c r="G1556" t="s">
        <v>4674</v>
      </c>
      <c r="H1556">
        <v>1</v>
      </c>
    </row>
    <row r="1557" spans="1:8" x14ac:dyDescent="0.25">
      <c r="A1557" t="s">
        <v>4675</v>
      </c>
      <c r="B1557" t="s">
        <v>4676</v>
      </c>
      <c r="C1557" t="s">
        <v>14</v>
      </c>
      <c r="D1557" s="1">
        <v>44491</v>
      </c>
      <c r="E1557">
        <v>10</v>
      </c>
      <c r="F1557">
        <v>1</v>
      </c>
      <c r="G1557" t="s">
        <v>4677</v>
      </c>
      <c r="H1557">
        <v>10</v>
      </c>
    </row>
    <row r="1558" spans="1:8" x14ac:dyDescent="0.25">
      <c r="A1558" t="s">
        <v>4678</v>
      </c>
      <c r="B1558" t="s">
        <v>4679</v>
      </c>
      <c r="C1558" t="s">
        <v>10</v>
      </c>
      <c r="D1558" s="1">
        <v>38013</v>
      </c>
      <c r="E1558">
        <v>5</v>
      </c>
      <c r="F1558">
        <v>1</v>
      </c>
      <c r="G1558" t="s">
        <v>4680</v>
      </c>
      <c r="H1558">
        <v>5</v>
      </c>
    </row>
    <row r="1559" spans="1:8" x14ac:dyDescent="0.25">
      <c r="A1559" t="s">
        <v>4681</v>
      </c>
      <c r="B1559" t="s">
        <v>4682</v>
      </c>
      <c r="C1559" t="s">
        <v>14</v>
      </c>
      <c r="D1559" s="1">
        <v>44258</v>
      </c>
      <c r="E1559">
        <v>10</v>
      </c>
      <c r="F1559">
        <v>1</v>
      </c>
      <c r="G1559" t="s">
        <v>4683</v>
      </c>
      <c r="H1559">
        <v>10</v>
      </c>
    </row>
    <row r="1560" spans="1:8" x14ac:dyDescent="0.25">
      <c r="A1560" t="s">
        <v>4684</v>
      </c>
      <c r="B1560" t="s">
        <v>4685</v>
      </c>
      <c r="C1560" t="s">
        <v>14</v>
      </c>
      <c r="D1560" s="1">
        <v>35207</v>
      </c>
      <c r="E1560">
        <v>10</v>
      </c>
      <c r="F1560">
        <v>1</v>
      </c>
      <c r="G1560" t="s">
        <v>4686</v>
      </c>
      <c r="H1560">
        <v>10</v>
      </c>
    </row>
    <row r="1561" spans="1:8" x14ac:dyDescent="0.25">
      <c r="A1561" t="s">
        <v>4687</v>
      </c>
      <c r="B1561" t="s">
        <v>4688</v>
      </c>
      <c r="C1561" t="s">
        <v>14</v>
      </c>
      <c r="D1561" s="1">
        <v>44020</v>
      </c>
      <c r="E1561">
        <v>10</v>
      </c>
      <c r="F1561">
        <v>1</v>
      </c>
      <c r="G1561" t="s">
        <v>4689</v>
      </c>
      <c r="H1561">
        <v>10</v>
      </c>
    </row>
    <row r="1562" spans="1:8" x14ac:dyDescent="0.25">
      <c r="A1562" t="s">
        <v>4690</v>
      </c>
      <c r="B1562" t="s">
        <v>4691</v>
      </c>
      <c r="C1562" t="s">
        <v>14</v>
      </c>
      <c r="D1562" s="1">
        <v>44693</v>
      </c>
      <c r="E1562">
        <v>10</v>
      </c>
      <c r="F1562">
        <v>1</v>
      </c>
      <c r="G1562" t="s">
        <v>4692</v>
      </c>
      <c r="H1562">
        <v>10</v>
      </c>
    </row>
    <row r="1563" spans="1:8" x14ac:dyDescent="0.25">
      <c r="A1563" t="s">
        <v>4693</v>
      </c>
      <c r="B1563" t="s">
        <v>4694</v>
      </c>
      <c r="C1563" t="s">
        <v>14</v>
      </c>
      <c r="D1563" s="1">
        <v>42443</v>
      </c>
      <c r="E1563">
        <v>10</v>
      </c>
      <c r="F1563">
        <v>1</v>
      </c>
      <c r="G1563" t="s">
        <v>4695</v>
      </c>
      <c r="H1563">
        <v>10</v>
      </c>
    </row>
    <row r="1564" spans="1:8" x14ac:dyDescent="0.25">
      <c r="A1564" t="s">
        <v>4696</v>
      </c>
      <c r="B1564" t="s">
        <v>4697</v>
      </c>
      <c r="C1564" t="s">
        <v>10</v>
      </c>
      <c r="D1564" s="1">
        <v>38055</v>
      </c>
      <c r="E1564">
        <v>2</v>
      </c>
      <c r="F1564">
        <v>1</v>
      </c>
      <c r="G1564" t="s">
        <v>4698</v>
      </c>
      <c r="H1564">
        <v>2</v>
      </c>
    </row>
    <row r="1565" spans="1:8" x14ac:dyDescent="0.25">
      <c r="A1565" t="s">
        <v>4699</v>
      </c>
      <c r="B1565" t="s">
        <v>4700</v>
      </c>
      <c r="C1565" t="s">
        <v>14</v>
      </c>
      <c r="D1565" s="1">
        <v>45097</v>
      </c>
      <c r="E1565">
        <v>1</v>
      </c>
      <c r="F1565">
        <v>1</v>
      </c>
      <c r="G1565" t="s">
        <v>4701</v>
      </c>
      <c r="H1565">
        <v>1</v>
      </c>
    </row>
    <row r="1566" spans="1:8" x14ac:dyDescent="0.25">
      <c r="A1566" t="s">
        <v>4702</v>
      </c>
      <c r="B1566" t="s">
        <v>4703</v>
      </c>
      <c r="C1566" t="s">
        <v>14</v>
      </c>
      <c r="D1566" s="1">
        <v>44111</v>
      </c>
      <c r="E1566">
        <v>10</v>
      </c>
      <c r="F1566">
        <v>1</v>
      </c>
      <c r="G1566" t="s">
        <v>4704</v>
      </c>
      <c r="H1566">
        <v>10</v>
      </c>
    </row>
    <row r="1567" spans="1:8" x14ac:dyDescent="0.25">
      <c r="A1567" t="s">
        <v>4705</v>
      </c>
      <c r="B1567" t="s">
        <v>4706</v>
      </c>
      <c r="C1567" t="s">
        <v>14</v>
      </c>
      <c r="D1567" s="1">
        <v>43668</v>
      </c>
      <c r="E1567">
        <v>10</v>
      </c>
      <c r="F1567">
        <v>1</v>
      </c>
      <c r="G1567" t="s">
        <v>4707</v>
      </c>
      <c r="H1567">
        <v>10</v>
      </c>
    </row>
    <row r="1568" spans="1:8" x14ac:dyDescent="0.25">
      <c r="A1568" t="s">
        <v>4708</v>
      </c>
      <c r="B1568" t="s">
        <v>4709</v>
      </c>
      <c r="C1568" t="s">
        <v>14</v>
      </c>
      <c r="D1568" s="1">
        <v>42957</v>
      </c>
      <c r="E1568">
        <v>5</v>
      </c>
      <c r="F1568">
        <v>1</v>
      </c>
      <c r="G1568" t="s">
        <v>4710</v>
      </c>
      <c r="H1568">
        <v>5</v>
      </c>
    </row>
    <row r="1569" spans="1:8" x14ac:dyDescent="0.25">
      <c r="A1569" t="s">
        <v>4711</v>
      </c>
      <c r="B1569" t="s">
        <v>4712</v>
      </c>
      <c r="C1569" t="s">
        <v>10</v>
      </c>
      <c r="D1569" s="1">
        <v>39092</v>
      </c>
      <c r="E1569">
        <v>1</v>
      </c>
      <c r="F1569">
        <v>1</v>
      </c>
      <c r="G1569" t="s">
        <v>4713</v>
      </c>
      <c r="H1569">
        <v>1</v>
      </c>
    </row>
    <row r="1570" spans="1:8" x14ac:dyDescent="0.25">
      <c r="A1570" t="s">
        <v>4714</v>
      </c>
      <c r="B1570" t="s">
        <v>4715</v>
      </c>
      <c r="C1570" t="s">
        <v>14</v>
      </c>
      <c r="D1570" s="1">
        <v>39111</v>
      </c>
      <c r="E1570">
        <v>2</v>
      </c>
      <c r="F1570">
        <v>1</v>
      </c>
      <c r="G1570" t="s">
        <v>4716</v>
      </c>
      <c r="H1570">
        <v>2</v>
      </c>
    </row>
    <row r="1571" spans="1:8" x14ac:dyDescent="0.25">
      <c r="A1571" t="s">
        <v>4717</v>
      </c>
      <c r="B1571" t="s">
        <v>4718</v>
      </c>
      <c r="C1571" t="s">
        <v>14</v>
      </c>
      <c r="D1571" s="1">
        <v>44515</v>
      </c>
      <c r="E1571">
        <v>10</v>
      </c>
      <c r="F1571">
        <v>1</v>
      </c>
      <c r="G1571" t="s">
        <v>4719</v>
      </c>
      <c r="H1571">
        <v>10</v>
      </c>
    </row>
    <row r="1572" spans="1:8" x14ac:dyDescent="0.25">
      <c r="A1572" t="s">
        <v>4720</v>
      </c>
      <c r="B1572" t="s">
        <v>4721</v>
      </c>
      <c r="C1572" t="s">
        <v>14</v>
      </c>
      <c r="D1572" s="1">
        <v>40318</v>
      </c>
      <c r="E1572">
        <v>10</v>
      </c>
      <c r="F1572">
        <v>1</v>
      </c>
      <c r="G1572" t="s">
        <v>4722</v>
      </c>
      <c r="H1572">
        <v>10</v>
      </c>
    </row>
    <row r="1573" spans="1:8" x14ac:dyDescent="0.25">
      <c r="A1573" t="s">
        <v>4723</v>
      </c>
      <c r="B1573" t="s">
        <v>4724</v>
      </c>
      <c r="C1573" t="s">
        <v>14</v>
      </c>
      <c r="D1573" s="1">
        <v>36187</v>
      </c>
      <c r="E1573">
        <v>10</v>
      </c>
      <c r="F1573">
        <v>1</v>
      </c>
      <c r="G1573" t="s">
        <v>4725</v>
      </c>
      <c r="H1573">
        <v>10</v>
      </c>
    </row>
    <row r="1574" spans="1:8" x14ac:dyDescent="0.25">
      <c r="A1574" t="s">
        <v>4726</v>
      </c>
      <c r="B1574" t="s">
        <v>4727</v>
      </c>
      <c r="C1574" t="s">
        <v>14</v>
      </c>
      <c r="D1574" s="1">
        <v>42151</v>
      </c>
      <c r="E1574">
        <v>1</v>
      </c>
      <c r="F1574">
        <v>1</v>
      </c>
      <c r="G1574" t="s">
        <v>4728</v>
      </c>
      <c r="H1574">
        <v>1</v>
      </c>
    </row>
    <row r="1575" spans="1:8" x14ac:dyDescent="0.25">
      <c r="A1575" t="s">
        <v>4729</v>
      </c>
      <c r="B1575" t="s">
        <v>4730</v>
      </c>
      <c r="C1575" t="s">
        <v>14</v>
      </c>
      <c r="D1575" s="1">
        <v>35503</v>
      </c>
      <c r="E1575">
        <v>10</v>
      </c>
      <c r="F1575">
        <v>1</v>
      </c>
      <c r="G1575" t="s">
        <v>4731</v>
      </c>
      <c r="H1575">
        <v>10</v>
      </c>
    </row>
    <row r="1576" spans="1:8" x14ac:dyDescent="0.25">
      <c r="A1576" t="s">
        <v>4732</v>
      </c>
      <c r="B1576" t="s">
        <v>4733</v>
      </c>
      <c r="C1576" t="s">
        <v>14</v>
      </c>
      <c r="D1576" s="1">
        <v>44932</v>
      </c>
      <c r="E1576">
        <v>10</v>
      </c>
      <c r="F1576">
        <v>1</v>
      </c>
      <c r="G1576" t="s">
        <v>4734</v>
      </c>
      <c r="H1576">
        <v>10</v>
      </c>
    </row>
    <row r="1577" spans="1:8" x14ac:dyDescent="0.25">
      <c r="A1577" t="s">
        <v>4735</v>
      </c>
      <c r="B1577" t="s">
        <v>4736</v>
      </c>
      <c r="C1577" t="s">
        <v>14</v>
      </c>
      <c r="D1577" s="1">
        <v>36992</v>
      </c>
      <c r="E1577">
        <v>2</v>
      </c>
      <c r="F1577">
        <v>1</v>
      </c>
      <c r="G1577" t="s">
        <v>4737</v>
      </c>
      <c r="H1577">
        <v>2</v>
      </c>
    </row>
    <row r="1578" spans="1:8" x14ac:dyDescent="0.25">
      <c r="A1578" t="s">
        <v>4738</v>
      </c>
      <c r="B1578" t="s">
        <v>4739</v>
      </c>
      <c r="C1578" t="s">
        <v>14</v>
      </c>
      <c r="D1578" s="1">
        <v>44251</v>
      </c>
      <c r="E1578">
        <v>2</v>
      </c>
      <c r="F1578">
        <v>1</v>
      </c>
      <c r="G1578" t="s">
        <v>4740</v>
      </c>
      <c r="H1578">
        <v>2</v>
      </c>
    </row>
    <row r="1579" spans="1:8" x14ac:dyDescent="0.25">
      <c r="A1579" t="s">
        <v>4741</v>
      </c>
      <c r="B1579" t="s">
        <v>4742</v>
      </c>
      <c r="C1579" t="s">
        <v>14</v>
      </c>
      <c r="D1579" s="1">
        <v>37862</v>
      </c>
      <c r="E1579">
        <v>10</v>
      </c>
      <c r="F1579">
        <v>1</v>
      </c>
      <c r="G1579" t="s">
        <v>4743</v>
      </c>
      <c r="H1579">
        <v>10</v>
      </c>
    </row>
    <row r="1580" spans="1:8" x14ac:dyDescent="0.25">
      <c r="A1580" t="s">
        <v>4744</v>
      </c>
      <c r="B1580" t="s">
        <v>4745</v>
      </c>
      <c r="C1580" t="s">
        <v>14</v>
      </c>
      <c r="D1580" s="1">
        <v>44525</v>
      </c>
      <c r="E1580">
        <v>10</v>
      </c>
      <c r="F1580">
        <v>1</v>
      </c>
      <c r="G1580" t="s">
        <v>4746</v>
      </c>
      <c r="H1580">
        <v>10</v>
      </c>
    </row>
    <row r="1581" spans="1:8" x14ac:dyDescent="0.25">
      <c r="A1581" t="s">
        <v>4747</v>
      </c>
      <c r="B1581" t="s">
        <v>4748</v>
      </c>
      <c r="C1581" t="s">
        <v>14</v>
      </c>
      <c r="D1581" s="1">
        <v>42964</v>
      </c>
      <c r="E1581">
        <v>10</v>
      </c>
      <c r="F1581">
        <v>1</v>
      </c>
      <c r="G1581" t="s">
        <v>4749</v>
      </c>
      <c r="H1581">
        <v>10</v>
      </c>
    </row>
    <row r="1582" spans="1:8" x14ac:dyDescent="0.25">
      <c r="A1582" t="s">
        <v>4750</v>
      </c>
      <c r="B1582" t="s">
        <v>4751</v>
      </c>
      <c r="C1582" t="s">
        <v>14</v>
      </c>
      <c r="D1582" s="1">
        <v>39141</v>
      </c>
      <c r="E1582">
        <v>1</v>
      </c>
      <c r="F1582">
        <v>1</v>
      </c>
      <c r="G1582" t="s">
        <v>4752</v>
      </c>
      <c r="H1582">
        <v>1</v>
      </c>
    </row>
    <row r="1583" spans="1:8" x14ac:dyDescent="0.25">
      <c r="A1583" t="s">
        <v>4753</v>
      </c>
      <c r="B1583" t="s">
        <v>4754</v>
      </c>
      <c r="C1583" t="s">
        <v>14</v>
      </c>
      <c r="D1583" s="1">
        <v>41894</v>
      </c>
      <c r="E1583">
        <v>10</v>
      </c>
      <c r="F1583">
        <v>1</v>
      </c>
      <c r="G1583" t="s">
        <v>4755</v>
      </c>
      <c r="H1583">
        <v>10</v>
      </c>
    </row>
    <row r="1584" spans="1:8" x14ac:dyDescent="0.25">
      <c r="A1584" t="s">
        <v>4756</v>
      </c>
      <c r="B1584" t="s">
        <v>4757</v>
      </c>
      <c r="C1584" t="s">
        <v>14</v>
      </c>
      <c r="D1584" s="1">
        <v>39071</v>
      </c>
      <c r="E1584">
        <v>10</v>
      </c>
      <c r="F1584">
        <v>1</v>
      </c>
      <c r="G1584" t="s">
        <v>4758</v>
      </c>
      <c r="H1584">
        <v>10</v>
      </c>
    </row>
    <row r="1585" spans="1:8" x14ac:dyDescent="0.25">
      <c r="A1585" t="s">
        <v>4759</v>
      </c>
      <c r="B1585" t="s">
        <v>4760</v>
      </c>
      <c r="C1585" t="s">
        <v>10</v>
      </c>
      <c r="D1585" s="1">
        <v>44617</v>
      </c>
      <c r="E1585">
        <v>10</v>
      </c>
      <c r="F1585">
        <v>1</v>
      </c>
      <c r="G1585" t="s">
        <v>4761</v>
      </c>
      <c r="H1585">
        <v>10</v>
      </c>
    </row>
    <row r="1586" spans="1:8" x14ac:dyDescent="0.25">
      <c r="A1586" t="s">
        <v>4762</v>
      </c>
      <c r="B1586" t="s">
        <v>4763</v>
      </c>
      <c r="C1586" t="s">
        <v>14</v>
      </c>
      <c r="D1586" s="1">
        <v>43278</v>
      </c>
      <c r="E1586">
        <v>10</v>
      </c>
      <c r="F1586">
        <v>1</v>
      </c>
      <c r="G1586" t="s">
        <v>4764</v>
      </c>
      <c r="H1586">
        <v>10</v>
      </c>
    </row>
    <row r="1587" spans="1:8" x14ac:dyDescent="0.25">
      <c r="A1587" t="s">
        <v>4765</v>
      </c>
      <c r="B1587" t="s">
        <v>4766</v>
      </c>
      <c r="C1587" t="s">
        <v>14</v>
      </c>
      <c r="D1587" s="1">
        <v>38810</v>
      </c>
      <c r="E1587">
        <v>2</v>
      </c>
      <c r="F1587">
        <v>1</v>
      </c>
      <c r="G1587" t="s">
        <v>4767</v>
      </c>
      <c r="H1587">
        <v>2</v>
      </c>
    </row>
    <row r="1588" spans="1:8" x14ac:dyDescent="0.25">
      <c r="A1588" t="s">
        <v>4768</v>
      </c>
      <c r="B1588" t="s">
        <v>4769</v>
      </c>
      <c r="C1588" t="s">
        <v>14</v>
      </c>
      <c r="D1588" s="1">
        <v>35025</v>
      </c>
      <c r="E1588">
        <v>2</v>
      </c>
      <c r="F1588">
        <v>1</v>
      </c>
      <c r="G1588" t="s">
        <v>4770</v>
      </c>
      <c r="H1588">
        <v>2</v>
      </c>
    </row>
    <row r="1589" spans="1:8" x14ac:dyDescent="0.25">
      <c r="A1589" t="s">
        <v>4771</v>
      </c>
      <c r="B1589" t="s">
        <v>4772</v>
      </c>
      <c r="C1589" t="s">
        <v>10</v>
      </c>
      <c r="D1589" s="1">
        <v>35291</v>
      </c>
      <c r="E1589">
        <v>10</v>
      </c>
      <c r="F1589">
        <v>1</v>
      </c>
      <c r="G1589" t="s">
        <v>4773</v>
      </c>
      <c r="H1589">
        <v>10</v>
      </c>
    </row>
    <row r="1590" spans="1:8" x14ac:dyDescent="0.25">
      <c r="A1590" t="s">
        <v>4774</v>
      </c>
      <c r="B1590" t="s">
        <v>4775</v>
      </c>
      <c r="C1590" t="s">
        <v>10</v>
      </c>
      <c r="D1590" s="1">
        <v>42569</v>
      </c>
      <c r="E1590">
        <v>10</v>
      </c>
      <c r="F1590">
        <v>1</v>
      </c>
      <c r="G1590" t="s">
        <v>4776</v>
      </c>
      <c r="H1590">
        <v>10</v>
      </c>
    </row>
    <row r="1591" spans="1:8" x14ac:dyDescent="0.25">
      <c r="A1591" t="s">
        <v>4777</v>
      </c>
      <c r="B1591" t="s">
        <v>4778</v>
      </c>
      <c r="C1591" t="s">
        <v>14</v>
      </c>
      <c r="D1591" s="1">
        <v>44371</v>
      </c>
      <c r="E1591">
        <v>10</v>
      </c>
      <c r="F1591">
        <v>1</v>
      </c>
      <c r="G1591" t="s">
        <v>4779</v>
      </c>
      <c r="H1591">
        <v>10</v>
      </c>
    </row>
    <row r="1592" spans="1:8" x14ac:dyDescent="0.25">
      <c r="A1592" t="s">
        <v>4780</v>
      </c>
      <c r="B1592" t="s">
        <v>4781</v>
      </c>
      <c r="C1592" t="s">
        <v>10</v>
      </c>
      <c r="D1592" s="1">
        <v>44658</v>
      </c>
      <c r="E1592">
        <v>10</v>
      </c>
      <c r="F1592">
        <v>1</v>
      </c>
      <c r="G1592" t="s">
        <v>4782</v>
      </c>
      <c r="H1592">
        <v>10</v>
      </c>
    </row>
    <row r="1593" spans="1:8" x14ac:dyDescent="0.25">
      <c r="A1593" t="s">
        <v>4783</v>
      </c>
      <c r="B1593" t="s">
        <v>4784</v>
      </c>
      <c r="C1593" t="s">
        <v>14</v>
      </c>
      <c r="D1593" s="1">
        <v>36369</v>
      </c>
      <c r="E1593">
        <v>1</v>
      </c>
      <c r="F1593">
        <v>1</v>
      </c>
      <c r="G1593" t="s">
        <v>4785</v>
      </c>
      <c r="H1593">
        <v>1</v>
      </c>
    </row>
    <row r="1594" spans="1:8" x14ac:dyDescent="0.25">
      <c r="A1594" t="s">
        <v>4786</v>
      </c>
      <c r="B1594" t="s">
        <v>4787</v>
      </c>
      <c r="C1594" t="s">
        <v>14</v>
      </c>
      <c r="D1594" s="1">
        <v>34878</v>
      </c>
      <c r="E1594">
        <v>2</v>
      </c>
      <c r="F1594">
        <v>1</v>
      </c>
      <c r="G1594" t="s">
        <v>4788</v>
      </c>
      <c r="H1594">
        <v>2</v>
      </c>
    </row>
    <row r="1595" spans="1:8" x14ac:dyDescent="0.25">
      <c r="A1595" t="s">
        <v>4789</v>
      </c>
      <c r="B1595" t="s">
        <v>4790</v>
      </c>
      <c r="C1595" t="s">
        <v>14</v>
      </c>
      <c r="D1595" s="1">
        <v>36137</v>
      </c>
      <c r="E1595">
        <v>1</v>
      </c>
      <c r="F1595">
        <v>1</v>
      </c>
      <c r="G1595" t="s">
        <v>4791</v>
      </c>
      <c r="H1595">
        <v>1</v>
      </c>
    </row>
    <row r="1596" spans="1:8" x14ac:dyDescent="0.25">
      <c r="A1596" t="s">
        <v>4792</v>
      </c>
      <c r="B1596" t="s">
        <v>4793</v>
      </c>
      <c r="C1596" t="s">
        <v>10</v>
      </c>
      <c r="D1596" s="1">
        <v>43573</v>
      </c>
      <c r="E1596">
        <v>10</v>
      </c>
      <c r="F1596">
        <v>1</v>
      </c>
      <c r="G1596" t="s">
        <v>4794</v>
      </c>
      <c r="H1596">
        <v>10</v>
      </c>
    </row>
    <row r="1597" spans="1:8" x14ac:dyDescent="0.25">
      <c r="A1597" t="s">
        <v>4795</v>
      </c>
      <c r="B1597" t="s">
        <v>4796</v>
      </c>
      <c r="C1597" t="s">
        <v>14</v>
      </c>
      <c r="D1597" s="1">
        <v>42594</v>
      </c>
      <c r="E1597">
        <v>10</v>
      </c>
      <c r="F1597">
        <v>1</v>
      </c>
      <c r="G1597" t="s">
        <v>4797</v>
      </c>
      <c r="H1597">
        <v>10</v>
      </c>
    </row>
    <row r="1598" spans="1:8" x14ac:dyDescent="0.25">
      <c r="A1598" t="s">
        <v>4798</v>
      </c>
      <c r="B1598" t="s">
        <v>4799</v>
      </c>
      <c r="C1598" t="s">
        <v>14</v>
      </c>
      <c r="D1598" s="1">
        <v>43696</v>
      </c>
      <c r="E1598">
        <v>10</v>
      </c>
      <c r="F1598">
        <v>1</v>
      </c>
      <c r="G1598" t="s">
        <v>4800</v>
      </c>
      <c r="H1598">
        <v>10</v>
      </c>
    </row>
    <row r="1599" spans="1:8" x14ac:dyDescent="0.25">
      <c r="A1599" t="s">
        <v>4801</v>
      </c>
      <c r="B1599" t="s">
        <v>4802</v>
      </c>
      <c r="C1599" t="s">
        <v>14</v>
      </c>
      <c r="D1599" s="1">
        <v>39281</v>
      </c>
      <c r="E1599">
        <v>1</v>
      </c>
      <c r="F1599">
        <v>1</v>
      </c>
      <c r="G1599" t="s">
        <v>4803</v>
      </c>
      <c r="H1599">
        <v>1</v>
      </c>
    </row>
    <row r="1600" spans="1:8" x14ac:dyDescent="0.25">
      <c r="A1600" t="s">
        <v>4804</v>
      </c>
      <c r="B1600" t="s">
        <v>4805</v>
      </c>
      <c r="C1600" t="s">
        <v>14</v>
      </c>
      <c r="D1600" s="1">
        <v>42745</v>
      </c>
      <c r="E1600">
        <v>1</v>
      </c>
      <c r="F1600">
        <v>1</v>
      </c>
      <c r="G1600" t="s">
        <v>4806</v>
      </c>
      <c r="H1600">
        <v>1</v>
      </c>
    </row>
    <row r="1601" spans="1:8" x14ac:dyDescent="0.25">
      <c r="A1601" t="s">
        <v>4807</v>
      </c>
      <c r="B1601" t="s">
        <v>4808</v>
      </c>
      <c r="C1601" t="s">
        <v>14</v>
      </c>
      <c r="D1601" s="1">
        <v>41059</v>
      </c>
      <c r="E1601">
        <v>10</v>
      </c>
      <c r="F1601">
        <v>1</v>
      </c>
      <c r="G1601" t="s">
        <v>4809</v>
      </c>
      <c r="H1601">
        <v>10</v>
      </c>
    </row>
    <row r="1602" spans="1:8" x14ac:dyDescent="0.25">
      <c r="A1602" t="s">
        <v>4810</v>
      </c>
      <c r="B1602" t="s">
        <v>4811</v>
      </c>
      <c r="C1602" t="s">
        <v>14</v>
      </c>
      <c r="D1602" s="1">
        <v>43490</v>
      </c>
      <c r="E1602">
        <v>5</v>
      </c>
      <c r="F1602">
        <v>1</v>
      </c>
      <c r="G1602" t="s">
        <v>4812</v>
      </c>
      <c r="H1602">
        <v>5</v>
      </c>
    </row>
    <row r="1603" spans="1:8" x14ac:dyDescent="0.25">
      <c r="A1603" t="s">
        <v>4813</v>
      </c>
      <c r="B1603" t="s">
        <v>4814</v>
      </c>
      <c r="C1603" t="s">
        <v>786</v>
      </c>
      <c r="D1603" s="1">
        <v>39071</v>
      </c>
      <c r="E1603">
        <v>10</v>
      </c>
      <c r="F1603">
        <v>1</v>
      </c>
      <c r="G1603" t="s">
        <v>4815</v>
      </c>
      <c r="H1603">
        <v>10</v>
      </c>
    </row>
    <row r="1604" spans="1:8" x14ac:dyDescent="0.25">
      <c r="A1604" t="s">
        <v>4816</v>
      </c>
      <c r="B1604" t="s">
        <v>4817</v>
      </c>
      <c r="C1604" t="s">
        <v>14</v>
      </c>
      <c r="D1604" s="1">
        <v>35074</v>
      </c>
      <c r="E1604">
        <v>10</v>
      </c>
      <c r="F1604">
        <v>1</v>
      </c>
      <c r="G1604" t="s">
        <v>4818</v>
      </c>
      <c r="H1604">
        <v>10</v>
      </c>
    </row>
    <row r="1605" spans="1:8" x14ac:dyDescent="0.25">
      <c r="A1605" t="s">
        <v>4819</v>
      </c>
      <c r="B1605" t="s">
        <v>4820</v>
      </c>
      <c r="C1605" t="s">
        <v>14</v>
      </c>
      <c r="D1605" s="1">
        <v>38559</v>
      </c>
      <c r="E1605">
        <v>10</v>
      </c>
      <c r="F1605">
        <v>1</v>
      </c>
      <c r="G1605" t="s">
        <v>4821</v>
      </c>
      <c r="H1605">
        <v>10</v>
      </c>
    </row>
    <row r="1606" spans="1:8" x14ac:dyDescent="0.25">
      <c r="A1606" t="s">
        <v>4822</v>
      </c>
      <c r="B1606" t="s">
        <v>4823</v>
      </c>
      <c r="C1606" t="s">
        <v>14</v>
      </c>
      <c r="D1606" s="1">
        <v>44705</v>
      </c>
      <c r="E1606">
        <v>2</v>
      </c>
      <c r="F1606">
        <v>1</v>
      </c>
      <c r="G1606" t="s">
        <v>4824</v>
      </c>
      <c r="H1606">
        <v>2</v>
      </c>
    </row>
    <row r="1607" spans="1:8" x14ac:dyDescent="0.25">
      <c r="A1607" t="s">
        <v>4825</v>
      </c>
      <c r="B1607" t="s">
        <v>4826</v>
      </c>
      <c r="C1607" t="s">
        <v>10</v>
      </c>
      <c r="D1607" s="1">
        <v>35109</v>
      </c>
      <c r="E1607">
        <v>2</v>
      </c>
      <c r="F1607">
        <v>1</v>
      </c>
      <c r="G1607" t="s">
        <v>4827</v>
      </c>
      <c r="H1607">
        <v>2</v>
      </c>
    </row>
    <row r="1608" spans="1:8" x14ac:dyDescent="0.25">
      <c r="A1608" t="s">
        <v>4828</v>
      </c>
      <c r="B1608" t="s">
        <v>4829</v>
      </c>
      <c r="C1608" t="s">
        <v>14</v>
      </c>
      <c r="D1608" s="1">
        <v>44797</v>
      </c>
      <c r="E1608">
        <v>10</v>
      </c>
      <c r="F1608">
        <v>1</v>
      </c>
      <c r="G1608" t="s">
        <v>4830</v>
      </c>
      <c r="H1608">
        <v>10</v>
      </c>
    </row>
    <row r="1609" spans="1:8" x14ac:dyDescent="0.25">
      <c r="A1609" t="s">
        <v>4831</v>
      </c>
      <c r="B1609" t="s">
        <v>4832</v>
      </c>
      <c r="C1609" t="s">
        <v>14</v>
      </c>
      <c r="D1609" s="1">
        <v>40555</v>
      </c>
      <c r="E1609">
        <v>1</v>
      </c>
      <c r="F1609">
        <v>1</v>
      </c>
      <c r="G1609" t="s">
        <v>4833</v>
      </c>
      <c r="H1609">
        <v>1</v>
      </c>
    </row>
    <row r="1610" spans="1:8" x14ac:dyDescent="0.25">
      <c r="A1610" t="s">
        <v>4834</v>
      </c>
      <c r="B1610" t="s">
        <v>4835</v>
      </c>
      <c r="C1610" t="s">
        <v>14</v>
      </c>
      <c r="D1610" s="1">
        <v>41640</v>
      </c>
      <c r="E1610">
        <v>10</v>
      </c>
      <c r="F1610">
        <v>1</v>
      </c>
      <c r="G1610" t="s">
        <v>4836</v>
      </c>
      <c r="H1610">
        <v>10</v>
      </c>
    </row>
    <row r="1611" spans="1:8" x14ac:dyDescent="0.25">
      <c r="A1611" t="s">
        <v>4837</v>
      </c>
      <c r="B1611" t="s">
        <v>4838</v>
      </c>
      <c r="C1611" t="s">
        <v>14</v>
      </c>
      <c r="D1611" s="1">
        <v>37851</v>
      </c>
      <c r="E1611">
        <v>10</v>
      </c>
      <c r="F1611">
        <v>1</v>
      </c>
      <c r="G1611" t="s">
        <v>4839</v>
      </c>
      <c r="H1611">
        <v>10</v>
      </c>
    </row>
    <row r="1612" spans="1:8" x14ac:dyDescent="0.25">
      <c r="A1612" t="s">
        <v>4840</v>
      </c>
      <c r="B1612" t="s">
        <v>4841</v>
      </c>
      <c r="C1612" t="s">
        <v>14</v>
      </c>
      <c r="D1612" s="1">
        <v>45159</v>
      </c>
      <c r="E1612">
        <v>10</v>
      </c>
      <c r="F1612">
        <v>1</v>
      </c>
      <c r="G1612" t="s">
        <v>4842</v>
      </c>
      <c r="H1612">
        <v>10</v>
      </c>
    </row>
    <row r="1613" spans="1:8" x14ac:dyDescent="0.25">
      <c r="A1613" t="s">
        <v>4843</v>
      </c>
      <c r="B1613" t="s">
        <v>4844</v>
      </c>
      <c r="C1613" t="s">
        <v>14</v>
      </c>
      <c r="D1613" s="1">
        <v>39210</v>
      </c>
      <c r="E1613">
        <v>10</v>
      </c>
      <c r="F1613">
        <v>1</v>
      </c>
      <c r="G1613" t="s">
        <v>4845</v>
      </c>
      <c r="H1613">
        <v>10</v>
      </c>
    </row>
    <row r="1614" spans="1:8" x14ac:dyDescent="0.25">
      <c r="A1614" t="s">
        <v>4846</v>
      </c>
      <c r="B1614" t="s">
        <v>4847</v>
      </c>
      <c r="C1614" t="s">
        <v>10</v>
      </c>
      <c r="D1614" s="1">
        <v>44097</v>
      </c>
      <c r="E1614">
        <v>1</v>
      </c>
      <c r="F1614">
        <v>1</v>
      </c>
      <c r="G1614" t="s">
        <v>4848</v>
      </c>
      <c r="H1614">
        <v>1</v>
      </c>
    </row>
    <row r="1615" spans="1:8" x14ac:dyDescent="0.25">
      <c r="A1615" t="s">
        <v>4849</v>
      </c>
      <c r="B1615" t="s">
        <v>4850</v>
      </c>
      <c r="C1615" t="s">
        <v>14</v>
      </c>
      <c r="D1615" s="1">
        <v>38509</v>
      </c>
      <c r="E1615">
        <v>1</v>
      </c>
      <c r="F1615">
        <v>1</v>
      </c>
      <c r="G1615" t="s">
        <v>4851</v>
      </c>
      <c r="H1615">
        <v>1</v>
      </c>
    </row>
    <row r="1616" spans="1:8" x14ac:dyDescent="0.25">
      <c r="A1616" t="s">
        <v>4852</v>
      </c>
      <c r="B1616" t="s">
        <v>4853</v>
      </c>
      <c r="C1616" t="s">
        <v>14</v>
      </c>
      <c r="D1616" s="1">
        <v>36558</v>
      </c>
      <c r="E1616">
        <v>10</v>
      </c>
      <c r="F1616">
        <v>1</v>
      </c>
      <c r="G1616" t="s">
        <v>4854</v>
      </c>
      <c r="H1616">
        <v>10</v>
      </c>
    </row>
    <row r="1617" spans="1:8" x14ac:dyDescent="0.25">
      <c r="A1617" t="s">
        <v>4855</v>
      </c>
      <c r="B1617" t="s">
        <v>4856</v>
      </c>
      <c r="C1617" t="s">
        <v>14</v>
      </c>
      <c r="D1617" s="1">
        <v>42902</v>
      </c>
      <c r="E1617">
        <v>1</v>
      </c>
      <c r="F1617">
        <v>1</v>
      </c>
      <c r="G1617" t="s">
        <v>4857</v>
      </c>
      <c r="H1617">
        <v>1</v>
      </c>
    </row>
    <row r="1618" spans="1:8" x14ac:dyDescent="0.25">
      <c r="A1618" t="s">
        <v>4858</v>
      </c>
      <c r="B1618" t="s">
        <v>4859</v>
      </c>
      <c r="C1618" t="s">
        <v>14</v>
      </c>
      <c r="D1618" s="1">
        <v>44540</v>
      </c>
      <c r="E1618">
        <v>10</v>
      </c>
      <c r="F1618">
        <v>1</v>
      </c>
      <c r="G1618" t="s">
        <v>4860</v>
      </c>
      <c r="H1618">
        <v>10</v>
      </c>
    </row>
    <row r="1619" spans="1:8" x14ac:dyDescent="0.25">
      <c r="A1619" t="s">
        <v>4861</v>
      </c>
      <c r="B1619" t="s">
        <v>4862</v>
      </c>
      <c r="C1619" t="s">
        <v>14</v>
      </c>
      <c r="D1619" s="1">
        <v>34955</v>
      </c>
      <c r="E1619">
        <v>10</v>
      </c>
      <c r="F1619">
        <v>1</v>
      </c>
      <c r="G1619" t="s">
        <v>4863</v>
      </c>
      <c r="H1619">
        <v>10</v>
      </c>
    </row>
    <row r="1620" spans="1:8" x14ac:dyDescent="0.25">
      <c r="A1620" t="s">
        <v>4864</v>
      </c>
      <c r="B1620" t="s">
        <v>4865</v>
      </c>
      <c r="C1620" t="s">
        <v>14</v>
      </c>
      <c r="D1620" s="1">
        <v>44685</v>
      </c>
      <c r="E1620">
        <v>10</v>
      </c>
      <c r="F1620">
        <v>1</v>
      </c>
      <c r="G1620" t="s">
        <v>4866</v>
      </c>
      <c r="H1620">
        <v>10</v>
      </c>
    </row>
    <row r="1621" spans="1:8" x14ac:dyDescent="0.25">
      <c r="A1621" t="s">
        <v>4867</v>
      </c>
      <c r="B1621" t="s">
        <v>4868</v>
      </c>
      <c r="C1621" t="s">
        <v>14</v>
      </c>
      <c r="D1621" s="1">
        <v>37712</v>
      </c>
      <c r="E1621">
        <v>10</v>
      </c>
      <c r="F1621">
        <v>1</v>
      </c>
      <c r="G1621" t="s">
        <v>4869</v>
      </c>
      <c r="H1621">
        <v>10</v>
      </c>
    </row>
    <row r="1622" spans="1:8" x14ac:dyDescent="0.25">
      <c r="A1622" t="s">
        <v>4870</v>
      </c>
      <c r="B1622" t="s">
        <v>4871</v>
      </c>
      <c r="C1622" t="s">
        <v>14</v>
      </c>
      <c r="D1622" s="1">
        <v>44523</v>
      </c>
      <c r="E1622">
        <v>5</v>
      </c>
      <c r="F1622">
        <v>1</v>
      </c>
      <c r="G1622" t="s">
        <v>4872</v>
      </c>
      <c r="H1622">
        <v>5</v>
      </c>
    </row>
    <row r="1623" spans="1:8" x14ac:dyDescent="0.25">
      <c r="A1623" t="s">
        <v>4873</v>
      </c>
      <c r="B1623" t="s">
        <v>4874</v>
      </c>
      <c r="C1623" t="s">
        <v>14</v>
      </c>
      <c r="D1623" s="1">
        <v>43643</v>
      </c>
      <c r="E1623">
        <v>10</v>
      </c>
      <c r="F1623">
        <v>1</v>
      </c>
      <c r="G1623" t="s">
        <v>4875</v>
      </c>
      <c r="H1623">
        <v>10</v>
      </c>
    </row>
    <row r="1624" spans="1:8" x14ac:dyDescent="0.25">
      <c r="A1624" t="s">
        <v>4876</v>
      </c>
      <c r="B1624" t="s">
        <v>4877</v>
      </c>
      <c r="C1624" t="s">
        <v>14</v>
      </c>
      <c r="D1624" s="1">
        <v>42936</v>
      </c>
      <c r="E1624">
        <v>1</v>
      </c>
      <c r="F1624">
        <v>1</v>
      </c>
      <c r="G1624" t="s">
        <v>4878</v>
      </c>
      <c r="H1624">
        <v>1</v>
      </c>
    </row>
    <row r="1625" spans="1:8" x14ac:dyDescent="0.25">
      <c r="A1625" t="s">
        <v>4879</v>
      </c>
      <c r="B1625" t="s">
        <v>4880</v>
      </c>
      <c r="C1625" t="s">
        <v>14</v>
      </c>
      <c r="D1625" s="1">
        <v>40583</v>
      </c>
      <c r="E1625">
        <v>10</v>
      </c>
      <c r="F1625">
        <v>1</v>
      </c>
      <c r="G1625" t="s">
        <v>4881</v>
      </c>
      <c r="H1625">
        <v>10</v>
      </c>
    </row>
    <row r="1626" spans="1:8" x14ac:dyDescent="0.25">
      <c r="A1626" t="s">
        <v>4882</v>
      </c>
      <c r="B1626" t="s">
        <v>4883</v>
      </c>
      <c r="C1626" t="s">
        <v>14</v>
      </c>
      <c r="D1626" s="1">
        <v>38750</v>
      </c>
      <c r="E1626">
        <v>2</v>
      </c>
      <c r="F1626">
        <v>1</v>
      </c>
      <c r="G1626" t="s">
        <v>4884</v>
      </c>
      <c r="H1626">
        <v>2</v>
      </c>
    </row>
    <row r="1627" spans="1:8" x14ac:dyDescent="0.25">
      <c r="A1627" t="s">
        <v>4885</v>
      </c>
      <c r="B1627" t="s">
        <v>4886</v>
      </c>
      <c r="C1627" t="s">
        <v>14</v>
      </c>
      <c r="D1627" s="1">
        <v>36868</v>
      </c>
      <c r="E1627">
        <v>2</v>
      </c>
      <c r="F1627">
        <v>1</v>
      </c>
      <c r="G1627" t="s">
        <v>4887</v>
      </c>
      <c r="H1627">
        <v>2</v>
      </c>
    </row>
    <row r="1628" spans="1:8" x14ac:dyDescent="0.25">
      <c r="A1628" t="s">
        <v>4888</v>
      </c>
      <c r="B1628" t="s">
        <v>4889</v>
      </c>
      <c r="C1628" t="s">
        <v>14</v>
      </c>
      <c r="D1628" s="1">
        <v>44232</v>
      </c>
      <c r="E1628">
        <v>10</v>
      </c>
      <c r="F1628">
        <v>1</v>
      </c>
      <c r="G1628" t="s">
        <v>4890</v>
      </c>
      <c r="H1628">
        <v>10</v>
      </c>
    </row>
    <row r="1629" spans="1:8" x14ac:dyDescent="0.25">
      <c r="A1629" t="s">
        <v>4891</v>
      </c>
      <c r="B1629" t="s">
        <v>4892</v>
      </c>
      <c r="C1629" t="s">
        <v>14</v>
      </c>
      <c r="D1629" s="1">
        <v>44410</v>
      </c>
      <c r="E1629">
        <v>5</v>
      </c>
      <c r="F1629">
        <v>1</v>
      </c>
      <c r="G1629" t="s">
        <v>4893</v>
      </c>
      <c r="H1629">
        <v>5</v>
      </c>
    </row>
    <row r="1630" spans="1:8" x14ac:dyDescent="0.25">
      <c r="A1630" t="s">
        <v>4894</v>
      </c>
      <c r="B1630" t="s">
        <v>4895</v>
      </c>
      <c r="C1630" t="s">
        <v>14</v>
      </c>
      <c r="D1630" s="1">
        <v>34787</v>
      </c>
      <c r="E1630">
        <v>10</v>
      </c>
      <c r="F1630">
        <v>1</v>
      </c>
      <c r="G1630" t="s">
        <v>4896</v>
      </c>
      <c r="H1630">
        <v>10</v>
      </c>
    </row>
    <row r="1631" spans="1:8" x14ac:dyDescent="0.25">
      <c r="A1631" t="s">
        <v>4897</v>
      </c>
      <c r="B1631" t="s">
        <v>4898</v>
      </c>
      <c r="C1631" t="s">
        <v>14</v>
      </c>
      <c r="D1631" s="1">
        <v>44140</v>
      </c>
      <c r="E1631">
        <v>5</v>
      </c>
      <c r="F1631">
        <v>1</v>
      </c>
      <c r="G1631" t="s">
        <v>4899</v>
      </c>
      <c r="H1631">
        <v>5</v>
      </c>
    </row>
    <row r="1632" spans="1:8" x14ac:dyDescent="0.25">
      <c r="A1632" t="s">
        <v>4900</v>
      </c>
      <c r="B1632" t="s">
        <v>4901</v>
      </c>
      <c r="C1632" t="s">
        <v>14</v>
      </c>
      <c r="D1632" s="1">
        <v>38546</v>
      </c>
      <c r="E1632">
        <v>2</v>
      </c>
      <c r="F1632">
        <v>1</v>
      </c>
      <c r="G1632" t="s">
        <v>4902</v>
      </c>
      <c r="H1632">
        <v>2</v>
      </c>
    </row>
    <row r="1633" spans="1:8" x14ac:dyDescent="0.25">
      <c r="A1633" t="s">
        <v>4903</v>
      </c>
      <c r="B1633" t="s">
        <v>4904</v>
      </c>
      <c r="C1633" t="s">
        <v>14</v>
      </c>
      <c r="D1633" s="1">
        <v>34844</v>
      </c>
      <c r="E1633">
        <v>2</v>
      </c>
      <c r="F1633">
        <v>1</v>
      </c>
      <c r="G1633" t="s">
        <v>4905</v>
      </c>
      <c r="H1633">
        <v>2</v>
      </c>
    </row>
    <row r="1634" spans="1:8" x14ac:dyDescent="0.25">
      <c r="A1634" t="s">
        <v>4906</v>
      </c>
      <c r="B1634" t="s">
        <v>4907</v>
      </c>
      <c r="C1634" t="s">
        <v>14</v>
      </c>
      <c r="D1634" s="1">
        <v>44872</v>
      </c>
      <c r="E1634">
        <v>10</v>
      </c>
      <c r="F1634">
        <v>1</v>
      </c>
      <c r="G1634" t="s">
        <v>4908</v>
      </c>
      <c r="H1634">
        <v>10</v>
      </c>
    </row>
    <row r="1635" spans="1:8" x14ac:dyDescent="0.25">
      <c r="A1635" t="s">
        <v>4909</v>
      </c>
      <c r="B1635" t="s">
        <v>4910</v>
      </c>
      <c r="C1635" t="s">
        <v>14</v>
      </c>
      <c r="D1635" s="1">
        <v>44917</v>
      </c>
      <c r="E1635">
        <v>2</v>
      </c>
      <c r="F1635">
        <v>1</v>
      </c>
      <c r="G1635" t="s">
        <v>4911</v>
      </c>
      <c r="H1635">
        <v>2</v>
      </c>
    </row>
    <row r="1636" spans="1:8" x14ac:dyDescent="0.25">
      <c r="A1636" t="s">
        <v>4912</v>
      </c>
      <c r="B1636" t="s">
        <v>4913</v>
      </c>
      <c r="C1636" t="s">
        <v>10</v>
      </c>
      <c r="D1636" s="1">
        <v>40522</v>
      </c>
      <c r="E1636">
        <v>10</v>
      </c>
      <c r="F1636">
        <v>1</v>
      </c>
      <c r="G1636" t="s">
        <v>4914</v>
      </c>
      <c r="H1636">
        <v>10</v>
      </c>
    </row>
    <row r="1637" spans="1:8" x14ac:dyDescent="0.25">
      <c r="A1637" t="s">
        <v>4915</v>
      </c>
      <c r="B1637" t="s">
        <v>4916</v>
      </c>
      <c r="C1637" t="s">
        <v>14</v>
      </c>
      <c r="D1637" s="1">
        <v>43857</v>
      </c>
      <c r="E1637">
        <v>10</v>
      </c>
      <c r="F1637">
        <v>1</v>
      </c>
      <c r="G1637" t="s">
        <v>4917</v>
      </c>
      <c r="H1637">
        <v>10</v>
      </c>
    </row>
    <row r="1638" spans="1:8" x14ac:dyDescent="0.25">
      <c r="A1638" t="s">
        <v>4918</v>
      </c>
      <c r="B1638" t="s">
        <v>4919</v>
      </c>
      <c r="C1638" t="s">
        <v>14</v>
      </c>
      <c r="D1638" s="1">
        <v>43676</v>
      </c>
      <c r="E1638">
        <v>10</v>
      </c>
      <c r="F1638">
        <v>1</v>
      </c>
      <c r="G1638" t="s">
        <v>4920</v>
      </c>
      <c r="H1638">
        <v>10</v>
      </c>
    </row>
    <row r="1639" spans="1:8" x14ac:dyDescent="0.25">
      <c r="A1639" t="s">
        <v>4921</v>
      </c>
      <c r="B1639" t="s">
        <v>4922</v>
      </c>
      <c r="C1639" t="s">
        <v>14</v>
      </c>
      <c r="D1639" s="1">
        <v>40571</v>
      </c>
      <c r="E1639">
        <v>10</v>
      </c>
      <c r="F1639">
        <v>1</v>
      </c>
      <c r="G1639" t="s">
        <v>4923</v>
      </c>
      <c r="H1639">
        <v>10</v>
      </c>
    </row>
    <row r="1640" spans="1:8" x14ac:dyDescent="0.25">
      <c r="A1640" t="s">
        <v>4924</v>
      </c>
      <c r="B1640" t="s">
        <v>4925</v>
      </c>
      <c r="C1640" t="s">
        <v>10</v>
      </c>
      <c r="D1640" s="1">
        <v>40331</v>
      </c>
      <c r="E1640">
        <v>1</v>
      </c>
      <c r="F1640">
        <v>1</v>
      </c>
      <c r="G1640" t="s">
        <v>4926</v>
      </c>
      <c r="H1640">
        <v>1</v>
      </c>
    </row>
    <row r="1641" spans="1:8" x14ac:dyDescent="0.25">
      <c r="A1641" t="s">
        <v>4927</v>
      </c>
      <c r="B1641" t="s">
        <v>4928</v>
      </c>
      <c r="C1641" t="s">
        <v>14</v>
      </c>
      <c r="D1641" s="1">
        <v>35802</v>
      </c>
      <c r="E1641">
        <v>10</v>
      </c>
      <c r="F1641">
        <v>1</v>
      </c>
      <c r="G1641" t="s">
        <v>4929</v>
      </c>
      <c r="H1641">
        <v>10</v>
      </c>
    </row>
    <row r="1642" spans="1:8" x14ac:dyDescent="0.25">
      <c r="A1642" t="s">
        <v>4930</v>
      </c>
      <c r="B1642" t="s">
        <v>4931</v>
      </c>
      <c r="C1642" t="s">
        <v>14</v>
      </c>
      <c r="D1642" s="1">
        <v>43185</v>
      </c>
      <c r="E1642">
        <v>5</v>
      </c>
      <c r="F1642">
        <v>1</v>
      </c>
      <c r="G1642" t="s">
        <v>4932</v>
      </c>
      <c r="H1642">
        <v>5</v>
      </c>
    </row>
    <row r="1643" spans="1:8" x14ac:dyDescent="0.25">
      <c r="A1643" t="s">
        <v>4933</v>
      </c>
      <c r="B1643" t="s">
        <v>4934</v>
      </c>
      <c r="C1643" t="s">
        <v>10</v>
      </c>
      <c r="D1643" s="1">
        <v>35263</v>
      </c>
      <c r="E1643">
        <v>10</v>
      </c>
      <c r="F1643">
        <v>1</v>
      </c>
      <c r="G1643" t="s">
        <v>4935</v>
      </c>
      <c r="H1643">
        <v>10</v>
      </c>
    </row>
    <row r="1644" spans="1:8" x14ac:dyDescent="0.25">
      <c r="A1644" t="s">
        <v>4936</v>
      </c>
      <c r="B1644" t="s">
        <v>4937</v>
      </c>
      <c r="C1644" t="s">
        <v>14</v>
      </c>
      <c r="D1644" s="1">
        <v>36684</v>
      </c>
      <c r="E1644">
        <v>1</v>
      </c>
      <c r="F1644">
        <v>1</v>
      </c>
      <c r="G1644" t="s">
        <v>4938</v>
      </c>
      <c r="H1644">
        <v>1</v>
      </c>
    </row>
    <row r="1645" spans="1:8" x14ac:dyDescent="0.25">
      <c r="A1645" t="s">
        <v>4939</v>
      </c>
      <c r="B1645" t="s">
        <v>4940</v>
      </c>
      <c r="C1645" t="s">
        <v>14</v>
      </c>
      <c r="D1645" s="1">
        <v>38624</v>
      </c>
      <c r="E1645">
        <v>10</v>
      </c>
      <c r="F1645">
        <v>1</v>
      </c>
      <c r="G1645" t="s">
        <v>4941</v>
      </c>
      <c r="H1645">
        <v>10</v>
      </c>
    </row>
    <row r="1646" spans="1:8" x14ac:dyDescent="0.25">
      <c r="A1646" t="s">
        <v>4942</v>
      </c>
      <c r="B1646" t="s">
        <v>4943</v>
      </c>
      <c r="C1646" t="s">
        <v>14</v>
      </c>
      <c r="D1646" s="1">
        <v>34738</v>
      </c>
      <c r="E1646">
        <v>1</v>
      </c>
      <c r="F1646">
        <v>1</v>
      </c>
      <c r="G1646" t="s">
        <v>4944</v>
      </c>
      <c r="H1646">
        <v>1</v>
      </c>
    </row>
    <row r="1647" spans="1:8" x14ac:dyDescent="0.25">
      <c r="A1647" t="s">
        <v>4945</v>
      </c>
      <c r="B1647" t="s">
        <v>4946</v>
      </c>
      <c r="C1647" t="s">
        <v>14</v>
      </c>
      <c r="D1647" s="1">
        <v>40130</v>
      </c>
      <c r="E1647">
        <v>1</v>
      </c>
      <c r="F1647">
        <v>1</v>
      </c>
      <c r="G1647" t="s">
        <v>4947</v>
      </c>
      <c r="H1647">
        <v>1</v>
      </c>
    </row>
    <row r="1648" spans="1:8" x14ac:dyDescent="0.25">
      <c r="A1648" t="s">
        <v>4948</v>
      </c>
      <c r="B1648" t="s">
        <v>4949</v>
      </c>
      <c r="C1648" t="s">
        <v>14</v>
      </c>
      <c r="D1648" s="1">
        <v>38831</v>
      </c>
      <c r="E1648">
        <v>5</v>
      </c>
      <c r="F1648">
        <v>1</v>
      </c>
      <c r="G1648" t="s">
        <v>4950</v>
      </c>
      <c r="H1648">
        <v>5</v>
      </c>
    </row>
    <row r="1649" spans="1:8" x14ac:dyDescent="0.25">
      <c r="A1649" t="s">
        <v>4951</v>
      </c>
      <c r="B1649" t="s">
        <v>4952</v>
      </c>
      <c r="C1649" t="s">
        <v>14</v>
      </c>
      <c r="D1649" s="1">
        <v>41908</v>
      </c>
      <c r="E1649">
        <v>10</v>
      </c>
      <c r="F1649">
        <v>1</v>
      </c>
      <c r="G1649" t="s">
        <v>4953</v>
      </c>
      <c r="H1649">
        <v>10</v>
      </c>
    </row>
    <row r="1650" spans="1:8" x14ac:dyDescent="0.25">
      <c r="A1650" t="s">
        <v>4954</v>
      </c>
      <c r="B1650" t="s">
        <v>4955</v>
      </c>
      <c r="C1650" t="s">
        <v>10</v>
      </c>
      <c r="D1650" s="1">
        <v>38176</v>
      </c>
      <c r="E1650">
        <v>1</v>
      </c>
      <c r="F1650">
        <v>1</v>
      </c>
      <c r="G1650" t="s">
        <v>4956</v>
      </c>
      <c r="H1650">
        <v>1</v>
      </c>
    </row>
    <row r="1651" spans="1:8" x14ac:dyDescent="0.25">
      <c r="A1651" t="s">
        <v>4957</v>
      </c>
      <c r="B1651" t="s">
        <v>4958</v>
      </c>
      <c r="C1651" t="s">
        <v>14</v>
      </c>
      <c r="D1651" s="1">
        <v>38401</v>
      </c>
      <c r="E1651">
        <v>1</v>
      </c>
      <c r="F1651">
        <v>1</v>
      </c>
      <c r="G1651" t="s">
        <v>4959</v>
      </c>
      <c r="H1651">
        <v>1</v>
      </c>
    </row>
    <row r="1652" spans="1:8" x14ac:dyDescent="0.25">
      <c r="A1652" t="s">
        <v>4960</v>
      </c>
      <c r="B1652" t="s">
        <v>4961</v>
      </c>
      <c r="C1652" t="s">
        <v>10</v>
      </c>
      <c r="D1652" s="1">
        <v>44169</v>
      </c>
      <c r="E1652">
        <v>1</v>
      </c>
      <c r="F1652">
        <v>1</v>
      </c>
      <c r="G1652" t="s">
        <v>4962</v>
      </c>
      <c r="H1652">
        <v>1</v>
      </c>
    </row>
    <row r="1653" spans="1:8" x14ac:dyDescent="0.25">
      <c r="A1653" t="s">
        <v>4963</v>
      </c>
      <c r="B1653" t="s">
        <v>4964</v>
      </c>
      <c r="C1653" t="s">
        <v>14</v>
      </c>
      <c r="D1653" s="1">
        <v>34899</v>
      </c>
      <c r="E1653">
        <v>2</v>
      </c>
      <c r="F1653">
        <v>1</v>
      </c>
      <c r="G1653" t="s">
        <v>4965</v>
      </c>
      <c r="H1653">
        <v>2</v>
      </c>
    </row>
    <row r="1654" spans="1:8" x14ac:dyDescent="0.25">
      <c r="A1654" t="s">
        <v>4966</v>
      </c>
      <c r="B1654" t="s">
        <v>4967</v>
      </c>
      <c r="C1654" t="s">
        <v>786</v>
      </c>
      <c r="D1654" s="1">
        <v>39373</v>
      </c>
      <c r="E1654">
        <v>10</v>
      </c>
      <c r="F1654">
        <v>1</v>
      </c>
      <c r="G1654" t="s">
        <v>4968</v>
      </c>
      <c r="H1654">
        <v>10</v>
      </c>
    </row>
    <row r="1655" spans="1:8" x14ac:dyDescent="0.25">
      <c r="A1655" t="s">
        <v>4969</v>
      </c>
      <c r="B1655" t="s">
        <v>4970</v>
      </c>
      <c r="C1655" t="s">
        <v>14</v>
      </c>
      <c r="D1655" s="1">
        <v>44558</v>
      </c>
      <c r="E1655">
        <v>2</v>
      </c>
      <c r="F1655">
        <v>1</v>
      </c>
      <c r="G1655" t="s">
        <v>4971</v>
      </c>
      <c r="H1655">
        <v>2</v>
      </c>
    </row>
    <row r="1656" spans="1:8" x14ac:dyDescent="0.25">
      <c r="A1656" t="s">
        <v>4972</v>
      </c>
      <c r="B1656" t="s">
        <v>4973</v>
      </c>
      <c r="C1656" t="s">
        <v>14</v>
      </c>
      <c r="D1656" s="1">
        <v>40550</v>
      </c>
      <c r="E1656">
        <v>5</v>
      </c>
      <c r="F1656">
        <v>1</v>
      </c>
      <c r="G1656" t="s">
        <v>4974</v>
      </c>
      <c r="H1656">
        <v>5</v>
      </c>
    </row>
    <row r="1657" spans="1:8" x14ac:dyDescent="0.25">
      <c r="A1657" t="s">
        <v>4975</v>
      </c>
      <c r="B1657" t="s">
        <v>4976</v>
      </c>
      <c r="C1657" t="s">
        <v>14</v>
      </c>
      <c r="D1657" s="1">
        <v>37398</v>
      </c>
      <c r="E1657">
        <v>1</v>
      </c>
      <c r="F1657">
        <v>1</v>
      </c>
      <c r="G1657" t="s">
        <v>4977</v>
      </c>
      <c r="H1657">
        <v>1</v>
      </c>
    </row>
    <row r="1658" spans="1:8" x14ac:dyDescent="0.25">
      <c r="A1658" t="s">
        <v>4978</v>
      </c>
      <c r="B1658" t="s">
        <v>4979</v>
      </c>
      <c r="C1658" t="s">
        <v>14</v>
      </c>
      <c r="D1658" s="1">
        <v>38518</v>
      </c>
      <c r="E1658">
        <v>10</v>
      </c>
      <c r="F1658">
        <v>1</v>
      </c>
      <c r="G1658" t="s">
        <v>4980</v>
      </c>
      <c r="H1658">
        <v>10</v>
      </c>
    </row>
    <row r="1659" spans="1:8" x14ac:dyDescent="0.25">
      <c r="A1659" t="s">
        <v>4981</v>
      </c>
      <c r="B1659" t="s">
        <v>4982</v>
      </c>
      <c r="C1659" t="s">
        <v>14</v>
      </c>
      <c r="D1659" s="1">
        <v>34829</v>
      </c>
      <c r="E1659">
        <v>5</v>
      </c>
      <c r="F1659">
        <v>1</v>
      </c>
      <c r="G1659" t="s">
        <v>4983</v>
      </c>
      <c r="H1659">
        <v>5</v>
      </c>
    </row>
    <row r="1660" spans="1:8" x14ac:dyDescent="0.25">
      <c r="A1660" t="s">
        <v>4984</v>
      </c>
      <c r="B1660" t="s">
        <v>4985</v>
      </c>
      <c r="C1660" t="s">
        <v>14</v>
      </c>
      <c r="D1660" s="1">
        <v>44281</v>
      </c>
      <c r="E1660">
        <v>10</v>
      </c>
      <c r="F1660">
        <v>1</v>
      </c>
      <c r="G1660" t="s">
        <v>4986</v>
      </c>
      <c r="H1660">
        <v>10</v>
      </c>
    </row>
    <row r="1661" spans="1:8" x14ac:dyDescent="0.25">
      <c r="A1661" t="s">
        <v>4987</v>
      </c>
      <c r="B1661" t="s">
        <v>4988</v>
      </c>
      <c r="C1661" t="s">
        <v>14</v>
      </c>
      <c r="D1661" s="1">
        <v>39065</v>
      </c>
      <c r="E1661">
        <v>1</v>
      </c>
      <c r="F1661">
        <v>1</v>
      </c>
      <c r="G1661" t="s">
        <v>4989</v>
      </c>
      <c r="H1661">
        <v>1</v>
      </c>
    </row>
    <row r="1662" spans="1:8" x14ac:dyDescent="0.25">
      <c r="A1662" t="s">
        <v>4990</v>
      </c>
      <c r="B1662" t="s">
        <v>4991</v>
      </c>
      <c r="C1662" t="s">
        <v>10</v>
      </c>
      <c r="D1662" s="1">
        <v>44123</v>
      </c>
      <c r="E1662">
        <v>10</v>
      </c>
      <c r="F1662">
        <v>1</v>
      </c>
      <c r="G1662" t="s">
        <v>4992</v>
      </c>
      <c r="H1662">
        <v>10</v>
      </c>
    </row>
    <row r="1663" spans="1:8" x14ac:dyDescent="0.25">
      <c r="A1663" t="s">
        <v>4993</v>
      </c>
      <c r="B1663" t="s">
        <v>4994</v>
      </c>
      <c r="C1663" t="s">
        <v>14</v>
      </c>
      <c r="D1663" s="1">
        <v>37917</v>
      </c>
      <c r="E1663">
        <v>1</v>
      </c>
      <c r="F1663">
        <v>1</v>
      </c>
      <c r="G1663" t="s">
        <v>4995</v>
      </c>
      <c r="H1663">
        <v>1</v>
      </c>
    </row>
    <row r="1664" spans="1:8" x14ac:dyDescent="0.25">
      <c r="A1664" t="s">
        <v>4996</v>
      </c>
      <c r="B1664" t="s">
        <v>4997</v>
      </c>
      <c r="C1664" t="s">
        <v>14</v>
      </c>
      <c r="D1664" s="1">
        <v>43899</v>
      </c>
      <c r="E1664">
        <v>1</v>
      </c>
      <c r="F1664">
        <v>1</v>
      </c>
      <c r="G1664" t="s">
        <v>4998</v>
      </c>
      <c r="H1664">
        <v>1</v>
      </c>
    </row>
    <row r="1665" spans="1:8" x14ac:dyDescent="0.25">
      <c r="A1665" t="s">
        <v>4999</v>
      </c>
      <c r="B1665" t="s">
        <v>5000</v>
      </c>
      <c r="C1665" t="s">
        <v>14</v>
      </c>
      <c r="D1665" s="1">
        <v>44286</v>
      </c>
      <c r="E1665">
        <v>1</v>
      </c>
      <c r="F1665">
        <v>1</v>
      </c>
      <c r="G1665" t="s">
        <v>5001</v>
      </c>
      <c r="H1665">
        <v>1</v>
      </c>
    </row>
    <row r="1666" spans="1:8" x14ac:dyDescent="0.25">
      <c r="A1666" t="s">
        <v>5002</v>
      </c>
      <c r="B1666" t="s">
        <v>5003</v>
      </c>
      <c r="C1666" t="s">
        <v>10</v>
      </c>
      <c r="D1666" s="1">
        <v>38644</v>
      </c>
      <c r="E1666">
        <v>2</v>
      </c>
      <c r="F1666">
        <v>1</v>
      </c>
      <c r="G1666" t="s">
        <v>5004</v>
      </c>
      <c r="H1666">
        <v>2</v>
      </c>
    </row>
    <row r="1667" spans="1:8" x14ac:dyDescent="0.25">
      <c r="A1667" t="s">
        <v>5005</v>
      </c>
      <c r="B1667" t="s">
        <v>5006</v>
      </c>
      <c r="C1667" t="s">
        <v>10</v>
      </c>
      <c r="D1667" s="1">
        <v>45037</v>
      </c>
      <c r="E1667">
        <v>10</v>
      </c>
      <c r="F1667">
        <v>1</v>
      </c>
      <c r="G1667" t="s">
        <v>5007</v>
      </c>
      <c r="H1667">
        <v>10</v>
      </c>
    </row>
    <row r="1668" spans="1:8" x14ac:dyDescent="0.25">
      <c r="A1668" t="s">
        <v>5008</v>
      </c>
      <c r="B1668" t="s">
        <v>5009</v>
      </c>
      <c r="C1668" t="s">
        <v>10</v>
      </c>
      <c r="D1668" s="1">
        <v>44391</v>
      </c>
      <c r="E1668">
        <v>1</v>
      </c>
      <c r="F1668">
        <v>1</v>
      </c>
      <c r="G1668" t="s">
        <v>5010</v>
      </c>
      <c r="H1668">
        <v>1</v>
      </c>
    </row>
    <row r="1669" spans="1:8" x14ac:dyDescent="0.25">
      <c r="A1669" t="s">
        <v>5011</v>
      </c>
      <c r="B1669" t="s">
        <v>5012</v>
      </c>
      <c r="C1669" t="s">
        <v>14</v>
      </c>
      <c r="D1669" s="1">
        <v>41058</v>
      </c>
      <c r="E1669">
        <v>1</v>
      </c>
      <c r="F1669">
        <v>1</v>
      </c>
      <c r="G1669" t="s">
        <v>5013</v>
      </c>
      <c r="H1669">
        <v>1</v>
      </c>
    </row>
    <row r="1670" spans="1:8" x14ac:dyDescent="0.25">
      <c r="A1670" t="s">
        <v>5014</v>
      </c>
      <c r="B1670" t="s">
        <v>5015</v>
      </c>
      <c r="C1670" t="s">
        <v>14</v>
      </c>
      <c r="D1670" s="1">
        <v>35039</v>
      </c>
      <c r="E1670">
        <v>10</v>
      </c>
      <c r="F1670">
        <v>1</v>
      </c>
      <c r="G1670" t="s">
        <v>5016</v>
      </c>
      <c r="H1670">
        <v>10</v>
      </c>
    </row>
    <row r="1671" spans="1:8" x14ac:dyDescent="0.25">
      <c r="A1671" t="s">
        <v>5017</v>
      </c>
      <c r="B1671" t="s">
        <v>5018</v>
      </c>
      <c r="C1671" t="s">
        <v>14</v>
      </c>
      <c r="D1671" s="1">
        <v>38846</v>
      </c>
      <c r="E1671">
        <v>10</v>
      </c>
      <c r="F1671">
        <v>1</v>
      </c>
      <c r="G1671" t="s">
        <v>5019</v>
      </c>
      <c r="H1671">
        <v>10</v>
      </c>
    </row>
    <row r="1672" spans="1:8" x14ac:dyDescent="0.25">
      <c r="A1672" t="s">
        <v>5020</v>
      </c>
      <c r="B1672" t="s">
        <v>5021</v>
      </c>
      <c r="C1672" t="s">
        <v>14</v>
      </c>
      <c r="D1672" s="1">
        <v>43697</v>
      </c>
      <c r="E1672">
        <v>1</v>
      </c>
      <c r="F1672">
        <v>1</v>
      </c>
      <c r="G1672" t="s">
        <v>5022</v>
      </c>
      <c r="H1672">
        <v>1</v>
      </c>
    </row>
    <row r="1673" spans="1:8" x14ac:dyDescent="0.25">
      <c r="A1673" t="s">
        <v>5023</v>
      </c>
      <c r="B1673" t="s">
        <v>5024</v>
      </c>
      <c r="C1673" t="s">
        <v>14</v>
      </c>
      <c r="D1673" s="1">
        <v>40709</v>
      </c>
      <c r="E1673">
        <v>2</v>
      </c>
      <c r="F1673">
        <v>1</v>
      </c>
      <c r="G1673" t="s">
        <v>5025</v>
      </c>
      <c r="H1673">
        <v>2</v>
      </c>
    </row>
    <row r="1674" spans="1:8" x14ac:dyDescent="0.25">
      <c r="A1674" t="s">
        <v>5026</v>
      </c>
      <c r="B1674" t="s">
        <v>5027</v>
      </c>
      <c r="C1674" t="s">
        <v>14</v>
      </c>
      <c r="D1674" s="1">
        <v>44883</v>
      </c>
      <c r="E1674">
        <v>1</v>
      </c>
      <c r="F1674">
        <v>1</v>
      </c>
      <c r="G1674" t="s">
        <v>5028</v>
      </c>
      <c r="H1674">
        <v>1</v>
      </c>
    </row>
    <row r="1675" spans="1:8" x14ac:dyDescent="0.25">
      <c r="A1675" t="s">
        <v>5029</v>
      </c>
      <c r="B1675" t="s">
        <v>5030</v>
      </c>
      <c r="C1675" t="s">
        <v>14</v>
      </c>
      <c r="D1675" s="1">
        <v>42227</v>
      </c>
      <c r="E1675">
        <v>10</v>
      </c>
      <c r="F1675">
        <v>1</v>
      </c>
      <c r="G1675" t="s">
        <v>5031</v>
      </c>
      <c r="H1675">
        <v>10</v>
      </c>
    </row>
    <row r="1676" spans="1:8" x14ac:dyDescent="0.25">
      <c r="A1676" t="s">
        <v>5032</v>
      </c>
      <c r="B1676" t="s">
        <v>5033</v>
      </c>
      <c r="C1676" t="s">
        <v>14</v>
      </c>
      <c r="D1676" s="1">
        <v>44799</v>
      </c>
      <c r="E1676">
        <v>10</v>
      </c>
      <c r="F1676">
        <v>1</v>
      </c>
      <c r="G1676" t="s">
        <v>5034</v>
      </c>
      <c r="H1676">
        <v>10</v>
      </c>
    </row>
    <row r="1677" spans="1:8" x14ac:dyDescent="0.25">
      <c r="A1677" t="s">
        <v>5035</v>
      </c>
      <c r="B1677" t="s">
        <v>5036</v>
      </c>
      <c r="C1677" t="s">
        <v>14</v>
      </c>
      <c r="D1677" s="1">
        <v>34907</v>
      </c>
      <c r="E1677">
        <v>10</v>
      </c>
      <c r="F1677">
        <v>1</v>
      </c>
      <c r="G1677" t="s">
        <v>5037</v>
      </c>
      <c r="H1677">
        <v>10</v>
      </c>
    </row>
    <row r="1678" spans="1:8" x14ac:dyDescent="0.25">
      <c r="A1678" t="s">
        <v>5038</v>
      </c>
      <c r="B1678" t="s">
        <v>5039</v>
      </c>
      <c r="C1678" t="s">
        <v>14</v>
      </c>
      <c r="D1678" s="1">
        <v>36880</v>
      </c>
      <c r="E1678">
        <v>2</v>
      </c>
      <c r="F1678">
        <v>1</v>
      </c>
      <c r="G1678" t="s">
        <v>5040</v>
      </c>
      <c r="H1678">
        <v>2</v>
      </c>
    </row>
    <row r="1679" spans="1:8" x14ac:dyDescent="0.25">
      <c r="A1679" t="s">
        <v>5041</v>
      </c>
      <c r="B1679" t="s">
        <v>5042</v>
      </c>
      <c r="C1679" t="s">
        <v>14</v>
      </c>
      <c r="D1679" s="1">
        <v>39321</v>
      </c>
      <c r="E1679">
        <v>1</v>
      </c>
      <c r="F1679">
        <v>1</v>
      </c>
      <c r="G1679" t="s">
        <v>5043</v>
      </c>
      <c r="H1679">
        <v>1</v>
      </c>
    </row>
    <row r="1680" spans="1:8" x14ac:dyDescent="0.25">
      <c r="A1680" t="s">
        <v>5044</v>
      </c>
      <c r="B1680" t="s">
        <v>5045</v>
      </c>
      <c r="C1680" t="s">
        <v>14</v>
      </c>
      <c r="D1680" s="1">
        <v>38989</v>
      </c>
      <c r="E1680">
        <v>2</v>
      </c>
      <c r="F1680">
        <v>1</v>
      </c>
      <c r="G1680" t="s">
        <v>5046</v>
      </c>
      <c r="H1680">
        <v>2</v>
      </c>
    </row>
    <row r="1681" spans="1:8" x14ac:dyDescent="0.25">
      <c r="A1681" t="s">
        <v>5047</v>
      </c>
      <c r="B1681" t="s">
        <v>5048</v>
      </c>
      <c r="C1681" t="s">
        <v>14</v>
      </c>
      <c r="D1681" s="1">
        <v>39087</v>
      </c>
      <c r="E1681">
        <v>1</v>
      </c>
      <c r="F1681">
        <v>1</v>
      </c>
      <c r="G1681" t="s">
        <v>5049</v>
      </c>
      <c r="H1681">
        <v>1</v>
      </c>
    </row>
    <row r="1682" spans="1:8" x14ac:dyDescent="0.25">
      <c r="A1682" t="s">
        <v>5050</v>
      </c>
      <c r="B1682" t="s">
        <v>5051</v>
      </c>
      <c r="C1682" t="s">
        <v>10</v>
      </c>
      <c r="D1682" s="1">
        <v>40316</v>
      </c>
      <c r="E1682">
        <v>10</v>
      </c>
      <c r="F1682">
        <v>1</v>
      </c>
      <c r="G1682" t="s">
        <v>5052</v>
      </c>
      <c r="H1682">
        <v>10</v>
      </c>
    </row>
    <row r="1683" spans="1:8" x14ac:dyDescent="0.25">
      <c r="A1683" t="s">
        <v>5053</v>
      </c>
      <c r="B1683" t="s">
        <v>5054</v>
      </c>
      <c r="C1683" t="s">
        <v>14</v>
      </c>
      <c r="D1683" s="1">
        <v>44183</v>
      </c>
      <c r="E1683">
        <v>2</v>
      </c>
      <c r="F1683">
        <v>1</v>
      </c>
      <c r="G1683" t="s">
        <v>5055</v>
      </c>
      <c r="H1683">
        <v>2</v>
      </c>
    </row>
    <row r="1684" spans="1:8" x14ac:dyDescent="0.25">
      <c r="A1684" t="s">
        <v>5056</v>
      </c>
      <c r="B1684" t="s">
        <v>5057</v>
      </c>
      <c r="C1684" t="s">
        <v>14</v>
      </c>
      <c r="D1684" s="1">
        <v>39272</v>
      </c>
      <c r="E1684">
        <v>10</v>
      </c>
      <c r="F1684">
        <v>1</v>
      </c>
      <c r="G1684" t="s">
        <v>5058</v>
      </c>
      <c r="H1684">
        <v>10</v>
      </c>
    </row>
    <row r="1685" spans="1:8" x14ac:dyDescent="0.25">
      <c r="A1685" t="s">
        <v>5059</v>
      </c>
      <c r="B1685" t="s">
        <v>5060</v>
      </c>
      <c r="C1685" t="s">
        <v>14</v>
      </c>
      <c r="D1685" s="1">
        <v>44526</v>
      </c>
      <c r="E1685">
        <v>2</v>
      </c>
      <c r="F1685">
        <v>1</v>
      </c>
      <c r="G1685" t="s">
        <v>5061</v>
      </c>
      <c r="H1685">
        <v>2</v>
      </c>
    </row>
    <row r="1686" spans="1:8" x14ac:dyDescent="0.25">
      <c r="A1686" t="s">
        <v>5062</v>
      </c>
      <c r="B1686" t="s">
        <v>5063</v>
      </c>
      <c r="C1686" t="s">
        <v>14</v>
      </c>
      <c r="D1686" s="1">
        <v>42817</v>
      </c>
      <c r="E1686">
        <v>10</v>
      </c>
      <c r="F1686">
        <v>1</v>
      </c>
      <c r="G1686" t="s">
        <v>5064</v>
      </c>
      <c r="H1686">
        <v>10</v>
      </c>
    </row>
    <row r="1687" spans="1:8" x14ac:dyDescent="0.25">
      <c r="A1687" t="s">
        <v>5065</v>
      </c>
      <c r="B1687" t="s">
        <v>5066</v>
      </c>
      <c r="C1687" t="s">
        <v>14</v>
      </c>
      <c r="D1687" s="1">
        <v>36251</v>
      </c>
      <c r="E1687">
        <v>10</v>
      </c>
      <c r="F1687">
        <v>1</v>
      </c>
      <c r="G1687" t="s">
        <v>5067</v>
      </c>
      <c r="H1687">
        <v>10</v>
      </c>
    </row>
    <row r="1688" spans="1:8" x14ac:dyDescent="0.25">
      <c r="A1688" t="s">
        <v>5068</v>
      </c>
      <c r="B1688" t="s">
        <v>5069</v>
      </c>
      <c r="C1688" t="s">
        <v>14</v>
      </c>
      <c r="D1688" s="1">
        <v>36572</v>
      </c>
      <c r="E1688">
        <v>1</v>
      </c>
      <c r="F1688">
        <v>1</v>
      </c>
      <c r="G1688" t="s">
        <v>5070</v>
      </c>
      <c r="H1688">
        <v>1</v>
      </c>
    </row>
    <row r="1689" spans="1:8" x14ac:dyDescent="0.25">
      <c r="A1689" t="s">
        <v>5071</v>
      </c>
      <c r="B1689" t="s">
        <v>5072</v>
      </c>
      <c r="C1689" t="s">
        <v>14</v>
      </c>
      <c r="D1689" s="1">
        <v>34801</v>
      </c>
      <c r="E1689">
        <v>10</v>
      </c>
      <c r="F1689">
        <v>1</v>
      </c>
      <c r="G1689" t="s">
        <v>5073</v>
      </c>
      <c r="H1689">
        <v>10</v>
      </c>
    </row>
    <row r="1690" spans="1:8" x14ac:dyDescent="0.25">
      <c r="A1690" t="s">
        <v>5074</v>
      </c>
      <c r="B1690" t="s">
        <v>5075</v>
      </c>
      <c r="C1690" t="s">
        <v>14</v>
      </c>
      <c r="D1690" s="1">
        <v>36117</v>
      </c>
      <c r="E1690">
        <v>1</v>
      </c>
      <c r="F1690">
        <v>1</v>
      </c>
      <c r="G1690" t="s">
        <v>5076</v>
      </c>
      <c r="H1690">
        <v>1</v>
      </c>
    </row>
    <row r="1691" spans="1:8" x14ac:dyDescent="0.25">
      <c r="A1691" t="s">
        <v>5077</v>
      </c>
      <c r="B1691" t="s">
        <v>5078</v>
      </c>
      <c r="C1691" t="s">
        <v>14</v>
      </c>
      <c r="D1691" s="1">
        <v>37881</v>
      </c>
      <c r="E1691">
        <v>10</v>
      </c>
      <c r="F1691">
        <v>1</v>
      </c>
      <c r="G1691" t="s">
        <v>5079</v>
      </c>
      <c r="H1691">
        <v>10</v>
      </c>
    </row>
    <row r="1692" spans="1:8" x14ac:dyDescent="0.25">
      <c r="A1692" t="s">
        <v>5080</v>
      </c>
      <c r="B1692" t="s">
        <v>5081</v>
      </c>
      <c r="C1692" t="s">
        <v>14</v>
      </c>
      <c r="D1692" s="1">
        <v>35970</v>
      </c>
      <c r="E1692">
        <v>10</v>
      </c>
      <c r="F1692">
        <v>1</v>
      </c>
      <c r="G1692" t="s">
        <v>5082</v>
      </c>
      <c r="H1692">
        <v>10</v>
      </c>
    </row>
    <row r="1693" spans="1:8" x14ac:dyDescent="0.25">
      <c r="A1693" t="s">
        <v>5083</v>
      </c>
      <c r="B1693" t="s">
        <v>5084</v>
      </c>
      <c r="C1693" t="s">
        <v>14</v>
      </c>
      <c r="D1693" s="1">
        <v>37768</v>
      </c>
      <c r="E1693">
        <v>10</v>
      </c>
      <c r="F1693">
        <v>1</v>
      </c>
      <c r="G1693" t="s">
        <v>5085</v>
      </c>
      <c r="H1693">
        <v>10</v>
      </c>
    </row>
    <row r="1694" spans="1:8" x14ac:dyDescent="0.25">
      <c r="A1694" t="s">
        <v>5086</v>
      </c>
      <c r="B1694" t="s">
        <v>5087</v>
      </c>
      <c r="C1694" t="s">
        <v>14</v>
      </c>
      <c r="D1694" s="1">
        <v>35998</v>
      </c>
      <c r="E1694">
        <v>2</v>
      </c>
      <c r="F1694">
        <v>1</v>
      </c>
      <c r="G1694" t="s">
        <v>5088</v>
      </c>
      <c r="H1694">
        <v>2</v>
      </c>
    </row>
    <row r="1695" spans="1:8" x14ac:dyDescent="0.25">
      <c r="A1695" t="s">
        <v>5089</v>
      </c>
      <c r="B1695" t="s">
        <v>5087</v>
      </c>
      <c r="C1695" t="s">
        <v>14</v>
      </c>
      <c r="D1695" s="1">
        <v>39757</v>
      </c>
      <c r="E1695">
        <v>2</v>
      </c>
      <c r="F1695">
        <v>1</v>
      </c>
      <c r="G1695" t="s">
        <v>5090</v>
      </c>
      <c r="H1695">
        <v>2</v>
      </c>
    </row>
    <row r="1696" spans="1:8" x14ac:dyDescent="0.25">
      <c r="A1696" t="s">
        <v>5091</v>
      </c>
      <c r="B1696" t="s">
        <v>5092</v>
      </c>
      <c r="C1696" t="s">
        <v>14</v>
      </c>
      <c r="D1696" s="1">
        <v>35158</v>
      </c>
      <c r="E1696">
        <v>1</v>
      </c>
      <c r="F1696">
        <v>1</v>
      </c>
      <c r="G1696" t="s">
        <v>5093</v>
      </c>
      <c r="H1696">
        <v>1</v>
      </c>
    </row>
    <row r="1697" spans="1:8" x14ac:dyDescent="0.25">
      <c r="A1697" t="s">
        <v>5094</v>
      </c>
      <c r="B1697" t="s">
        <v>5095</v>
      </c>
      <c r="C1697" t="s">
        <v>14</v>
      </c>
      <c r="D1697" s="1">
        <v>36117</v>
      </c>
      <c r="E1697">
        <v>1</v>
      </c>
      <c r="F1697">
        <v>1</v>
      </c>
      <c r="G1697" t="s">
        <v>5096</v>
      </c>
      <c r="H1697">
        <v>1</v>
      </c>
    </row>
    <row r="1698" spans="1:8" x14ac:dyDescent="0.25">
      <c r="A1698" t="s">
        <v>5097</v>
      </c>
      <c r="B1698" t="s">
        <v>5098</v>
      </c>
      <c r="C1698" t="s">
        <v>14</v>
      </c>
      <c r="D1698" s="1">
        <v>37676</v>
      </c>
      <c r="E1698">
        <v>10</v>
      </c>
      <c r="F1698">
        <v>1</v>
      </c>
      <c r="G1698" t="s">
        <v>5099</v>
      </c>
      <c r="H1698">
        <v>10</v>
      </c>
    </row>
    <row r="1699" spans="1:8" x14ac:dyDescent="0.25">
      <c r="A1699" t="s">
        <v>5100</v>
      </c>
      <c r="B1699" t="s">
        <v>5101</v>
      </c>
      <c r="C1699" t="s">
        <v>14</v>
      </c>
      <c r="D1699" s="1">
        <v>44406</v>
      </c>
      <c r="E1699">
        <v>10</v>
      </c>
      <c r="F1699">
        <v>1</v>
      </c>
      <c r="G1699" t="s">
        <v>5102</v>
      </c>
      <c r="H1699">
        <v>10</v>
      </c>
    </row>
    <row r="1700" spans="1:8" x14ac:dyDescent="0.25">
      <c r="A1700" t="s">
        <v>5103</v>
      </c>
      <c r="B1700" t="s">
        <v>5104</v>
      </c>
      <c r="C1700" t="s">
        <v>14</v>
      </c>
      <c r="D1700" s="1">
        <v>41038</v>
      </c>
      <c r="E1700">
        <v>10</v>
      </c>
      <c r="F1700">
        <v>1</v>
      </c>
      <c r="G1700" t="s">
        <v>5105</v>
      </c>
      <c r="H1700">
        <v>10</v>
      </c>
    </row>
    <row r="1701" spans="1:8" x14ac:dyDescent="0.25">
      <c r="A1701" t="s">
        <v>5106</v>
      </c>
      <c r="B1701" t="s">
        <v>5107</v>
      </c>
      <c r="C1701" t="s">
        <v>14</v>
      </c>
      <c r="D1701" s="1">
        <v>37277</v>
      </c>
      <c r="E1701">
        <v>2</v>
      </c>
      <c r="F1701">
        <v>1</v>
      </c>
      <c r="G1701" t="s">
        <v>5108</v>
      </c>
      <c r="H1701">
        <v>2</v>
      </c>
    </row>
    <row r="1702" spans="1:8" x14ac:dyDescent="0.25">
      <c r="A1702" t="s">
        <v>5109</v>
      </c>
      <c r="B1702" t="s">
        <v>5110</v>
      </c>
      <c r="C1702" t="s">
        <v>14</v>
      </c>
      <c r="D1702" s="1">
        <v>42719</v>
      </c>
      <c r="E1702">
        <v>2</v>
      </c>
      <c r="F1702">
        <v>1</v>
      </c>
      <c r="G1702" t="s">
        <v>5111</v>
      </c>
      <c r="H1702">
        <v>2</v>
      </c>
    </row>
    <row r="1703" spans="1:8" x14ac:dyDescent="0.25">
      <c r="A1703" t="s">
        <v>5112</v>
      </c>
      <c r="B1703" t="s">
        <v>5113</v>
      </c>
      <c r="C1703" t="s">
        <v>10</v>
      </c>
      <c r="D1703" s="1">
        <v>45215</v>
      </c>
      <c r="E1703">
        <v>1</v>
      </c>
      <c r="F1703">
        <v>1</v>
      </c>
      <c r="G1703" t="s">
        <v>5114</v>
      </c>
      <c r="H1703">
        <v>1</v>
      </c>
    </row>
    <row r="1704" spans="1:8" x14ac:dyDescent="0.25">
      <c r="A1704" t="s">
        <v>5115</v>
      </c>
      <c r="B1704" t="s">
        <v>5116</v>
      </c>
      <c r="C1704" t="s">
        <v>14</v>
      </c>
      <c r="D1704" s="1">
        <v>43311</v>
      </c>
      <c r="E1704">
        <v>2</v>
      </c>
      <c r="F1704">
        <v>1</v>
      </c>
      <c r="G1704" t="s">
        <v>5117</v>
      </c>
      <c r="H1704">
        <v>2</v>
      </c>
    </row>
    <row r="1705" spans="1:8" x14ac:dyDescent="0.25">
      <c r="A1705" t="s">
        <v>5118</v>
      </c>
      <c r="B1705" t="s">
        <v>5119</v>
      </c>
      <c r="C1705" t="s">
        <v>14</v>
      </c>
      <c r="D1705" s="1">
        <v>43025</v>
      </c>
      <c r="E1705">
        <v>10</v>
      </c>
      <c r="F1705">
        <v>1</v>
      </c>
      <c r="G1705" t="s">
        <v>5120</v>
      </c>
      <c r="H1705">
        <v>10</v>
      </c>
    </row>
    <row r="1706" spans="1:8" x14ac:dyDescent="0.25">
      <c r="A1706" t="s">
        <v>5121</v>
      </c>
      <c r="B1706" t="s">
        <v>5122</v>
      </c>
      <c r="C1706" t="s">
        <v>14</v>
      </c>
      <c r="D1706" s="1">
        <v>38224</v>
      </c>
      <c r="E1706">
        <v>1</v>
      </c>
      <c r="F1706">
        <v>1</v>
      </c>
      <c r="G1706" t="s">
        <v>5123</v>
      </c>
      <c r="H1706">
        <v>1</v>
      </c>
    </row>
    <row r="1707" spans="1:8" x14ac:dyDescent="0.25">
      <c r="A1707" t="s">
        <v>5124</v>
      </c>
      <c r="B1707" t="s">
        <v>5125</v>
      </c>
      <c r="C1707" t="s">
        <v>14</v>
      </c>
      <c r="D1707" s="1">
        <v>40794</v>
      </c>
      <c r="E1707">
        <v>2</v>
      </c>
      <c r="F1707">
        <v>1</v>
      </c>
      <c r="G1707" t="s">
        <v>5126</v>
      </c>
      <c r="H1707">
        <v>2</v>
      </c>
    </row>
    <row r="1708" spans="1:8" x14ac:dyDescent="0.25">
      <c r="A1708" t="s">
        <v>5127</v>
      </c>
      <c r="B1708" t="s">
        <v>5128</v>
      </c>
      <c r="C1708" t="s">
        <v>14</v>
      </c>
      <c r="D1708" s="1">
        <v>42412</v>
      </c>
      <c r="E1708">
        <v>10</v>
      </c>
      <c r="F1708">
        <v>1</v>
      </c>
      <c r="G1708" t="s">
        <v>5129</v>
      </c>
      <c r="H1708">
        <v>10</v>
      </c>
    </row>
    <row r="1709" spans="1:8" x14ac:dyDescent="0.25">
      <c r="A1709" t="s">
        <v>5130</v>
      </c>
      <c r="B1709" t="s">
        <v>5131</v>
      </c>
      <c r="C1709" t="s">
        <v>10</v>
      </c>
      <c r="D1709" s="1">
        <v>40794</v>
      </c>
      <c r="E1709">
        <v>10</v>
      </c>
      <c r="F1709">
        <v>1</v>
      </c>
      <c r="G1709" t="s">
        <v>5132</v>
      </c>
      <c r="H1709">
        <v>10</v>
      </c>
    </row>
    <row r="1710" spans="1:8" x14ac:dyDescent="0.25">
      <c r="A1710" t="s">
        <v>5133</v>
      </c>
      <c r="B1710" t="s">
        <v>5134</v>
      </c>
      <c r="C1710" t="s">
        <v>14</v>
      </c>
      <c r="D1710" s="1">
        <v>38957</v>
      </c>
      <c r="E1710">
        <v>5</v>
      </c>
      <c r="F1710">
        <v>1</v>
      </c>
      <c r="G1710" t="s">
        <v>5135</v>
      </c>
      <c r="H1710">
        <v>5</v>
      </c>
    </row>
    <row r="1711" spans="1:8" x14ac:dyDescent="0.25">
      <c r="A1711" t="s">
        <v>5136</v>
      </c>
      <c r="B1711" t="s">
        <v>5137</v>
      </c>
      <c r="C1711" t="s">
        <v>14</v>
      </c>
      <c r="D1711" s="1">
        <v>43438</v>
      </c>
      <c r="E1711">
        <v>2</v>
      </c>
      <c r="F1711">
        <v>1</v>
      </c>
      <c r="G1711" t="s">
        <v>5138</v>
      </c>
      <c r="H1711">
        <v>2</v>
      </c>
    </row>
    <row r="1712" spans="1:8" x14ac:dyDescent="0.25">
      <c r="A1712" t="s">
        <v>5139</v>
      </c>
      <c r="B1712" t="s">
        <v>5140</v>
      </c>
      <c r="C1712" t="s">
        <v>10</v>
      </c>
      <c r="D1712" s="1">
        <v>35039</v>
      </c>
      <c r="E1712">
        <v>10</v>
      </c>
      <c r="F1712">
        <v>50</v>
      </c>
      <c r="G1712" t="s">
        <v>5141</v>
      </c>
      <c r="H1712">
        <v>10</v>
      </c>
    </row>
    <row r="1713" spans="1:8" x14ac:dyDescent="0.25">
      <c r="A1713" t="s">
        <v>5142</v>
      </c>
      <c r="B1713" t="s">
        <v>5143</v>
      </c>
      <c r="C1713" t="s">
        <v>14</v>
      </c>
      <c r="D1713" s="1">
        <v>44543</v>
      </c>
      <c r="E1713">
        <v>10</v>
      </c>
      <c r="F1713">
        <v>1</v>
      </c>
      <c r="G1713" t="s">
        <v>5144</v>
      </c>
      <c r="H1713">
        <v>10</v>
      </c>
    </row>
    <row r="1714" spans="1:8" x14ac:dyDescent="0.25">
      <c r="A1714" t="s">
        <v>5145</v>
      </c>
      <c r="B1714" t="s">
        <v>5146</v>
      </c>
      <c r="C1714" t="s">
        <v>14</v>
      </c>
      <c r="D1714" s="1">
        <v>42913</v>
      </c>
      <c r="E1714">
        <v>10</v>
      </c>
      <c r="F1714">
        <v>1</v>
      </c>
      <c r="G1714" t="s">
        <v>5147</v>
      </c>
      <c r="H1714">
        <v>10</v>
      </c>
    </row>
    <row r="1715" spans="1:8" x14ac:dyDescent="0.25">
      <c r="A1715" t="s">
        <v>5148</v>
      </c>
      <c r="B1715" t="s">
        <v>5149</v>
      </c>
      <c r="C1715" t="s">
        <v>14</v>
      </c>
      <c r="D1715" s="1">
        <v>44309</v>
      </c>
      <c r="E1715">
        <v>10</v>
      </c>
      <c r="F1715">
        <v>1</v>
      </c>
      <c r="G1715" t="s">
        <v>5150</v>
      </c>
      <c r="H1715">
        <v>10</v>
      </c>
    </row>
    <row r="1716" spans="1:8" x14ac:dyDescent="0.25">
      <c r="A1716" t="s">
        <v>5151</v>
      </c>
      <c r="B1716" t="s">
        <v>5152</v>
      </c>
      <c r="C1716" t="s">
        <v>14</v>
      </c>
      <c r="D1716" s="1">
        <v>42733</v>
      </c>
      <c r="E1716">
        <v>10</v>
      </c>
      <c r="F1716">
        <v>1</v>
      </c>
      <c r="G1716" t="s">
        <v>5153</v>
      </c>
      <c r="H1716">
        <v>10</v>
      </c>
    </row>
    <row r="1717" spans="1:8" x14ac:dyDescent="0.25">
      <c r="A1717" t="s">
        <v>5154</v>
      </c>
      <c r="B1717" t="s">
        <v>5155</v>
      </c>
      <c r="C1717" t="s">
        <v>14</v>
      </c>
      <c r="D1717" s="1">
        <v>38239</v>
      </c>
      <c r="E1717">
        <v>1</v>
      </c>
      <c r="F1717">
        <v>1</v>
      </c>
      <c r="G1717" t="s">
        <v>5156</v>
      </c>
      <c r="H1717">
        <v>1</v>
      </c>
    </row>
    <row r="1718" spans="1:8" x14ac:dyDescent="0.25">
      <c r="A1718" t="s">
        <v>5157</v>
      </c>
      <c r="B1718" t="s">
        <v>5158</v>
      </c>
      <c r="C1718" t="s">
        <v>14</v>
      </c>
      <c r="D1718" s="1">
        <v>40247</v>
      </c>
      <c r="E1718">
        <v>10</v>
      </c>
      <c r="F1718">
        <v>1</v>
      </c>
      <c r="G1718" t="s">
        <v>5159</v>
      </c>
      <c r="H1718">
        <v>10</v>
      </c>
    </row>
    <row r="1719" spans="1:8" x14ac:dyDescent="0.25">
      <c r="A1719" t="s">
        <v>5160</v>
      </c>
      <c r="B1719" t="s">
        <v>5161</v>
      </c>
      <c r="C1719" t="s">
        <v>14</v>
      </c>
      <c r="D1719" s="1">
        <v>40605</v>
      </c>
      <c r="E1719">
        <v>1</v>
      </c>
      <c r="F1719">
        <v>1</v>
      </c>
      <c r="G1719" t="s">
        <v>5162</v>
      </c>
      <c r="H1719">
        <v>1</v>
      </c>
    </row>
    <row r="1720" spans="1:8" x14ac:dyDescent="0.25">
      <c r="A1720" t="s">
        <v>5163</v>
      </c>
      <c r="B1720" t="s">
        <v>5164</v>
      </c>
      <c r="C1720" t="s">
        <v>14</v>
      </c>
      <c r="D1720" s="1">
        <v>36733</v>
      </c>
      <c r="E1720">
        <v>10</v>
      </c>
      <c r="F1720">
        <v>1</v>
      </c>
      <c r="G1720" t="s">
        <v>5165</v>
      </c>
      <c r="H1720">
        <v>10</v>
      </c>
    </row>
    <row r="1721" spans="1:8" x14ac:dyDescent="0.25">
      <c r="A1721" t="s">
        <v>5166</v>
      </c>
      <c r="B1721" t="s">
        <v>5167</v>
      </c>
      <c r="C1721" t="s">
        <v>14</v>
      </c>
      <c r="D1721" s="1">
        <v>39139</v>
      </c>
      <c r="E1721">
        <v>10</v>
      </c>
      <c r="F1721">
        <v>1</v>
      </c>
      <c r="G1721" t="s">
        <v>5168</v>
      </c>
      <c r="H1721">
        <v>10</v>
      </c>
    </row>
    <row r="1722" spans="1:8" x14ac:dyDescent="0.25">
      <c r="A1722" t="s">
        <v>5169</v>
      </c>
      <c r="B1722" t="s">
        <v>5170</v>
      </c>
      <c r="C1722" t="s">
        <v>14</v>
      </c>
      <c r="D1722" s="1">
        <v>39219</v>
      </c>
      <c r="E1722">
        <v>10</v>
      </c>
      <c r="F1722">
        <v>1</v>
      </c>
      <c r="G1722" t="s">
        <v>5171</v>
      </c>
      <c r="H1722">
        <v>10</v>
      </c>
    </row>
    <row r="1723" spans="1:8" x14ac:dyDescent="0.25">
      <c r="A1723" t="s">
        <v>5172</v>
      </c>
      <c r="B1723" t="s">
        <v>5173</v>
      </c>
      <c r="C1723" t="s">
        <v>14</v>
      </c>
      <c r="D1723" s="1">
        <v>40228</v>
      </c>
      <c r="E1723">
        <v>10</v>
      </c>
      <c r="F1723">
        <v>1</v>
      </c>
      <c r="G1723" t="s">
        <v>5174</v>
      </c>
      <c r="H1723">
        <v>10</v>
      </c>
    </row>
    <row r="1724" spans="1:8" x14ac:dyDescent="0.25">
      <c r="A1724" t="s">
        <v>5175</v>
      </c>
      <c r="B1724" t="s">
        <v>5176</v>
      </c>
      <c r="C1724" t="s">
        <v>14</v>
      </c>
      <c r="D1724" s="1">
        <v>42949</v>
      </c>
      <c r="E1724">
        <v>10</v>
      </c>
      <c r="F1724">
        <v>1</v>
      </c>
      <c r="G1724" t="s">
        <v>5177</v>
      </c>
      <c r="H1724">
        <v>10</v>
      </c>
    </row>
    <row r="1725" spans="1:8" x14ac:dyDescent="0.25">
      <c r="A1725" t="s">
        <v>5178</v>
      </c>
      <c r="B1725" t="s">
        <v>5179</v>
      </c>
      <c r="C1725" t="s">
        <v>14</v>
      </c>
      <c r="D1725" s="1">
        <v>45209</v>
      </c>
      <c r="E1725">
        <v>10</v>
      </c>
      <c r="F1725">
        <v>1</v>
      </c>
      <c r="G1725" t="s">
        <v>5180</v>
      </c>
      <c r="H1725">
        <v>10</v>
      </c>
    </row>
    <row r="1726" spans="1:8" x14ac:dyDescent="0.25">
      <c r="A1726" t="s">
        <v>5181</v>
      </c>
      <c r="B1726" t="s">
        <v>5182</v>
      </c>
      <c r="C1726" t="s">
        <v>14</v>
      </c>
      <c r="D1726" s="1">
        <v>39174</v>
      </c>
      <c r="E1726">
        <v>1</v>
      </c>
      <c r="F1726">
        <v>1</v>
      </c>
      <c r="G1726" t="s">
        <v>5183</v>
      </c>
      <c r="H1726">
        <v>1</v>
      </c>
    </row>
    <row r="1727" spans="1:8" x14ac:dyDescent="0.25">
      <c r="A1727" t="s">
        <v>5184</v>
      </c>
      <c r="B1727" t="s">
        <v>5185</v>
      </c>
      <c r="C1727" t="s">
        <v>14</v>
      </c>
      <c r="D1727" s="1">
        <v>34941</v>
      </c>
      <c r="E1727">
        <v>2</v>
      </c>
      <c r="F1727">
        <v>1</v>
      </c>
      <c r="G1727" t="s">
        <v>5186</v>
      </c>
      <c r="H1727">
        <v>2</v>
      </c>
    </row>
    <row r="1728" spans="1:8" x14ac:dyDescent="0.25">
      <c r="A1728" t="s">
        <v>5187</v>
      </c>
      <c r="B1728" t="s">
        <v>5188</v>
      </c>
      <c r="C1728" t="s">
        <v>14</v>
      </c>
      <c r="D1728" s="1">
        <v>36684</v>
      </c>
      <c r="E1728">
        <v>1</v>
      </c>
      <c r="F1728">
        <v>1</v>
      </c>
      <c r="G1728" t="s">
        <v>5189</v>
      </c>
      <c r="H1728">
        <v>1</v>
      </c>
    </row>
    <row r="1729" spans="1:8" x14ac:dyDescent="0.25">
      <c r="A1729" t="s">
        <v>5190</v>
      </c>
      <c r="B1729" t="s">
        <v>5191</v>
      </c>
      <c r="C1729" t="s">
        <v>10</v>
      </c>
      <c r="D1729" s="1">
        <v>40938</v>
      </c>
      <c r="E1729">
        <v>10</v>
      </c>
      <c r="F1729">
        <v>1</v>
      </c>
      <c r="G1729" t="s">
        <v>5192</v>
      </c>
      <c r="H1729">
        <v>10</v>
      </c>
    </row>
    <row r="1730" spans="1:8" x14ac:dyDescent="0.25">
      <c r="A1730" t="s">
        <v>5193</v>
      </c>
      <c r="B1730" t="s">
        <v>5194</v>
      </c>
      <c r="C1730" t="s">
        <v>14</v>
      </c>
      <c r="D1730" s="1">
        <v>42499</v>
      </c>
      <c r="E1730">
        <v>10</v>
      </c>
      <c r="F1730">
        <v>1</v>
      </c>
      <c r="G1730" t="s">
        <v>5195</v>
      </c>
      <c r="H1730">
        <v>10</v>
      </c>
    </row>
    <row r="1731" spans="1:8" x14ac:dyDescent="0.25">
      <c r="A1731" t="s">
        <v>5196</v>
      </c>
      <c r="B1731" t="s">
        <v>5197</v>
      </c>
      <c r="C1731" t="s">
        <v>14</v>
      </c>
      <c r="D1731" s="1">
        <v>40375</v>
      </c>
      <c r="E1731">
        <v>10</v>
      </c>
      <c r="F1731">
        <v>1</v>
      </c>
      <c r="G1731" t="s">
        <v>5198</v>
      </c>
      <c r="H1731">
        <v>10</v>
      </c>
    </row>
    <row r="1732" spans="1:8" x14ac:dyDescent="0.25">
      <c r="A1732" t="s">
        <v>5199</v>
      </c>
      <c r="B1732" t="s">
        <v>5200</v>
      </c>
      <c r="C1732" t="s">
        <v>14</v>
      </c>
      <c r="D1732" s="1">
        <v>39098</v>
      </c>
      <c r="E1732">
        <v>2</v>
      </c>
      <c r="F1732">
        <v>1</v>
      </c>
      <c r="G1732" t="s">
        <v>5201</v>
      </c>
      <c r="H1732">
        <v>2</v>
      </c>
    </row>
    <row r="1733" spans="1:8" x14ac:dyDescent="0.25">
      <c r="A1733" t="s">
        <v>5202</v>
      </c>
      <c r="B1733" t="s">
        <v>5203</v>
      </c>
      <c r="C1733" t="s">
        <v>14</v>
      </c>
      <c r="D1733" s="1">
        <v>39125</v>
      </c>
      <c r="E1733">
        <v>10</v>
      </c>
      <c r="F1733">
        <v>1</v>
      </c>
      <c r="G1733" t="s">
        <v>5204</v>
      </c>
      <c r="H1733">
        <v>10</v>
      </c>
    </row>
    <row r="1734" spans="1:8" x14ac:dyDescent="0.25">
      <c r="A1734" t="s">
        <v>5205</v>
      </c>
      <c r="B1734" t="s">
        <v>5206</v>
      </c>
      <c r="C1734" t="s">
        <v>14</v>
      </c>
      <c r="D1734" s="1">
        <v>43041</v>
      </c>
      <c r="E1734">
        <v>1</v>
      </c>
      <c r="F1734">
        <v>1</v>
      </c>
      <c r="G1734" t="s">
        <v>5207</v>
      </c>
      <c r="H1734">
        <v>1</v>
      </c>
    </row>
    <row r="1735" spans="1:8" x14ac:dyDescent="0.25">
      <c r="A1735" t="s">
        <v>5208</v>
      </c>
      <c r="B1735" t="s">
        <v>5209</v>
      </c>
      <c r="C1735" t="s">
        <v>14</v>
      </c>
      <c r="D1735" s="1">
        <v>40830</v>
      </c>
      <c r="E1735">
        <v>10</v>
      </c>
      <c r="F1735">
        <v>1</v>
      </c>
      <c r="G1735" t="s">
        <v>5210</v>
      </c>
      <c r="H1735">
        <v>10</v>
      </c>
    </row>
    <row r="1736" spans="1:8" x14ac:dyDescent="0.25">
      <c r="A1736" t="s">
        <v>5211</v>
      </c>
      <c r="B1736" t="s">
        <v>5212</v>
      </c>
      <c r="C1736" t="s">
        <v>786</v>
      </c>
      <c r="D1736" s="1">
        <v>34969</v>
      </c>
      <c r="E1736">
        <v>10</v>
      </c>
      <c r="F1736">
        <v>1</v>
      </c>
      <c r="G1736" t="s">
        <v>5213</v>
      </c>
      <c r="H1736">
        <v>10</v>
      </c>
    </row>
    <row r="1737" spans="1:8" x14ac:dyDescent="0.25">
      <c r="A1737" t="s">
        <v>5214</v>
      </c>
      <c r="B1737" t="s">
        <v>5215</v>
      </c>
      <c r="C1737" t="s">
        <v>14</v>
      </c>
      <c r="D1737" s="1">
        <v>37418</v>
      </c>
      <c r="E1737">
        <v>10</v>
      </c>
      <c r="F1737">
        <v>1</v>
      </c>
      <c r="G1737" t="s">
        <v>5216</v>
      </c>
      <c r="H1737">
        <v>10</v>
      </c>
    </row>
    <row r="1738" spans="1:8" x14ac:dyDescent="0.25">
      <c r="A1738" t="s">
        <v>5217</v>
      </c>
      <c r="B1738" t="s">
        <v>5218</v>
      </c>
      <c r="C1738" t="s">
        <v>14</v>
      </c>
      <c r="D1738" s="1">
        <v>39246</v>
      </c>
      <c r="E1738">
        <v>1</v>
      </c>
      <c r="F1738">
        <v>1</v>
      </c>
      <c r="G1738" t="s">
        <v>5219</v>
      </c>
      <c r="H1738">
        <v>1</v>
      </c>
    </row>
    <row r="1739" spans="1:8" x14ac:dyDescent="0.25">
      <c r="A1739" t="s">
        <v>5220</v>
      </c>
      <c r="B1739" t="s">
        <v>5221</v>
      </c>
      <c r="C1739" t="s">
        <v>14</v>
      </c>
      <c r="D1739" s="1">
        <v>39119</v>
      </c>
      <c r="E1739">
        <v>10</v>
      </c>
      <c r="F1739">
        <v>1</v>
      </c>
      <c r="G1739" t="s">
        <v>5222</v>
      </c>
      <c r="H1739">
        <v>10</v>
      </c>
    </row>
    <row r="1740" spans="1:8" x14ac:dyDescent="0.25">
      <c r="A1740" t="s">
        <v>5223</v>
      </c>
      <c r="B1740" t="s">
        <v>5224</v>
      </c>
      <c r="C1740" t="s">
        <v>14</v>
      </c>
      <c r="D1740" s="1">
        <v>38744</v>
      </c>
      <c r="E1740">
        <v>10</v>
      </c>
      <c r="F1740">
        <v>1</v>
      </c>
      <c r="G1740" t="s">
        <v>5225</v>
      </c>
      <c r="H1740">
        <v>10</v>
      </c>
    </row>
    <row r="1741" spans="1:8" x14ac:dyDescent="0.25">
      <c r="A1741" t="s">
        <v>5226</v>
      </c>
      <c r="B1741" t="s">
        <v>5227</v>
      </c>
      <c r="C1741" t="s">
        <v>14</v>
      </c>
      <c r="D1741" s="1">
        <v>44840</v>
      </c>
      <c r="E1741">
        <v>10</v>
      </c>
      <c r="F1741">
        <v>1</v>
      </c>
      <c r="G1741" t="s">
        <v>5228</v>
      </c>
      <c r="H1741">
        <v>10</v>
      </c>
    </row>
    <row r="1742" spans="1:8" x14ac:dyDescent="0.25">
      <c r="A1742" t="s">
        <v>5229</v>
      </c>
      <c r="B1742" t="s">
        <v>5230</v>
      </c>
      <c r="C1742" t="s">
        <v>14</v>
      </c>
      <c r="D1742" s="1">
        <v>36840</v>
      </c>
      <c r="E1742">
        <v>1</v>
      </c>
      <c r="F1742">
        <v>1</v>
      </c>
      <c r="G1742" t="s">
        <v>5231</v>
      </c>
      <c r="H1742">
        <v>1</v>
      </c>
    </row>
    <row r="1743" spans="1:8" x14ac:dyDescent="0.25">
      <c r="A1743" t="s">
        <v>5232</v>
      </c>
      <c r="B1743" t="s">
        <v>5233</v>
      </c>
      <c r="C1743" t="s">
        <v>14</v>
      </c>
      <c r="D1743" s="1">
        <v>37755</v>
      </c>
      <c r="E1743">
        <v>1</v>
      </c>
      <c r="F1743">
        <v>1</v>
      </c>
      <c r="G1743" t="s">
        <v>5234</v>
      </c>
      <c r="H1743">
        <v>1</v>
      </c>
    </row>
    <row r="1744" spans="1:8" x14ac:dyDescent="0.25">
      <c r="A1744" t="s">
        <v>5235</v>
      </c>
      <c r="B1744" t="s">
        <v>5236</v>
      </c>
      <c r="C1744" t="s">
        <v>10</v>
      </c>
      <c r="D1744" s="1">
        <v>44047</v>
      </c>
      <c r="E1744">
        <v>2</v>
      </c>
      <c r="F1744">
        <v>1</v>
      </c>
      <c r="G1744" t="s">
        <v>5237</v>
      </c>
      <c r="H1744">
        <v>2</v>
      </c>
    </row>
    <row r="1745" spans="1:8" x14ac:dyDescent="0.25">
      <c r="A1745" t="s">
        <v>5238</v>
      </c>
      <c r="B1745" t="s">
        <v>5239</v>
      </c>
      <c r="C1745" t="s">
        <v>14</v>
      </c>
      <c r="D1745" s="1">
        <v>39559</v>
      </c>
      <c r="E1745">
        <v>2</v>
      </c>
      <c r="F1745">
        <v>1</v>
      </c>
      <c r="G1745" t="s">
        <v>5240</v>
      </c>
      <c r="H1745">
        <v>2</v>
      </c>
    </row>
    <row r="1746" spans="1:8" x14ac:dyDescent="0.25">
      <c r="A1746" t="s">
        <v>5241</v>
      </c>
      <c r="B1746" t="s">
        <v>5242</v>
      </c>
      <c r="C1746" t="s">
        <v>14</v>
      </c>
      <c r="D1746" s="1">
        <v>38254</v>
      </c>
      <c r="E1746">
        <v>1</v>
      </c>
      <c r="F1746">
        <v>1</v>
      </c>
      <c r="G1746" t="s">
        <v>5243</v>
      </c>
      <c r="H1746">
        <v>1</v>
      </c>
    </row>
    <row r="1747" spans="1:8" x14ac:dyDescent="0.25">
      <c r="A1747" t="s">
        <v>5244</v>
      </c>
      <c r="B1747" t="s">
        <v>5245</v>
      </c>
      <c r="C1747" t="s">
        <v>14</v>
      </c>
      <c r="D1747" s="1">
        <v>44819</v>
      </c>
      <c r="E1747">
        <v>10</v>
      </c>
      <c r="F1747">
        <v>1</v>
      </c>
      <c r="G1747" t="s">
        <v>5246</v>
      </c>
      <c r="H1747">
        <v>10</v>
      </c>
    </row>
    <row r="1748" spans="1:8" x14ac:dyDescent="0.25">
      <c r="A1748" t="s">
        <v>5247</v>
      </c>
      <c r="B1748" t="s">
        <v>5248</v>
      </c>
      <c r="C1748" t="s">
        <v>14</v>
      </c>
      <c r="D1748" s="1">
        <v>36460</v>
      </c>
      <c r="E1748">
        <v>10</v>
      </c>
      <c r="F1748">
        <v>1</v>
      </c>
      <c r="G1748" t="s">
        <v>5249</v>
      </c>
      <c r="H1748">
        <v>10</v>
      </c>
    </row>
    <row r="1749" spans="1:8" x14ac:dyDescent="0.25">
      <c r="A1749" t="s">
        <v>5250</v>
      </c>
      <c r="B1749" t="s">
        <v>5251</v>
      </c>
      <c r="C1749" t="s">
        <v>14</v>
      </c>
      <c r="D1749" s="1">
        <v>35109</v>
      </c>
      <c r="E1749">
        <v>10</v>
      </c>
      <c r="F1749">
        <v>1</v>
      </c>
      <c r="G1749" t="s">
        <v>5252</v>
      </c>
      <c r="H1749">
        <v>10</v>
      </c>
    </row>
    <row r="1750" spans="1:8" x14ac:dyDescent="0.25">
      <c r="A1750" t="s">
        <v>5253</v>
      </c>
      <c r="B1750" t="s">
        <v>5254</v>
      </c>
      <c r="C1750" t="s">
        <v>10</v>
      </c>
      <c r="D1750" s="1">
        <v>37656</v>
      </c>
      <c r="E1750">
        <v>10</v>
      </c>
      <c r="F1750">
        <v>1</v>
      </c>
      <c r="G1750" t="s">
        <v>5255</v>
      </c>
      <c r="H1750">
        <v>10</v>
      </c>
    </row>
    <row r="1751" spans="1:8" x14ac:dyDescent="0.25">
      <c r="A1751" t="s">
        <v>5256</v>
      </c>
      <c r="B1751" t="s">
        <v>5257</v>
      </c>
      <c r="C1751" t="s">
        <v>14</v>
      </c>
      <c r="D1751" s="1">
        <v>34983</v>
      </c>
      <c r="E1751">
        <v>10</v>
      </c>
      <c r="F1751">
        <v>1</v>
      </c>
      <c r="G1751" t="s">
        <v>5258</v>
      </c>
      <c r="H1751">
        <v>10</v>
      </c>
    </row>
    <row r="1752" spans="1:8" x14ac:dyDescent="0.25">
      <c r="A1752" t="s">
        <v>5259</v>
      </c>
      <c r="B1752" t="s">
        <v>5260</v>
      </c>
      <c r="C1752" t="s">
        <v>14</v>
      </c>
      <c r="D1752" s="1">
        <v>37585</v>
      </c>
      <c r="E1752">
        <v>5</v>
      </c>
      <c r="F1752">
        <v>1</v>
      </c>
      <c r="G1752" t="s">
        <v>5261</v>
      </c>
      <c r="H1752">
        <v>5</v>
      </c>
    </row>
    <row r="1753" spans="1:8" x14ac:dyDescent="0.25">
      <c r="A1753" t="s">
        <v>5262</v>
      </c>
      <c r="B1753" t="s">
        <v>5263</v>
      </c>
      <c r="C1753" t="s">
        <v>14</v>
      </c>
      <c r="D1753" s="1">
        <v>39049</v>
      </c>
      <c r="E1753">
        <v>10</v>
      </c>
      <c r="F1753">
        <v>1</v>
      </c>
      <c r="G1753" t="s">
        <v>5264</v>
      </c>
      <c r="H1753">
        <v>10</v>
      </c>
    </row>
    <row r="1754" spans="1:8" x14ac:dyDescent="0.25">
      <c r="A1754" t="s">
        <v>5265</v>
      </c>
      <c r="B1754" t="s">
        <v>5266</v>
      </c>
      <c r="C1754" t="s">
        <v>14</v>
      </c>
      <c r="D1754" s="1">
        <v>44071</v>
      </c>
      <c r="E1754">
        <v>10</v>
      </c>
      <c r="F1754">
        <v>1</v>
      </c>
      <c r="G1754" t="s">
        <v>5267</v>
      </c>
      <c r="H1754">
        <v>10</v>
      </c>
    </row>
    <row r="1755" spans="1:8" x14ac:dyDescent="0.25">
      <c r="A1755" t="s">
        <v>5268</v>
      </c>
      <c r="B1755" t="s">
        <v>5269</v>
      </c>
      <c r="C1755" t="s">
        <v>10</v>
      </c>
      <c r="D1755" s="1">
        <v>43851</v>
      </c>
      <c r="E1755">
        <v>10</v>
      </c>
      <c r="F1755">
        <v>1</v>
      </c>
      <c r="G1755" t="s">
        <v>5270</v>
      </c>
      <c r="H1755">
        <v>10</v>
      </c>
    </row>
    <row r="1756" spans="1:8" x14ac:dyDescent="0.25">
      <c r="A1756" t="s">
        <v>5271</v>
      </c>
      <c r="B1756" t="s">
        <v>5272</v>
      </c>
      <c r="C1756" t="s">
        <v>10</v>
      </c>
      <c r="D1756" s="1">
        <v>39843</v>
      </c>
      <c r="E1756">
        <v>10</v>
      </c>
      <c r="F1756">
        <v>1</v>
      </c>
      <c r="G1756" t="s">
        <v>5273</v>
      </c>
      <c r="H1756">
        <v>10</v>
      </c>
    </row>
    <row r="1757" spans="1:8" x14ac:dyDescent="0.25">
      <c r="A1757" t="s">
        <v>5274</v>
      </c>
      <c r="B1757" t="s">
        <v>5275</v>
      </c>
      <c r="C1757" t="s">
        <v>14</v>
      </c>
      <c r="D1757" s="1">
        <v>42144</v>
      </c>
      <c r="E1757">
        <v>2</v>
      </c>
      <c r="F1757">
        <v>1</v>
      </c>
      <c r="G1757" t="s">
        <v>5276</v>
      </c>
      <c r="H1757">
        <v>2</v>
      </c>
    </row>
    <row r="1758" spans="1:8" x14ac:dyDescent="0.25">
      <c r="A1758" t="s">
        <v>5277</v>
      </c>
      <c r="B1758" t="s">
        <v>5278</v>
      </c>
      <c r="C1758" t="s">
        <v>14</v>
      </c>
      <c r="D1758" s="1">
        <v>44854</v>
      </c>
      <c r="E1758">
        <v>1</v>
      </c>
      <c r="F1758">
        <v>1</v>
      </c>
      <c r="G1758" t="s">
        <v>5279</v>
      </c>
      <c r="H1758">
        <v>1</v>
      </c>
    </row>
    <row r="1759" spans="1:8" x14ac:dyDescent="0.25">
      <c r="A1759" t="s">
        <v>5280</v>
      </c>
      <c r="B1759" t="s">
        <v>5281</v>
      </c>
      <c r="C1759" t="s">
        <v>14</v>
      </c>
      <c r="D1759" s="1">
        <v>40781</v>
      </c>
      <c r="E1759">
        <v>10</v>
      </c>
      <c r="F1759">
        <v>1</v>
      </c>
      <c r="G1759" t="s">
        <v>5282</v>
      </c>
      <c r="H1759">
        <v>10</v>
      </c>
    </row>
    <row r="1760" spans="1:8" x14ac:dyDescent="0.25">
      <c r="A1760" t="s">
        <v>5283</v>
      </c>
      <c r="B1760" t="s">
        <v>5284</v>
      </c>
      <c r="C1760" t="s">
        <v>10</v>
      </c>
      <c r="D1760" s="1">
        <v>43462</v>
      </c>
      <c r="E1760">
        <v>10</v>
      </c>
      <c r="F1760">
        <v>1</v>
      </c>
      <c r="G1760" t="s">
        <v>5285</v>
      </c>
      <c r="H1760">
        <v>10</v>
      </c>
    </row>
    <row r="1761" spans="1:8" x14ac:dyDescent="0.25">
      <c r="A1761" t="s">
        <v>5286</v>
      </c>
      <c r="B1761" t="s">
        <v>5287</v>
      </c>
      <c r="C1761" t="s">
        <v>14</v>
      </c>
      <c r="D1761" s="1">
        <v>45148</v>
      </c>
      <c r="E1761">
        <v>2</v>
      </c>
      <c r="F1761">
        <v>1</v>
      </c>
      <c r="G1761" t="s">
        <v>5288</v>
      </c>
      <c r="H1761">
        <v>2</v>
      </c>
    </row>
    <row r="1762" spans="1:8" x14ac:dyDescent="0.25">
      <c r="A1762" t="s">
        <v>5289</v>
      </c>
      <c r="B1762" t="s">
        <v>5290</v>
      </c>
      <c r="C1762" t="s">
        <v>14</v>
      </c>
      <c r="D1762" s="1">
        <v>38145</v>
      </c>
      <c r="E1762">
        <v>1</v>
      </c>
      <c r="F1762">
        <v>1</v>
      </c>
      <c r="G1762" t="s">
        <v>5291</v>
      </c>
      <c r="H1762">
        <v>1</v>
      </c>
    </row>
    <row r="1763" spans="1:8" x14ac:dyDescent="0.25">
      <c r="A1763" t="s">
        <v>5292</v>
      </c>
      <c r="B1763" t="s">
        <v>5293</v>
      </c>
      <c r="C1763" t="s">
        <v>14</v>
      </c>
      <c r="D1763" s="1">
        <v>40263</v>
      </c>
      <c r="E1763">
        <v>10</v>
      </c>
      <c r="F1763">
        <v>1</v>
      </c>
      <c r="G1763" t="s">
        <v>5294</v>
      </c>
      <c r="H1763">
        <v>10</v>
      </c>
    </row>
    <row r="1764" spans="1:8" x14ac:dyDescent="0.25">
      <c r="A1764" t="s">
        <v>5295</v>
      </c>
      <c r="B1764" t="s">
        <v>5296</v>
      </c>
      <c r="C1764" t="s">
        <v>14</v>
      </c>
      <c r="D1764" s="1">
        <v>36943</v>
      </c>
      <c r="E1764">
        <v>1</v>
      </c>
      <c r="F1764">
        <v>1</v>
      </c>
      <c r="G1764" t="s">
        <v>5297</v>
      </c>
      <c r="H1764">
        <v>1</v>
      </c>
    </row>
    <row r="1765" spans="1:8" x14ac:dyDescent="0.25">
      <c r="A1765" t="s">
        <v>5298</v>
      </c>
      <c r="B1765" t="s">
        <v>5299</v>
      </c>
      <c r="C1765" t="s">
        <v>14</v>
      </c>
      <c r="D1765" s="1">
        <v>35894</v>
      </c>
      <c r="E1765">
        <v>10</v>
      </c>
      <c r="F1765">
        <v>1</v>
      </c>
      <c r="G1765" t="s">
        <v>5300</v>
      </c>
      <c r="H1765">
        <v>10</v>
      </c>
    </row>
    <row r="1766" spans="1:8" x14ac:dyDescent="0.25">
      <c r="A1766" t="s">
        <v>5301</v>
      </c>
      <c r="B1766" t="s">
        <v>5302</v>
      </c>
      <c r="C1766" t="s">
        <v>14</v>
      </c>
      <c r="D1766" s="1">
        <v>39444</v>
      </c>
      <c r="E1766">
        <v>1</v>
      </c>
      <c r="F1766">
        <v>1</v>
      </c>
      <c r="G1766" t="s">
        <v>5303</v>
      </c>
      <c r="H1766">
        <v>1</v>
      </c>
    </row>
    <row r="1767" spans="1:8" x14ac:dyDescent="0.25">
      <c r="A1767" t="s">
        <v>5304</v>
      </c>
      <c r="B1767" t="s">
        <v>5305</v>
      </c>
      <c r="C1767" t="s">
        <v>14</v>
      </c>
      <c r="D1767" s="1">
        <v>40844</v>
      </c>
      <c r="E1767">
        <v>1</v>
      </c>
      <c r="F1767">
        <v>1</v>
      </c>
      <c r="G1767" t="s">
        <v>5306</v>
      </c>
      <c r="H1767">
        <v>1</v>
      </c>
    </row>
    <row r="1768" spans="1:8" x14ac:dyDescent="0.25">
      <c r="A1768" t="s">
        <v>5307</v>
      </c>
      <c r="B1768" t="s">
        <v>5308</v>
      </c>
      <c r="C1768" t="s">
        <v>14</v>
      </c>
      <c r="D1768" s="1">
        <v>38699</v>
      </c>
      <c r="E1768">
        <v>1</v>
      </c>
      <c r="F1768">
        <v>1</v>
      </c>
      <c r="G1768" t="s">
        <v>5309</v>
      </c>
      <c r="H1768">
        <v>1</v>
      </c>
    </row>
    <row r="1769" spans="1:8" x14ac:dyDescent="0.25">
      <c r="A1769" t="s">
        <v>5310</v>
      </c>
      <c r="B1769" t="s">
        <v>5311</v>
      </c>
      <c r="C1769" t="s">
        <v>14</v>
      </c>
      <c r="D1769" s="1">
        <v>45097</v>
      </c>
      <c r="E1769">
        <v>2</v>
      </c>
      <c r="F1769">
        <v>1</v>
      </c>
      <c r="G1769" t="s">
        <v>5312</v>
      </c>
      <c r="H1769">
        <v>2</v>
      </c>
    </row>
    <row r="1770" spans="1:8" x14ac:dyDescent="0.25">
      <c r="A1770" t="s">
        <v>5313</v>
      </c>
      <c r="B1770" t="s">
        <v>5314</v>
      </c>
      <c r="C1770" t="s">
        <v>14</v>
      </c>
      <c r="D1770" s="1">
        <v>42340</v>
      </c>
      <c r="E1770">
        <v>10</v>
      </c>
      <c r="F1770">
        <v>1</v>
      </c>
      <c r="G1770" t="s">
        <v>5315</v>
      </c>
      <c r="H1770">
        <v>10</v>
      </c>
    </row>
    <row r="1771" spans="1:8" x14ac:dyDescent="0.25">
      <c r="A1771" t="s">
        <v>5316</v>
      </c>
      <c r="B1771" t="s">
        <v>5317</v>
      </c>
      <c r="C1771" t="s">
        <v>14</v>
      </c>
      <c r="D1771" s="1">
        <v>36516</v>
      </c>
      <c r="E1771">
        <v>1</v>
      </c>
      <c r="F1771">
        <v>1</v>
      </c>
      <c r="G1771" t="s">
        <v>5318</v>
      </c>
      <c r="H1771">
        <v>1</v>
      </c>
    </row>
    <row r="1772" spans="1:8" x14ac:dyDescent="0.25">
      <c r="A1772" t="s">
        <v>5319</v>
      </c>
      <c r="B1772" t="s">
        <v>5320</v>
      </c>
      <c r="C1772" t="s">
        <v>14</v>
      </c>
      <c r="D1772" s="1">
        <v>39135</v>
      </c>
      <c r="E1772">
        <v>10</v>
      </c>
      <c r="F1772">
        <v>1</v>
      </c>
      <c r="G1772" t="s">
        <v>5321</v>
      </c>
      <c r="H1772">
        <v>10</v>
      </c>
    </row>
    <row r="1773" spans="1:8" x14ac:dyDescent="0.25">
      <c r="A1773" t="s">
        <v>5322</v>
      </c>
      <c r="B1773" t="s">
        <v>5323</v>
      </c>
      <c r="C1773" t="s">
        <v>14</v>
      </c>
      <c r="D1773" s="1">
        <v>36819</v>
      </c>
      <c r="E1773">
        <v>10</v>
      </c>
      <c r="F1773">
        <v>1</v>
      </c>
      <c r="G1773" t="s">
        <v>5324</v>
      </c>
      <c r="H1773">
        <v>10</v>
      </c>
    </row>
    <row r="1774" spans="1:8" x14ac:dyDescent="0.25">
      <c r="A1774" t="s">
        <v>5325</v>
      </c>
      <c r="B1774" t="s">
        <v>5326</v>
      </c>
      <c r="C1774" t="s">
        <v>14</v>
      </c>
      <c r="D1774" s="1">
        <v>39121</v>
      </c>
      <c r="E1774">
        <v>2</v>
      </c>
      <c r="F1774">
        <v>1</v>
      </c>
      <c r="G1774" t="s">
        <v>5327</v>
      </c>
      <c r="H1774">
        <v>2</v>
      </c>
    </row>
    <row r="1775" spans="1:8" x14ac:dyDescent="0.25">
      <c r="A1775" t="s">
        <v>5328</v>
      </c>
      <c r="B1775" t="s">
        <v>5329</v>
      </c>
      <c r="C1775" t="s">
        <v>14</v>
      </c>
      <c r="D1775" s="1">
        <v>37981</v>
      </c>
      <c r="E1775">
        <v>10</v>
      </c>
      <c r="F1775">
        <v>1</v>
      </c>
      <c r="G1775" t="s">
        <v>5330</v>
      </c>
      <c r="H1775">
        <v>10</v>
      </c>
    </row>
    <row r="1776" spans="1:8" x14ac:dyDescent="0.25">
      <c r="A1776" t="s">
        <v>5331</v>
      </c>
      <c r="B1776" t="s">
        <v>5332</v>
      </c>
      <c r="C1776" t="s">
        <v>14</v>
      </c>
      <c r="D1776" s="1">
        <v>41205</v>
      </c>
      <c r="E1776">
        <v>5</v>
      </c>
      <c r="F1776">
        <v>1</v>
      </c>
      <c r="G1776" t="s">
        <v>5333</v>
      </c>
      <c r="H1776">
        <v>5</v>
      </c>
    </row>
    <row r="1777" spans="1:8" x14ac:dyDescent="0.25">
      <c r="A1777" t="s">
        <v>5334</v>
      </c>
      <c r="B1777" t="s">
        <v>5335</v>
      </c>
      <c r="C1777" t="s">
        <v>14</v>
      </c>
      <c r="D1777" s="1">
        <v>36740</v>
      </c>
      <c r="E1777">
        <v>1</v>
      </c>
      <c r="F1777">
        <v>1</v>
      </c>
      <c r="G1777" t="s">
        <v>5336</v>
      </c>
      <c r="H1777">
        <v>1</v>
      </c>
    </row>
    <row r="1778" spans="1:8" x14ac:dyDescent="0.25">
      <c r="A1778" t="s">
        <v>5337</v>
      </c>
      <c r="B1778" t="s">
        <v>5338</v>
      </c>
      <c r="C1778" t="s">
        <v>14</v>
      </c>
      <c r="D1778" s="1">
        <v>45161</v>
      </c>
      <c r="E1778">
        <v>1</v>
      </c>
      <c r="F1778">
        <v>1</v>
      </c>
      <c r="G1778" t="s">
        <v>5339</v>
      </c>
      <c r="H1778">
        <v>1</v>
      </c>
    </row>
    <row r="1779" spans="1:8" x14ac:dyDescent="0.25">
      <c r="A1779" t="s">
        <v>5340</v>
      </c>
      <c r="B1779" t="s">
        <v>5341</v>
      </c>
      <c r="C1779" t="s">
        <v>14</v>
      </c>
      <c r="D1779" s="1">
        <v>39126</v>
      </c>
      <c r="E1779">
        <v>10</v>
      </c>
      <c r="F1779">
        <v>1</v>
      </c>
      <c r="G1779" t="s">
        <v>5342</v>
      </c>
      <c r="H1779">
        <v>10</v>
      </c>
    </row>
    <row r="1780" spans="1:8" x14ac:dyDescent="0.25">
      <c r="A1780" t="s">
        <v>5343</v>
      </c>
      <c r="B1780" t="s">
        <v>5344</v>
      </c>
      <c r="C1780" t="s">
        <v>14</v>
      </c>
      <c r="D1780" s="1">
        <v>38002</v>
      </c>
      <c r="E1780">
        <v>5</v>
      </c>
      <c r="F1780">
        <v>1</v>
      </c>
      <c r="G1780" t="s">
        <v>5345</v>
      </c>
      <c r="H1780">
        <v>5</v>
      </c>
    </row>
    <row r="1781" spans="1:8" x14ac:dyDescent="0.25">
      <c r="A1781" t="s">
        <v>5346</v>
      </c>
      <c r="B1781" t="s">
        <v>5347</v>
      </c>
      <c r="C1781" t="s">
        <v>10</v>
      </c>
      <c r="D1781" s="1">
        <v>42628</v>
      </c>
      <c r="E1781">
        <v>10</v>
      </c>
      <c r="F1781">
        <v>1</v>
      </c>
      <c r="G1781" t="s">
        <v>5348</v>
      </c>
      <c r="H1781">
        <v>10</v>
      </c>
    </row>
    <row r="1782" spans="1:8" x14ac:dyDescent="0.25">
      <c r="A1782" t="s">
        <v>5349</v>
      </c>
      <c r="B1782" t="s">
        <v>5350</v>
      </c>
      <c r="C1782" t="s">
        <v>14</v>
      </c>
      <c r="D1782" s="1">
        <v>39657</v>
      </c>
      <c r="E1782">
        <v>1</v>
      </c>
      <c r="F1782">
        <v>1</v>
      </c>
      <c r="G1782" t="s">
        <v>5351</v>
      </c>
      <c r="H1782">
        <v>1</v>
      </c>
    </row>
    <row r="1783" spans="1:8" x14ac:dyDescent="0.25">
      <c r="A1783" t="s">
        <v>5352</v>
      </c>
      <c r="B1783" t="s">
        <v>5353</v>
      </c>
      <c r="C1783" t="s">
        <v>14</v>
      </c>
      <c r="D1783" s="1">
        <v>34955</v>
      </c>
      <c r="E1783">
        <v>10</v>
      </c>
      <c r="F1783">
        <v>1</v>
      </c>
      <c r="G1783" t="s">
        <v>5354</v>
      </c>
      <c r="H1783">
        <v>10</v>
      </c>
    </row>
    <row r="1784" spans="1:8" x14ac:dyDescent="0.25">
      <c r="A1784" t="s">
        <v>5355</v>
      </c>
      <c r="B1784" t="s">
        <v>5356</v>
      </c>
      <c r="C1784" t="s">
        <v>14</v>
      </c>
      <c r="D1784" s="1">
        <v>37903</v>
      </c>
      <c r="E1784">
        <v>10</v>
      </c>
      <c r="F1784">
        <v>1</v>
      </c>
      <c r="G1784" t="s">
        <v>5357</v>
      </c>
      <c r="H1784">
        <v>10</v>
      </c>
    </row>
    <row r="1785" spans="1:8" x14ac:dyDescent="0.25">
      <c r="A1785" t="s">
        <v>5358</v>
      </c>
      <c r="B1785" t="s">
        <v>5359</v>
      </c>
      <c r="C1785" t="s">
        <v>14</v>
      </c>
      <c r="D1785" s="1">
        <v>45203</v>
      </c>
      <c r="E1785">
        <v>10</v>
      </c>
      <c r="F1785">
        <v>1</v>
      </c>
      <c r="G1785" t="s">
        <v>5360</v>
      </c>
      <c r="H1785">
        <v>10</v>
      </c>
    </row>
    <row r="1786" spans="1:8" x14ac:dyDescent="0.25">
      <c r="A1786" t="s">
        <v>5361</v>
      </c>
      <c r="B1786" t="s">
        <v>5362</v>
      </c>
      <c r="C1786" t="s">
        <v>14</v>
      </c>
      <c r="D1786" s="1">
        <v>34934</v>
      </c>
      <c r="E1786">
        <v>10</v>
      </c>
      <c r="F1786">
        <v>1</v>
      </c>
      <c r="G1786" t="s">
        <v>5363</v>
      </c>
      <c r="H1786">
        <v>10</v>
      </c>
    </row>
    <row r="1787" spans="1:8" x14ac:dyDescent="0.25">
      <c r="A1787" t="s">
        <v>5364</v>
      </c>
      <c r="B1787" t="s">
        <v>5365</v>
      </c>
      <c r="C1787" t="s">
        <v>10</v>
      </c>
      <c r="D1787" s="1">
        <v>42138</v>
      </c>
      <c r="E1787">
        <v>10</v>
      </c>
      <c r="F1787">
        <v>1</v>
      </c>
      <c r="G1787" t="s">
        <v>5366</v>
      </c>
      <c r="H1787">
        <v>10</v>
      </c>
    </row>
    <row r="1788" spans="1:8" x14ac:dyDescent="0.25">
      <c r="A1788" t="s">
        <v>5367</v>
      </c>
      <c r="B1788" t="s">
        <v>5368</v>
      </c>
      <c r="C1788" t="s">
        <v>14</v>
      </c>
      <c r="D1788" s="1">
        <v>40413</v>
      </c>
      <c r="E1788">
        <v>1</v>
      </c>
      <c r="F1788">
        <v>1</v>
      </c>
      <c r="G1788" t="s">
        <v>5369</v>
      </c>
      <c r="H1788">
        <v>1</v>
      </c>
    </row>
    <row r="1789" spans="1:8" x14ac:dyDescent="0.25">
      <c r="A1789" t="s">
        <v>5370</v>
      </c>
      <c r="B1789" t="s">
        <v>5371</v>
      </c>
      <c r="C1789" t="s">
        <v>14</v>
      </c>
      <c r="D1789" s="1">
        <v>44419</v>
      </c>
      <c r="E1789">
        <v>10</v>
      </c>
      <c r="F1789">
        <v>1</v>
      </c>
      <c r="G1789" t="s">
        <v>5372</v>
      </c>
      <c r="H1789">
        <v>10</v>
      </c>
    </row>
    <row r="1790" spans="1:8" x14ac:dyDescent="0.25">
      <c r="A1790" t="s">
        <v>5373</v>
      </c>
      <c r="B1790" t="s">
        <v>5374</v>
      </c>
      <c r="C1790" t="s">
        <v>14</v>
      </c>
      <c r="D1790" s="1">
        <v>42500</v>
      </c>
      <c r="E1790">
        <v>10</v>
      </c>
      <c r="F1790">
        <v>1</v>
      </c>
      <c r="G1790" t="s">
        <v>5375</v>
      </c>
      <c r="H1790">
        <v>10</v>
      </c>
    </row>
    <row r="1791" spans="1:8" x14ac:dyDescent="0.25">
      <c r="A1791" t="s">
        <v>5376</v>
      </c>
      <c r="B1791" t="s">
        <v>5377</v>
      </c>
      <c r="C1791" t="s">
        <v>14</v>
      </c>
      <c r="D1791" s="1">
        <v>43811</v>
      </c>
      <c r="E1791">
        <v>10</v>
      </c>
      <c r="F1791">
        <v>1</v>
      </c>
      <c r="G1791" t="s">
        <v>5378</v>
      </c>
      <c r="H1791">
        <v>10</v>
      </c>
    </row>
    <row r="1792" spans="1:8" x14ac:dyDescent="0.25">
      <c r="A1792" t="s">
        <v>5379</v>
      </c>
      <c r="B1792" t="s">
        <v>5380</v>
      </c>
      <c r="C1792" t="s">
        <v>14</v>
      </c>
      <c r="D1792" s="1">
        <v>38223</v>
      </c>
      <c r="E1792">
        <v>10</v>
      </c>
      <c r="F1792">
        <v>1</v>
      </c>
      <c r="G1792" t="s">
        <v>5381</v>
      </c>
      <c r="H1792">
        <v>10</v>
      </c>
    </row>
    <row r="1793" spans="1:8" x14ac:dyDescent="0.25">
      <c r="A1793" t="s">
        <v>5382</v>
      </c>
      <c r="B1793" t="s">
        <v>5383</v>
      </c>
      <c r="C1793" t="s">
        <v>14</v>
      </c>
      <c r="D1793" s="1">
        <v>44658</v>
      </c>
      <c r="E1793">
        <v>10</v>
      </c>
      <c r="F1793">
        <v>1</v>
      </c>
      <c r="G1793" t="s">
        <v>5384</v>
      </c>
      <c r="H1793">
        <v>10</v>
      </c>
    </row>
    <row r="1794" spans="1:8" x14ac:dyDescent="0.25">
      <c r="A1794" t="s">
        <v>5385</v>
      </c>
      <c r="B1794" t="s">
        <v>5386</v>
      </c>
      <c r="C1794" t="s">
        <v>14</v>
      </c>
      <c r="D1794" s="1">
        <v>42340</v>
      </c>
      <c r="E1794">
        <v>5</v>
      </c>
      <c r="F1794">
        <v>1</v>
      </c>
      <c r="G1794" t="s">
        <v>5387</v>
      </c>
      <c r="H1794">
        <v>5</v>
      </c>
    </row>
    <row r="1795" spans="1:8" x14ac:dyDescent="0.25">
      <c r="A1795" t="s">
        <v>5388</v>
      </c>
      <c r="B1795" t="s">
        <v>5389</v>
      </c>
      <c r="C1795" t="s">
        <v>10</v>
      </c>
      <c r="D1795" s="1">
        <v>40371</v>
      </c>
      <c r="E1795">
        <v>1</v>
      </c>
      <c r="F1795">
        <v>1</v>
      </c>
      <c r="G1795" t="s">
        <v>5390</v>
      </c>
      <c r="H1795">
        <v>1</v>
      </c>
    </row>
    <row r="1796" spans="1:8" x14ac:dyDescent="0.25">
      <c r="A1796" t="s">
        <v>5391</v>
      </c>
      <c r="B1796" t="s">
        <v>5392</v>
      </c>
      <c r="C1796" t="s">
        <v>14</v>
      </c>
      <c r="D1796" s="1">
        <v>36929</v>
      </c>
      <c r="E1796">
        <v>2</v>
      </c>
      <c r="F1796">
        <v>1</v>
      </c>
      <c r="G1796" t="s">
        <v>5393</v>
      </c>
      <c r="H1796">
        <v>2</v>
      </c>
    </row>
    <row r="1797" spans="1:8" x14ac:dyDescent="0.25">
      <c r="A1797" t="s">
        <v>5394</v>
      </c>
      <c r="B1797" t="s">
        <v>5395</v>
      </c>
      <c r="C1797" t="s">
        <v>14</v>
      </c>
      <c r="D1797" s="1">
        <v>44099</v>
      </c>
      <c r="E1797">
        <v>10</v>
      </c>
      <c r="F1797">
        <v>1</v>
      </c>
      <c r="G1797" t="s">
        <v>5396</v>
      </c>
      <c r="H1797">
        <v>10</v>
      </c>
    </row>
    <row r="1798" spans="1:8" x14ac:dyDescent="0.25">
      <c r="A1798" t="s">
        <v>5397</v>
      </c>
      <c r="B1798" t="s">
        <v>5398</v>
      </c>
      <c r="C1798" t="s">
        <v>14</v>
      </c>
      <c r="D1798" s="1">
        <v>38009</v>
      </c>
      <c r="E1798">
        <v>2</v>
      </c>
      <c r="F1798">
        <v>1</v>
      </c>
      <c r="G1798" t="s">
        <v>5399</v>
      </c>
      <c r="H1798">
        <v>2</v>
      </c>
    </row>
    <row r="1799" spans="1:8" x14ac:dyDescent="0.25">
      <c r="A1799" t="s">
        <v>5400</v>
      </c>
      <c r="B1799" t="s">
        <v>5401</v>
      </c>
      <c r="C1799" t="s">
        <v>10</v>
      </c>
      <c r="D1799" s="1">
        <v>44573</v>
      </c>
      <c r="E1799">
        <v>10</v>
      </c>
      <c r="F1799">
        <v>1</v>
      </c>
      <c r="G1799" t="s">
        <v>5402</v>
      </c>
      <c r="H1799">
        <v>10</v>
      </c>
    </row>
    <row r="1800" spans="1:8" x14ac:dyDescent="0.25">
      <c r="A1800" t="s">
        <v>5403</v>
      </c>
      <c r="B1800" t="s">
        <v>5404</v>
      </c>
      <c r="C1800" t="s">
        <v>14</v>
      </c>
      <c r="D1800" s="1">
        <v>37523</v>
      </c>
      <c r="E1800">
        <v>10</v>
      </c>
      <c r="F1800">
        <v>1</v>
      </c>
      <c r="G1800" t="s">
        <v>5405</v>
      </c>
      <c r="H1800">
        <v>10</v>
      </c>
    </row>
    <row r="1801" spans="1:8" x14ac:dyDescent="0.25">
      <c r="A1801" t="s">
        <v>5406</v>
      </c>
      <c r="B1801" t="s">
        <v>5407</v>
      </c>
      <c r="C1801" t="s">
        <v>14</v>
      </c>
      <c r="D1801" s="1">
        <v>44907</v>
      </c>
      <c r="E1801">
        <v>10</v>
      </c>
      <c r="F1801">
        <v>1</v>
      </c>
      <c r="G1801" t="s">
        <v>5408</v>
      </c>
      <c r="H1801">
        <v>10</v>
      </c>
    </row>
    <row r="1802" spans="1:8" x14ac:dyDescent="0.25">
      <c r="A1802" t="s">
        <v>5409</v>
      </c>
      <c r="B1802" t="s">
        <v>5410</v>
      </c>
      <c r="C1802" t="s">
        <v>786</v>
      </c>
      <c r="D1802" s="1">
        <v>36411</v>
      </c>
      <c r="E1802">
        <v>2</v>
      </c>
      <c r="F1802">
        <v>1</v>
      </c>
      <c r="G1802" t="s">
        <v>5411</v>
      </c>
      <c r="H1802">
        <v>2</v>
      </c>
    </row>
    <row r="1803" spans="1:8" x14ac:dyDescent="0.25">
      <c r="A1803" t="s">
        <v>5412</v>
      </c>
      <c r="B1803" t="s">
        <v>5413</v>
      </c>
      <c r="C1803" t="s">
        <v>14</v>
      </c>
      <c r="D1803" s="1">
        <v>44561</v>
      </c>
      <c r="E1803">
        <v>10</v>
      </c>
      <c r="F1803">
        <v>1</v>
      </c>
      <c r="G1803" t="s">
        <v>5414</v>
      </c>
      <c r="H1803">
        <v>10</v>
      </c>
    </row>
    <row r="1804" spans="1:8" x14ac:dyDescent="0.25">
      <c r="A1804" t="s">
        <v>5415</v>
      </c>
      <c r="B1804" t="s">
        <v>5416</v>
      </c>
      <c r="C1804" t="s">
        <v>14</v>
      </c>
      <c r="D1804" s="1">
        <v>42032</v>
      </c>
      <c r="E1804">
        <v>10</v>
      </c>
      <c r="F1804">
        <v>1</v>
      </c>
      <c r="G1804" t="s">
        <v>5417</v>
      </c>
      <c r="H1804">
        <v>10</v>
      </c>
    </row>
    <row r="1805" spans="1:8" x14ac:dyDescent="0.25">
      <c r="A1805" t="s">
        <v>5418</v>
      </c>
      <c r="B1805" t="s">
        <v>5419</v>
      </c>
      <c r="C1805" t="s">
        <v>10</v>
      </c>
      <c r="D1805" s="1">
        <v>35158</v>
      </c>
      <c r="E1805">
        <v>10</v>
      </c>
      <c r="F1805">
        <v>1</v>
      </c>
      <c r="G1805" t="s">
        <v>5420</v>
      </c>
      <c r="H1805">
        <v>10</v>
      </c>
    </row>
    <row r="1806" spans="1:8" x14ac:dyDescent="0.25">
      <c r="A1806" t="s">
        <v>5421</v>
      </c>
      <c r="B1806" t="s">
        <v>5422</v>
      </c>
      <c r="C1806" t="s">
        <v>10</v>
      </c>
      <c r="D1806" s="1">
        <v>44004</v>
      </c>
      <c r="E1806">
        <v>10</v>
      </c>
      <c r="F1806">
        <v>1</v>
      </c>
      <c r="G1806" t="s">
        <v>5423</v>
      </c>
      <c r="H1806">
        <v>10</v>
      </c>
    </row>
    <row r="1807" spans="1:8" x14ac:dyDescent="0.25">
      <c r="A1807" t="s">
        <v>5424</v>
      </c>
      <c r="B1807" t="s">
        <v>5425</v>
      </c>
      <c r="C1807" t="s">
        <v>14</v>
      </c>
      <c r="D1807" s="1">
        <v>34836</v>
      </c>
      <c r="E1807">
        <v>10</v>
      </c>
      <c r="F1807">
        <v>1</v>
      </c>
      <c r="G1807" t="s">
        <v>5426</v>
      </c>
      <c r="H1807">
        <v>10</v>
      </c>
    </row>
    <row r="1808" spans="1:8" x14ac:dyDescent="0.25">
      <c r="A1808" t="s">
        <v>5427</v>
      </c>
      <c r="B1808" t="s">
        <v>5428</v>
      </c>
      <c r="C1808" t="s">
        <v>14</v>
      </c>
      <c r="D1808" s="1">
        <v>43875</v>
      </c>
      <c r="E1808">
        <v>10</v>
      </c>
      <c r="F1808">
        <v>1</v>
      </c>
      <c r="G1808" t="s">
        <v>5429</v>
      </c>
      <c r="H1808">
        <v>10</v>
      </c>
    </row>
    <row r="1809" spans="1:8" x14ac:dyDescent="0.25">
      <c r="A1809" t="s">
        <v>5430</v>
      </c>
      <c r="B1809" t="s">
        <v>5431</v>
      </c>
      <c r="C1809" t="s">
        <v>14</v>
      </c>
      <c r="D1809" s="1">
        <v>39115</v>
      </c>
      <c r="E1809">
        <v>2</v>
      </c>
      <c r="F1809">
        <v>1</v>
      </c>
      <c r="G1809" t="s">
        <v>5432</v>
      </c>
      <c r="H1809">
        <v>2</v>
      </c>
    </row>
    <row r="1810" spans="1:8" x14ac:dyDescent="0.25">
      <c r="A1810" t="s">
        <v>5433</v>
      </c>
      <c r="B1810" t="s">
        <v>5434</v>
      </c>
      <c r="C1810" t="s">
        <v>14</v>
      </c>
      <c r="D1810" s="1">
        <v>38009</v>
      </c>
      <c r="E1810">
        <v>2</v>
      </c>
      <c r="F1810">
        <v>1</v>
      </c>
      <c r="G1810" t="s">
        <v>5435</v>
      </c>
      <c r="H1810">
        <v>2</v>
      </c>
    </row>
    <row r="1811" spans="1:8" x14ac:dyDescent="0.25">
      <c r="A1811" t="s">
        <v>5436</v>
      </c>
      <c r="B1811" t="s">
        <v>5437</v>
      </c>
      <c r="C1811" t="s">
        <v>14</v>
      </c>
      <c r="D1811" s="1">
        <v>45112</v>
      </c>
      <c r="E1811">
        <v>10</v>
      </c>
      <c r="F1811">
        <v>1</v>
      </c>
      <c r="G1811" t="s">
        <v>5438</v>
      </c>
      <c r="H1811">
        <v>10</v>
      </c>
    </row>
    <row r="1812" spans="1:8" x14ac:dyDescent="0.25">
      <c r="A1812" t="s">
        <v>5439</v>
      </c>
      <c r="B1812" t="s">
        <v>5440</v>
      </c>
      <c r="C1812" t="s">
        <v>14</v>
      </c>
      <c r="D1812" s="1">
        <v>42822</v>
      </c>
      <c r="E1812">
        <v>1</v>
      </c>
      <c r="F1812">
        <v>1</v>
      </c>
      <c r="G1812" t="s">
        <v>5441</v>
      </c>
      <c r="H1812">
        <v>1</v>
      </c>
    </row>
    <row r="1813" spans="1:8" x14ac:dyDescent="0.25">
      <c r="A1813" t="s">
        <v>5442</v>
      </c>
      <c r="B1813" t="s">
        <v>5443</v>
      </c>
      <c r="C1813" t="s">
        <v>14</v>
      </c>
      <c r="D1813" s="1">
        <v>36810</v>
      </c>
      <c r="E1813">
        <v>1</v>
      </c>
      <c r="F1813">
        <v>1</v>
      </c>
      <c r="G1813" t="s">
        <v>5444</v>
      </c>
      <c r="H1813">
        <v>1</v>
      </c>
    </row>
    <row r="1814" spans="1:8" x14ac:dyDescent="0.25">
      <c r="A1814" t="s">
        <v>5445</v>
      </c>
      <c r="B1814" t="s">
        <v>5446</v>
      </c>
      <c r="C1814" t="s">
        <v>14</v>
      </c>
      <c r="D1814" s="1">
        <v>45019</v>
      </c>
      <c r="E1814">
        <v>10</v>
      </c>
      <c r="F1814">
        <v>1</v>
      </c>
      <c r="G1814" t="s">
        <v>5447</v>
      </c>
      <c r="H1814">
        <v>10</v>
      </c>
    </row>
    <row r="1815" spans="1:8" x14ac:dyDescent="0.25">
      <c r="A1815" t="s">
        <v>5448</v>
      </c>
      <c r="B1815" t="s">
        <v>5449</v>
      </c>
      <c r="C1815" t="s">
        <v>14</v>
      </c>
      <c r="D1815" s="1">
        <v>44116</v>
      </c>
      <c r="E1815">
        <v>10</v>
      </c>
      <c r="F1815">
        <v>1</v>
      </c>
      <c r="G1815" t="s">
        <v>5450</v>
      </c>
      <c r="H1815">
        <v>10</v>
      </c>
    </row>
    <row r="1816" spans="1:8" x14ac:dyDescent="0.25">
      <c r="A1816" t="s">
        <v>5451</v>
      </c>
      <c r="B1816" t="s">
        <v>5452</v>
      </c>
      <c r="C1816" t="s">
        <v>14</v>
      </c>
      <c r="D1816" s="1">
        <v>45128</v>
      </c>
      <c r="E1816">
        <v>10</v>
      </c>
      <c r="F1816">
        <v>1</v>
      </c>
      <c r="G1816" t="s">
        <v>5453</v>
      </c>
      <c r="H1816">
        <v>10</v>
      </c>
    </row>
    <row r="1817" spans="1:8" x14ac:dyDescent="0.25">
      <c r="A1817" t="s">
        <v>5454</v>
      </c>
      <c r="B1817" t="s">
        <v>5455</v>
      </c>
      <c r="C1817" t="s">
        <v>14</v>
      </c>
      <c r="D1817" s="1">
        <v>38817</v>
      </c>
      <c r="E1817">
        <v>10</v>
      </c>
      <c r="F1817">
        <v>1</v>
      </c>
      <c r="G1817" t="s">
        <v>5456</v>
      </c>
      <c r="H1817">
        <v>10</v>
      </c>
    </row>
    <row r="1818" spans="1:8" x14ac:dyDescent="0.25">
      <c r="A1818" t="s">
        <v>5457</v>
      </c>
      <c r="B1818" t="s">
        <v>5458</v>
      </c>
      <c r="C1818" t="s">
        <v>10</v>
      </c>
      <c r="D1818" s="1">
        <v>39267</v>
      </c>
      <c r="E1818">
        <v>10</v>
      </c>
      <c r="F1818">
        <v>1</v>
      </c>
      <c r="G1818" t="s">
        <v>5459</v>
      </c>
      <c r="H1818">
        <v>10</v>
      </c>
    </row>
    <row r="1819" spans="1:8" x14ac:dyDescent="0.25">
      <c r="A1819" t="s">
        <v>5460</v>
      </c>
      <c r="B1819" t="s">
        <v>5461</v>
      </c>
      <c r="C1819" t="s">
        <v>14</v>
      </c>
      <c r="D1819" s="1">
        <v>40709</v>
      </c>
      <c r="E1819">
        <v>10</v>
      </c>
      <c r="F1819">
        <v>1</v>
      </c>
      <c r="G1819" t="s">
        <v>5462</v>
      </c>
      <c r="H1819">
        <v>10</v>
      </c>
    </row>
    <row r="1820" spans="1:8" x14ac:dyDescent="0.25">
      <c r="A1820" t="s">
        <v>5463</v>
      </c>
      <c r="B1820" t="s">
        <v>5464</v>
      </c>
      <c r="C1820" t="s">
        <v>14</v>
      </c>
      <c r="D1820" s="1">
        <v>38082</v>
      </c>
      <c r="E1820">
        <v>2</v>
      </c>
      <c r="F1820">
        <v>1</v>
      </c>
      <c r="G1820" t="s">
        <v>5465</v>
      </c>
      <c r="H1820">
        <v>2</v>
      </c>
    </row>
    <row r="1821" spans="1:8" x14ac:dyDescent="0.25">
      <c r="A1821" t="s">
        <v>5466</v>
      </c>
      <c r="B1821" t="s">
        <v>5467</v>
      </c>
      <c r="C1821" t="s">
        <v>14</v>
      </c>
      <c r="D1821" s="1">
        <v>43845</v>
      </c>
      <c r="E1821">
        <v>10</v>
      </c>
      <c r="F1821">
        <v>1</v>
      </c>
      <c r="G1821" t="s">
        <v>5468</v>
      </c>
      <c r="H1821">
        <v>10</v>
      </c>
    </row>
    <row r="1822" spans="1:8" x14ac:dyDescent="0.25">
      <c r="A1822" t="s">
        <v>5469</v>
      </c>
      <c r="B1822" t="s">
        <v>5470</v>
      </c>
      <c r="C1822" t="s">
        <v>14</v>
      </c>
      <c r="D1822" s="1">
        <v>38810</v>
      </c>
      <c r="E1822">
        <v>1</v>
      </c>
      <c r="F1822">
        <v>1</v>
      </c>
      <c r="G1822" t="s">
        <v>5471</v>
      </c>
      <c r="H1822">
        <v>1</v>
      </c>
    </row>
    <row r="1823" spans="1:8" x14ac:dyDescent="0.25">
      <c r="A1823" t="s">
        <v>5472</v>
      </c>
      <c r="B1823" t="s">
        <v>5473</v>
      </c>
      <c r="C1823" t="s">
        <v>14</v>
      </c>
      <c r="D1823" s="1">
        <v>45205</v>
      </c>
      <c r="E1823">
        <v>10</v>
      </c>
      <c r="F1823">
        <v>1</v>
      </c>
      <c r="G1823" t="s">
        <v>5474</v>
      </c>
      <c r="H1823">
        <v>10</v>
      </c>
    </row>
    <row r="1824" spans="1:8" x14ac:dyDescent="0.25">
      <c r="A1824" t="s">
        <v>5475</v>
      </c>
      <c r="B1824" t="s">
        <v>5476</v>
      </c>
      <c r="C1824" t="s">
        <v>14</v>
      </c>
      <c r="D1824" s="1">
        <v>44400</v>
      </c>
      <c r="E1824">
        <v>10</v>
      </c>
      <c r="F1824">
        <v>1</v>
      </c>
      <c r="G1824" t="s">
        <v>5477</v>
      </c>
      <c r="H1824">
        <v>10</v>
      </c>
    </row>
    <row r="1825" spans="1:8" x14ac:dyDescent="0.25">
      <c r="A1825" t="s">
        <v>5478</v>
      </c>
      <c r="B1825" t="s">
        <v>5479</v>
      </c>
      <c r="C1825" t="s">
        <v>14</v>
      </c>
      <c r="D1825" s="1">
        <v>37894</v>
      </c>
      <c r="E1825">
        <v>10</v>
      </c>
      <c r="F1825">
        <v>1</v>
      </c>
      <c r="G1825" t="s">
        <v>5480</v>
      </c>
      <c r="H1825">
        <v>10</v>
      </c>
    </row>
    <row r="1826" spans="1:8" x14ac:dyDescent="0.25">
      <c r="A1826" t="s">
        <v>5481</v>
      </c>
      <c r="B1826" t="s">
        <v>5482</v>
      </c>
      <c r="C1826" t="s">
        <v>10</v>
      </c>
      <c r="D1826" s="1">
        <v>37753</v>
      </c>
      <c r="E1826">
        <v>10</v>
      </c>
      <c r="F1826">
        <v>1</v>
      </c>
      <c r="G1826" t="s">
        <v>5483</v>
      </c>
      <c r="H1826">
        <v>10</v>
      </c>
    </row>
    <row r="1827" spans="1:8" x14ac:dyDescent="0.25">
      <c r="A1827" t="s">
        <v>5484</v>
      </c>
      <c r="B1827" t="s">
        <v>5485</v>
      </c>
      <c r="C1827" t="s">
        <v>14</v>
      </c>
      <c r="D1827" s="1">
        <v>43287</v>
      </c>
      <c r="E1827">
        <v>1</v>
      </c>
      <c r="F1827">
        <v>1</v>
      </c>
      <c r="G1827" t="s">
        <v>5486</v>
      </c>
      <c r="H1827">
        <v>1</v>
      </c>
    </row>
    <row r="1828" spans="1:8" x14ac:dyDescent="0.25">
      <c r="A1828" t="s">
        <v>5487</v>
      </c>
      <c r="B1828" t="s">
        <v>5488</v>
      </c>
      <c r="C1828" t="s">
        <v>14</v>
      </c>
      <c r="D1828" s="1">
        <v>40224</v>
      </c>
      <c r="E1828">
        <v>10</v>
      </c>
      <c r="F1828">
        <v>1</v>
      </c>
      <c r="G1828" t="s">
        <v>5489</v>
      </c>
      <c r="H1828">
        <v>10</v>
      </c>
    </row>
    <row r="1829" spans="1:8" x14ac:dyDescent="0.25">
      <c r="A1829" t="s">
        <v>5490</v>
      </c>
      <c r="B1829" t="s">
        <v>5491</v>
      </c>
      <c r="C1829" t="s">
        <v>10</v>
      </c>
      <c r="D1829" s="1">
        <v>40806</v>
      </c>
      <c r="E1829">
        <v>10</v>
      </c>
      <c r="F1829">
        <v>1</v>
      </c>
      <c r="G1829" t="s">
        <v>5492</v>
      </c>
      <c r="H1829">
        <v>10</v>
      </c>
    </row>
    <row r="1830" spans="1:8" x14ac:dyDescent="0.25">
      <c r="A1830" t="s">
        <v>5493</v>
      </c>
      <c r="B1830" t="s">
        <v>5494</v>
      </c>
      <c r="C1830" t="s">
        <v>14</v>
      </c>
      <c r="D1830" s="1">
        <v>42682</v>
      </c>
      <c r="E1830">
        <v>5</v>
      </c>
      <c r="F1830">
        <v>1</v>
      </c>
      <c r="G1830" t="s">
        <v>5495</v>
      </c>
      <c r="H1830">
        <v>5</v>
      </c>
    </row>
    <row r="1831" spans="1:8" x14ac:dyDescent="0.25">
      <c r="A1831" t="s">
        <v>5496</v>
      </c>
      <c r="B1831" t="s">
        <v>5497</v>
      </c>
      <c r="C1831" t="s">
        <v>14</v>
      </c>
      <c r="D1831" s="1">
        <v>44670</v>
      </c>
      <c r="E1831">
        <v>1</v>
      </c>
      <c r="F1831">
        <v>1</v>
      </c>
      <c r="G1831" t="s">
        <v>5498</v>
      </c>
      <c r="H1831">
        <v>1</v>
      </c>
    </row>
    <row r="1832" spans="1:8" x14ac:dyDescent="0.25">
      <c r="A1832" t="s">
        <v>5499</v>
      </c>
      <c r="B1832" t="s">
        <v>5500</v>
      </c>
      <c r="C1832" t="s">
        <v>14</v>
      </c>
      <c r="D1832" s="1">
        <v>35928</v>
      </c>
      <c r="E1832">
        <v>1</v>
      </c>
      <c r="F1832">
        <v>1</v>
      </c>
      <c r="G1832" t="s">
        <v>5501</v>
      </c>
      <c r="H1832">
        <v>1</v>
      </c>
    </row>
    <row r="1833" spans="1:8" x14ac:dyDescent="0.25">
      <c r="A1833" t="s">
        <v>5502</v>
      </c>
      <c r="B1833" t="s">
        <v>5503</v>
      </c>
      <c r="C1833" t="s">
        <v>14</v>
      </c>
      <c r="D1833" s="1">
        <v>37830</v>
      </c>
      <c r="E1833">
        <v>10</v>
      </c>
      <c r="F1833">
        <v>1</v>
      </c>
      <c r="G1833" t="s">
        <v>5504</v>
      </c>
      <c r="H1833">
        <v>10</v>
      </c>
    </row>
    <row r="1834" spans="1:8" x14ac:dyDescent="0.25">
      <c r="A1834" t="s">
        <v>5505</v>
      </c>
      <c r="B1834" t="s">
        <v>5506</v>
      </c>
      <c r="C1834" t="s">
        <v>14</v>
      </c>
      <c r="D1834" s="1">
        <v>44705</v>
      </c>
      <c r="E1834">
        <v>10</v>
      </c>
      <c r="F1834">
        <v>1</v>
      </c>
      <c r="G1834" t="s">
        <v>5507</v>
      </c>
      <c r="H1834">
        <v>10</v>
      </c>
    </row>
    <row r="1835" spans="1:8" x14ac:dyDescent="0.25">
      <c r="A1835" t="s">
        <v>5508</v>
      </c>
      <c r="B1835" t="s">
        <v>5509</v>
      </c>
      <c r="C1835" t="s">
        <v>14</v>
      </c>
      <c r="D1835" s="1">
        <v>39071</v>
      </c>
      <c r="E1835">
        <v>10</v>
      </c>
      <c r="F1835">
        <v>1</v>
      </c>
      <c r="G1835" t="s">
        <v>5510</v>
      </c>
      <c r="H1835">
        <v>10</v>
      </c>
    </row>
    <row r="1836" spans="1:8" x14ac:dyDescent="0.25">
      <c r="A1836" t="s">
        <v>5511</v>
      </c>
      <c r="B1836" t="s">
        <v>5512</v>
      </c>
      <c r="C1836" t="s">
        <v>14</v>
      </c>
      <c r="D1836" s="1">
        <v>44662</v>
      </c>
      <c r="E1836">
        <v>10</v>
      </c>
      <c r="F1836">
        <v>1</v>
      </c>
      <c r="G1836" t="s">
        <v>5513</v>
      </c>
      <c r="H1836">
        <v>10</v>
      </c>
    </row>
    <row r="1837" spans="1:8" x14ac:dyDescent="0.25">
      <c r="A1837" t="s">
        <v>5514</v>
      </c>
      <c r="B1837" t="s">
        <v>5515</v>
      </c>
      <c r="C1837" t="s">
        <v>14</v>
      </c>
      <c r="D1837" s="1">
        <v>43965</v>
      </c>
      <c r="E1837">
        <v>10</v>
      </c>
      <c r="F1837">
        <v>1</v>
      </c>
      <c r="G1837" t="s">
        <v>5516</v>
      </c>
      <c r="H1837">
        <v>10</v>
      </c>
    </row>
    <row r="1838" spans="1:8" x14ac:dyDescent="0.25">
      <c r="A1838" t="s">
        <v>5517</v>
      </c>
      <c r="B1838" t="s">
        <v>5518</v>
      </c>
      <c r="C1838" t="s">
        <v>14</v>
      </c>
      <c r="D1838" s="1">
        <v>37533</v>
      </c>
      <c r="E1838">
        <v>10</v>
      </c>
      <c r="F1838">
        <v>1</v>
      </c>
      <c r="G1838" t="s">
        <v>5519</v>
      </c>
      <c r="H1838">
        <v>10</v>
      </c>
    </row>
    <row r="1839" spans="1:8" x14ac:dyDescent="0.25">
      <c r="A1839" t="s">
        <v>5520</v>
      </c>
      <c r="B1839" t="s">
        <v>5521</v>
      </c>
      <c r="C1839" t="s">
        <v>14</v>
      </c>
      <c r="D1839" s="1">
        <v>42123</v>
      </c>
      <c r="E1839">
        <v>10</v>
      </c>
      <c r="F1839">
        <v>1</v>
      </c>
      <c r="G1839" t="s">
        <v>5522</v>
      </c>
      <c r="H1839">
        <v>10</v>
      </c>
    </row>
    <row r="1840" spans="1:8" x14ac:dyDescent="0.25">
      <c r="A1840" t="s">
        <v>5523</v>
      </c>
      <c r="B1840" t="s">
        <v>5524</v>
      </c>
      <c r="C1840" t="s">
        <v>14</v>
      </c>
      <c r="D1840" s="1">
        <v>39520</v>
      </c>
      <c r="E1840">
        <v>1</v>
      </c>
      <c r="F1840">
        <v>1</v>
      </c>
      <c r="G1840" t="s">
        <v>5525</v>
      </c>
      <c r="H1840">
        <v>1</v>
      </c>
    </row>
    <row r="1841" spans="1:8" x14ac:dyDescent="0.25">
      <c r="A1841" t="s">
        <v>5526</v>
      </c>
      <c r="B1841" t="s">
        <v>5527</v>
      </c>
      <c r="C1841" t="s">
        <v>14</v>
      </c>
      <c r="D1841" s="1">
        <v>38533</v>
      </c>
      <c r="E1841">
        <v>10</v>
      </c>
      <c r="F1841">
        <v>1</v>
      </c>
      <c r="G1841" t="s">
        <v>5528</v>
      </c>
      <c r="H1841">
        <v>10</v>
      </c>
    </row>
    <row r="1842" spans="1:8" x14ac:dyDescent="0.25">
      <c r="A1842" t="s">
        <v>5529</v>
      </c>
      <c r="B1842" t="s">
        <v>5530</v>
      </c>
      <c r="C1842" t="s">
        <v>14</v>
      </c>
      <c r="D1842" s="1">
        <v>42431</v>
      </c>
      <c r="E1842">
        <v>1</v>
      </c>
      <c r="F1842">
        <v>1</v>
      </c>
      <c r="G1842" t="s">
        <v>5531</v>
      </c>
      <c r="H1842">
        <v>1</v>
      </c>
    </row>
    <row r="1843" spans="1:8" x14ac:dyDescent="0.25">
      <c r="A1843" t="s">
        <v>5532</v>
      </c>
      <c r="B1843" t="s">
        <v>5533</v>
      </c>
      <c r="C1843" t="s">
        <v>14</v>
      </c>
      <c r="D1843" s="1">
        <v>44453</v>
      </c>
      <c r="E1843">
        <v>1</v>
      </c>
      <c r="F1843">
        <v>1</v>
      </c>
      <c r="G1843" t="s">
        <v>5534</v>
      </c>
      <c r="H1843">
        <v>1</v>
      </c>
    </row>
    <row r="1844" spans="1:8" x14ac:dyDescent="0.25">
      <c r="A1844" t="s">
        <v>5535</v>
      </c>
      <c r="B1844" t="s">
        <v>5536</v>
      </c>
      <c r="C1844" t="s">
        <v>10</v>
      </c>
      <c r="D1844" s="1">
        <v>42562</v>
      </c>
      <c r="E1844">
        <v>1</v>
      </c>
      <c r="F1844">
        <v>1</v>
      </c>
      <c r="G1844" t="s">
        <v>5537</v>
      </c>
      <c r="H1844">
        <v>1</v>
      </c>
    </row>
    <row r="1845" spans="1:8" x14ac:dyDescent="0.25">
      <c r="A1845" t="s">
        <v>5538</v>
      </c>
      <c r="B1845" t="s">
        <v>5539</v>
      </c>
      <c r="C1845" t="s">
        <v>10</v>
      </c>
      <c r="D1845" s="1">
        <v>40889</v>
      </c>
      <c r="E1845">
        <v>1</v>
      </c>
      <c r="F1845">
        <v>1</v>
      </c>
      <c r="G1845" t="s">
        <v>5540</v>
      </c>
      <c r="H1845">
        <v>1</v>
      </c>
    </row>
    <row r="1846" spans="1:8" x14ac:dyDescent="0.25">
      <c r="A1846" t="s">
        <v>5541</v>
      </c>
      <c r="B1846" t="s">
        <v>5542</v>
      </c>
      <c r="C1846" t="s">
        <v>14</v>
      </c>
      <c r="D1846" s="1">
        <v>43593</v>
      </c>
      <c r="E1846">
        <v>1</v>
      </c>
      <c r="F1846">
        <v>1</v>
      </c>
      <c r="G1846" t="s">
        <v>5543</v>
      </c>
      <c r="H1846">
        <v>1</v>
      </c>
    </row>
    <row r="1847" spans="1:8" x14ac:dyDescent="0.25">
      <c r="A1847" t="s">
        <v>5544</v>
      </c>
      <c r="B1847" t="s">
        <v>5545</v>
      </c>
      <c r="C1847" t="s">
        <v>14</v>
      </c>
      <c r="D1847" s="1">
        <v>38701</v>
      </c>
      <c r="E1847">
        <v>2</v>
      </c>
      <c r="F1847">
        <v>1</v>
      </c>
      <c r="G1847" t="s">
        <v>5546</v>
      </c>
      <c r="H1847">
        <v>2</v>
      </c>
    </row>
    <row r="1848" spans="1:8" x14ac:dyDescent="0.25">
      <c r="A1848" t="s">
        <v>5547</v>
      </c>
      <c r="B1848" t="s">
        <v>5548</v>
      </c>
      <c r="C1848" t="s">
        <v>14</v>
      </c>
      <c r="D1848" s="1">
        <v>40022</v>
      </c>
      <c r="E1848">
        <v>1</v>
      </c>
      <c r="F1848">
        <v>1</v>
      </c>
      <c r="G1848" t="s">
        <v>5549</v>
      </c>
      <c r="H1848">
        <v>1</v>
      </c>
    </row>
    <row r="1849" spans="1:8" x14ac:dyDescent="0.25">
      <c r="A1849" t="s">
        <v>5550</v>
      </c>
      <c r="B1849" t="s">
        <v>5551</v>
      </c>
      <c r="C1849" t="s">
        <v>14</v>
      </c>
      <c r="D1849" s="1">
        <v>34738</v>
      </c>
      <c r="E1849">
        <v>10</v>
      </c>
      <c r="F1849">
        <v>1</v>
      </c>
      <c r="G1849" t="s">
        <v>5552</v>
      </c>
      <c r="H1849">
        <v>10</v>
      </c>
    </row>
    <row r="1850" spans="1:8" x14ac:dyDescent="0.25">
      <c r="A1850" t="s">
        <v>5553</v>
      </c>
      <c r="B1850" t="s">
        <v>5554</v>
      </c>
      <c r="C1850" t="s">
        <v>14</v>
      </c>
      <c r="D1850" s="1">
        <v>44362</v>
      </c>
      <c r="E1850">
        <v>10</v>
      </c>
      <c r="F1850">
        <v>1</v>
      </c>
      <c r="G1850" t="s">
        <v>5555</v>
      </c>
      <c r="H1850">
        <v>10</v>
      </c>
    </row>
    <row r="1851" spans="1:8" x14ac:dyDescent="0.25">
      <c r="A1851" t="s">
        <v>5556</v>
      </c>
      <c r="B1851" t="s">
        <v>5557</v>
      </c>
      <c r="C1851" t="s">
        <v>10</v>
      </c>
      <c r="D1851" s="1">
        <v>44893</v>
      </c>
      <c r="E1851">
        <v>1</v>
      </c>
      <c r="F1851">
        <v>1</v>
      </c>
      <c r="G1851" t="s">
        <v>5558</v>
      </c>
      <c r="H1851">
        <v>1</v>
      </c>
    </row>
    <row r="1852" spans="1:8" x14ac:dyDescent="0.25">
      <c r="A1852" t="s">
        <v>5559</v>
      </c>
      <c r="B1852" t="s">
        <v>5560</v>
      </c>
      <c r="C1852" t="s">
        <v>14</v>
      </c>
      <c r="D1852" s="1">
        <v>39650</v>
      </c>
      <c r="E1852">
        <v>1</v>
      </c>
      <c r="F1852">
        <v>1</v>
      </c>
      <c r="G1852" t="s">
        <v>5561</v>
      </c>
      <c r="H1852">
        <v>1</v>
      </c>
    </row>
    <row r="1853" spans="1:8" x14ac:dyDescent="0.25">
      <c r="A1853" t="s">
        <v>5562</v>
      </c>
      <c r="B1853" t="s">
        <v>5563</v>
      </c>
      <c r="C1853" t="s">
        <v>14</v>
      </c>
      <c r="D1853" s="1">
        <v>39300</v>
      </c>
      <c r="E1853">
        <v>2</v>
      </c>
      <c r="F1853">
        <v>1</v>
      </c>
      <c r="G1853" t="s">
        <v>5564</v>
      </c>
      <c r="H1853">
        <v>2</v>
      </c>
    </row>
    <row r="1854" spans="1:8" x14ac:dyDescent="0.25">
      <c r="A1854" t="s">
        <v>5565</v>
      </c>
      <c r="B1854" t="s">
        <v>5566</v>
      </c>
      <c r="C1854" t="s">
        <v>14</v>
      </c>
      <c r="D1854" s="1">
        <v>38413</v>
      </c>
      <c r="E1854">
        <v>2</v>
      </c>
      <c r="F1854">
        <v>1</v>
      </c>
      <c r="G1854" t="s">
        <v>5567</v>
      </c>
      <c r="H1854">
        <v>2</v>
      </c>
    </row>
    <row r="1855" spans="1:8" x14ac:dyDescent="0.25">
      <c r="A1855" t="s">
        <v>5568</v>
      </c>
      <c r="B1855" t="s">
        <v>5569</v>
      </c>
      <c r="C1855" t="s">
        <v>14</v>
      </c>
      <c r="D1855" s="1">
        <v>42117</v>
      </c>
      <c r="E1855">
        <v>1</v>
      </c>
      <c r="F1855">
        <v>1</v>
      </c>
      <c r="G1855" t="s">
        <v>5570</v>
      </c>
      <c r="H1855">
        <v>1</v>
      </c>
    </row>
    <row r="1856" spans="1:8" x14ac:dyDescent="0.25">
      <c r="A1856" t="s">
        <v>5571</v>
      </c>
      <c r="B1856" t="s">
        <v>5572</v>
      </c>
      <c r="C1856" t="s">
        <v>10</v>
      </c>
      <c r="D1856" s="1">
        <v>45049</v>
      </c>
      <c r="E1856">
        <v>10</v>
      </c>
      <c r="F1856">
        <v>1</v>
      </c>
      <c r="G1856" t="s">
        <v>5573</v>
      </c>
      <c r="H1856">
        <v>10</v>
      </c>
    </row>
    <row r="1857" spans="1:8" x14ac:dyDescent="0.25">
      <c r="A1857" t="s">
        <v>5574</v>
      </c>
      <c r="B1857" t="s">
        <v>5575</v>
      </c>
      <c r="C1857" t="s">
        <v>14</v>
      </c>
      <c r="D1857" s="1">
        <v>35305</v>
      </c>
      <c r="E1857">
        <v>2</v>
      </c>
      <c r="F1857">
        <v>1</v>
      </c>
      <c r="G1857" t="s">
        <v>5576</v>
      </c>
      <c r="H1857">
        <v>2</v>
      </c>
    </row>
    <row r="1858" spans="1:8" x14ac:dyDescent="0.25">
      <c r="A1858" t="s">
        <v>5577</v>
      </c>
      <c r="B1858" t="s">
        <v>5578</v>
      </c>
      <c r="C1858" t="s">
        <v>10</v>
      </c>
      <c r="D1858" s="1">
        <v>36539</v>
      </c>
      <c r="E1858">
        <v>1</v>
      </c>
      <c r="F1858">
        <v>1</v>
      </c>
      <c r="G1858" t="s">
        <v>5579</v>
      </c>
      <c r="H1858">
        <v>1</v>
      </c>
    </row>
    <row r="1859" spans="1:8" x14ac:dyDescent="0.25">
      <c r="A1859" t="s">
        <v>5580</v>
      </c>
      <c r="B1859" t="s">
        <v>5581</v>
      </c>
      <c r="C1859" t="s">
        <v>14</v>
      </c>
      <c r="D1859" s="1">
        <v>43696</v>
      </c>
      <c r="E1859">
        <v>5</v>
      </c>
      <c r="F1859">
        <v>1</v>
      </c>
      <c r="G1859" t="s">
        <v>5582</v>
      </c>
      <c r="H1859">
        <v>5</v>
      </c>
    </row>
    <row r="1860" spans="1:8" x14ac:dyDescent="0.25">
      <c r="A1860" t="s">
        <v>5583</v>
      </c>
      <c r="B1860" t="s">
        <v>5584</v>
      </c>
      <c r="C1860" t="s">
        <v>14</v>
      </c>
      <c r="D1860" s="1">
        <v>42068</v>
      </c>
      <c r="E1860">
        <v>2</v>
      </c>
      <c r="F1860">
        <v>1</v>
      </c>
      <c r="G1860" t="s">
        <v>5585</v>
      </c>
      <c r="H1860">
        <v>2</v>
      </c>
    </row>
    <row r="1861" spans="1:8" x14ac:dyDescent="0.25">
      <c r="A1861" t="s">
        <v>5586</v>
      </c>
      <c r="B1861" t="s">
        <v>5587</v>
      </c>
      <c r="C1861" t="s">
        <v>14</v>
      </c>
      <c r="D1861" s="1">
        <v>43753</v>
      </c>
      <c r="E1861">
        <v>2</v>
      </c>
      <c r="F1861">
        <v>1</v>
      </c>
      <c r="G1861" t="s">
        <v>5588</v>
      </c>
      <c r="H1861">
        <v>2</v>
      </c>
    </row>
    <row r="1862" spans="1:8" x14ac:dyDescent="0.25">
      <c r="A1862" t="s">
        <v>5589</v>
      </c>
      <c r="B1862" t="s">
        <v>5590</v>
      </c>
      <c r="C1862" t="s">
        <v>14</v>
      </c>
      <c r="D1862" s="1">
        <v>41415</v>
      </c>
      <c r="E1862">
        <v>1</v>
      </c>
      <c r="F1862">
        <v>1</v>
      </c>
      <c r="G1862" t="s">
        <v>5591</v>
      </c>
      <c r="H1862">
        <v>1</v>
      </c>
    </row>
    <row r="1863" spans="1:8" x14ac:dyDescent="0.25">
      <c r="A1863" t="s">
        <v>5592</v>
      </c>
      <c r="B1863" t="s">
        <v>5593</v>
      </c>
      <c r="C1863" t="s">
        <v>14</v>
      </c>
      <c r="D1863" s="1">
        <v>45152</v>
      </c>
      <c r="E1863">
        <v>10</v>
      </c>
      <c r="F1863">
        <v>1</v>
      </c>
      <c r="G1863" t="s">
        <v>5594</v>
      </c>
      <c r="H1863">
        <v>10</v>
      </c>
    </row>
    <row r="1864" spans="1:8" x14ac:dyDescent="0.25">
      <c r="A1864" t="s">
        <v>5595</v>
      </c>
      <c r="B1864" t="s">
        <v>5596</v>
      </c>
      <c r="C1864" t="s">
        <v>14</v>
      </c>
      <c r="D1864" s="1">
        <v>34844</v>
      </c>
      <c r="E1864">
        <v>10</v>
      </c>
      <c r="F1864">
        <v>1</v>
      </c>
      <c r="G1864" t="s">
        <v>5597</v>
      </c>
      <c r="H1864">
        <v>10</v>
      </c>
    </row>
    <row r="1865" spans="1:8" x14ac:dyDescent="0.25">
      <c r="A1865" t="s">
        <v>5598</v>
      </c>
      <c r="B1865" t="s">
        <v>5599</v>
      </c>
      <c r="C1865" t="s">
        <v>14</v>
      </c>
      <c r="D1865" s="1">
        <v>41325</v>
      </c>
      <c r="E1865">
        <v>10</v>
      </c>
      <c r="F1865">
        <v>1</v>
      </c>
      <c r="G1865" t="s">
        <v>5600</v>
      </c>
      <c r="H1865">
        <v>10</v>
      </c>
    </row>
    <row r="1866" spans="1:8" x14ac:dyDescent="0.25">
      <c r="A1866" t="s">
        <v>5601</v>
      </c>
      <c r="B1866" t="s">
        <v>5602</v>
      </c>
      <c r="C1866" t="s">
        <v>14</v>
      </c>
      <c r="D1866" s="1">
        <v>38980</v>
      </c>
      <c r="E1866">
        <v>10</v>
      </c>
      <c r="F1866">
        <v>1</v>
      </c>
      <c r="G1866" t="s">
        <v>5603</v>
      </c>
      <c r="H1866">
        <v>10</v>
      </c>
    </row>
    <row r="1867" spans="1:8" x14ac:dyDescent="0.25">
      <c r="A1867" t="s">
        <v>5604</v>
      </c>
      <c r="B1867" t="s">
        <v>5605</v>
      </c>
      <c r="C1867" t="s">
        <v>14</v>
      </c>
      <c r="D1867" s="1">
        <v>34801</v>
      </c>
      <c r="E1867">
        <v>1</v>
      </c>
      <c r="F1867">
        <v>1</v>
      </c>
      <c r="G1867" t="s">
        <v>5606</v>
      </c>
      <c r="H1867">
        <v>1</v>
      </c>
    </row>
    <row r="1868" spans="1:8" x14ac:dyDescent="0.25">
      <c r="A1868" t="s">
        <v>5607</v>
      </c>
      <c r="B1868" t="s">
        <v>5608</v>
      </c>
      <c r="C1868" t="s">
        <v>14</v>
      </c>
      <c r="D1868" s="1">
        <v>45174</v>
      </c>
      <c r="E1868">
        <v>10</v>
      </c>
      <c r="F1868">
        <v>1</v>
      </c>
      <c r="G1868" t="s">
        <v>5609</v>
      </c>
      <c r="H1868">
        <v>10</v>
      </c>
    </row>
    <row r="1869" spans="1:8" x14ac:dyDescent="0.25">
      <c r="A1869" t="s">
        <v>5610</v>
      </c>
      <c r="B1869" t="s">
        <v>5611</v>
      </c>
      <c r="C1869" t="s">
        <v>14</v>
      </c>
      <c r="D1869" s="1">
        <v>42124</v>
      </c>
      <c r="E1869">
        <v>10</v>
      </c>
      <c r="F1869">
        <v>1</v>
      </c>
      <c r="G1869" t="s">
        <v>5612</v>
      </c>
      <c r="H1869">
        <v>10</v>
      </c>
    </row>
    <row r="1870" spans="1:8" x14ac:dyDescent="0.25">
      <c r="A1870" t="s">
        <v>5613</v>
      </c>
      <c r="B1870" t="s">
        <v>5614</v>
      </c>
      <c r="C1870" t="s">
        <v>14</v>
      </c>
      <c r="D1870" s="1">
        <v>41046</v>
      </c>
      <c r="E1870">
        <v>10</v>
      </c>
      <c r="F1870">
        <v>1</v>
      </c>
      <c r="G1870" t="s">
        <v>5615</v>
      </c>
      <c r="H1870">
        <v>10</v>
      </c>
    </row>
    <row r="1871" spans="1:8" x14ac:dyDescent="0.25">
      <c r="A1871" t="s">
        <v>5616</v>
      </c>
      <c r="B1871" t="s">
        <v>5617</v>
      </c>
      <c r="C1871" t="s">
        <v>14</v>
      </c>
      <c r="D1871" s="1">
        <v>37869</v>
      </c>
      <c r="E1871">
        <v>10</v>
      </c>
      <c r="F1871">
        <v>1</v>
      </c>
      <c r="G1871" t="s">
        <v>5618</v>
      </c>
      <c r="H1871">
        <v>10</v>
      </c>
    </row>
    <row r="1872" spans="1:8" x14ac:dyDescent="0.25">
      <c r="A1872" t="s">
        <v>5619</v>
      </c>
      <c r="B1872" t="s">
        <v>5620</v>
      </c>
      <c r="C1872" t="s">
        <v>14</v>
      </c>
      <c r="D1872" s="1">
        <v>40714</v>
      </c>
      <c r="E1872">
        <v>10</v>
      </c>
      <c r="F1872">
        <v>1</v>
      </c>
      <c r="G1872" t="s">
        <v>5621</v>
      </c>
      <c r="H1872">
        <v>10</v>
      </c>
    </row>
    <row r="1873" spans="1:8" x14ac:dyDescent="0.25">
      <c r="A1873" t="s">
        <v>5622</v>
      </c>
      <c r="B1873" t="s">
        <v>5623</v>
      </c>
      <c r="C1873" t="s">
        <v>14</v>
      </c>
      <c r="D1873" s="1">
        <v>37635</v>
      </c>
      <c r="E1873">
        <v>2</v>
      </c>
      <c r="F1873">
        <v>1</v>
      </c>
      <c r="G1873" t="s">
        <v>5624</v>
      </c>
      <c r="H1873">
        <v>2</v>
      </c>
    </row>
    <row r="1874" spans="1:8" x14ac:dyDescent="0.25">
      <c r="A1874" t="s">
        <v>5625</v>
      </c>
      <c r="B1874" t="s">
        <v>5626</v>
      </c>
      <c r="C1874" t="s">
        <v>14</v>
      </c>
      <c r="D1874" s="1">
        <v>40464</v>
      </c>
      <c r="E1874">
        <v>2</v>
      </c>
      <c r="F1874">
        <v>1</v>
      </c>
      <c r="G1874" t="s">
        <v>5627</v>
      </c>
      <c r="H1874">
        <v>2</v>
      </c>
    </row>
    <row r="1875" spans="1:8" x14ac:dyDescent="0.25">
      <c r="A1875" t="s">
        <v>5628</v>
      </c>
      <c r="B1875" t="s">
        <v>5629</v>
      </c>
      <c r="C1875" t="s">
        <v>10</v>
      </c>
      <c r="D1875" s="1">
        <v>35326</v>
      </c>
      <c r="E1875">
        <v>2</v>
      </c>
      <c r="F1875">
        <v>1</v>
      </c>
      <c r="G1875" t="s">
        <v>5630</v>
      </c>
      <c r="H1875">
        <v>2</v>
      </c>
    </row>
    <row r="1876" spans="1:8" x14ac:dyDescent="0.25">
      <c r="A1876" t="s">
        <v>5631</v>
      </c>
      <c r="B1876" t="s">
        <v>5632</v>
      </c>
      <c r="C1876" t="s">
        <v>10</v>
      </c>
      <c r="D1876" s="1">
        <v>39111</v>
      </c>
      <c r="E1876">
        <v>10</v>
      </c>
      <c r="F1876">
        <v>1</v>
      </c>
      <c r="G1876" t="s">
        <v>5633</v>
      </c>
      <c r="H1876">
        <v>10</v>
      </c>
    </row>
    <row r="1877" spans="1:8" x14ac:dyDescent="0.25">
      <c r="A1877" t="s">
        <v>5634</v>
      </c>
      <c r="B1877" t="s">
        <v>5635</v>
      </c>
      <c r="C1877" t="s">
        <v>10</v>
      </c>
      <c r="D1877" s="1">
        <v>44216</v>
      </c>
      <c r="E1877">
        <v>10</v>
      </c>
      <c r="F1877">
        <v>1</v>
      </c>
      <c r="G1877" t="s">
        <v>5636</v>
      </c>
      <c r="H1877">
        <v>10</v>
      </c>
    </row>
    <row r="1878" spans="1:8" x14ac:dyDescent="0.25">
      <c r="A1878" t="s">
        <v>5637</v>
      </c>
      <c r="B1878" t="s">
        <v>5638</v>
      </c>
      <c r="C1878" t="s">
        <v>14</v>
      </c>
      <c r="D1878" s="1">
        <v>39217</v>
      </c>
      <c r="E1878">
        <v>10</v>
      </c>
      <c r="F1878">
        <v>1</v>
      </c>
      <c r="G1878" t="s">
        <v>5639</v>
      </c>
      <c r="H1878">
        <v>10</v>
      </c>
    </row>
    <row r="1879" spans="1:8" x14ac:dyDescent="0.25">
      <c r="A1879" t="s">
        <v>5640</v>
      </c>
      <c r="B1879" t="s">
        <v>5641</v>
      </c>
      <c r="C1879" t="s">
        <v>14</v>
      </c>
      <c r="D1879" s="1">
        <v>34829</v>
      </c>
      <c r="E1879">
        <v>10</v>
      </c>
      <c r="F1879">
        <v>1</v>
      </c>
      <c r="G1879" t="s">
        <v>5642</v>
      </c>
      <c r="H1879">
        <v>10</v>
      </c>
    </row>
    <row r="1880" spans="1:8" x14ac:dyDescent="0.25">
      <c r="A1880" t="s">
        <v>5643</v>
      </c>
      <c r="B1880" t="s">
        <v>5644</v>
      </c>
      <c r="C1880" t="s">
        <v>10</v>
      </c>
      <c r="D1880" s="1">
        <v>44578</v>
      </c>
      <c r="E1880">
        <v>10</v>
      </c>
      <c r="F1880">
        <v>1</v>
      </c>
      <c r="G1880" t="s">
        <v>5645</v>
      </c>
      <c r="H1880">
        <v>10</v>
      </c>
    </row>
    <row r="1881" spans="1:8" x14ac:dyDescent="0.25">
      <c r="A1881" t="s">
        <v>5646</v>
      </c>
      <c r="B1881" t="s">
        <v>5647</v>
      </c>
      <c r="C1881" t="s">
        <v>14</v>
      </c>
      <c r="D1881" s="1">
        <v>38496</v>
      </c>
      <c r="E1881">
        <v>5</v>
      </c>
      <c r="F1881">
        <v>1</v>
      </c>
      <c r="G1881" t="s">
        <v>5648</v>
      </c>
      <c r="H1881">
        <v>5</v>
      </c>
    </row>
    <row r="1882" spans="1:8" x14ac:dyDescent="0.25">
      <c r="A1882" t="s">
        <v>5649</v>
      </c>
      <c r="B1882" t="s">
        <v>5650</v>
      </c>
      <c r="C1882" t="s">
        <v>14</v>
      </c>
      <c r="D1882" s="1">
        <v>38295</v>
      </c>
      <c r="E1882">
        <v>10</v>
      </c>
      <c r="F1882">
        <v>1</v>
      </c>
      <c r="G1882" t="s">
        <v>5651</v>
      </c>
      <c r="H1882">
        <v>10</v>
      </c>
    </row>
    <row r="1883" spans="1:8" x14ac:dyDescent="0.25">
      <c r="A1883" t="s">
        <v>5652</v>
      </c>
      <c r="B1883" t="s">
        <v>5653</v>
      </c>
      <c r="C1883" t="s">
        <v>10</v>
      </c>
      <c r="D1883" s="1">
        <v>40441</v>
      </c>
      <c r="E1883">
        <v>10</v>
      </c>
      <c r="F1883">
        <v>1</v>
      </c>
      <c r="G1883" t="s">
        <v>5654</v>
      </c>
      <c r="H1883">
        <v>10</v>
      </c>
    </row>
    <row r="1884" spans="1:8" x14ac:dyDescent="0.25">
      <c r="A1884" t="s">
        <v>5655</v>
      </c>
      <c r="B1884" t="s">
        <v>5656</v>
      </c>
      <c r="C1884" t="s">
        <v>14</v>
      </c>
      <c r="D1884" s="1">
        <v>37959</v>
      </c>
      <c r="E1884">
        <v>1</v>
      </c>
      <c r="F1884">
        <v>1</v>
      </c>
      <c r="G1884" t="s">
        <v>5657</v>
      </c>
      <c r="H1884">
        <v>1</v>
      </c>
    </row>
    <row r="1885" spans="1:8" x14ac:dyDescent="0.25">
      <c r="A1885" t="s">
        <v>5658</v>
      </c>
      <c r="B1885" t="s">
        <v>5659</v>
      </c>
      <c r="C1885" t="s">
        <v>14</v>
      </c>
      <c r="D1885" s="1">
        <v>38936</v>
      </c>
      <c r="E1885">
        <v>10</v>
      </c>
      <c r="F1885">
        <v>1</v>
      </c>
      <c r="G1885" t="s">
        <v>5660</v>
      </c>
      <c r="H1885">
        <v>10</v>
      </c>
    </row>
    <row r="1886" spans="1:8" x14ac:dyDescent="0.25">
      <c r="A1886" t="s">
        <v>5661</v>
      </c>
      <c r="B1886" t="s">
        <v>5662</v>
      </c>
      <c r="C1886" t="s">
        <v>14</v>
      </c>
      <c r="D1886" s="1">
        <v>45082</v>
      </c>
      <c r="E1886">
        <v>2</v>
      </c>
      <c r="F1886">
        <v>1</v>
      </c>
      <c r="G1886" t="s">
        <v>5663</v>
      </c>
      <c r="H1886">
        <v>2</v>
      </c>
    </row>
    <row r="1887" spans="1:8" x14ac:dyDescent="0.25">
      <c r="A1887" t="s">
        <v>5664</v>
      </c>
      <c r="B1887" t="s">
        <v>5665</v>
      </c>
      <c r="C1887" t="s">
        <v>10</v>
      </c>
      <c r="D1887" s="1">
        <v>44727</v>
      </c>
      <c r="E1887">
        <v>10</v>
      </c>
      <c r="F1887">
        <v>1</v>
      </c>
      <c r="G1887" t="s">
        <v>5666</v>
      </c>
      <c r="H1887">
        <v>10</v>
      </c>
    </row>
    <row r="1888" spans="1:8" x14ac:dyDescent="0.25">
      <c r="A1888" t="s">
        <v>5667</v>
      </c>
      <c r="B1888" t="s">
        <v>5668</v>
      </c>
      <c r="C1888" t="s">
        <v>14</v>
      </c>
      <c r="D1888" s="1">
        <v>36623</v>
      </c>
      <c r="E1888">
        <v>10</v>
      </c>
      <c r="F1888">
        <v>1</v>
      </c>
      <c r="G1888" t="s">
        <v>5669</v>
      </c>
      <c r="H1888">
        <v>10</v>
      </c>
    </row>
    <row r="1889" spans="1:8" x14ac:dyDescent="0.25">
      <c r="A1889" t="s">
        <v>5670</v>
      </c>
      <c r="B1889" t="s">
        <v>5671</v>
      </c>
      <c r="C1889" t="s">
        <v>14</v>
      </c>
      <c r="D1889" s="1">
        <v>40274</v>
      </c>
      <c r="E1889">
        <v>10</v>
      </c>
      <c r="F1889">
        <v>1</v>
      </c>
      <c r="G1889" t="s">
        <v>5672</v>
      </c>
      <c r="H1889">
        <v>10</v>
      </c>
    </row>
    <row r="1890" spans="1:8" x14ac:dyDescent="0.25">
      <c r="A1890" t="s">
        <v>5673</v>
      </c>
      <c r="B1890" t="s">
        <v>5674</v>
      </c>
      <c r="C1890" t="s">
        <v>14</v>
      </c>
      <c r="D1890" s="1">
        <v>34738</v>
      </c>
      <c r="E1890">
        <v>10</v>
      </c>
      <c r="F1890">
        <v>1</v>
      </c>
      <c r="G1890" t="s">
        <v>5675</v>
      </c>
      <c r="H1890">
        <v>10</v>
      </c>
    </row>
    <row r="1891" spans="1:8" x14ac:dyDescent="0.25">
      <c r="A1891" t="s">
        <v>5676</v>
      </c>
      <c r="B1891" t="s">
        <v>5677</v>
      </c>
      <c r="C1891" t="s">
        <v>14</v>
      </c>
      <c r="D1891" s="1">
        <v>44424</v>
      </c>
      <c r="E1891">
        <v>5</v>
      </c>
      <c r="F1891">
        <v>1</v>
      </c>
      <c r="G1891" t="s">
        <v>5678</v>
      </c>
      <c r="H1891">
        <v>5</v>
      </c>
    </row>
    <row r="1892" spans="1:8" x14ac:dyDescent="0.25">
      <c r="A1892" t="s">
        <v>5679</v>
      </c>
      <c r="B1892" t="s">
        <v>5680</v>
      </c>
      <c r="C1892" t="s">
        <v>14</v>
      </c>
      <c r="D1892" s="1">
        <v>40772</v>
      </c>
      <c r="E1892">
        <v>2</v>
      </c>
      <c r="F1892">
        <v>1</v>
      </c>
      <c r="G1892" t="s">
        <v>5681</v>
      </c>
      <c r="H1892">
        <v>2</v>
      </c>
    </row>
    <row r="1893" spans="1:8" x14ac:dyDescent="0.25">
      <c r="A1893" t="s">
        <v>5682</v>
      </c>
      <c r="B1893" t="s">
        <v>5683</v>
      </c>
      <c r="C1893" t="s">
        <v>14</v>
      </c>
      <c r="D1893" s="1">
        <v>40780</v>
      </c>
      <c r="E1893">
        <v>10</v>
      </c>
      <c r="F1893">
        <v>1</v>
      </c>
      <c r="G1893" t="s">
        <v>5684</v>
      </c>
      <c r="H1893">
        <v>10</v>
      </c>
    </row>
    <row r="1894" spans="1:8" x14ac:dyDescent="0.25">
      <c r="A1894" t="s">
        <v>5685</v>
      </c>
      <c r="B1894" t="s">
        <v>5686</v>
      </c>
      <c r="C1894" t="s">
        <v>10</v>
      </c>
      <c r="D1894" s="1">
        <v>42842</v>
      </c>
      <c r="E1894">
        <v>10</v>
      </c>
      <c r="F1894">
        <v>1</v>
      </c>
      <c r="G1894" t="s">
        <v>5687</v>
      </c>
      <c r="H1894">
        <v>10</v>
      </c>
    </row>
    <row r="1895" spans="1:8" x14ac:dyDescent="0.25">
      <c r="A1895" t="s">
        <v>5688</v>
      </c>
      <c r="B1895" t="s">
        <v>5689</v>
      </c>
      <c r="C1895" t="s">
        <v>14</v>
      </c>
      <c r="D1895" s="1">
        <v>35011</v>
      </c>
      <c r="E1895">
        <v>2</v>
      </c>
      <c r="F1895">
        <v>1</v>
      </c>
      <c r="G1895" t="s">
        <v>5690</v>
      </c>
      <c r="H1895">
        <v>2</v>
      </c>
    </row>
    <row r="1896" spans="1:8" x14ac:dyDescent="0.25">
      <c r="A1896" t="s">
        <v>5691</v>
      </c>
      <c r="B1896" t="s">
        <v>5692</v>
      </c>
      <c r="C1896" t="s">
        <v>14</v>
      </c>
      <c r="D1896" s="1">
        <v>36579</v>
      </c>
      <c r="E1896">
        <v>5</v>
      </c>
      <c r="F1896">
        <v>1</v>
      </c>
      <c r="G1896" t="s">
        <v>5693</v>
      </c>
      <c r="H1896">
        <v>5</v>
      </c>
    </row>
    <row r="1897" spans="1:8" x14ac:dyDescent="0.25">
      <c r="A1897" t="s">
        <v>5694</v>
      </c>
      <c r="B1897" t="s">
        <v>5695</v>
      </c>
      <c r="C1897" t="s">
        <v>14</v>
      </c>
      <c r="D1897" s="1">
        <v>41768</v>
      </c>
      <c r="E1897">
        <v>10</v>
      </c>
      <c r="F1897">
        <v>1</v>
      </c>
      <c r="G1897" t="s">
        <v>5696</v>
      </c>
      <c r="H1897">
        <v>10</v>
      </c>
    </row>
    <row r="1898" spans="1:8" x14ac:dyDescent="0.25">
      <c r="A1898" t="s">
        <v>5697</v>
      </c>
      <c r="B1898" t="s">
        <v>5698</v>
      </c>
      <c r="C1898" t="s">
        <v>14</v>
      </c>
      <c r="D1898" s="1">
        <v>44047</v>
      </c>
      <c r="E1898">
        <v>10</v>
      </c>
      <c r="F1898">
        <v>1</v>
      </c>
      <c r="G1898" t="s">
        <v>5699</v>
      </c>
      <c r="H1898">
        <v>10</v>
      </c>
    </row>
    <row r="1899" spans="1:8" x14ac:dyDescent="0.25">
      <c r="A1899" t="s">
        <v>5700</v>
      </c>
      <c r="B1899" t="s">
        <v>5701</v>
      </c>
      <c r="C1899" t="s">
        <v>10</v>
      </c>
      <c r="D1899" s="1">
        <v>39295</v>
      </c>
      <c r="E1899">
        <v>10</v>
      </c>
      <c r="F1899">
        <v>1</v>
      </c>
      <c r="G1899" t="s">
        <v>5702</v>
      </c>
      <c r="H1899">
        <v>10</v>
      </c>
    </row>
    <row r="1900" spans="1:8" x14ac:dyDescent="0.25">
      <c r="A1900" t="s">
        <v>5703</v>
      </c>
      <c r="B1900" t="s">
        <v>5704</v>
      </c>
      <c r="C1900" t="s">
        <v>14</v>
      </c>
      <c r="D1900" s="1">
        <v>36908</v>
      </c>
      <c r="E1900">
        <v>2</v>
      </c>
      <c r="F1900">
        <v>1</v>
      </c>
      <c r="G1900" t="s">
        <v>5705</v>
      </c>
      <c r="H1900">
        <v>2</v>
      </c>
    </row>
    <row r="1901" spans="1:8" x14ac:dyDescent="0.25">
      <c r="A1901" t="s">
        <v>5706</v>
      </c>
      <c r="B1901" t="s">
        <v>5707</v>
      </c>
      <c r="C1901" t="s">
        <v>14</v>
      </c>
      <c r="D1901" s="1">
        <v>38420</v>
      </c>
      <c r="E1901">
        <v>10</v>
      </c>
      <c r="F1901">
        <v>1</v>
      </c>
      <c r="G1901" t="s">
        <v>5708</v>
      </c>
      <c r="H1901">
        <v>10</v>
      </c>
    </row>
    <row r="1902" spans="1:8" x14ac:dyDescent="0.25">
      <c r="A1902" t="s">
        <v>5709</v>
      </c>
      <c r="B1902" t="s">
        <v>5710</v>
      </c>
      <c r="C1902" t="s">
        <v>14</v>
      </c>
      <c r="D1902" s="1">
        <v>43500</v>
      </c>
      <c r="E1902">
        <v>10</v>
      </c>
      <c r="F1902">
        <v>1</v>
      </c>
      <c r="G1902" t="s">
        <v>5711</v>
      </c>
      <c r="H1902">
        <v>10</v>
      </c>
    </row>
    <row r="1903" spans="1:8" x14ac:dyDescent="0.25">
      <c r="A1903" t="s">
        <v>5712</v>
      </c>
      <c r="B1903" t="s">
        <v>5713</v>
      </c>
      <c r="C1903" t="s">
        <v>14</v>
      </c>
      <c r="D1903" s="1">
        <v>38104</v>
      </c>
      <c r="E1903">
        <v>10</v>
      </c>
      <c r="F1903">
        <v>1</v>
      </c>
      <c r="G1903" t="s">
        <v>5714</v>
      </c>
      <c r="H1903">
        <v>10</v>
      </c>
    </row>
    <row r="1904" spans="1:8" x14ac:dyDescent="0.25">
      <c r="A1904" t="s">
        <v>5715</v>
      </c>
      <c r="B1904" t="s">
        <v>5716</v>
      </c>
      <c r="C1904" t="s">
        <v>10</v>
      </c>
      <c r="D1904" s="1">
        <v>40773</v>
      </c>
      <c r="E1904">
        <v>2</v>
      </c>
      <c r="F1904">
        <v>1</v>
      </c>
      <c r="G1904" t="s">
        <v>5717</v>
      </c>
      <c r="H1904">
        <v>2</v>
      </c>
    </row>
    <row r="1905" spans="1:8" x14ac:dyDescent="0.25">
      <c r="A1905" t="s">
        <v>5718</v>
      </c>
      <c r="B1905" t="s">
        <v>5719</v>
      </c>
      <c r="C1905" t="s">
        <v>14</v>
      </c>
      <c r="D1905" s="1">
        <v>45159</v>
      </c>
      <c r="E1905">
        <v>10</v>
      </c>
      <c r="F1905">
        <v>1</v>
      </c>
      <c r="G1905" t="s">
        <v>5720</v>
      </c>
      <c r="H1905">
        <v>10</v>
      </c>
    </row>
    <row r="1906" spans="1:8" x14ac:dyDescent="0.25">
      <c r="A1906" t="s">
        <v>5721</v>
      </c>
      <c r="B1906" t="s">
        <v>5722</v>
      </c>
      <c r="C1906" t="s">
        <v>14</v>
      </c>
      <c r="D1906" s="1">
        <v>45145</v>
      </c>
      <c r="E1906">
        <v>10</v>
      </c>
      <c r="F1906">
        <v>1</v>
      </c>
      <c r="G1906" t="s">
        <v>5723</v>
      </c>
      <c r="H1906">
        <v>10</v>
      </c>
    </row>
    <row r="1907" spans="1:8" x14ac:dyDescent="0.25">
      <c r="A1907" t="s">
        <v>5724</v>
      </c>
      <c r="B1907" t="s">
        <v>5725</v>
      </c>
      <c r="C1907" t="s">
        <v>14</v>
      </c>
      <c r="D1907" s="1">
        <v>45197</v>
      </c>
      <c r="E1907">
        <v>1</v>
      </c>
      <c r="F1907">
        <v>1</v>
      </c>
      <c r="G1907" t="s">
        <v>5726</v>
      </c>
      <c r="H1907">
        <v>1</v>
      </c>
    </row>
    <row r="1908" spans="1:8" x14ac:dyDescent="0.25">
      <c r="A1908" t="s">
        <v>5727</v>
      </c>
      <c r="B1908" t="s">
        <v>5728</v>
      </c>
      <c r="C1908" t="s">
        <v>14</v>
      </c>
      <c r="D1908" s="1">
        <v>38545</v>
      </c>
      <c r="E1908">
        <v>2</v>
      </c>
      <c r="F1908">
        <v>1</v>
      </c>
      <c r="G1908" t="s">
        <v>5729</v>
      </c>
      <c r="H1908">
        <v>2</v>
      </c>
    </row>
    <row r="1909" spans="1:8" x14ac:dyDescent="0.25">
      <c r="A1909" t="s">
        <v>5730</v>
      </c>
      <c r="B1909" t="s">
        <v>5731</v>
      </c>
      <c r="C1909" t="s">
        <v>14</v>
      </c>
      <c r="D1909" s="1">
        <v>44441</v>
      </c>
      <c r="E1909">
        <v>10</v>
      </c>
      <c r="F1909">
        <v>1</v>
      </c>
      <c r="G1909" t="s">
        <v>5732</v>
      </c>
      <c r="H1909">
        <v>10</v>
      </c>
    </row>
    <row r="1910" spans="1:8" x14ac:dyDescent="0.25">
      <c r="A1910" t="s">
        <v>5733</v>
      </c>
      <c r="B1910" t="s">
        <v>5734</v>
      </c>
      <c r="C1910" t="s">
        <v>14</v>
      </c>
      <c r="D1910" s="1">
        <v>45191</v>
      </c>
      <c r="E1910">
        <v>1</v>
      </c>
      <c r="F1910">
        <v>1</v>
      </c>
      <c r="G1910" t="s">
        <v>5735</v>
      </c>
      <c r="H1910">
        <v>1</v>
      </c>
    </row>
    <row r="1911" spans="1:8" x14ac:dyDescent="0.25">
      <c r="A1911" t="s">
        <v>5736</v>
      </c>
      <c r="B1911" t="s">
        <v>5737</v>
      </c>
      <c r="C1911" t="s">
        <v>14</v>
      </c>
      <c r="D1911" s="1">
        <v>36047</v>
      </c>
      <c r="E1911">
        <v>1</v>
      </c>
      <c r="F1911">
        <v>1</v>
      </c>
      <c r="G1911" t="s">
        <v>5738</v>
      </c>
      <c r="H1911">
        <v>1</v>
      </c>
    </row>
    <row r="1912" spans="1:8" x14ac:dyDescent="0.25">
      <c r="A1912" t="s">
        <v>5739</v>
      </c>
      <c r="B1912" t="s">
        <v>5740</v>
      </c>
      <c r="C1912" t="s">
        <v>10</v>
      </c>
      <c r="D1912" s="1">
        <v>40532</v>
      </c>
      <c r="E1912">
        <v>1</v>
      </c>
      <c r="F1912">
        <v>1</v>
      </c>
      <c r="G1912" t="s">
        <v>5741</v>
      </c>
      <c r="H1912">
        <v>1</v>
      </c>
    </row>
    <row r="1913" spans="1:8" x14ac:dyDescent="0.25">
      <c r="A1913" t="s">
        <v>5742</v>
      </c>
      <c r="B1913" t="s">
        <v>5743</v>
      </c>
      <c r="C1913" t="s">
        <v>14</v>
      </c>
      <c r="D1913" s="1">
        <v>39092</v>
      </c>
      <c r="E1913">
        <v>1</v>
      </c>
      <c r="F1913">
        <v>1</v>
      </c>
      <c r="G1913" t="s">
        <v>5744</v>
      </c>
      <c r="H1913">
        <v>1</v>
      </c>
    </row>
    <row r="1914" spans="1:8" x14ac:dyDescent="0.25">
      <c r="A1914" t="s">
        <v>5745</v>
      </c>
      <c r="B1914" t="s">
        <v>5746</v>
      </c>
      <c r="C1914" t="s">
        <v>14</v>
      </c>
      <c r="D1914" s="1">
        <v>35256</v>
      </c>
      <c r="E1914">
        <v>10</v>
      </c>
      <c r="F1914">
        <v>1</v>
      </c>
      <c r="G1914" t="s">
        <v>5747</v>
      </c>
      <c r="H1914">
        <v>10</v>
      </c>
    </row>
    <row r="1915" spans="1:8" x14ac:dyDescent="0.25">
      <c r="A1915" t="s">
        <v>5748</v>
      </c>
      <c r="B1915" t="s">
        <v>5749</v>
      </c>
      <c r="C1915" t="s">
        <v>10</v>
      </c>
      <c r="D1915" s="1">
        <v>39202</v>
      </c>
      <c r="E1915">
        <v>10</v>
      </c>
      <c r="F1915">
        <v>1</v>
      </c>
      <c r="G1915" t="s">
        <v>5750</v>
      </c>
      <c r="H1915">
        <v>10</v>
      </c>
    </row>
    <row r="1916" spans="1:8" x14ac:dyDescent="0.25">
      <c r="A1916" t="s">
        <v>5751</v>
      </c>
      <c r="B1916" t="s">
        <v>5752</v>
      </c>
      <c r="C1916" t="s">
        <v>14</v>
      </c>
      <c r="D1916" s="1">
        <v>37811</v>
      </c>
      <c r="E1916">
        <v>2</v>
      </c>
      <c r="F1916">
        <v>1</v>
      </c>
      <c r="G1916" t="s">
        <v>5753</v>
      </c>
      <c r="H1916">
        <v>2</v>
      </c>
    </row>
    <row r="1917" spans="1:8" x14ac:dyDescent="0.25">
      <c r="A1917" t="s">
        <v>5754</v>
      </c>
      <c r="B1917" t="s">
        <v>5755</v>
      </c>
      <c r="C1917" t="s">
        <v>10</v>
      </c>
      <c r="D1917" s="1">
        <v>42093</v>
      </c>
      <c r="E1917">
        <v>1</v>
      </c>
      <c r="F1917">
        <v>1</v>
      </c>
      <c r="G1917" t="s">
        <v>5756</v>
      </c>
      <c r="H1917">
        <v>1</v>
      </c>
    </row>
    <row r="1918" spans="1:8" x14ac:dyDescent="0.25">
      <c r="A1918" t="s">
        <v>5757</v>
      </c>
      <c r="B1918" t="s">
        <v>5758</v>
      </c>
      <c r="C1918" t="s">
        <v>14</v>
      </c>
      <c r="D1918" s="1">
        <v>39722</v>
      </c>
      <c r="E1918">
        <v>5</v>
      </c>
      <c r="F1918">
        <v>1</v>
      </c>
      <c r="G1918" t="s">
        <v>5759</v>
      </c>
      <c r="H1918">
        <v>5</v>
      </c>
    </row>
    <row r="1919" spans="1:8" x14ac:dyDescent="0.25">
      <c r="A1919" t="s">
        <v>5760</v>
      </c>
      <c r="B1919" t="s">
        <v>5761</v>
      </c>
      <c r="C1919" t="s">
        <v>14</v>
      </c>
      <c r="D1919" s="1">
        <v>44890</v>
      </c>
      <c r="E1919">
        <v>10</v>
      </c>
      <c r="F1919">
        <v>1</v>
      </c>
      <c r="G1919" t="s">
        <v>5762</v>
      </c>
      <c r="H1919">
        <v>10</v>
      </c>
    </row>
    <row r="1920" spans="1:8" x14ac:dyDescent="0.25">
      <c r="A1920" t="s">
        <v>5763</v>
      </c>
      <c r="B1920" t="s">
        <v>5764</v>
      </c>
      <c r="C1920" t="s">
        <v>10</v>
      </c>
      <c r="D1920" s="1">
        <v>44544</v>
      </c>
      <c r="E1920">
        <v>10</v>
      </c>
      <c r="F1920">
        <v>1</v>
      </c>
      <c r="G1920" t="s">
        <v>5765</v>
      </c>
      <c r="H1920">
        <v>10</v>
      </c>
    </row>
    <row r="1921" spans="1:8" x14ac:dyDescent="0.25">
      <c r="A1921" t="s">
        <v>5766</v>
      </c>
      <c r="B1921" t="s">
        <v>5767</v>
      </c>
      <c r="C1921" t="s">
        <v>14</v>
      </c>
      <c r="D1921" s="1">
        <v>34969</v>
      </c>
      <c r="E1921">
        <v>10</v>
      </c>
      <c r="F1921">
        <v>1</v>
      </c>
      <c r="G1921" t="s">
        <v>5768</v>
      </c>
      <c r="H1921">
        <v>10</v>
      </c>
    </row>
    <row r="1922" spans="1:8" x14ac:dyDescent="0.25">
      <c r="A1922" t="s">
        <v>5769</v>
      </c>
      <c r="B1922" t="s">
        <v>5770</v>
      </c>
      <c r="C1922" t="s">
        <v>14</v>
      </c>
      <c r="D1922" s="1">
        <v>44400</v>
      </c>
      <c r="E1922">
        <v>1</v>
      </c>
      <c r="F1922">
        <v>1</v>
      </c>
      <c r="G1922" t="s">
        <v>5771</v>
      </c>
      <c r="H1922">
        <v>1</v>
      </c>
    </row>
    <row r="1923" spans="1:8" x14ac:dyDescent="0.25">
      <c r="A1923" t="s">
        <v>5772</v>
      </c>
      <c r="B1923" t="s">
        <v>5773</v>
      </c>
      <c r="C1923" t="s">
        <v>14</v>
      </c>
      <c r="D1923" s="1">
        <v>43696</v>
      </c>
      <c r="E1923">
        <v>10</v>
      </c>
      <c r="F1923">
        <v>1</v>
      </c>
      <c r="G1923" t="s">
        <v>5774</v>
      </c>
      <c r="H1923">
        <v>10</v>
      </c>
    </row>
    <row r="1924" spans="1:8" x14ac:dyDescent="0.25">
      <c r="A1924" t="s">
        <v>5775</v>
      </c>
      <c r="B1924" t="s">
        <v>5776</v>
      </c>
      <c r="C1924" t="s">
        <v>14</v>
      </c>
      <c r="D1924" s="1">
        <v>41240</v>
      </c>
      <c r="E1924">
        <v>10</v>
      </c>
      <c r="F1924">
        <v>1</v>
      </c>
      <c r="G1924" t="s">
        <v>5777</v>
      </c>
      <c r="H1924">
        <v>10</v>
      </c>
    </row>
    <row r="1925" spans="1:8" x14ac:dyDescent="0.25">
      <c r="A1925" t="s">
        <v>5778</v>
      </c>
      <c r="B1925" t="s">
        <v>5779</v>
      </c>
      <c r="C1925" t="s">
        <v>14</v>
      </c>
      <c r="D1925" s="1">
        <v>34801</v>
      </c>
      <c r="E1925">
        <v>10</v>
      </c>
      <c r="F1925">
        <v>1</v>
      </c>
      <c r="G1925" t="s">
        <v>5780</v>
      </c>
      <c r="H1925">
        <v>10</v>
      </c>
    </row>
    <row r="1926" spans="1:8" x14ac:dyDescent="0.25">
      <c r="A1926" t="s">
        <v>5781</v>
      </c>
      <c r="B1926" t="s">
        <v>5782</v>
      </c>
      <c r="C1926" t="s">
        <v>14</v>
      </c>
      <c r="D1926" s="1">
        <v>36634</v>
      </c>
      <c r="E1926">
        <v>1</v>
      </c>
      <c r="F1926">
        <v>1</v>
      </c>
      <c r="G1926" t="s">
        <v>5783</v>
      </c>
      <c r="H1926">
        <v>1</v>
      </c>
    </row>
    <row r="1927" spans="1:8" x14ac:dyDescent="0.25">
      <c r="A1927" t="s">
        <v>5784</v>
      </c>
      <c r="B1927" t="s">
        <v>5785</v>
      </c>
      <c r="C1927" t="s">
        <v>14</v>
      </c>
      <c r="D1927" s="1">
        <v>40130</v>
      </c>
      <c r="E1927">
        <v>10</v>
      </c>
      <c r="F1927">
        <v>1</v>
      </c>
      <c r="G1927" t="s">
        <v>5786</v>
      </c>
      <c r="H1927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561"/>
  <sheetViews>
    <sheetView topLeftCell="C2522" workbookViewId="0">
      <selection activeCell="Q2522" sqref="Q1:Q1048576"/>
    </sheetView>
  </sheetViews>
  <sheetFormatPr defaultRowHeight="15" x14ac:dyDescent="0.25"/>
  <cols>
    <col min="1" max="1" width="15.5703125" bestFit="1" customWidth="1"/>
    <col min="2" max="2" width="42.140625" customWidth="1"/>
    <col min="7" max="7" width="9.5703125" style="3" bestFit="1" customWidth="1"/>
    <col min="12" max="12" width="11.42578125" bestFit="1" customWidth="1"/>
    <col min="14" max="14" width="14.85546875" bestFit="1" customWidth="1"/>
    <col min="15" max="16" width="10.42578125" style="4" bestFit="1" customWidth="1"/>
    <col min="17" max="17" width="15" style="7" customWidth="1"/>
    <col min="20" max="20" width="10.42578125" bestFit="1" customWidth="1"/>
    <col min="22" max="22" width="16.7109375" customWidth="1"/>
  </cols>
  <sheetData>
    <row r="1" spans="1:22" x14ac:dyDescent="0.25">
      <c r="A1" t="s">
        <v>0</v>
      </c>
      <c r="B1" t="s">
        <v>7030</v>
      </c>
      <c r="C1" t="s">
        <v>7029</v>
      </c>
      <c r="D1" t="s">
        <v>7028</v>
      </c>
      <c r="E1" t="s">
        <v>7027</v>
      </c>
      <c r="F1" t="s">
        <v>7026</v>
      </c>
      <c r="G1" s="3" t="s">
        <v>7025</v>
      </c>
      <c r="H1" t="s">
        <v>7024</v>
      </c>
      <c r="I1" t="s">
        <v>7023</v>
      </c>
      <c r="J1" t="s">
        <v>7022</v>
      </c>
      <c r="K1" t="s">
        <v>7021</v>
      </c>
      <c r="L1" t="s">
        <v>7020</v>
      </c>
      <c r="M1" t="s">
        <v>7019</v>
      </c>
      <c r="N1" t="s">
        <v>7018</v>
      </c>
      <c r="O1" s="4" t="s">
        <v>7031</v>
      </c>
      <c r="P1" s="4" t="s">
        <v>7031</v>
      </c>
      <c r="V1">
        <v>0.38825517640459262</v>
      </c>
    </row>
    <row r="2" spans="1:22" x14ac:dyDescent="0.25">
      <c r="A2" t="s">
        <v>7017</v>
      </c>
      <c r="B2" t="str" cm="1">
        <f t="array" ref="B2:B2561">_xlfn.XLOOKUP(A2:A2561,EQUITY_L!A2:A1927,EQUITY_L!B2:B1927,"Not Found",0)</f>
        <v>Not Found</v>
      </c>
      <c r="C2" t="s">
        <v>6923</v>
      </c>
      <c r="D2">
        <v>97.34</v>
      </c>
      <c r="E2">
        <v>97.34</v>
      </c>
      <c r="F2">
        <v>97.34</v>
      </c>
      <c r="G2" s="3">
        <v>97.34</v>
      </c>
      <c r="H2">
        <v>97.34</v>
      </c>
      <c r="I2">
        <v>97.2</v>
      </c>
      <c r="J2">
        <v>100</v>
      </c>
      <c r="K2">
        <v>9734</v>
      </c>
      <c r="L2" s="1">
        <v>45240</v>
      </c>
      <c r="M2">
        <v>1</v>
      </c>
      <c r="N2" t="s">
        <v>7016</v>
      </c>
      <c r="O2" s="5">
        <v>45240</v>
      </c>
      <c r="P2" s="5">
        <v>43777</v>
      </c>
      <c r="T2" s="2">
        <v>43777</v>
      </c>
      <c r="V2">
        <v>37.1</v>
      </c>
    </row>
    <row r="3" spans="1:22" x14ac:dyDescent="0.25">
      <c r="A3" t="s">
        <v>7015</v>
      </c>
      <c r="B3" t="str">
        <v>Not Found</v>
      </c>
      <c r="C3" t="s">
        <v>6923</v>
      </c>
      <c r="D3">
        <v>96.5</v>
      </c>
      <c r="E3">
        <v>96.7</v>
      </c>
      <c r="F3">
        <v>96.5</v>
      </c>
      <c r="G3" s="3">
        <v>96.7</v>
      </c>
      <c r="H3">
        <v>96.7</v>
      </c>
      <c r="I3">
        <v>96.58</v>
      </c>
      <c r="J3">
        <v>200</v>
      </c>
      <c r="K3">
        <v>19320</v>
      </c>
      <c r="L3" s="1">
        <v>45240</v>
      </c>
      <c r="M3">
        <v>2</v>
      </c>
      <c r="N3" t="s">
        <v>7014</v>
      </c>
      <c r="O3" s="5">
        <v>45240</v>
      </c>
      <c r="P3" s="5">
        <v>43777</v>
      </c>
      <c r="T3" s="2">
        <f>EDATE(T2,3)</f>
        <v>43869</v>
      </c>
      <c r="U3">
        <f>V2*$V$1*(((T3-T2+1)/365))</f>
        <v>3.6701283154760715</v>
      </c>
      <c r="V3">
        <f>V2+U3</f>
        <v>40.770128315476072</v>
      </c>
    </row>
    <row r="4" spans="1:22" x14ac:dyDescent="0.25">
      <c r="A4" t="s">
        <v>7013</v>
      </c>
      <c r="B4" t="str">
        <v>Not Found</v>
      </c>
      <c r="C4" t="s">
        <v>6923</v>
      </c>
      <c r="D4">
        <v>97.76</v>
      </c>
      <c r="E4">
        <v>97.76</v>
      </c>
      <c r="F4">
        <v>97.76</v>
      </c>
      <c r="G4" s="3">
        <v>97.76</v>
      </c>
      <c r="H4">
        <v>97.76</v>
      </c>
      <c r="I4">
        <v>97.57</v>
      </c>
      <c r="J4">
        <v>100</v>
      </c>
      <c r="K4">
        <v>9776</v>
      </c>
      <c r="L4" s="1">
        <v>45240</v>
      </c>
      <c r="M4">
        <v>1</v>
      </c>
      <c r="N4" t="s">
        <v>7012</v>
      </c>
      <c r="O4" s="5">
        <v>45240</v>
      </c>
      <c r="P4" s="5">
        <v>43777</v>
      </c>
      <c r="T4" s="2">
        <f t="shared" ref="T4:T18" si="0">EDATE(T3,3)</f>
        <v>43959</v>
      </c>
      <c r="U4">
        <f t="shared" ref="U4:U19" si="1">V3*$V$1*((T4-T3)/365)</f>
        <v>3.9030937054922559</v>
      </c>
      <c r="V4">
        <f t="shared" ref="V4:V19" si="2">V3+U4</f>
        <v>44.673222020968325</v>
      </c>
    </row>
    <row r="5" spans="1:22" x14ac:dyDescent="0.25">
      <c r="A5" t="s">
        <v>7011</v>
      </c>
      <c r="B5" t="str">
        <v>Not Found</v>
      </c>
      <c r="C5" t="s">
        <v>6923</v>
      </c>
      <c r="D5">
        <v>96.85</v>
      </c>
      <c r="E5">
        <v>96.85</v>
      </c>
      <c r="F5">
        <v>96.85</v>
      </c>
      <c r="G5" s="3">
        <v>96.85</v>
      </c>
      <c r="H5">
        <v>96.85</v>
      </c>
      <c r="I5">
        <v>96.65</v>
      </c>
      <c r="J5">
        <v>500</v>
      </c>
      <c r="K5">
        <v>48425</v>
      </c>
      <c r="L5" s="1">
        <v>45240</v>
      </c>
      <c r="M5">
        <v>1</v>
      </c>
      <c r="N5" t="s">
        <v>7010</v>
      </c>
      <c r="O5" s="5">
        <v>45240</v>
      </c>
      <c r="P5" s="5">
        <v>43777</v>
      </c>
      <c r="T5" s="2">
        <f t="shared" si="0"/>
        <v>44051</v>
      </c>
      <c r="U5">
        <f t="shared" si="1"/>
        <v>4.3717920330431737</v>
      </c>
      <c r="V5">
        <f t="shared" si="2"/>
        <v>49.045014054011496</v>
      </c>
    </row>
    <row r="6" spans="1:22" x14ac:dyDescent="0.25">
      <c r="A6" t="s">
        <v>8</v>
      </c>
      <c r="B6" t="str">
        <v>20 Microns Limited</v>
      </c>
      <c r="C6" t="s">
        <v>10</v>
      </c>
      <c r="D6">
        <v>163.25</v>
      </c>
      <c r="E6">
        <v>164</v>
      </c>
      <c r="F6">
        <v>163</v>
      </c>
      <c r="G6" s="3">
        <v>164</v>
      </c>
      <c r="H6">
        <v>164</v>
      </c>
      <c r="I6">
        <v>162</v>
      </c>
      <c r="J6">
        <v>26143</v>
      </c>
      <c r="K6">
        <v>4272500.75</v>
      </c>
      <c r="L6" s="1">
        <v>45240</v>
      </c>
      <c r="M6">
        <v>144</v>
      </c>
      <c r="N6" t="s">
        <v>11</v>
      </c>
      <c r="O6" s="5">
        <v>45240</v>
      </c>
      <c r="P6" s="5">
        <v>43777</v>
      </c>
      <c r="T6" s="2">
        <f t="shared" si="0"/>
        <v>44143</v>
      </c>
      <c r="U6">
        <f t="shared" si="1"/>
        <v>4.7996225031894468</v>
      </c>
      <c r="V6">
        <f t="shared" si="2"/>
        <v>53.844636557200943</v>
      </c>
    </row>
    <row r="7" spans="1:22" x14ac:dyDescent="0.25">
      <c r="A7" t="s">
        <v>12</v>
      </c>
      <c r="B7" t="str">
        <v>21st Century Management Services Limited</v>
      </c>
      <c r="C7" t="s">
        <v>14</v>
      </c>
      <c r="D7">
        <v>18.7</v>
      </c>
      <c r="E7">
        <v>18.7</v>
      </c>
      <c r="F7">
        <v>18.7</v>
      </c>
      <c r="G7" s="3">
        <v>18.7</v>
      </c>
      <c r="H7">
        <v>18.7</v>
      </c>
      <c r="I7">
        <v>18.350000000000001</v>
      </c>
      <c r="J7">
        <v>617</v>
      </c>
      <c r="K7">
        <v>11537.9</v>
      </c>
      <c r="L7" s="1">
        <v>45240</v>
      </c>
      <c r="M7">
        <v>5</v>
      </c>
      <c r="N7" t="s">
        <v>15</v>
      </c>
      <c r="O7" s="5">
        <v>45240</v>
      </c>
      <c r="P7" s="5">
        <v>43777</v>
      </c>
      <c r="T7" s="2">
        <f t="shared" si="0"/>
        <v>44235</v>
      </c>
      <c r="U7">
        <f t="shared" si="1"/>
        <v>5.2693211385645622</v>
      </c>
      <c r="V7">
        <f t="shared" si="2"/>
        <v>59.113957695765507</v>
      </c>
    </row>
    <row r="8" spans="1:22" x14ac:dyDescent="0.25">
      <c r="A8" t="s">
        <v>16</v>
      </c>
      <c r="B8" t="str">
        <v>360 ONE WAM LIMITED</v>
      </c>
      <c r="C8" t="s">
        <v>14</v>
      </c>
      <c r="D8">
        <v>543.79999999999995</v>
      </c>
      <c r="E8">
        <v>544.85</v>
      </c>
      <c r="F8">
        <v>538.15</v>
      </c>
      <c r="G8" s="3">
        <v>542.79999999999995</v>
      </c>
      <c r="H8">
        <v>542.85</v>
      </c>
      <c r="I8">
        <v>545.65</v>
      </c>
      <c r="J8">
        <v>142699</v>
      </c>
      <c r="K8">
        <v>77358028.450000003</v>
      </c>
      <c r="L8" s="1">
        <v>45240</v>
      </c>
      <c r="M8">
        <v>4478</v>
      </c>
      <c r="N8" t="s">
        <v>18</v>
      </c>
      <c r="O8" s="5">
        <v>45240</v>
      </c>
      <c r="P8" s="5">
        <v>43777</v>
      </c>
      <c r="T8" s="2">
        <f t="shared" si="0"/>
        <v>44324</v>
      </c>
      <c r="U8">
        <f t="shared" si="1"/>
        <v>5.5963444013965278</v>
      </c>
      <c r="V8">
        <f t="shared" si="2"/>
        <v>64.710302097162028</v>
      </c>
    </row>
    <row r="9" spans="1:22" x14ac:dyDescent="0.25">
      <c r="A9" t="s">
        <v>7009</v>
      </c>
      <c r="B9" t="str">
        <v>Not Found</v>
      </c>
      <c r="C9" t="s">
        <v>6923</v>
      </c>
      <c r="D9">
        <v>93.5</v>
      </c>
      <c r="E9">
        <v>93.5</v>
      </c>
      <c r="F9">
        <v>93.5</v>
      </c>
      <c r="G9" s="3">
        <v>93.5</v>
      </c>
      <c r="H9">
        <v>93.5</v>
      </c>
      <c r="I9">
        <v>93.36</v>
      </c>
      <c r="J9">
        <v>8100</v>
      </c>
      <c r="K9">
        <v>757350</v>
      </c>
      <c r="L9" s="1">
        <v>45240</v>
      </c>
      <c r="M9">
        <v>3</v>
      </c>
      <c r="N9" t="s">
        <v>7008</v>
      </c>
      <c r="O9" s="5">
        <v>45240</v>
      </c>
      <c r="P9" s="5">
        <v>43777</v>
      </c>
      <c r="T9" s="2">
        <f t="shared" si="0"/>
        <v>44416</v>
      </c>
      <c r="U9">
        <f t="shared" si="1"/>
        <v>6.3326523220421578</v>
      </c>
      <c r="V9">
        <f t="shared" si="2"/>
        <v>71.042954419204193</v>
      </c>
    </row>
    <row r="10" spans="1:22" x14ac:dyDescent="0.25">
      <c r="A10" t="s">
        <v>7007</v>
      </c>
      <c r="B10" t="str">
        <v>Not Found</v>
      </c>
      <c r="C10" t="s">
        <v>6923</v>
      </c>
      <c r="D10">
        <v>93.96</v>
      </c>
      <c r="E10">
        <v>93.96</v>
      </c>
      <c r="F10">
        <v>93.96</v>
      </c>
      <c r="G10" s="3">
        <v>93.96</v>
      </c>
      <c r="H10">
        <v>93.96</v>
      </c>
      <c r="I10">
        <v>93.84</v>
      </c>
      <c r="J10">
        <v>400</v>
      </c>
      <c r="K10">
        <v>37584</v>
      </c>
      <c r="L10" s="1">
        <v>45240</v>
      </c>
      <c r="M10">
        <v>1</v>
      </c>
      <c r="N10" t="s">
        <v>7006</v>
      </c>
      <c r="O10" s="5">
        <v>45240</v>
      </c>
      <c r="P10" s="5">
        <v>43777</v>
      </c>
      <c r="T10" s="2">
        <f>EDATE(T9,3)</f>
        <v>44508</v>
      </c>
      <c r="U10">
        <f t="shared" si="1"/>
        <v>6.9523756757000088</v>
      </c>
      <c r="V10">
        <f t="shared" si="2"/>
        <v>77.995330094904205</v>
      </c>
    </row>
    <row r="11" spans="1:22" x14ac:dyDescent="0.25">
      <c r="A11" t="s">
        <v>7005</v>
      </c>
      <c r="B11" t="str">
        <v>Not Found</v>
      </c>
      <c r="C11" t="s">
        <v>6923</v>
      </c>
      <c r="D11">
        <v>99.12</v>
      </c>
      <c r="E11">
        <v>99.12</v>
      </c>
      <c r="F11">
        <v>99.12</v>
      </c>
      <c r="G11" s="3">
        <v>99.12</v>
      </c>
      <c r="H11">
        <v>99.12</v>
      </c>
      <c r="I11">
        <v>99</v>
      </c>
      <c r="J11">
        <v>1000</v>
      </c>
      <c r="K11">
        <v>99120</v>
      </c>
      <c r="L11" s="1">
        <v>45240</v>
      </c>
      <c r="M11">
        <v>1</v>
      </c>
      <c r="N11" t="s">
        <v>7004</v>
      </c>
      <c r="O11" s="5">
        <v>45240</v>
      </c>
      <c r="P11" s="5">
        <v>43777</v>
      </c>
      <c r="T11" s="2">
        <f t="shared" si="0"/>
        <v>44600</v>
      </c>
      <c r="U11">
        <f t="shared" si="1"/>
        <v>7.6327461351103976</v>
      </c>
      <c r="V11">
        <f t="shared" si="2"/>
        <v>85.628076230014599</v>
      </c>
    </row>
    <row r="12" spans="1:22" x14ac:dyDescent="0.25">
      <c r="A12" t="s">
        <v>7003</v>
      </c>
      <c r="B12" t="str">
        <v>Not Found</v>
      </c>
      <c r="C12" t="s">
        <v>6923</v>
      </c>
      <c r="D12">
        <v>97</v>
      </c>
      <c r="E12">
        <v>97</v>
      </c>
      <c r="F12">
        <v>97</v>
      </c>
      <c r="G12" s="3">
        <v>97</v>
      </c>
      <c r="H12">
        <v>97</v>
      </c>
      <c r="I12">
        <v>96.9</v>
      </c>
      <c r="J12">
        <v>2000</v>
      </c>
      <c r="K12">
        <v>194000</v>
      </c>
      <c r="L12" s="1">
        <v>45240</v>
      </c>
      <c r="M12">
        <v>1</v>
      </c>
      <c r="N12" t="s">
        <v>7002</v>
      </c>
      <c r="O12" s="5">
        <v>45240</v>
      </c>
      <c r="P12" s="5">
        <v>43777</v>
      </c>
      <c r="T12" s="2">
        <f t="shared" si="0"/>
        <v>44689</v>
      </c>
      <c r="U12">
        <f t="shared" si="1"/>
        <v>8.1064476765108218</v>
      </c>
      <c r="V12">
        <f t="shared" si="2"/>
        <v>93.734523906525425</v>
      </c>
    </row>
    <row r="13" spans="1:22" x14ac:dyDescent="0.25">
      <c r="A13" t="s">
        <v>7001</v>
      </c>
      <c r="B13" t="str">
        <v>Not Found</v>
      </c>
      <c r="C13" t="s">
        <v>6923</v>
      </c>
      <c r="D13">
        <v>98.95</v>
      </c>
      <c r="E13">
        <v>98.95</v>
      </c>
      <c r="F13">
        <v>98.95</v>
      </c>
      <c r="G13" s="3">
        <v>98.95</v>
      </c>
      <c r="H13">
        <v>98.95</v>
      </c>
      <c r="I13">
        <v>98.67</v>
      </c>
      <c r="J13">
        <v>1000</v>
      </c>
      <c r="K13">
        <v>98950</v>
      </c>
      <c r="L13" s="1">
        <v>45240</v>
      </c>
      <c r="M13">
        <v>1</v>
      </c>
      <c r="N13" t="s">
        <v>7000</v>
      </c>
      <c r="O13" s="5">
        <v>45240</v>
      </c>
      <c r="P13" s="5">
        <v>43777</v>
      </c>
      <c r="T13" s="2">
        <f t="shared" si="0"/>
        <v>44781</v>
      </c>
      <c r="U13">
        <f t="shared" si="1"/>
        <v>9.1730084891414378</v>
      </c>
      <c r="V13">
        <f t="shared" si="2"/>
        <v>102.90753239566686</v>
      </c>
    </row>
    <row r="14" spans="1:22" x14ac:dyDescent="0.25">
      <c r="A14" t="s">
        <v>6999</v>
      </c>
      <c r="B14" t="str">
        <v>Not Found</v>
      </c>
      <c r="C14" t="s">
        <v>6923</v>
      </c>
      <c r="D14">
        <v>93.8</v>
      </c>
      <c r="E14">
        <v>94</v>
      </c>
      <c r="F14">
        <v>93.8</v>
      </c>
      <c r="G14" s="3">
        <v>94</v>
      </c>
      <c r="H14">
        <v>94</v>
      </c>
      <c r="I14">
        <v>93</v>
      </c>
      <c r="J14">
        <v>3000</v>
      </c>
      <c r="K14">
        <v>281980</v>
      </c>
      <c r="L14" s="1">
        <v>45240</v>
      </c>
      <c r="M14">
        <v>2</v>
      </c>
      <c r="N14" t="s">
        <v>6998</v>
      </c>
      <c r="O14" s="5">
        <v>45240</v>
      </c>
      <c r="P14" s="5">
        <v>43777</v>
      </c>
      <c r="T14" s="2">
        <f t="shared" si="0"/>
        <v>44873</v>
      </c>
      <c r="U14">
        <f t="shared" si="1"/>
        <v>10.070693581410875</v>
      </c>
      <c r="V14">
        <f t="shared" si="2"/>
        <v>112.97822597707774</v>
      </c>
    </row>
    <row r="15" spans="1:22" x14ac:dyDescent="0.25">
      <c r="A15" t="s">
        <v>19</v>
      </c>
      <c r="B15" t="str">
        <v>3i Infotech Limited</v>
      </c>
      <c r="C15" t="s">
        <v>14</v>
      </c>
      <c r="D15">
        <v>35.950000000000003</v>
      </c>
      <c r="E15">
        <v>36.200000000000003</v>
      </c>
      <c r="F15">
        <v>35.200000000000003</v>
      </c>
      <c r="G15" s="3">
        <v>35.4</v>
      </c>
      <c r="H15">
        <v>35.299999999999997</v>
      </c>
      <c r="I15">
        <v>35.950000000000003</v>
      </c>
      <c r="J15">
        <v>557468</v>
      </c>
      <c r="K15">
        <v>19840273.5</v>
      </c>
      <c r="L15" s="1">
        <v>45240</v>
      </c>
      <c r="M15">
        <v>4348</v>
      </c>
      <c r="N15" t="s">
        <v>21</v>
      </c>
      <c r="O15" s="5">
        <v>45240</v>
      </c>
      <c r="P15" s="5">
        <v>43777</v>
      </c>
      <c r="T15" s="2">
        <f>EDATE(T14,3)</f>
        <v>44965</v>
      </c>
      <c r="U15">
        <f t="shared" si="1"/>
        <v>11.056227553994407</v>
      </c>
      <c r="V15">
        <f t="shared" si="2"/>
        <v>124.03445353107215</v>
      </c>
    </row>
    <row r="16" spans="1:22" x14ac:dyDescent="0.25">
      <c r="A16" t="s">
        <v>22</v>
      </c>
      <c r="B16" t="str">
        <v>3M India Limited</v>
      </c>
      <c r="C16" t="s">
        <v>14</v>
      </c>
      <c r="D16">
        <v>31726</v>
      </c>
      <c r="E16">
        <v>32409.35</v>
      </c>
      <c r="F16">
        <v>31350.05</v>
      </c>
      <c r="G16" s="3">
        <v>31558</v>
      </c>
      <c r="H16">
        <v>31545</v>
      </c>
      <c r="I16">
        <v>31726.55</v>
      </c>
      <c r="J16">
        <v>6310</v>
      </c>
      <c r="K16">
        <v>201366101.44999999</v>
      </c>
      <c r="L16" s="1">
        <v>45240</v>
      </c>
      <c r="M16">
        <v>3024</v>
      </c>
      <c r="N16" t="s">
        <v>24</v>
      </c>
      <c r="O16" s="5">
        <v>45240</v>
      </c>
      <c r="P16" s="5">
        <v>43777</v>
      </c>
      <c r="T16" s="2">
        <f t="shared" si="0"/>
        <v>45054</v>
      </c>
      <c r="U16">
        <f t="shared" si="1"/>
        <v>11.742396324931168</v>
      </c>
      <c r="V16">
        <f t="shared" si="2"/>
        <v>135.77684985600331</v>
      </c>
    </row>
    <row r="17" spans="1:22" x14ac:dyDescent="0.25">
      <c r="A17" t="s">
        <v>25</v>
      </c>
      <c r="B17" t="str">
        <v>3P Land Holdings Limited</v>
      </c>
      <c r="C17" t="s">
        <v>14</v>
      </c>
      <c r="D17">
        <v>29</v>
      </c>
      <c r="E17">
        <v>29.8</v>
      </c>
      <c r="F17">
        <v>28.3</v>
      </c>
      <c r="G17" s="3">
        <v>28.6</v>
      </c>
      <c r="H17">
        <v>28.95</v>
      </c>
      <c r="I17">
        <v>29.05</v>
      </c>
      <c r="J17">
        <v>20362</v>
      </c>
      <c r="K17">
        <v>587195.25</v>
      </c>
      <c r="L17" s="1">
        <v>45240</v>
      </c>
      <c r="M17">
        <v>484</v>
      </c>
      <c r="N17" t="s">
        <v>27</v>
      </c>
      <c r="O17" s="5">
        <v>45240</v>
      </c>
      <c r="P17" s="5">
        <v>43777</v>
      </c>
      <c r="T17" s="2">
        <f t="shared" si="0"/>
        <v>45146</v>
      </c>
      <c r="U17">
        <f t="shared" si="1"/>
        <v>13.287336879206098</v>
      </c>
      <c r="V17">
        <f t="shared" si="2"/>
        <v>149.0641867352094</v>
      </c>
    </row>
    <row r="18" spans="1:22" x14ac:dyDescent="0.25">
      <c r="A18" t="s">
        <v>6997</v>
      </c>
      <c r="B18" t="str">
        <v>Not Found</v>
      </c>
      <c r="C18" t="s">
        <v>6920</v>
      </c>
      <c r="D18">
        <v>97.16</v>
      </c>
      <c r="E18">
        <v>98.75</v>
      </c>
      <c r="F18">
        <v>97.16</v>
      </c>
      <c r="G18" s="3">
        <v>98.5</v>
      </c>
      <c r="H18">
        <v>98.5</v>
      </c>
      <c r="I18">
        <v>99.65</v>
      </c>
      <c r="J18">
        <v>10308</v>
      </c>
      <c r="K18">
        <v>1015337.57</v>
      </c>
      <c r="L18" s="1">
        <v>45240</v>
      </c>
      <c r="M18">
        <v>8</v>
      </c>
      <c r="N18" t="s">
        <v>6996</v>
      </c>
      <c r="O18" s="5">
        <v>45240</v>
      </c>
      <c r="P18" s="5">
        <v>43777</v>
      </c>
      <c r="T18" s="2">
        <f t="shared" si="0"/>
        <v>45238</v>
      </c>
      <c r="U18">
        <f t="shared" si="1"/>
        <v>14.587656643059452</v>
      </c>
      <c r="V18">
        <f t="shared" si="2"/>
        <v>163.65184337826886</v>
      </c>
    </row>
    <row r="19" spans="1:22" x14ac:dyDescent="0.25">
      <c r="A19" t="s">
        <v>28</v>
      </c>
      <c r="B19" t="str">
        <v>5Paisa Capital Limited</v>
      </c>
      <c r="C19" t="s">
        <v>14</v>
      </c>
      <c r="D19">
        <v>440.95</v>
      </c>
      <c r="E19">
        <v>450</v>
      </c>
      <c r="F19">
        <v>434.3</v>
      </c>
      <c r="G19" s="3">
        <v>438.2</v>
      </c>
      <c r="H19">
        <v>440.5</v>
      </c>
      <c r="I19">
        <v>439.35</v>
      </c>
      <c r="J19">
        <v>43294</v>
      </c>
      <c r="K19">
        <v>18943482.699999999</v>
      </c>
      <c r="L19" s="1">
        <v>45240</v>
      </c>
      <c r="M19">
        <v>3445</v>
      </c>
      <c r="N19" t="s">
        <v>30</v>
      </c>
      <c r="O19" s="5">
        <v>45240</v>
      </c>
      <c r="P19" s="5">
        <v>43777</v>
      </c>
      <c r="T19" s="2">
        <v>45240</v>
      </c>
      <c r="U19">
        <f t="shared" si="1"/>
        <v>0.34815712503981666</v>
      </c>
      <c r="V19">
        <f t="shared" si="2"/>
        <v>164.00000050330868</v>
      </c>
    </row>
    <row r="20" spans="1:22" x14ac:dyDescent="0.25">
      <c r="A20" t="s">
        <v>6995</v>
      </c>
      <c r="B20" t="str">
        <v>Not Found</v>
      </c>
      <c r="C20" t="s">
        <v>6920</v>
      </c>
      <c r="D20">
        <v>93</v>
      </c>
      <c r="E20">
        <v>93.05</v>
      </c>
      <c r="F20">
        <v>93</v>
      </c>
      <c r="G20" s="3">
        <v>93.05</v>
      </c>
      <c r="H20">
        <v>93.05</v>
      </c>
      <c r="I20">
        <v>93</v>
      </c>
      <c r="J20">
        <v>2050</v>
      </c>
      <c r="K20">
        <v>190725</v>
      </c>
      <c r="L20" s="1">
        <v>45240</v>
      </c>
      <c r="M20">
        <v>3</v>
      </c>
      <c r="N20" t="s">
        <v>6994</v>
      </c>
      <c r="O20" s="5">
        <v>45240</v>
      </c>
      <c r="P20" s="5">
        <v>43777</v>
      </c>
    </row>
    <row r="21" spans="1:22" x14ac:dyDescent="0.25">
      <c r="A21" t="s">
        <v>31</v>
      </c>
      <c r="B21" t="str">
        <v>63 moons technologies limited</v>
      </c>
      <c r="C21" t="s">
        <v>14</v>
      </c>
      <c r="D21">
        <v>298.75</v>
      </c>
      <c r="E21">
        <v>298.75</v>
      </c>
      <c r="F21">
        <v>292.95</v>
      </c>
      <c r="G21" s="3">
        <v>298.75</v>
      </c>
      <c r="H21">
        <v>298.75</v>
      </c>
      <c r="I21">
        <v>284.55</v>
      </c>
      <c r="J21">
        <v>646315</v>
      </c>
      <c r="K21">
        <v>192997476.59999999</v>
      </c>
      <c r="L21" s="1">
        <v>45240</v>
      </c>
      <c r="M21">
        <v>2556</v>
      </c>
      <c r="N21" t="s">
        <v>33</v>
      </c>
      <c r="O21" s="5">
        <v>45240</v>
      </c>
      <c r="P21" s="5">
        <v>43777</v>
      </c>
    </row>
    <row r="22" spans="1:22" x14ac:dyDescent="0.25">
      <c r="A22" t="s">
        <v>6993</v>
      </c>
      <c r="B22" t="str">
        <v>Not Found</v>
      </c>
      <c r="C22" t="s">
        <v>6920</v>
      </c>
      <c r="D22">
        <v>96.25</v>
      </c>
      <c r="E22">
        <v>96.25</v>
      </c>
      <c r="F22">
        <v>96.25</v>
      </c>
      <c r="G22" s="3">
        <v>96.25</v>
      </c>
      <c r="H22">
        <v>96.25</v>
      </c>
      <c r="I22">
        <v>97.53</v>
      </c>
      <c r="J22">
        <v>100</v>
      </c>
      <c r="K22">
        <v>9625</v>
      </c>
      <c r="L22" s="1">
        <v>45240</v>
      </c>
      <c r="M22">
        <v>1</v>
      </c>
      <c r="N22" t="s">
        <v>6992</v>
      </c>
      <c r="O22" s="5">
        <v>45240</v>
      </c>
      <c r="P22" s="5">
        <v>43777</v>
      </c>
    </row>
    <row r="23" spans="1:22" x14ac:dyDescent="0.25">
      <c r="A23" t="s">
        <v>6991</v>
      </c>
      <c r="B23" t="str">
        <v>Not Found</v>
      </c>
      <c r="C23" t="s">
        <v>6920</v>
      </c>
      <c r="D23">
        <v>96.45</v>
      </c>
      <c r="E23">
        <v>96.45</v>
      </c>
      <c r="F23">
        <v>96</v>
      </c>
      <c r="G23" s="3">
        <v>96</v>
      </c>
      <c r="H23">
        <v>96</v>
      </c>
      <c r="I23">
        <v>96.45</v>
      </c>
      <c r="J23">
        <v>105</v>
      </c>
      <c r="K23">
        <v>10125</v>
      </c>
      <c r="L23" s="1">
        <v>45240</v>
      </c>
      <c r="M23">
        <v>2</v>
      </c>
      <c r="N23" t="s">
        <v>6990</v>
      </c>
      <c r="O23" s="5">
        <v>45240</v>
      </c>
      <c r="P23" s="5">
        <v>43777</v>
      </c>
    </row>
    <row r="24" spans="1:22" x14ac:dyDescent="0.25">
      <c r="A24" t="s">
        <v>6989</v>
      </c>
      <c r="B24" t="str">
        <v>Not Found</v>
      </c>
      <c r="C24" t="s">
        <v>6920</v>
      </c>
      <c r="D24">
        <v>101.81</v>
      </c>
      <c r="E24">
        <v>101.81</v>
      </c>
      <c r="F24">
        <v>101.81</v>
      </c>
      <c r="G24" s="3">
        <v>101.81</v>
      </c>
      <c r="H24">
        <v>101.81</v>
      </c>
      <c r="I24">
        <v>101.81</v>
      </c>
      <c r="J24">
        <v>2</v>
      </c>
      <c r="K24">
        <v>203.62</v>
      </c>
      <c r="L24" s="1">
        <v>45240</v>
      </c>
      <c r="M24">
        <v>2</v>
      </c>
      <c r="N24" t="s">
        <v>6988</v>
      </c>
      <c r="O24" s="5">
        <v>45240</v>
      </c>
      <c r="P24" s="5">
        <v>43777</v>
      </c>
    </row>
    <row r="25" spans="1:22" x14ac:dyDescent="0.25">
      <c r="A25" t="s">
        <v>6987</v>
      </c>
      <c r="B25" t="str">
        <v>Not Found</v>
      </c>
      <c r="C25" t="s">
        <v>6920</v>
      </c>
      <c r="D25">
        <v>96.8</v>
      </c>
      <c r="E25">
        <v>96.8</v>
      </c>
      <c r="F25">
        <v>96.8</v>
      </c>
      <c r="G25" s="3">
        <v>96.8</v>
      </c>
      <c r="H25">
        <v>96.8</v>
      </c>
      <c r="I25">
        <v>96.8</v>
      </c>
      <c r="J25">
        <v>2270</v>
      </c>
      <c r="K25">
        <v>219736</v>
      </c>
      <c r="L25" s="1">
        <v>45240</v>
      </c>
      <c r="M25">
        <v>2</v>
      </c>
      <c r="N25" t="s">
        <v>6986</v>
      </c>
      <c r="O25" s="5">
        <v>45240</v>
      </c>
      <c r="P25" s="5">
        <v>43777</v>
      </c>
    </row>
    <row r="26" spans="1:22" x14ac:dyDescent="0.25">
      <c r="A26" t="s">
        <v>6985</v>
      </c>
      <c r="B26" t="str">
        <v>Not Found</v>
      </c>
      <c r="C26" t="s">
        <v>6920</v>
      </c>
      <c r="D26">
        <v>98.98</v>
      </c>
      <c r="E26">
        <v>98.98</v>
      </c>
      <c r="F26">
        <v>98.98</v>
      </c>
      <c r="G26" s="3">
        <v>98.98</v>
      </c>
      <c r="H26">
        <v>98.98</v>
      </c>
      <c r="I26">
        <v>95.75</v>
      </c>
      <c r="J26">
        <v>2</v>
      </c>
      <c r="K26">
        <v>197.96</v>
      </c>
      <c r="L26" s="1">
        <v>45240</v>
      </c>
      <c r="M26">
        <v>1</v>
      </c>
      <c r="N26" t="s">
        <v>6984</v>
      </c>
      <c r="O26" s="5">
        <v>45240</v>
      </c>
      <c r="P26" s="5">
        <v>43777</v>
      </c>
    </row>
    <row r="27" spans="1:22" x14ac:dyDescent="0.25">
      <c r="A27" t="s">
        <v>6983</v>
      </c>
      <c r="B27" t="str">
        <v>Not Found</v>
      </c>
      <c r="C27" t="s">
        <v>6920</v>
      </c>
      <c r="D27">
        <v>96.99</v>
      </c>
      <c r="E27">
        <v>96.99</v>
      </c>
      <c r="F27">
        <v>96.99</v>
      </c>
      <c r="G27" s="3">
        <v>96.99</v>
      </c>
      <c r="H27">
        <v>96.99</v>
      </c>
      <c r="I27">
        <v>96.99</v>
      </c>
      <c r="J27">
        <v>2</v>
      </c>
      <c r="K27">
        <v>193.98</v>
      </c>
      <c r="L27" s="1">
        <v>45240</v>
      </c>
      <c r="M27">
        <v>2</v>
      </c>
      <c r="N27" t="s">
        <v>6982</v>
      </c>
      <c r="O27" s="5">
        <v>45240</v>
      </c>
      <c r="P27" s="5">
        <v>43777</v>
      </c>
    </row>
    <row r="28" spans="1:22" x14ac:dyDescent="0.25">
      <c r="A28" t="s">
        <v>6981</v>
      </c>
      <c r="B28" t="str">
        <v>Not Found</v>
      </c>
      <c r="C28" t="s">
        <v>6920</v>
      </c>
      <c r="D28">
        <v>100.19</v>
      </c>
      <c r="E28">
        <v>100.19</v>
      </c>
      <c r="F28">
        <v>100</v>
      </c>
      <c r="G28" s="3">
        <v>100</v>
      </c>
      <c r="H28">
        <v>100</v>
      </c>
      <c r="I28">
        <v>100.25</v>
      </c>
      <c r="J28">
        <v>645</v>
      </c>
      <c r="K28">
        <v>64565.55</v>
      </c>
      <c r="L28" s="1">
        <v>45240</v>
      </c>
      <c r="M28">
        <v>5</v>
      </c>
      <c r="N28" t="s">
        <v>6980</v>
      </c>
      <c r="O28" s="5">
        <v>45240</v>
      </c>
      <c r="P28" s="5">
        <v>43777</v>
      </c>
    </row>
    <row r="29" spans="1:22" x14ac:dyDescent="0.25">
      <c r="A29" t="s">
        <v>6979</v>
      </c>
      <c r="B29" t="str">
        <v>Not Found</v>
      </c>
      <c r="C29" t="s">
        <v>6920</v>
      </c>
      <c r="D29">
        <v>98.99</v>
      </c>
      <c r="E29">
        <v>99</v>
      </c>
      <c r="F29">
        <v>98.99</v>
      </c>
      <c r="G29" s="3">
        <v>99</v>
      </c>
      <c r="H29">
        <v>99</v>
      </c>
      <c r="I29">
        <v>99.09</v>
      </c>
      <c r="J29">
        <v>8</v>
      </c>
      <c r="K29">
        <v>791.96</v>
      </c>
      <c r="L29" s="1">
        <v>45240</v>
      </c>
      <c r="M29">
        <v>4</v>
      </c>
      <c r="N29" t="s">
        <v>6978</v>
      </c>
      <c r="O29" s="5">
        <v>45240</v>
      </c>
      <c r="P29" s="5">
        <v>43777</v>
      </c>
    </row>
    <row r="30" spans="1:22" x14ac:dyDescent="0.25">
      <c r="A30" t="s">
        <v>6977</v>
      </c>
      <c r="B30" t="str">
        <v>Not Found</v>
      </c>
      <c r="C30" t="s">
        <v>6920</v>
      </c>
      <c r="D30">
        <v>99.97</v>
      </c>
      <c r="E30">
        <v>99.97</v>
      </c>
      <c r="F30">
        <v>99.94</v>
      </c>
      <c r="G30" s="3">
        <v>99.94</v>
      </c>
      <c r="H30">
        <v>99.94</v>
      </c>
      <c r="I30">
        <v>99.97</v>
      </c>
      <c r="J30">
        <v>17113</v>
      </c>
      <c r="K30">
        <v>1710633.25</v>
      </c>
      <c r="L30" s="1">
        <v>45240</v>
      </c>
      <c r="M30">
        <v>7</v>
      </c>
      <c r="N30" t="s">
        <v>6976</v>
      </c>
      <c r="O30" s="5">
        <v>45240</v>
      </c>
      <c r="P30" s="5">
        <v>43777</v>
      </c>
    </row>
    <row r="31" spans="1:22" x14ac:dyDescent="0.25">
      <c r="A31" t="s">
        <v>6975</v>
      </c>
      <c r="B31" t="str">
        <v>Not Found</v>
      </c>
      <c r="C31" t="s">
        <v>6920</v>
      </c>
      <c r="D31">
        <v>99.97</v>
      </c>
      <c r="E31">
        <v>99.99</v>
      </c>
      <c r="F31">
        <v>99.9</v>
      </c>
      <c r="G31" s="3">
        <v>99.95</v>
      </c>
      <c r="H31">
        <v>99.95</v>
      </c>
      <c r="I31">
        <v>99.97</v>
      </c>
      <c r="J31">
        <v>32389</v>
      </c>
      <c r="K31">
        <v>3237381.55</v>
      </c>
      <c r="L31" s="1">
        <v>45240</v>
      </c>
      <c r="M31">
        <v>28</v>
      </c>
      <c r="N31" t="s">
        <v>6974</v>
      </c>
      <c r="O31" s="5">
        <v>45240</v>
      </c>
      <c r="P31" s="5">
        <v>43777</v>
      </c>
    </row>
    <row r="32" spans="1:22" x14ac:dyDescent="0.25">
      <c r="A32" t="s">
        <v>6973</v>
      </c>
      <c r="B32" t="str">
        <v>Not Found</v>
      </c>
      <c r="C32" t="s">
        <v>6920</v>
      </c>
      <c r="D32">
        <v>99.86</v>
      </c>
      <c r="E32">
        <v>99.86</v>
      </c>
      <c r="F32">
        <v>99.86</v>
      </c>
      <c r="G32" s="3">
        <v>99.86</v>
      </c>
      <c r="H32">
        <v>99.86</v>
      </c>
      <c r="I32">
        <v>100</v>
      </c>
      <c r="J32">
        <v>400</v>
      </c>
      <c r="K32">
        <v>39944</v>
      </c>
      <c r="L32" s="1">
        <v>45240</v>
      </c>
      <c r="M32">
        <v>2</v>
      </c>
      <c r="N32" t="s">
        <v>6972</v>
      </c>
      <c r="O32" s="5">
        <v>45240</v>
      </c>
      <c r="P32" s="5">
        <v>43777</v>
      </c>
    </row>
    <row r="33" spans="1:16" x14ac:dyDescent="0.25">
      <c r="A33" t="s">
        <v>6971</v>
      </c>
      <c r="B33" t="str">
        <v>Not Found</v>
      </c>
      <c r="C33" t="s">
        <v>6920</v>
      </c>
      <c r="D33">
        <v>101.5</v>
      </c>
      <c r="E33">
        <v>101.5</v>
      </c>
      <c r="F33">
        <v>101.44</v>
      </c>
      <c r="G33" s="3">
        <v>101.44</v>
      </c>
      <c r="H33">
        <v>101.44</v>
      </c>
      <c r="I33">
        <v>101</v>
      </c>
      <c r="J33">
        <v>506</v>
      </c>
      <c r="K33">
        <v>51358.69</v>
      </c>
      <c r="L33" s="1">
        <v>45240</v>
      </c>
      <c r="M33">
        <v>3</v>
      </c>
      <c r="N33" t="s">
        <v>6970</v>
      </c>
      <c r="O33" s="5">
        <v>45240</v>
      </c>
      <c r="P33" s="5">
        <v>43777</v>
      </c>
    </row>
    <row r="34" spans="1:16" x14ac:dyDescent="0.25">
      <c r="A34" t="s">
        <v>6969</v>
      </c>
      <c r="B34" t="str">
        <v>Not Found</v>
      </c>
      <c r="C34" t="s">
        <v>6920</v>
      </c>
      <c r="D34">
        <v>101</v>
      </c>
      <c r="E34">
        <v>101</v>
      </c>
      <c r="F34">
        <v>101</v>
      </c>
      <c r="G34" s="3">
        <v>101</v>
      </c>
      <c r="H34">
        <v>101</v>
      </c>
      <c r="I34">
        <v>100.95</v>
      </c>
      <c r="J34">
        <v>2500</v>
      </c>
      <c r="K34">
        <v>252500</v>
      </c>
      <c r="L34" s="1">
        <v>45240</v>
      </c>
      <c r="M34">
        <v>3</v>
      </c>
      <c r="N34" t="s">
        <v>6968</v>
      </c>
      <c r="O34" s="5">
        <v>45240</v>
      </c>
      <c r="P34" s="5">
        <v>43777</v>
      </c>
    </row>
    <row r="35" spans="1:16" x14ac:dyDescent="0.25">
      <c r="A35" t="s">
        <v>6967</v>
      </c>
      <c r="B35" t="str">
        <v>Not Found</v>
      </c>
      <c r="C35" t="s">
        <v>6920</v>
      </c>
      <c r="D35">
        <v>101</v>
      </c>
      <c r="E35">
        <v>101</v>
      </c>
      <c r="F35">
        <v>101</v>
      </c>
      <c r="G35" s="3">
        <v>101</v>
      </c>
      <c r="H35">
        <v>101</v>
      </c>
      <c r="I35">
        <v>101</v>
      </c>
      <c r="J35">
        <v>611</v>
      </c>
      <c r="K35">
        <v>61711</v>
      </c>
      <c r="L35" s="1">
        <v>45240</v>
      </c>
      <c r="M35">
        <v>4</v>
      </c>
      <c r="N35" t="s">
        <v>6966</v>
      </c>
      <c r="O35" s="5">
        <v>45240</v>
      </c>
      <c r="P35" s="5">
        <v>43777</v>
      </c>
    </row>
    <row r="36" spans="1:16" x14ac:dyDescent="0.25">
      <c r="A36" t="s">
        <v>6965</v>
      </c>
      <c r="B36" t="str">
        <v>Not Found</v>
      </c>
      <c r="C36" t="s">
        <v>6920</v>
      </c>
      <c r="D36">
        <v>100.95</v>
      </c>
      <c r="E36">
        <v>101.2</v>
      </c>
      <c r="F36">
        <v>100.95</v>
      </c>
      <c r="G36" s="3">
        <v>101.19</v>
      </c>
      <c r="H36">
        <v>101.19</v>
      </c>
      <c r="I36">
        <v>101.5</v>
      </c>
      <c r="J36">
        <v>34941</v>
      </c>
      <c r="K36">
        <v>3535872.29</v>
      </c>
      <c r="L36" s="1">
        <v>45240</v>
      </c>
      <c r="M36">
        <v>6</v>
      </c>
      <c r="N36" t="s">
        <v>6964</v>
      </c>
      <c r="O36" s="5">
        <v>45240</v>
      </c>
      <c r="P36" s="5">
        <v>43777</v>
      </c>
    </row>
    <row r="37" spans="1:16" x14ac:dyDescent="0.25">
      <c r="A37" t="s">
        <v>6963</v>
      </c>
      <c r="B37" t="str">
        <v>Not Found</v>
      </c>
      <c r="C37" t="s">
        <v>6920</v>
      </c>
      <c r="D37">
        <v>101.2</v>
      </c>
      <c r="E37">
        <v>101.2</v>
      </c>
      <c r="F37">
        <v>101.2</v>
      </c>
      <c r="G37" s="3">
        <v>101.2</v>
      </c>
      <c r="H37">
        <v>101.2</v>
      </c>
      <c r="I37">
        <v>101.5</v>
      </c>
      <c r="J37">
        <v>4410</v>
      </c>
      <c r="K37">
        <v>446292</v>
      </c>
      <c r="L37" s="1">
        <v>45240</v>
      </c>
      <c r="M37">
        <v>1</v>
      </c>
      <c r="N37" t="s">
        <v>6962</v>
      </c>
      <c r="O37" s="5">
        <v>45240</v>
      </c>
      <c r="P37" s="5">
        <v>43777</v>
      </c>
    </row>
    <row r="38" spans="1:16" x14ac:dyDescent="0.25">
      <c r="A38" t="s">
        <v>6961</v>
      </c>
      <c r="B38" t="str">
        <v>Not Found</v>
      </c>
      <c r="C38" t="s">
        <v>6920</v>
      </c>
      <c r="D38">
        <v>100.15</v>
      </c>
      <c r="E38">
        <v>100.2</v>
      </c>
      <c r="F38">
        <v>100</v>
      </c>
      <c r="G38" s="3">
        <v>100.2</v>
      </c>
      <c r="H38">
        <v>100.2</v>
      </c>
      <c r="I38">
        <v>100.18</v>
      </c>
      <c r="J38">
        <v>3095</v>
      </c>
      <c r="K38">
        <v>309519.15000000002</v>
      </c>
      <c r="L38" s="1">
        <v>45240</v>
      </c>
      <c r="M38">
        <v>3</v>
      </c>
      <c r="N38" t="s">
        <v>6960</v>
      </c>
      <c r="O38" s="5">
        <v>45240</v>
      </c>
      <c r="P38" s="5">
        <v>43777</v>
      </c>
    </row>
    <row r="39" spans="1:16" x14ac:dyDescent="0.25">
      <c r="A39" t="s">
        <v>6959</v>
      </c>
      <c r="B39" t="str">
        <v>Not Found</v>
      </c>
      <c r="C39" t="s">
        <v>6920</v>
      </c>
      <c r="D39">
        <v>103.4</v>
      </c>
      <c r="E39">
        <v>103.4</v>
      </c>
      <c r="F39">
        <v>103.2</v>
      </c>
      <c r="G39" s="3">
        <v>103.2</v>
      </c>
      <c r="H39">
        <v>103.2</v>
      </c>
      <c r="I39">
        <v>103.34</v>
      </c>
      <c r="J39">
        <v>119248</v>
      </c>
      <c r="K39">
        <v>12311393.09</v>
      </c>
      <c r="L39" s="1">
        <v>45240</v>
      </c>
      <c r="M39">
        <v>41</v>
      </c>
      <c r="N39" t="s">
        <v>6958</v>
      </c>
      <c r="O39" s="5">
        <v>45240</v>
      </c>
      <c r="P39" s="5">
        <v>43777</v>
      </c>
    </row>
    <row r="40" spans="1:16" x14ac:dyDescent="0.25">
      <c r="A40" t="s">
        <v>6957</v>
      </c>
      <c r="B40" t="str">
        <v>Not Found</v>
      </c>
      <c r="C40" t="s">
        <v>6920</v>
      </c>
      <c r="D40">
        <v>101.8</v>
      </c>
      <c r="E40">
        <v>101.8</v>
      </c>
      <c r="F40">
        <v>101.8</v>
      </c>
      <c r="G40" s="3">
        <v>101.8</v>
      </c>
      <c r="H40">
        <v>101.8</v>
      </c>
      <c r="I40">
        <v>101.9</v>
      </c>
      <c r="J40">
        <v>2</v>
      </c>
      <c r="K40">
        <v>203.6</v>
      </c>
      <c r="L40" s="1">
        <v>45240</v>
      </c>
      <c r="M40">
        <v>2</v>
      </c>
      <c r="N40" t="s">
        <v>6956</v>
      </c>
      <c r="O40" s="5">
        <v>45240</v>
      </c>
      <c r="P40" s="5">
        <v>43777</v>
      </c>
    </row>
    <row r="41" spans="1:16" x14ac:dyDescent="0.25">
      <c r="A41" t="s">
        <v>6955</v>
      </c>
      <c r="B41" t="str">
        <v>Not Found</v>
      </c>
      <c r="C41" t="s">
        <v>6920</v>
      </c>
      <c r="D41">
        <v>103.05</v>
      </c>
      <c r="E41">
        <v>103.15</v>
      </c>
      <c r="F41">
        <v>103.05</v>
      </c>
      <c r="G41" s="3">
        <v>103.13</v>
      </c>
      <c r="H41">
        <v>103.05</v>
      </c>
      <c r="I41">
        <v>103.04</v>
      </c>
      <c r="J41">
        <v>15069</v>
      </c>
      <c r="K41">
        <v>1554107.25</v>
      </c>
      <c r="L41" s="1">
        <v>45240</v>
      </c>
      <c r="M41">
        <v>11</v>
      </c>
      <c r="N41" t="s">
        <v>6954</v>
      </c>
      <c r="O41" s="5">
        <v>45240</v>
      </c>
      <c r="P41" s="5">
        <v>43777</v>
      </c>
    </row>
    <row r="42" spans="1:16" x14ac:dyDescent="0.25">
      <c r="A42" t="s">
        <v>6953</v>
      </c>
      <c r="B42" t="str">
        <v>Not Found</v>
      </c>
      <c r="C42" t="s">
        <v>6920</v>
      </c>
      <c r="D42">
        <v>102</v>
      </c>
      <c r="E42">
        <v>102</v>
      </c>
      <c r="F42">
        <v>102</v>
      </c>
      <c r="G42" s="3">
        <v>102</v>
      </c>
      <c r="H42">
        <v>102</v>
      </c>
      <c r="I42">
        <v>103.58</v>
      </c>
      <c r="J42">
        <v>578</v>
      </c>
      <c r="K42">
        <v>58956</v>
      </c>
      <c r="L42" s="1">
        <v>45240</v>
      </c>
      <c r="M42">
        <v>7</v>
      </c>
      <c r="N42" t="s">
        <v>6952</v>
      </c>
      <c r="O42" s="5">
        <v>45240</v>
      </c>
      <c r="P42" s="5">
        <v>43777</v>
      </c>
    </row>
    <row r="43" spans="1:16" x14ac:dyDescent="0.25">
      <c r="A43" t="s">
        <v>6951</v>
      </c>
      <c r="B43" t="str">
        <v>Not Found</v>
      </c>
      <c r="C43" t="s">
        <v>6920</v>
      </c>
      <c r="D43">
        <v>104.73</v>
      </c>
      <c r="E43">
        <v>105.2</v>
      </c>
      <c r="F43">
        <v>104.63</v>
      </c>
      <c r="G43" s="3">
        <v>104.74</v>
      </c>
      <c r="H43">
        <v>104.7</v>
      </c>
      <c r="I43">
        <v>104.73</v>
      </c>
      <c r="J43">
        <v>134748</v>
      </c>
      <c r="K43">
        <v>14119035.35</v>
      </c>
      <c r="L43" s="1">
        <v>45240</v>
      </c>
      <c r="M43">
        <v>81</v>
      </c>
      <c r="N43" t="s">
        <v>6950</v>
      </c>
      <c r="O43" s="5">
        <v>45240</v>
      </c>
      <c r="P43" s="5">
        <v>43777</v>
      </c>
    </row>
    <row r="44" spans="1:16" x14ac:dyDescent="0.25">
      <c r="A44" t="s">
        <v>6949</v>
      </c>
      <c r="B44" t="str">
        <v>Not Found</v>
      </c>
      <c r="C44" t="s">
        <v>6920</v>
      </c>
      <c r="D44">
        <v>104.21</v>
      </c>
      <c r="E44">
        <v>104.21</v>
      </c>
      <c r="F44">
        <v>104.21</v>
      </c>
      <c r="G44" s="3">
        <v>104.21</v>
      </c>
      <c r="H44">
        <v>104.21</v>
      </c>
      <c r="I44">
        <v>104.21</v>
      </c>
      <c r="J44">
        <v>1000</v>
      </c>
      <c r="K44">
        <v>104210</v>
      </c>
      <c r="L44" s="1">
        <v>45240</v>
      </c>
      <c r="M44">
        <v>2</v>
      </c>
      <c r="N44" t="s">
        <v>6948</v>
      </c>
      <c r="O44" s="5">
        <v>45240</v>
      </c>
      <c r="P44" s="5">
        <v>43777</v>
      </c>
    </row>
    <row r="45" spans="1:16" x14ac:dyDescent="0.25">
      <c r="A45" t="s">
        <v>6947</v>
      </c>
      <c r="B45" t="str">
        <v>Not Found</v>
      </c>
      <c r="C45" t="s">
        <v>6920</v>
      </c>
      <c r="D45">
        <v>107.5</v>
      </c>
      <c r="E45">
        <v>107.5</v>
      </c>
      <c r="F45">
        <v>107.5</v>
      </c>
      <c r="G45" s="3">
        <v>107.5</v>
      </c>
      <c r="H45">
        <v>107.5</v>
      </c>
      <c r="I45">
        <v>107.5</v>
      </c>
      <c r="J45">
        <v>1</v>
      </c>
      <c r="K45">
        <v>107.5</v>
      </c>
      <c r="L45" s="1">
        <v>45240</v>
      </c>
      <c r="M45">
        <v>1</v>
      </c>
      <c r="N45" t="s">
        <v>6946</v>
      </c>
      <c r="O45" s="5">
        <v>45240</v>
      </c>
      <c r="P45" s="5">
        <v>43777</v>
      </c>
    </row>
    <row r="46" spans="1:16" x14ac:dyDescent="0.25">
      <c r="A46" t="s">
        <v>6945</v>
      </c>
      <c r="B46" t="str">
        <v>Not Found</v>
      </c>
      <c r="C46" t="s">
        <v>6920</v>
      </c>
      <c r="D46">
        <v>103.14</v>
      </c>
      <c r="E46">
        <v>103.3</v>
      </c>
      <c r="F46">
        <v>103.14</v>
      </c>
      <c r="G46" s="3">
        <v>103.3</v>
      </c>
      <c r="H46">
        <v>103.3</v>
      </c>
      <c r="I46">
        <v>103</v>
      </c>
      <c r="J46">
        <v>1309262</v>
      </c>
      <c r="K46">
        <v>135047283.63999999</v>
      </c>
      <c r="L46" s="1">
        <v>45240</v>
      </c>
      <c r="M46">
        <v>22</v>
      </c>
      <c r="N46" t="s">
        <v>6944</v>
      </c>
      <c r="O46" s="5">
        <v>45240</v>
      </c>
      <c r="P46" s="5">
        <v>43777</v>
      </c>
    </row>
    <row r="47" spans="1:16" x14ac:dyDescent="0.25">
      <c r="A47" t="s">
        <v>6943</v>
      </c>
      <c r="B47" t="str">
        <v>Not Found</v>
      </c>
      <c r="C47" t="s">
        <v>6940</v>
      </c>
      <c r="D47">
        <v>92.15</v>
      </c>
      <c r="E47">
        <v>92.15</v>
      </c>
      <c r="F47">
        <v>92.15</v>
      </c>
      <c r="G47" s="3">
        <v>92.15</v>
      </c>
      <c r="H47">
        <v>92.15</v>
      </c>
      <c r="I47">
        <v>97</v>
      </c>
      <c r="J47">
        <v>100</v>
      </c>
      <c r="K47">
        <v>9215</v>
      </c>
      <c r="L47" s="1">
        <v>45240</v>
      </c>
      <c r="M47">
        <v>1</v>
      </c>
      <c r="N47" t="s">
        <v>6942</v>
      </c>
      <c r="O47" s="5">
        <v>45240</v>
      </c>
      <c r="P47" s="5">
        <v>43777</v>
      </c>
    </row>
    <row r="48" spans="1:16" x14ac:dyDescent="0.25">
      <c r="A48" t="s">
        <v>6941</v>
      </c>
      <c r="B48" t="str">
        <v>Not Found</v>
      </c>
      <c r="C48" t="s">
        <v>6940</v>
      </c>
      <c r="D48">
        <v>90</v>
      </c>
      <c r="E48">
        <v>90</v>
      </c>
      <c r="F48">
        <v>90</v>
      </c>
      <c r="G48" s="3">
        <v>90</v>
      </c>
      <c r="H48">
        <v>90</v>
      </c>
      <c r="I48">
        <v>90.3</v>
      </c>
      <c r="J48">
        <v>100</v>
      </c>
      <c r="K48">
        <v>9000</v>
      </c>
      <c r="L48" s="1">
        <v>45240</v>
      </c>
      <c r="M48">
        <v>1</v>
      </c>
      <c r="N48" t="s">
        <v>6939</v>
      </c>
      <c r="O48" s="5">
        <v>45240</v>
      </c>
      <c r="P48" s="5">
        <v>43777</v>
      </c>
    </row>
    <row r="49" spans="1:16" x14ac:dyDescent="0.25">
      <c r="A49" t="s">
        <v>6938</v>
      </c>
      <c r="B49" t="str">
        <v>Not Found</v>
      </c>
      <c r="C49" t="s">
        <v>6920</v>
      </c>
      <c r="D49">
        <v>106</v>
      </c>
      <c r="E49">
        <v>106</v>
      </c>
      <c r="F49">
        <v>105.5</v>
      </c>
      <c r="G49" s="3">
        <v>105.5</v>
      </c>
      <c r="H49">
        <v>105.5</v>
      </c>
      <c r="I49">
        <v>109.73</v>
      </c>
      <c r="J49">
        <v>2</v>
      </c>
      <c r="K49">
        <v>211.5</v>
      </c>
      <c r="L49" s="1">
        <v>45240</v>
      </c>
      <c r="M49">
        <v>2</v>
      </c>
      <c r="N49" t="s">
        <v>6937</v>
      </c>
      <c r="O49" s="5">
        <v>45240</v>
      </c>
      <c r="P49" s="5">
        <v>43777</v>
      </c>
    </row>
    <row r="50" spans="1:16" x14ac:dyDescent="0.25">
      <c r="A50" t="s">
        <v>6936</v>
      </c>
      <c r="B50" t="str">
        <v>Not Found</v>
      </c>
      <c r="C50" t="s">
        <v>6920</v>
      </c>
      <c r="D50">
        <v>108.5</v>
      </c>
      <c r="E50">
        <v>108.5</v>
      </c>
      <c r="F50">
        <v>108.5</v>
      </c>
      <c r="G50" s="3">
        <v>108.5</v>
      </c>
      <c r="H50">
        <v>108.5</v>
      </c>
      <c r="I50">
        <v>109</v>
      </c>
      <c r="J50">
        <v>301</v>
      </c>
      <c r="K50">
        <v>32658.5</v>
      </c>
      <c r="L50" s="1">
        <v>45240</v>
      </c>
      <c r="M50">
        <v>2</v>
      </c>
      <c r="N50" t="s">
        <v>6935</v>
      </c>
      <c r="O50" s="5">
        <v>45240</v>
      </c>
      <c r="P50" s="5">
        <v>43777</v>
      </c>
    </row>
    <row r="51" spans="1:16" x14ac:dyDescent="0.25">
      <c r="A51" t="s">
        <v>6934</v>
      </c>
      <c r="B51" t="str">
        <v>Not Found</v>
      </c>
      <c r="C51" t="s">
        <v>6920</v>
      </c>
      <c r="D51">
        <v>105.75</v>
      </c>
      <c r="E51">
        <v>105.75</v>
      </c>
      <c r="F51">
        <v>105.75</v>
      </c>
      <c r="G51" s="3">
        <v>105.75</v>
      </c>
      <c r="H51">
        <v>105.75</v>
      </c>
      <c r="I51">
        <v>105.75</v>
      </c>
      <c r="J51">
        <v>1409</v>
      </c>
      <c r="K51">
        <v>149001.75</v>
      </c>
      <c r="L51" s="1">
        <v>45240</v>
      </c>
      <c r="M51">
        <v>2</v>
      </c>
      <c r="N51" t="s">
        <v>6933</v>
      </c>
      <c r="O51" s="5">
        <v>45240</v>
      </c>
      <c r="P51" s="5">
        <v>43777</v>
      </c>
    </row>
    <row r="52" spans="1:16" x14ac:dyDescent="0.25">
      <c r="A52" t="s">
        <v>6932</v>
      </c>
      <c r="B52" t="str">
        <v>Not Found</v>
      </c>
      <c r="C52" t="s">
        <v>6923</v>
      </c>
      <c r="D52">
        <v>98.95</v>
      </c>
      <c r="E52">
        <v>99.08</v>
      </c>
      <c r="F52">
        <v>98.95</v>
      </c>
      <c r="G52" s="3">
        <v>99.08</v>
      </c>
      <c r="H52">
        <v>99.08</v>
      </c>
      <c r="I52">
        <v>98.9</v>
      </c>
      <c r="J52">
        <v>600</v>
      </c>
      <c r="K52">
        <v>59435</v>
      </c>
      <c r="L52" s="1">
        <v>45240</v>
      </c>
      <c r="M52">
        <v>3</v>
      </c>
      <c r="N52" t="s">
        <v>6931</v>
      </c>
      <c r="O52" s="5">
        <v>45240</v>
      </c>
      <c r="P52" s="5">
        <v>43777</v>
      </c>
    </row>
    <row r="53" spans="1:16" x14ac:dyDescent="0.25">
      <c r="A53" t="s">
        <v>6930</v>
      </c>
      <c r="B53" t="str">
        <v>Not Found</v>
      </c>
      <c r="C53" t="s">
        <v>6923</v>
      </c>
      <c r="D53">
        <v>99.4</v>
      </c>
      <c r="E53">
        <v>99.4</v>
      </c>
      <c r="F53">
        <v>99.4</v>
      </c>
      <c r="G53" s="3">
        <v>99.4</v>
      </c>
      <c r="H53">
        <v>99.4</v>
      </c>
      <c r="I53">
        <v>99.4</v>
      </c>
      <c r="J53">
        <v>1700</v>
      </c>
      <c r="K53">
        <v>168980</v>
      </c>
      <c r="L53" s="1">
        <v>45240</v>
      </c>
      <c r="M53">
        <v>9</v>
      </c>
      <c r="N53" t="s">
        <v>6929</v>
      </c>
      <c r="O53" s="5">
        <v>45240</v>
      </c>
      <c r="P53" s="5">
        <v>43777</v>
      </c>
    </row>
    <row r="54" spans="1:16" x14ac:dyDescent="0.25">
      <c r="A54" t="s">
        <v>6928</v>
      </c>
      <c r="B54" t="str">
        <v>Not Found</v>
      </c>
      <c r="C54" t="s">
        <v>6923</v>
      </c>
      <c r="D54">
        <v>98.2</v>
      </c>
      <c r="E54">
        <v>98.2</v>
      </c>
      <c r="F54">
        <v>98.1</v>
      </c>
      <c r="G54" s="3">
        <v>98.17</v>
      </c>
      <c r="H54">
        <v>98.15</v>
      </c>
      <c r="I54">
        <v>98.31</v>
      </c>
      <c r="J54">
        <v>1800</v>
      </c>
      <c r="K54">
        <v>176745</v>
      </c>
      <c r="L54" s="1">
        <v>45240</v>
      </c>
      <c r="M54">
        <v>9</v>
      </c>
      <c r="N54" t="s">
        <v>6927</v>
      </c>
      <c r="O54" s="5">
        <v>45240</v>
      </c>
      <c r="P54" s="5">
        <v>43777</v>
      </c>
    </row>
    <row r="55" spans="1:16" x14ac:dyDescent="0.25">
      <c r="A55" t="s">
        <v>6926</v>
      </c>
      <c r="B55" t="str">
        <v>Not Found</v>
      </c>
      <c r="C55" t="s">
        <v>6923</v>
      </c>
      <c r="D55">
        <v>99.14</v>
      </c>
      <c r="E55">
        <v>99.33</v>
      </c>
      <c r="F55">
        <v>99.14</v>
      </c>
      <c r="G55" s="3">
        <v>99.33</v>
      </c>
      <c r="H55">
        <v>99.33</v>
      </c>
      <c r="I55">
        <v>99.14</v>
      </c>
      <c r="J55">
        <v>2100</v>
      </c>
      <c r="K55">
        <v>208270</v>
      </c>
      <c r="L55" s="1">
        <v>45240</v>
      </c>
      <c r="M55">
        <v>5</v>
      </c>
      <c r="N55" t="s">
        <v>6925</v>
      </c>
      <c r="O55" s="5">
        <v>45240</v>
      </c>
      <c r="P55" s="5">
        <v>43777</v>
      </c>
    </row>
    <row r="56" spans="1:16" x14ac:dyDescent="0.25">
      <c r="A56" t="s">
        <v>6924</v>
      </c>
      <c r="B56" t="str">
        <v>Not Found</v>
      </c>
      <c r="C56" t="s">
        <v>6923</v>
      </c>
      <c r="D56">
        <v>99.07</v>
      </c>
      <c r="E56">
        <v>99.07</v>
      </c>
      <c r="F56">
        <v>99.05</v>
      </c>
      <c r="G56" s="3">
        <v>99.05</v>
      </c>
      <c r="H56">
        <v>99.05</v>
      </c>
      <c r="I56">
        <v>99.05</v>
      </c>
      <c r="J56">
        <v>400</v>
      </c>
      <c r="K56">
        <v>39626</v>
      </c>
      <c r="L56" s="1">
        <v>45240</v>
      </c>
      <c r="M56">
        <v>3</v>
      </c>
      <c r="N56" t="s">
        <v>6922</v>
      </c>
      <c r="O56" s="5">
        <v>45240</v>
      </c>
      <c r="P56" s="5">
        <v>43777</v>
      </c>
    </row>
    <row r="57" spans="1:16" x14ac:dyDescent="0.25">
      <c r="A57" t="s">
        <v>6921</v>
      </c>
      <c r="B57" t="str">
        <v>Not Found</v>
      </c>
      <c r="C57" t="s">
        <v>6920</v>
      </c>
      <c r="D57">
        <v>112</v>
      </c>
      <c r="E57">
        <v>112</v>
      </c>
      <c r="F57">
        <v>111</v>
      </c>
      <c r="G57" s="3">
        <v>111</v>
      </c>
      <c r="H57">
        <v>111</v>
      </c>
      <c r="I57">
        <v>112.5</v>
      </c>
      <c r="J57">
        <v>5000</v>
      </c>
      <c r="K57">
        <v>555544</v>
      </c>
      <c r="L57" s="1">
        <v>45240</v>
      </c>
      <c r="M57">
        <v>4</v>
      </c>
      <c r="N57" t="s">
        <v>6919</v>
      </c>
      <c r="O57" s="5">
        <v>45240</v>
      </c>
      <c r="P57" s="5">
        <v>43777</v>
      </c>
    </row>
    <row r="58" spans="1:16" x14ac:dyDescent="0.25">
      <c r="A58" t="s">
        <v>34</v>
      </c>
      <c r="B58" t="str">
        <v>A2Z Infra Engineering Limited</v>
      </c>
      <c r="C58" t="s">
        <v>10</v>
      </c>
      <c r="D58">
        <v>10.65</v>
      </c>
      <c r="E58">
        <v>10.9</v>
      </c>
      <c r="F58">
        <v>10.5</v>
      </c>
      <c r="G58" s="3">
        <v>10.65</v>
      </c>
      <c r="H58">
        <v>10.65</v>
      </c>
      <c r="I58">
        <v>10.5</v>
      </c>
      <c r="J58">
        <v>180921</v>
      </c>
      <c r="K58">
        <v>1934510</v>
      </c>
      <c r="L58" s="1">
        <v>45240</v>
      </c>
      <c r="M58">
        <v>307</v>
      </c>
      <c r="N58" t="s">
        <v>36</v>
      </c>
      <c r="O58" s="5">
        <v>45240</v>
      </c>
      <c r="P58" s="5">
        <v>43777</v>
      </c>
    </row>
    <row r="59" spans="1:16" x14ac:dyDescent="0.25">
      <c r="A59" t="s">
        <v>37</v>
      </c>
      <c r="B59" t="str">
        <v>AAA Technologies Limited</v>
      </c>
      <c r="C59" t="s">
        <v>14</v>
      </c>
      <c r="D59">
        <v>66</v>
      </c>
      <c r="E59">
        <v>66</v>
      </c>
      <c r="F59">
        <v>63.6</v>
      </c>
      <c r="G59" s="3">
        <v>64.099999999999994</v>
      </c>
      <c r="H59">
        <v>64.099999999999994</v>
      </c>
      <c r="I59">
        <v>64.849999999999994</v>
      </c>
      <c r="J59">
        <v>15034</v>
      </c>
      <c r="K59">
        <v>967414.15</v>
      </c>
      <c r="L59" s="1">
        <v>45240</v>
      </c>
      <c r="M59">
        <v>619</v>
      </c>
      <c r="N59" t="s">
        <v>39</v>
      </c>
      <c r="O59" s="5">
        <v>45240</v>
      </c>
      <c r="P59" s="5">
        <v>43777</v>
      </c>
    </row>
    <row r="60" spans="1:16" x14ac:dyDescent="0.25">
      <c r="A60" t="s">
        <v>40</v>
      </c>
      <c r="B60" t="str">
        <v>Aakash Exploration Services Limited</v>
      </c>
      <c r="C60" t="s">
        <v>14</v>
      </c>
      <c r="D60">
        <v>7.2</v>
      </c>
      <c r="E60">
        <v>7.3</v>
      </c>
      <c r="F60">
        <v>7</v>
      </c>
      <c r="G60" s="3">
        <v>7.05</v>
      </c>
      <c r="H60">
        <v>7.1</v>
      </c>
      <c r="I60">
        <v>7.05</v>
      </c>
      <c r="J60">
        <v>553629</v>
      </c>
      <c r="K60">
        <v>3925774.4</v>
      </c>
      <c r="L60" s="1">
        <v>45240</v>
      </c>
      <c r="M60">
        <v>742</v>
      </c>
      <c r="N60" t="s">
        <v>42</v>
      </c>
      <c r="O60" s="5">
        <v>45240</v>
      </c>
      <c r="P60" s="5">
        <v>43777</v>
      </c>
    </row>
    <row r="61" spans="1:16" x14ac:dyDescent="0.25">
      <c r="A61" t="s">
        <v>43</v>
      </c>
      <c r="B61" t="str">
        <v>Aarey Drugs &amp; Pharmaceuticals Limited</v>
      </c>
      <c r="C61" t="s">
        <v>10</v>
      </c>
      <c r="D61">
        <v>51.8</v>
      </c>
      <c r="E61">
        <v>51.8</v>
      </c>
      <c r="F61">
        <v>50.25</v>
      </c>
      <c r="G61" s="3">
        <v>50.25</v>
      </c>
      <c r="H61">
        <v>50.25</v>
      </c>
      <c r="I61">
        <v>50.8</v>
      </c>
      <c r="J61">
        <v>111798</v>
      </c>
      <c r="K61">
        <v>5789938.2999999998</v>
      </c>
      <c r="L61" s="1">
        <v>45240</v>
      </c>
      <c r="M61">
        <v>80</v>
      </c>
      <c r="N61" t="s">
        <v>45</v>
      </c>
      <c r="O61" s="5">
        <v>45240</v>
      </c>
      <c r="P61" s="5">
        <v>43777</v>
      </c>
    </row>
    <row r="62" spans="1:16" x14ac:dyDescent="0.25">
      <c r="A62" t="s">
        <v>46</v>
      </c>
      <c r="B62" t="str">
        <v>Aaron Industries Limited</v>
      </c>
      <c r="C62" t="s">
        <v>14</v>
      </c>
      <c r="D62">
        <v>260.55</v>
      </c>
      <c r="E62">
        <v>270</v>
      </c>
      <c r="F62">
        <v>260.3</v>
      </c>
      <c r="G62" s="3">
        <v>261.45</v>
      </c>
      <c r="H62">
        <v>263.5</v>
      </c>
      <c r="I62">
        <v>263</v>
      </c>
      <c r="J62">
        <v>7817</v>
      </c>
      <c r="K62">
        <v>2064404.6</v>
      </c>
      <c r="L62" s="1">
        <v>45240</v>
      </c>
      <c r="M62">
        <v>544</v>
      </c>
      <c r="N62" t="s">
        <v>48</v>
      </c>
      <c r="O62" s="5">
        <v>45240</v>
      </c>
      <c r="P62" s="5">
        <v>43777</v>
      </c>
    </row>
    <row r="63" spans="1:16" x14ac:dyDescent="0.25">
      <c r="A63" t="s">
        <v>49</v>
      </c>
      <c r="B63" t="str">
        <v>Aartech Solonics Limited</v>
      </c>
      <c r="C63" t="s">
        <v>10</v>
      </c>
      <c r="D63">
        <v>153.69999999999999</v>
      </c>
      <c r="E63">
        <v>157.94999999999999</v>
      </c>
      <c r="F63">
        <v>145</v>
      </c>
      <c r="G63" s="3">
        <v>154.05000000000001</v>
      </c>
      <c r="H63">
        <v>150.1</v>
      </c>
      <c r="I63">
        <v>150.69999999999999</v>
      </c>
      <c r="J63">
        <v>8822</v>
      </c>
      <c r="K63">
        <v>1342707.95</v>
      </c>
      <c r="L63" s="1">
        <v>45240</v>
      </c>
      <c r="M63">
        <v>191</v>
      </c>
      <c r="N63" t="s">
        <v>51</v>
      </c>
      <c r="O63" s="5">
        <v>45240</v>
      </c>
      <c r="P63" s="5">
        <v>43777</v>
      </c>
    </row>
    <row r="64" spans="1:16" x14ac:dyDescent="0.25">
      <c r="A64" t="s">
        <v>52</v>
      </c>
      <c r="B64" t="str">
        <v>Aarti Drugs Limited</v>
      </c>
      <c r="C64" t="s">
        <v>14</v>
      </c>
      <c r="D64">
        <v>483.05</v>
      </c>
      <c r="E64">
        <v>483.45</v>
      </c>
      <c r="F64">
        <v>478</v>
      </c>
      <c r="G64" s="3">
        <v>481.45</v>
      </c>
      <c r="H64">
        <v>482.45</v>
      </c>
      <c r="I64">
        <v>483.45</v>
      </c>
      <c r="J64">
        <v>77429</v>
      </c>
      <c r="K64">
        <v>37281560</v>
      </c>
      <c r="L64" s="1">
        <v>45240</v>
      </c>
      <c r="M64">
        <v>5059</v>
      </c>
      <c r="N64" t="s">
        <v>54</v>
      </c>
      <c r="O64" s="5">
        <v>45240</v>
      </c>
      <c r="P64" s="5">
        <v>43777</v>
      </c>
    </row>
    <row r="65" spans="1:16" x14ac:dyDescent="0.25">
      <c r="A65" t="s">
        <v>55</v>
      </c>
      <c r="B65" t="str">
        <v>Aarti Industries Limited</v>
      </c>
      <c r="C65" t="s">
        <v>14</v>
      </c>
      <c r="D65">
        <v>508.35</v>
      </c>
      <c r="E65">
        <v>512</v>
      </c>
      <c r="F65">
        <v>501.85</v>
      </c>
      <c r="G65" s="3">
        <v>511.15</v>
      </c>
      <c r="H65">
        <v>510.8</v>
      </c>
      <c r="I65">
        <v>508.3</v>
      </c>
      <c r="J65">
        <v>806065</v>
      </c>
      <c r="K65">
        <v>408512300.05000001</v>
      </c>
      <c r="L65" s="1">
        <v>45240</v>
      </c>
      <c r="M65">
        <v>15878</v>
      </c>
      <c r="N65" t="s">
        <v>57</v>
      </c>
      <c r="O65" s="5">
        <v>45240</v>
      </c>
      <c r="P65" s="5">
        <v>43777</v>
      </c>
    </row>
    <row r="66" spans="1:16" x14ac:dyDescent="0.25">
      <c r="A66" t="s">
        <v>58</v>
      </c>
      <c r="B66" t="str">
        <v>Aarti Pharmalabs Limited</v>
      </c>
      <c r="C66" t="s">
        <v>14</v>
      </c>
      <c r="D66">
        <v>390.7</v>
      </c>
      <c r="E66">
        <v>397.45</v>
      </c>
      <c r="F66">
        <v>388.6</v>
      </c>
      <c r="G66" s="3">
        <v>393.35</v>
      </c>
      <c r="H66">
        <v>394</v>
      </c>
      <c r="I66">
        <v>389.7</v>
      </c>
      <c r="J66">
        <v>102657</v>
      </c>
      <c r="K66">
        <v>40445610.850000001</v>
      </c>
      <c r="L66" s="1">
        <v>45240</v>
      </c>
      <c r="M66">
        <v>7418</v>
      </c>
      <c r="N66" t="s">
        <v>60</v>
      </c>
      <c r="O66" s="5">
        <v>45240</v>
      </c>
      <c r="P66" s="5">
        <v>43777</v>
      </c>
    </row>
    <row r="67" spans="1:16" x14ac:dyDescent="0.25">
      <c r="A67" t="s">
        <v>6918</v>
      </c>
      <c r="B67" t="str">
        <v>Not Found</v>
      </c>
      <c r="C67" t="s">
        <v>6796</v>
      </c>
      <c r="D67">
        <v>302</v>
      </c>
      <c r="E67">
        <v>302</v>
      </c>
      <c r="F67">
        <v>274.95</v>
      </c>
      <c r="G67" s="3">
        <v>277.10000000000002</v>
      </c>
      <c r="H67">
        <v>275</v>
      </c>
      <c r="I67">
        <v>290</v>
      </c>
      <c r="J67">
        <v>213</v>
      </c>
      <c r="K67">
        <v>61278.7</v>
      </c>
      <c r="L67" s="1">
        <v>45240</v>
      </c>
      <c r="M67">
        <v>93</v>
      </c>
      <c r="N67" t="s">
        <v>6917</v>
      </c>
      <c r="O67" s="5">
        <v>45240</v>
      </c>
      <c r="P67" s="5">
        <v>43777</v>
      </c>
    </row>
    <row r="68" spans="1:16" x14ac:dyDescent="0.25">
      <c r="A68" t="s">
        <v>61</v>
      </c>
      <c r="B68" t="str">
        <v>Aarti Surfactants Limited</v>
      </c>
      <c r="C68" t="s">
        <v>14</v>
      </c>
      <c r="D68">
        <v>622</v>
      </c>
      <c r="E68">
        <v>629.85</v>
      </c>
      <c r="F68">
        <v>612.70000000000005</v>
      </c>
      <c r="G68" s="3">
        <v>618.6</v>
      </c>
      <c r="H68">
        <v>615.4</v>
      </c>
      <c r="I68">
        <v>622.54999999999995</v>
      </c>
      <c r="J68">
        <v>10210</v>
      </c>
      <c r="K68">
        <v>6349088.8499999996</v>
      </c>
      <c r="L68" s="1">
        <v>45240</v>
      </c>
      <c r="M68">
        <v>1220</v>
      </c>
      <c r="N68" t="s">
        <v>63</v>
      </c>
      <c r="O68" s="5">
        <v>45240</v>
      </c>
      <c r="P68" s="5">
        <v>43777</v>
      </c>
    </row>
    <row r="69" spans="1:16" x14ac:dyDescent="0.25">
      <c r="A69" t="s">
        <v>64</v>
      </c>
      <c r="B69" t="str">
        <v>Aarvee Denims &amp; Exports Limited</v>
      </c>
      <c r="C69" t="s">
        <v>14</v>
      </c>
      <c r="D69">
        <v>24.35</v>
      </c>
      <c r="E69">
        <v>24.75</v>
      </c>
      <c r="F69">
        <v>23.75</v>
      </c>
      <c r="G69" s="3">
        <v>24.35</v>
      </c>
      <c r="H69">
        <v>24.05</v>
      </c>
      <c r="I69">
        <v>24.1</v>
      </c>
      <c r="J69">
        <v>4323</v>
      </c>
      <c r="K69">
        <v>104871.05</v>
      </c>
      <c r="L69" s="1">
        <v>45240</v>
      </c>
      <c r="M69">
        <v>119</v>
      </c>
      <c r="N69" t="s">
        <v>66</v>
      </c>
      <c r="O69" s="5">
        <v>45240</v>
      </c>
      <c r="P69" s="5">
        <v>43777</v>
      </c>
    </row>
    <row r="70" spans="1:16" x14ac:dyDescent="0.25">
      <c r="A70" t="s">
        <v>67</v>
      </c>
      <c r="B70" t="str">
        <v>Aarvi Encon Limited</v>
      </c>
      <c r="C70" t="s">
        <v>14</v>
      </c>
      <c r="D70">
        <v>122.5</v>
      </c>
      <c r="E70">
        <v>125.95</v>
      </c>
      <c r="F70">
        <v>113</v>
      </c>
      <c r="G70" s="3">
        <v>114.75</v>
      </c>
      <c r="H70">
        <v>115.2</v>
      </c>
      <c r="I70">
        <v>124.05</v>
      </c>
      <c r="J70">
        <v>94588</v>
      </c>
      <c r="K70">
        <v>11055635.4</v>
      </c>
      <c r="L70" s="1">
        <v>45240</v>
      </c>
      <c r="M70">
        <v>2597</v>
      </c>
      <c r="N70" t="s">
        <v>69</v>
      </c>
      <c r="O70" s="5">
        <v>45240</v>
      </c>
      <c r="P70" s="5">
        <v>43777</v>
      </c>
    </row>
    <row r="71" spans="1:16" x14ac:dyDescent="0.25">
      <c r="A71" t="s">
        <v>6916</v>
      </c>
      <c r="B71" t="str">
        <v>Not Found</v>
      </c>
      <c r="C71" t="s">
        <v>5788</v>
      </c>
      <c r="D71">
        <v>42.35</v>
      </c>
      <c r="E71">
        <v>44</v>
      </c>
      <c r="F71">
        <v>42.35</v>
      </c>
      <c r="G71" s="3">
        <v>43.45</v>
      </c>
      <c r="H71">
        <v>43.45</v>
      </c>
      <c r="I71">
        <v>43.35</v>
      </c>
      <c r="J71">
        <v>76000</v>
      </c>
      <c r="K71">
        <v>3276900</v>
      </c>
      <c r="L71" s="1">
        <v>45240</v>
      </c>
      <c r="M71">
        <v>34</v>
      </c>
      <c r="N71" t="s">
        <v>6915</v>
      </c>
      <c r="O71" s="5">
        <v>45240</v>
      </c>
      <c r="P71" s="5">
        <v>43777</v>
      </c>
    </row>
    <row r="72" spans="1:16" x14ac:dyDescent="0.25">
      <c r="A72" t="s">
        <v>70</v>
      </c>
      <c r="B72" t="str">
        <v>Aavas Financiers Limited</v>
      </c>
      <c r="C72" t="s">
        <v>14</v>
      </c>
      <c r="D72">
        <v>1461.45</v>
      </c>
      <c r="E72">
        <v>1479.8</v>
      </c>
      <c r="F72">
        <v>1446.8</v>
      </c>
      <c r="G72" s="3">
        <v>1468.95</v>
      </c>
      <c r="H72">
        <v>1477.6</v>
      </c>
      <c r="I72">
        <v>1460.05</v>
      </c>
      <c r="J72">
        <v>55245</v>
      </c>
      <c r="K72">
        <v>80976776.799999997</v>
      </c>
      <c r="L72" s="1">
        <v>45240</v>
      </c>
      <c r="M72">
        <v>6178</v>
      </c>
      <c r="N72" t="s">
        <v>72</v>
      </c>
      <c r="O72" s="5">
        <v>45240</v>
      </c>
      <c r="P72" s="5">
        <v>43777</v>
      </c>
    </row>
    <row r="73" spans="1:16" x14ac:dyDescent="0.25">
      <c r="A73" t="s">
        <v>73</v>
      </c>
      <c r="B73" t="str">
        <v>Aban Offshore Limited</v>
      </c>
      <c r="C73" t="s">
        <v>10</v>
      </c>
      <c r="D73">
        <v>50.9</v>
      </c>
      <c r="E73">
        <v>52.4</v>
      </c>
      <c r="F73">
        <v>50</v>
      </c>
      <c r="G73" s="3">
        <v>51.65</v>
      </c>
      <c r="H73">
        <v>51.5</v>
      </c>
      <c r="I73">
        <v>50.7</v>
      </c>
      <c r="J73">
        <v>69420</v>
      </c>
      <c r="K73">
        <v>3570108.1</v>
      </c>
      <c r="L73" s="1">
        <v>45240</v>
      </c>
      <c r="M73">
        <v>506</v>
      </c>
      <c r="N73" t="s">
        <v>75</v>
      </c>
      <c r="O73" s="5">
        <v>45240</v>
      </c>
      <c r="P73" s="5">
        <v>43777</v>
      </c>
    </row>
    <row r="74" spans="1:16" x14ac:dyDescent="0.25">
      <c r="A74" t="s">
        <v>76</v>
      </c>
      <c r="B74" t="str">
        <v>ABB India Limited</v>
      </c>
      <c r="C74" t="s">
        <v>14</v>
      </c>
      <c r="D74">
        <v>4328</v>
      </c>
      <c r="E74">
        <v>4382.95</v>
      </c>
      <c r="F74">
        <v>4223</v>
      </c>
      <c r="G74" s="3">
        <v>4239.3</v>
      </c>
      <c r="H74">
        <v>4250</v>
      </c>
      <c r="I74">
        <v>4310.5</v>
      </c>
      <c r="J74">
        <v>640836</v>
      </c>
      <c r="K74">
        <v>2759599001.8000002</v>
      </c>
      <c r="L74" s="1">
        <v>45240</v>
      </c>
      <c r="M74">
        <v>66083</v>
      </c>
      <c r="N74" t="s">
        <v>78</v>
      </c>
      <c r="O74" s="5">
        <v>45240</v>
      </c>
      <c r="P74" s="5">
        <v>43777</v>
      </c>
    </row>
    <row r="75" spans="1:16" x14ac:dyDescent="0.25">
      <c r="A75" t="s">
        <v>79</v>
      </c>
      <c r="B75" t="str">
        <v>Abbott India Limited</v>
      </c>
      <c r="C75" t="s">
        <v>14</v>
      </c>
      <c r="D75">
        <v>23879.45</v>
      </c>
      <c r="E75">
        <v>24142.9</v>
      </c>
      <c r="F75">
        <v>23505.05</v>
      </c>
      <c r="G75" s="3">
        <v>23705.65</v>
      </c>
      <c r="H75">
        <v>23680</v>
      </c>
      <c r="I75">
        <v>23879.45</v>
      </c>
      <c r="J75">
        <v>13934</v>
      </c>
      <c r="K75">
        <v>331535019.25</v>
      </c>
      <c r="L75" s="1">
        <v>45240</v>
      </c>
      <c r="M75">
        <v>5691</v>
      </c>
      <c r="N75" t="s">
        <v>81</v>
      </c>
      <c r="O75" s="5">
        <v>45240</v>
      </c>
      <c r="P75" s="5">
        <v>43777</v>
      </c>
    </row>
    <row r="76" spans="1:16" x14ac:dyDescent="0.25">
      <c r="A76" t="s">
        <v>82</v>
      </c>
      <c r="B76" t="str">
        <v>Aditya Birla Capital Limited</v>
      </c>
      <c r="C76" t="s">
        <v>14</v>
      </c>
      <c r="D76">
        <v>173.5</v>
      </c>
      <c r="E76">
        <v>175.5</v>
      </c>
      <c r="F76">
        <v>172</v>
      </c>
      <c r="G76" s="3">
        <v>175.05</v>
      </c>
      <c r="H76">
        <v>175.5</v>
      </c>
      <c r="I76">
        <v>173.95</v>
      </c>
      <c r="J76">
        <v>1584858</v>
      </c>
      <c r="K76">
        <v>275898589.5</v>
      </c>
      <c r="L76" s="1">
        <v>45240</v>
      </c>
      <c r="M76">
        <v>15689</v>
      </c>
      <c r="N76" t="s">
        <v>84</v>
      </c>
      <c r="O76" s="5">
        <v>45240</v>
      </c>
      <c r="P76" s="5">
        <v>43777</v>
      </c>
    </row>
    <row r="77" spans="1:16" x14ac:dyDescent="0.25">
      <c r="A77" t="s">
        <v>6914</v>
      </c>
      <c r="B77" t="str">
        <v>Not Found</v>
      </c>
      <c r="C77" t="s">
        <v>6174</v>
      </c>
      <c r="D77">
        <v>1009.98</v>
      </c>
      <c r="E77">
        <v>1009.98</v>
      </c>
      <c r="F77">
        <v>1009.98</v>
      </c>
      <c r="G77" s="3">
        <v>1009.98</v>
      </c>
      <c r="H77">
        <v>1009.98</v>
      </c>
      <c r="I77">
        <v>1002.15</v>
      </c>
      <c r="J77">
        <v>16</v>
      </c>
      <c r="K77">
        <v>16159.68</v>
      </c>
      <c r="L77" s="1">
        <v>45240</v>
      </c>
      <c r="M77">
        <v>1</v>
      </c>
      <c r="N77" t="s">
        <v>6913</v>
      </c>
      <c r="O77" s="5">
        <v>45240</v>
      </c>
      <c r="P77" s="5">
        <v>43777</v>
      </c>
    </row>
    <row r="78" spans="1:16" x14ac:dyDescent="0.25">
      <c r="A78" t="s">
        <v>85</v>
      </c>
      <c r="B78" t="str">
        <v>Aditya Birla Fashion and Retail Limited</v>
      </c>
      <c r="C78" t="s">
        <v>14</v>
      </c>
      <c r="D78">
        <v>208.25</v>
      </c>
      <c r="E78">
        <v>218.3</v>
      </c>
      <c r="F78">
        <v>208.25</v>
      </c>
      <c r="G78" s="3">
        <v>216.6</v>
      </c>
      <c r="H78">
        <v>216</v>
      </c>
      <c r="I78">
        <v>215</v>
      </c>
      <c r="J78">
        <v>5179169</v>
      </c>
      <c r="K78">
        <v>1112540649.7</v>
      </c>
      <c r="L78" s="1">
        <v>45240</v>
      </c>
      <c r="M78">
        <v>35208</v>
      </c>
      <c r="N78" t="s">
        <v>87</v>
      </c>
      <c r="O78" s="5">
        <v>45240</v>
      </c>
      <c r="P78" s="5">
        <v>43777</v>
      </c>
    </row>
    <row r="79" spans="1:16" x14ac:dyDescent="0.25">
      <c r="A79" t="s">
        <v>6912</v>
      </c>
      <c r="B79" t="str">
        <v>Not Found</v>
      </c>
      <c r="C79" t="s">
        <v>5788</v>
      </c>
      <c r="D79">
        <v>50</v>
      </c>
      <c r="E79">
        <v>50</v>
      </c>
      <c r="F79">
        <v>49.5</v>
      </c>
      <c r="G79" s="3">
        <v>49.5</v>
      </c>
      <c r="H79">
        <v>49.5</v>
      </c>
      <c r="I79">
        <v>47.7</v>
      </c>
      <c r="J79">
        <v>60000</v>
      </c>
      <c r="K79">
        <v>2995400</v>
      </c>
      <c r="L79" s="1">
        <v>45240</v>
      </c>
      <c r="M79">
        <v>9</v>
      </c>
      <c r="N79" t="s">
        <v>6911</v>
      </c>
      <c r="O79" s="5">
        <v>45240</v>
      </c>
      <c r="P79" s="5">
        <v>43777</v>
      </c>
    </row>
    <row r="80" spans="1:16" x14ac:dyDescent="0.25">
      <c r="A80" t="s">
        <v>88</v>
      </c>
      <c r="B80" t="str">
        <v>ABM International Limited</v>
      </c>
      <c r="C80" t="s">
        <v>10</v>
      </c>
      <c r="D80">
        <v>43.35</v>
      </c>
      <c r="E80">
        <v>44.7</v>
      </c>
      <c r="F80">
        <v>43.35</v>
      </c>
      <c r="G80" s="3">
        <v>44.7</v>
      </c>
      <c r="H80">
        <v>44.7</v>
      </c>
      <c r="I80">
        <v>44.7</v>
      </c>
      <c r="J80">
        <v>721</v>
      </c>
      <c r="K80">
        <v>31471.5</v>
      </c>
      <c r="L80" s="1">
        <v>45240</v>
      </c>
      <c r="M80">
        <v>29</v>
      </c>
      <c r="N80" t="s">
        <v>90</v>
      </c>
      <c r="O80" s="5">
        <v>45240</v>
      </c>
      <c r="P80" s="5">
        <v>43777</v>
      </c>
    </row>
    <row r="81" spans="1:16" x14ac:dyDescent="0.25">
      <c r="A81" t="s">
        <v>91</v>
      </c>
      <c r="B81" t="str">
        <v>Aditya Birla Sun Life AMC Limited</v>
      </c>
      <c r="C81" t="s">
        <v>14</v>
      </c>
      <c r="D81">
        <v>458.95</v>
      </c>
      <c r="E81">
        <v>458.95</v>
      </c>
      <c r="F81">
        <v>452</v>
      </c>
      <c r="G81" s="3">
        <v>454.95</v>
      </c>
      <c r="H81">
        <v>455.2</v>
      </c>
      <c r="I81">
        <v>455.85</v>
      </c>
      <c r="J81">
        <v>47985</v>
      </c>
      <c r="K81">
        <v>21804358.149999999</v>
      </c>
      <c r="L81" s="1">
        <v>45240</v>
      </c>
      <c r="M81">
        <v>1968</v>
      </c>
      <c r="N81" t="s">
        <v>93</v>
      </c>
      <c r="O81" s="5">
        <v>45240</v>
      </c>
      <c r="P81" s="5">
        <v>43777</v>
      </c>
    </row>
    <row r="82" spans="1:16" x14ac:dyDescent="0.25">
      <c r="A82" t="s">
        <v>6910</v>
      </c>
      <c r="B82" t="str">
        <v>Not Found</v>
      </c>
      <c r="C82" t="s">
        <v>14</v>
      </c>
      <c r="D82">
        <v>44.42</v>
      </c>
      <c r="E82">
        <v>44.42</v>
      </c>
      <c r="F82">
        <v>43.75</v>
      </c>
      <c r="G82" s="3">
        <v>44.19</v>
      </c>
      <c r="H82">
        <v>44.2</v>
      </c>
      <c r="I82">
        <v>44.02</v>
      </c>
      <c r="J82">
        <v>47163</v>
      </c>
      <c r="K82">
        <v>2081269.22</v>
      </c>
      <c r="L82" s="1">
        <v>45240</v>
      </c>
      <c r="M82">
        <v>283</v>
      </c>
      <c r="N82" t="s">
        <v>6909</v>
      </c>
      <c r="O82" s="5">
        <v>45240</v>
      </c>
      <c r="P82" s="5">
        <v>43777</v>
      </c>
    </row>
    <row r="83" spans="1:16" x14ac:dyDescent="0.25">
      <c r="A83" t="s">
        <v>6908</v>
      </c>
      <c r="B83" t="str">
        <v>Not Found</v>
      </c>
      <c r="C83" t="s">
        <v>14</v>
      </c>
      <c r="D83">
        <v>999.99</v>
      </c>
      <c r="E83">
        <v>1000.01</v>
      </c>
      <c r="F83">
        <v>999.99</v>
      </c>
      <c r="G83" s="3">
        <v>1000</v>
      </c>
      <c r="H83">
        <v>1000</v>
      </c>
      <c r="I83">
        <v>999.99</v>
      </c>
      <c r="J83">
        <v>488</v>
      </c>
      <c r="K83">
        <v>487996.81</v>
      </c>
      <c r="L83" s="1">
        <v>45240</v>
      </c>
      <c r="M83">
        <v>11</v>
      </c>
      <c r="N83" t="s">
        <v>6907</v>
      </c>
      <c r="O83" s="5">
        <v>45240</v>
      </c>
      <c r="P83" s="5">
        <v>43777</v>
      </c>
    </row>
    <row r="84" spans="1:16" x14ac:dyDescent="0.25">
      <c r="A84" t="s">
        <v>6906</v>
      </c>
      <c r="B84" t="str">
        <v>Not Found</v>
      </c>
      <c r="C84" t="s">
        <v>14</v>
      </c>
      <c r="D84">
        <v>48.27</v>
      </c>
      <c r="E84">
        <v>48.27</v>
      </c>
      <c r="F84">
        <v>46.7</v>
      </c>
      <c r="G84" s="3">
        <v>47.14</v>
      </c>
      <c r="H84">
        <v>47.2</v>
      </c>
      <c r="I84">
        <v>47.1</v>
      </c>
      <c r="J84">
        <v>3135</v>
      </c>
      <c r="K84">
        <v>147534.82999999999</v>
      </c>
      <c r="L84" s="1">
        <v>45240</v>
      </c>
      <c r="M84">
        <v>129</v>
      </c>
      <c r="N84" t="s">
        <v>6905</v>
      </c>
      <c r="O84" s="5">
        <v>45240</v>
      </c>
      <c r="P84" s="5">
        <v>43777</v>
      </c>
    </row>
    <row r="85" spans="1:16" x14ac:dyDescent="0.25">
      <c r="A85" t="s">
        <v>94</v>
      </c>
      <c r="B85" t="str">
        <v>ACC Limited</v>
      </c>
      <c r="C85" t="s">
        <v>14</v>
      </c>
      <c r="D85">
        <v>1844</v>
      </c>
      <c r="E85">
        <v>1846.5</v>
      </c>
      <c r="F85">
        <v>1818</v>
      </c>
      <c r="G85" s="3">
        <v>1825.3</v>
      </c>
      <c r="H85">
        <v>1827</v>
      </c>
      <c r="I85">
        <v>1844.95</v>
      </c>
      <c r="J85">
        <v>259623</v>
      </c>
      <c r="K85">
        <v>474213995.75</v>
      </c>
      <c r="L85" s="1">
        <v>45240</v>
      </c>
      <c r="M85">
        <v>15952</v>
      </c>
      <c r="N85" t="s">
        <v>96</v>
      </c>
      <c r="O85" s="5">
        <v>45240</v>
      </c>
      <c r="P85" s="5">
        <v>43777</v>
      </c>
    </row>
    <row r="86" spans="1:16" x14ac:dyDescent="0.25">
      <c r="A86" t="s">
        <v>97</v>
      </c>
      <c r="B86" t="str">
        <v>Accelya Solutions India Limited</v>
      </c>
      <c r="C86" t="s">
        <v>14</v>
      </c>
      <c r="D86">
        <v>1380</v>
      </c>
      <c r="E86">
        <v>1409.95</v>
      </c>
      <c r="F86">
        <v>1378.8</v>
      </c>
      <c r="G86" s="3">
        <v>1396</v>
      </c>
      <c r="H86">
        <v>1400</v>
      </c>
      <c r="I86">
        <v>1381.35</v>
      </c>
      <c r="J86">
        <v>11603</v>
      </c>
      <c r="K86">
        <v>16212004.5</v>
      </c>
      <c r="L86" s="1">
        <v>45240</v>
      </c>
      <c r="M86">
        <v>2165</v>
      </c>
      <c r="N86" t="s">
        <v>99</v>
      </c>
      <c r="O86" s="5">
        <v>45240</v>
      </c>
      <c r="P86" s="5">
        <v>43777</v>
      </c>
    </row>
    <row r="87" spans="1:16" x14ac:dyDescent="0.25">
      <c r="A87" t="s">
        <v>6904</v>
      </c>
      <c r="B87" t="str">
        <v>Not Found</v>
      </c>
      <c r="C87" t="s">
        <v>5853</v>
      </c>
      <c r="D87">
        <v>29.25</v>
      </c>
      <c r="E87">
        <v>29.25</v>
      </c>
      <c r="F87">
        <v>29.25</v>
      </c>
      <c r="G87" s="3">
        <v>29.25</v>
      </c>
      <c r="H87">
        <v>29.25</v>
      </c>
      <c r="I87">
        <v>27.9</v>
      </c>
      <c r="J87">
        <v>2000</v>
      </c>
      <c r="K87">
        <v>58500</v>
      </c>
      <c r="L87" s="1">
        <v>45240</v>
      </c>
      <c r="M87">
        <v>1</v>
      </c>
      <c r="N87" t="s">
        <v>6903</v>
      </c>
      <c r="O87" s="5">
        <v>45240</v>
      </c>
      <c r="P87" s="5">
        <v>43777</v>
      </c>
    </row>
    <row r="88" spans="1:16" x14ac:dyDescent="0.25">
      <c r="A88" t="s">
        <v>100</v>
      </c>
      <c r="B88" t="str">
        <v>Accuracy Shipping Limited</v>
      </c>
      <c r="C88" t="s">
        <v>14</v>
      </c>
      <c r="D88">
        <v>9.75</v>
      </c>
      <c r="E88">
        <v>9.9</v>
      </c>
      <c r="F88">
        <v>9.25</v>
      </c>
      <c r="G88" s="3">
        <v>9.4</v>
      </c>
      <c r="H88">
        <v>9.35</v>
      </c>
      <c r="I88">
        <v>9.75</v>
      </c>
      <c r="J88">
        <v>498228</v>
      </c>
      <c r="K88">
        <v>4769241.2</v>
      </c>
      <c r="L88" s="1">
        <v>45240</v>
      </c>
      <c r="M88">
        <v>1431</v>
      </c>
      <c r="N88" t="s">
        <v>102</v>
      </c>
      <c r="O88" s="5">
        <v>45240</v>
      </c>
      <c r="P88" s="5">
        <v>43777</v>
      </c>
    </row>
    <row r="89" spans="1:16" x14ac:dyDescent="0.25">
      <c r="A89" t="s">
        <v>103</v>
      </c>
      <c r="B89" t="str">
        <v>Action Construction Equipment Limited</v>
      </c>
      <c r="C89" t="s">
        <v>14</v>
      </c>
      <c r="D89">
        <v>850</v>
      </c>
      <c r="E89">
        <v>894.7</v>
      </c>
      <c r="F89">
        <v>843.7</v>
      </c>
      <c r="G89" s="3">
        <v>854.45</v>
      </c>
      <c r="H89">
        <v>861.5</v>
      </c>
      <c r="I89">
        <v>807.25</v>
      </c>
      <c r="J89">
        <v>914003</v>
      </c>
      <c r="K89">
        <v>791090199.29999995</v>
      </c>
      <c r="L89" s="1">
        <v>45240</v>
      </c>
      <c r="M89">
        <v>34792</v>
      </c>
      <c r="N89" t="s">
        <v>105</v>
      </c>
      <c r="O89" s="5">
        <v>45240</v>
      </c>
      <c r="P89" s="5">
        <v>43777</v>
      </c>
    </row>
    <row r="90" spans="1:16" x14ac:dyDescent="0.25">
      <c r="A90" t="s">
        <v>106</v>
      </c>
      <c r="B90" t="str">
        <v>Ace Integrated Solutions Limited</v>
      </c>
      <c r="C90" t="s">
        <v>14</v>
      </c>
      <c r="D90">
        <v>35.6</v>
      </c>
      <c r="E90">
        <v>35.85</v>
      </c>
      <c r="F90">
        <v>33.799999999999997</v>
      </c>
      <c r="G90" s="3">
        <v>34.799999999999997</v>
      </c>
      <c r="H90">
        <v>34.35</v>
      </c>
      <c r="I90">
        <v>35.35</v>
      </c>
      <c r="J90">
        <v>2571</v>
      </c>
      <c r="K90">
        <v>90428.65</v>
      </c>
      <c r="L90" s="1">
        <v>45240</v>
      </c>
      <c r="M90">
        <v>83</v>
      </c>
      <c r="N90" t="s">
        <v>108</v>
      </c>
      <c r="O90" s="5">
        <v>45240</v>
      </c>
      <c r="P90" s="5">
        <v>43777</v>
      </c>
    </row>
    <row r="91" spans="1:16" x14ac:dyDescent="0.25">
      <c r="A91" t="s">
        <v>109</v>
      </c>
      <c r="B91" t="str">
        <v>Archean Chemical Industries Limited</v>
      </c>
      <c r="C91" t="s">
        <v>14</v>
      </c>
      <c r="D91">
        <v>529.79999999999995</v>
      </c>
      <c r="E91">
        <v>535.79999999999995</v>
      </c>
      <c r="F91">
        <v>526</v>
      </c>
      <c r="G91" s="3">
        <v>527.1</v>
      </c>
      <c r="H91">
        <v>527</v>
      </c>
      <c r="I91">
        <v>527.1</v>
      </c>
      <c r="J91">
        <v>295865</v>
      </c>
      <c r="K91">
        <v>156558669.34999999</v>
      </c>
      <c r="L91" s="1">
        <v>45240</v>
      </c>
      <c r="M91">
        <v>14637</v>
      </c>
      <c r="N91" t="s">
        <v>111</v>
      </c>
      <c r="O91" s="5">
        <v>45240</v>
      </c>
      <c r="P91" s="5">
        <v>43777</v>
      </c>
    </row>
    <row r="92" spans="1:16" x14ac:dyDescent="0.25">
      <c r="A92" t="s">
        <v>112</v>
      </c>
      <c r="B92" t="str">
        <v>Andhra Cements Limited</v>
      </c>
      <c r="C92" t="s">
        <v>14</v>
      </c>
      <c r="D92">
        <v>96.7</v>
      </c>
      <c r="E92">
        <v>98.45</v>
      </c>
      <c r="F92">
        <v>94.4</v>
      </c>
      <c r="G92" s="3">
        <v>96.05</v>
      </c>
      <c r="H92">
        <v>95.3</v>
      </c>
      <c r="I92">
        <v>96.7</v>
      </c>
      <c r="J92">
        <v>8770</v>
      </c>
      <c r="K92">
        <v>842399.55</v>
      </c>
      <c r="L92" s="1">
        <v>45240</v>
      </c>
      <c r="M92">
        <v>399</v>
      </c>
      <c r="N92" t="s">
        <v>114</v>
      </c>
      <c r="O92" s="5">
        <v>45240</v>
      </c>
      <c r="P92" s="5">
        <v>43777</v>
      </c>
    </row>
    <row r="93" spans="1:16" x14ac:dyDescent="0.25">
      <c r="A93" t="s">
        <v>6902</v>
      </c>
      <c r="B93" t="str">
        <v>Not Found</v>
      </c>
      <c r="C93" t="s">
        <v>5788</v>
      </c>
      <c r="D93">
        <v>60.05</v>
      </c>
      <c r="E93">
        <v>64.5</v>
      </c>
      <c r="F93">
        <v>59.2</v>
      </c>
      <c r="G93" s="3">
        <v>62.85</v>
      </c>
      <c r="H93">
        <v>62.85</v>
      </c>
      <c r="I93">
        <v>63.05</v>
      </c>
      <c r="J93">
        <v>189000</v>
      </c>
      <c r="K93">
        <v>11542950</v>
      </c>
      <c r="L93" s="1">
        <v>45240</v>
      </c>
      <c r="M93">
        <v>60</v>
      </c>
      <c r="N93" t="s">
        <v>6901</v>
      </c>
      <c r="O93" s="5">
        <v>45240</v>
      </c>
      <c r="P93" s="5">
        <v>43777</v>
      </c>
    </row>
    <row r="94" spans="1:16" x14ac:dyDescent="0.25">
      <c r="A94" t="s">
        <v>115</v>
      </c>
      <c r="B94" t="str">
        <v>Adani Energy Solutions Limited</v>
      </c>
      <c r="C94" t="s">
        <v>14</v>
      </c>
      <c r="D94">
        <v>748</v>
      </c>
      <c r="E94">
        <v>763</v>
      </c>
      <c r="F94">
        <v>744.1</v>
      </c>
      <c r="G94" s="3">
        <v>760.45</v>
      </c>
      <c r="H94">
        <v>762</v>
      </c>
      <c r="I94">
        <v>750.2</v>
      </c>
      <c r="J94">
        <v>278461</v>
      </c>
      <c r="K94">
        <v>210771197.15000001</v>
      </c>
      <c r="L94" s="1">
        <v>45240</v>
      </c>
      <c r="M94">
        <v>9527</v>
      </c>
      <c r="N94" t="s">
        <v>117</v>
      </c>
      <c r="O94" s="5">
        <v>45240</v>
      </c>
      <c r="P94" s="5">
        <v>43777</v>
      </c>
    </row>
    <row r="95" spans="1:16" x14ac:dyDescent="0.25">
      <c r="A95" t="s">
        <v>118</v>
      </c>
      <c r="B95" t="str">
        <v>Adani Enterprises Limited</v>
      </c>
      <c r="C95" t="s">
        <v>14</v>
      </c>
      <c r="D95">
        <v>2220.25</v>
      </c>
      <c r="E95">
        <v>2237</v>
      </c>
      <c r="F95">
        <v>2198.5</v>
      </c>
      <c r="G95" s="3">
        <v>2205.1</v>
      </c>
      <c r="H95">
        <v>2209</v>
      </c>
      <c r="I95">
        <v>2214.65</v>
      </c>
      <c r="J95">
        <v>1072597</v>
      </c>
      <c r="K95">
        <v>2375324609.6500001</v>
      </c>
      <c r="L95" s="1">
        <v>45240</v>
      </c>
      <c r="M95">
        <v>45963</v>
      </c>
      <c r="N95" t="s">
        <v>120</v>
      </c>
      <c r="O95" s="5">
        <v>45240</v>
      </c>
      <c r="P95" s="5">
        <v>43777</v>
      </c>
    </row>
    <row r="96" spans="1:16" x14ac:dyDescent="0.25">
      <c r="A96" t="s">
        <v>121</v>
      </c>
      <c r="B96" t="str">
        <v>Adani Green Energy Limited</v>
      </c>
      <c r="C96" t="s">
        <v>14</v>
      </c>
      <c r="D96">
        <v>942.8</v>
      </c>
      <c r="E96">
        <v>946.2</v>
      </c>
      <c r="F96">
        <v>927.05</v>
      </c>
      <c r="G96" s="3">
        <v>938.7</v>
      </c>
      <c r="H96">
        <v>939.95</v>
      </c>
      <c r="I96">
        <v>938.1</v>
      </c>
      <c r="J96">
        <v>311274</v>
      </c>
      <c r="K96">
        <v>292299752.60000002</v>
      </c>
      <c r="L96" s="1">
        <v>45240</v>
      </c>
      <c r="M96">
        <v>13990</v>
      </c>
      <c r="N96" t="s">
        <v>123</v>
      </c>
      <c r="O96" s="5">
        <v>45240</v>
      </c>
      <c r="P96" s="5">
        <v>43777</v>
      </c>
    </row>
    <row r="97" spans="1:16" x14ac:dyDescent="0.25">
      <c r="A97" t="s">
        <v>124</v>
      </c>
      <c r="B97" t="str">
        <v>Adani Ports and Special Economic Zone Limited</v>
      </c>
      <c r="C97" t="s">
        <v>14</v>
      </c>
      <c r="D97">
        <v>808</v>
      </c>
      <c r="E97">
        <v>818.8</v>
      </c>
      <c r="F97">
        <v>806.2</v>
      </c>
      <c r="G97" s="3">
        <v>808.6</v>
      </c>
      <c r="H97">
        <v>809.95</v>
      </c>
      <c r="I97">
        <v>806.2</v>
      </c>
      <c r="J97">
        <v>3903183</v>
      </c>
      <c r="K97">
        <v>3167742392.3499999</v>
      </c>
      <c r="L97" s="1">
        <v>45240</v>
      </c>
      <c r="M97">
        <v>66315</v>
      </c>
      <c r="N97" t="s">
        <v>126</v>
      </c>
      <c r="O97" s="5">
        <v>45240</v>
      </c>
      <c r="P97" s="5">
        <v>43777</v>
      </c>
    </row>
    <row r="98" spans="1:16" x14ac:dyDescent="0.25">
      <c r="A98" t="s">
        <v>127</v>
      </c>
      <c r="B98" t="str">
        <v>Adani Power Limited</v>
      </c>
      <c r="C98" t="s">
        <v>14</v>
      </c>
      <c r="D98">
        <v>399.95</v>
      </c>
      <c r="E98">
        <v>406.8</v>
      </c>
      <c r="F98">
        <v>395.3</v>
      </c>
      <c r="G98" s="3">
        <v>399.4</v>
      </c>
      <c r="H98">
        <v>398.6</v>
      </c>
      <c r="I98">
        <v>401.1</v>
      </c>
      <c r="J98">
        <v>16574959</v>
      </c>
      <c r="K98">
        <v>6668485091.8000002</v>
      </c>
      <c r="L98" s="1">
        <v>45240</v>
      </c>
      <c r="M98">
        <v>98845</v>
      </c>
      <c r="N98" t="s">
        <v>129</v>
      </c>
      <c r="O98" s="5">
        <v>45240</v>
      </c>
      <c r="P98" s="5">
        <v>43777</v>
      </c>
    </row>
    <row r="99" spans="1:16" x14ac:dyDescent="0.25">
      <c r="A99" t="s">
        <v>130</v>
      </c>
      <c r="B99" t="str">
        <v>ADF Foods Limited</v>
      </c>
      <c r="C99" t="s">
        <v>14</v>
      </c>
      <c r="D99">
        <v>234.2</v>
      </c>
      <c r="E99">
        <v>234.85</v>
      </c>
      <c r="F99">
        <v>226.1</v>
      </c>
      <c r="G99" s="3">
        <v>227.55</v>
      </c>
      <c r="H99">
        <v>227.7</v>
      </c>
      <c r="I99">
        <v>236.3</v>
      </c>
      <c r="J99">
        <v>170444</v>
      </c>
      <c r="K99">
        <v>39091402.899999999</v>
      </c>
      <c r="L99" s="1">
        <v>45240</v>
      </c>
      <c r="M99">
        <v>5652</v>
      </c>
      <c r="N99" t="s">
        <v>132</v>
      </c>
      <c r="O99" s="5">
        <v>45240</v>
      </c>
      <c r="P99" s="5">
        <v>43777</v>
      </c>
    </row>
    <row r="100" spans="1:16" x14ac:dyDescent="0.25">
      <c r="A100" t="s">
        <v>133</v>
      </c>
      <c r="B100" t="str">
        <v>Archidply Decor Limited</v>
      </c>
      <c r="C100" t="s">
        <v>10</v>
      </c>
      <c r="D100">
        <v>84.75</v>
      </c>
      <c r="E100">
        <v>84.95</v>
      </c>
      <c r="F100">
        <v>82.9</v>
      </c>
      <c r="G100" s="3">
        <v>84.95</v>
      </c>
      <c r="H100">
        <v>84.95</v>
      </c>
      <c r="I100">
        <v>85</v>
      </c>
      <c r="J100">
        <v>229</v>
      </c>
      <c r="K100">
        <v>19101.2</v>
      </c>
      <c r="L100" s="1">
        <v>45240</v>
      </c>
      <c r="M100">
        <v>8</v>
      </c>
      <c r="N100" t="s">
        <v>135</v>
      </c>
      <c r="O100" s="5">
        <v>45240</v>
      </c>
      <c r="P100" s="5">
        <v>43777</v>
      </c>
    </row>
    <row r="101" spans="1:16" x14ac:dyDescent="0.25">
      <c r="A101" t="s">
        <v>136</v>
      </c>
      <c r="B101" t="str">
        <v>Ador Welding Limited</v>
      </c>
      <c r="C101" t="s">
        <v>14</v>
      </c>
      <c r="D101">
        <v>1459.85</v>
      </c>
      <c r="E101">
        <v>1518</v>
      </c>
      <c r="F101">
        <v>1453.05</v>
      </c>
      <c r="G101" s="3">
        <v>1502.75</v>
      </c>
      <c r="H101">
        <v>1502.1</v>
      </c>
      <c r="I101">
        <v>1446.95</v>
      </c>
      <c r="J101">
        <v>177670</v>
      </c>
      <c r="K101">
        <v>265257947.05000001</v>
      </c>
      <c r="L101" s="1">
        <v>45240</v>
      </c>
      <c r="M101">
        <v>18504</v>
      </c>
      <c r="N101" t="s">
        <v>138</v>
      </c>
      <c r="O101" s="5">
        <v>45240</v>
      </c>
      <c r="P101" s="5">
        <v>43777</v>
      </c>
    </row>
    <row r="102" spans="1:16" x14ac:dyDescent="0.25">
      <c r="A102" t="s">
        <v>139</v>
      </c>
      <c r="B102" t="str">
        <v>Adroit Infotech Limited</v>
      </c>
      <c r="C102" t="s">
        <v>10</v>
      </c>
      <c r="D102">
        <v>22.35</v>
      </c>
      <c r="E102">
        <v>22.35</v>
      </c>
      <c r="F102">
        <v>22.3</v>
      </c>
      <c r="G102" s="3">
        <v>22.3</v>
      </c>
      <c r="H102">
        <v>22.3</v>
      </c>
      <c r="I102">
        <v>22.35</v>
      </c>
      <c r="J102">
        <v>6208</v>
      </c>
      <c r="K102">
        <v>138710</v>
      </c>
      <c r="L102" s="1">
        <v>45240</v>
      </c>
      <c r="M102">
        <v>29</v>
      </c>
      <c r="N102" t="s">
        <v>141</v>
      </c>
      <c r="O102" s="5">
        <v>45240</v>
      </c>
      <c r="P102" s="5">
        <v>43777</v>
      </c>
    </row>
    <row r="103" spans="1:16" x14ac:dyDescent="0.25">
      <c r="A103" t="s">
        <v>142</v>
      </c>
      <c r="B103" t="str">
        <v>Allied Digital Services Limited</v>
      </c>
      <c r="C103" t="s">
        <v>14</v>
      </c>
      <c r="D103">
        <v>116.1</v>
      </c>
      <c r="E103">
        <v>118.1</v>
      </c>
      <c r="F103">
        <v>115.25</v>
      </c>
      <c r="G103" s="3">
        <v>115.7</v>
      </c>
      <c r="H103">
        <v>115.45</v>
      </c>
      <c r="I103">
        <v>116.5</v>
      </c>
      <c r="J103">
        <v>125307</v>
      </c>
      <c r="K103">
        <v>14601753.300000001</v>
      </c>
      <c r="L103" s="1">
        <v>45240</v>
      </c>
      <c r="M103">
        <v>1613</v>
      </c>
      <c r="N103" t="s">
        <v>144</v>
      </c>
      <c r="O103" s="5">
        <v>45240</v>
      </c>
      <c r="P103" s="5">
        <v>43777</v>
      </c>
    </row>
    <row r="104" spans="1:16" x14ac:dyDescent="0.25">
      <c r="A104" t="s">
        <v>145</v>
      </c>
      <c r="B104" t="str">
        <v>Advani Hotels &amp; Resorts (India) Limited</v>
      </c>
      <c r="C104" t="s">
        <v>14</v>
      </c>
      <c r="D104">
        <v>121.15</v>
      </c>
      <c r="E104">
        <v>123.35</v>
      </c>
      <c r="F104">
        <v>119</v>
      </c>
      <c r="G104" s="3">
        <v>120.6</v>
      </c>
      <c r="H104">
        <v>120.7</v>
      </c>
      <c r="I104">
        <v>121.55</v>
      </c>
      <c r="J104">
        <v>179919</v>
      </c>
      <c r="K104">
        <v>21723263.100000001</v>
      </c>
      <c r="L104" s="1">
        <v>45240</v>
      </c>
      <c r="M104">
        <v>2823</v>
      </c>
      <c r="N104" t="s">
        <v>147</v>
      </c>
      <c r="O104" s="5">
        <v>45240</v>
      </c>
      <c r="P104" s="5">
        <v>43777</v>
      </c>
    </row>
    <row r="105" spans="1:16" x14ac:dyDescent="0.25">
      <c r="A105" t="s">
        <v>148</v>
      </c>
      <c r="B105" t="str">
        <v>Advanced Enzyme Technologies Limited</v>
      </c>
      <c r="C105" t="s">
        <v>14</v>
      </c>
      <c r="D105">
        <v>326.39999999999998</v>
      </c>
      <c r="E105">
        <v>334.35</v>
      </c>
      <c r="F105">
        <v>322.2</v>
      </c>
      <c r="G105" s="3">
        <v>324.39999999999998</v>
      </c>
      <c r="H105">
        <v>324.10000000000002</v>
      </c>
      <c r="I105">
        <v>329.25</v>
      </c>
      <c r="J105">
        <v>131539</v>
      </c>
      <c r="K105">
        <v>43076099.850000001</v>
      </c>
      <c r="L105" s="1">
        <v>45240</v>
      </c>
      <c r="M105">
        <v>7475</v>
      </c>
      <c r="N105" t="s">
        <v>150</v>
      </c>
      <c r="O105" s="5">
        <v>45240</v>
      </c>
      <c r="P105" s="5">
        <v>43777</v>
      </c>
    </row>
    <row r="106" spans="1:16" x14ac:dyDescent="0.25">
      <c r="A106" t="s">
        <v>151</v>
      </c>
      <c r="B106" t="str">
        <v>Aegis Logistics Limited</v>
      </c>
      <c r="C106" t="s">
        <v>14</v>
      </c>
      <c r="D106">
        <v>316.45</v>
      </c>
      <c r="E106">
        <v>317.8</v>
      </c>
      <c r="F106">
        <v>308.25</v>
      </c>
      <c r="G106" s="3">
        <v>310.5</v>
      </c>
      <c r="H106">
        <v>310.35000000000002</v>
      </c>
      <c r="I106">
        <v>315.85000000000002</v>
      </c>
      <c r="J106">
        <v>1010207</v>
      </c>
      <c r="K106">
        <v>315298658.30000001</v>
      </c>
      <c r="L106" s="1">
        <v>45240</v>
      </c>
      <c r="M106">
        <v>23752</v>
      </c>
      <c r="N106" t="s">
        <v>153</v>
      </c>
      <c r="O106" s="5">
        <v>45240</v>
      </c>
      <c r="P106" s="5">
        <v>43777</v>
      </c>
    </row>
    <row r="107" spans="1:16" x14ac:dyDescent="0.25">
      <c r="A107" t="s">
        <v>154</v>
      </c>
      <c r="B107" t="str">
        <v>Aeroflex Industries Limited</v>
      </c>
      <c r="C107" t="s">
        <v>14</v>
      </c>
      <c r="D107">
        <v>159.19999999999999</v>
      </c>
      <c r="E107">
        <v>160.05000000000001</v>
      </c>
      <c r="F107">
        <v>155.5</v>
      </c>
      <c r="G107" s="3">
        <v>156.80000000000001</v>
      </c>
      <c r="H107">
        <v>157</v>
      </c>
      <c r="I107">
        <v>159.6</v>
      </c>
      <c r="J107">
        <v>626021</v>
      </c>
      <c r="K107">
        <v>98849153.950000003</v>
      </c>
      <c r="L107" s="1">
        <v>45240</v>
      </c>
      <c r="M107">
        <v>7509</v>
      </c>
      <c r="N107" t="s">
        <v>156</v>
      </c>
      <c r="O107" s="5">
        <v>45240</v>
      </c>
      <c r="P107" s="5">
        <v>43777</v>
      </c>
    </row>
    <row r="108" spans="1:16" x14ac:dyDescent="0.25">
      <c r="A108" t="s">
        <v>157</v>
      </c>
      <c r="B108" t="str">
        <v>Aether Industries Limited</v>
      </c>
      <c r="C108" t="s">
        <v>14</v>
      </c>
      <c r="D108">
        <v>888.2</v>
      </c>
      <c r="E108">
        <v>898.95</v>
      </c>
      <c r="F108">
        <v>887.05</v>
      </c>
      <c r="G108" s="3">
        <v>891.2</v>
      </c>
      <c r="H108">
        <v>889</v>
      </c>
      <c r="I108">
        <v>886.9</v>
      </c>
      <c r="J108">
        <v>40006</v>
      </c>
      <c r="K108">
        <v>35741332.200000003</v>
      </c>
      <c r="L108" s="1">
        <v>45240</v>
      </c>
      <c r="M108">
        <v>3436</v>
      </c>
      <c r="N108" t="s">
        <v>159</v>
      </c>
      <c r="O108" s="5">
        <v>45240</v>
      </c>
      <c r="P108" s="5">
        <v>43777</v>
      </c>
    </row>
    <row r="109" spans="1:16" x14ac:dyDescent="0.25">
      <c r="A109" t="s">
        <v>160</v>
      </c>
      <c r="B109" t="str">
        <v>Affle (India) Limited</v>
      </c>
      <c r="C109" t="s">
        <v>14</v>
      </c>
      <c r="D109">
        <v>1025.7</v>
      </c>
      <c r="E109">
        <v>1038.3</v>
      </c>
      <c r="F109">
        <v>1015.8</v>
      </c>
      <c r="G109" s="3">
        <v>1017.6</v>
      </c>
      <c r="H109">
        <v>1017.7</v>
      </c>
      <c r="I109">
        <v>1025.75</v>
      </c>
      <c r="J109">
        <v>109766</v>
      </c>
      <c r="K109">
        <v>112386700.90000001</v>
      </c>
      <c r="L109" s="1">
        <v>45240</v>
      </c>
      <c r="M109">
        <v>10148</v>
      </c>
      <c r="N109" t="s">
        <v>162</v>
      </c>
      <c r="O109" s="5">
        <v>45240</v>
      </c>
      <c r="P109" s="5">
        <v>43777</v>
      </c>
    </row>
    <row r="110" spans="1:16" x14ac:dyDescent="0.25">
      <c r="A110" t="s">
        <v>163</v>
      </c>
      <c r="B110" t="str">
        <v>Agarwal Industrial Corporation Limited</v>
      </c>
      <c r="C110" t="s">
        <v>14</v>
      </c>
      <c r="D110">
        <v>907</v>
      </c>
      <c r="E110">
        <v>911.1</v>
      </c>
      <c r="F110">
        <v>889</v>
      </c>
      <c r="G110" s="3">
        <v>892.25</v>
      </c>
      <c r="H110">
        <v>893</v>
      </c>
      <c r="I110">
        <v>901.4</v>
      </c>
      <c r="J110">
        <v>24081</v>
      </c>
      <c r="K110">
        <v>21647696.850000001</v>
      </c>
      <c r="L110" s="1">
        <v>45240</v>
      </c>
      <c r="M110">
        <v>2706</v>
      </c>
      <c r="N110" t="s">
        <v>165</v>
      </c>
      <c r="O110" s="5">
        <v>45240</v>
      </c>
      <c r="P110" s="5">
        <v>43777</v>
      </c>
    </row>
    <row r="111" spans="1:16" x14ac:dyDescent="0.25">
      <c r="A111" t="s">
        <v>6900</v>
      </c>
      <c r="B111" t="str">
        <v>Not Found</v>
      </c>
      <c r="C111" t="s">
        <v>5788</v>
      </c>
      <c r="D111">
        <v>57</v>
      </c>
      <c r="E111">
        <v>59</v>
      </c>
      <c r="F111">
        <v>57</v>
      </c>
      <c r="G111" s="3">
        <v>57.7</v>
      </c>
      <c r="H111">
        <v>57</v>
      </c>
      <c r="I111">
        <v>58.8</v>
      </c>
      <c r="J111">
        <v>12000</v>
      </c>
      <c r="K111">
        <v>690150</v>
      </c>
      <c r="L111" s="1">
        <v>45240</v>
      </c>
      <c r="M111">
        <v>4</v>
      </c>
      <c r="N111" t="s">
        <v>6899</v>
      </c>
      <c r="O111" s="5">
        <v>45240</v>
      </c>
      <c r="P111" s="5">
        <v>43777</v>
      </c>
    </row>
    <row r="112" spans="1:16" x14ac:dyDescent="0.25">
      <c r="A112" t="s">
        <v>166</v>
      </c>
      <c r="B112" t="str">
        <v>AGI Greenpac Limited</v>
      </c>
      <c r="C112" t="s">
        <v>14</v>
      </c>
      <c r="D112">
        <v>973.75</v>
      </c>
      <c r="E112">
        <v>1047</v>
      </c>
      <c r="F112">
        <v>959.9</v>
      </c>
      <c r="G112" s="3">
        <v>972.35</v>
      </c>
      <c r="H112">
        <v>966</v>
      </c>
      <c r="I112">
        <v>974</v>
      </c>
      <c r="J112">
        <v>700768</v>
      </c>
      <c r="K112">
        <v>707620783.54999995</v>
      </c>
      <c r="L112" s="1">
        <v>45240</v>
      </c>
      <c r="M112">
        <v>38924</v>
      </c>
      <c r="N112" t="s">
        <v>168</v>
      </c>
      <c r="O112" s="5">
        <v>45240</v>
      </c>
      <c r="P112" s="5">
        <v>43777</v>
      </c>
    </row>
    <row r="113" spans="1:16" x14ac:dyDescent="0.25">
      <c r="A113" t="s">
        <v>6898</v>
      </c>
      <c r="B113" t="str">
        <v>Not Found</v>
      </c>
      <c r="C113" t="s">
        <v>5788</v>
      </c>
      <c r="D113">
        <v>27.3</v>
      </c>
      <c r="E113">
        <v>27.3</v>
      </c>
      <c r="F113">
        <v>24.05</v>
      </c>
      <c r="G113" s="3">
        <v>26.85</v>
      </c>
      <c r="H113">
        <v>26.85</v>
      </c>
      <c r="I113">
        <v>25.4</v>
      </c>
      <c r="J113">
        <v>60000</v>
      </c>
      <c r="K113">
        <v>1536750</v>
      </c>
      <c r="L113" s="1">
        <v>45240</v>
      </c>
      <c r="M113">
        <v>12</v>
      </c>
      <c r="N113" t="s">
        <v>6897</v>
      </c>
      <c r="O113" s="5">
        <v>45240</v>
      </c>
      <c r="P113" s="5">
        <v>43777</v>
      </c>
    </row>
    <row r="114" spans="1:16" x14ac:dyDescent="0.25">
      <c r="A114" t="s">
        <v>169</v>
      </c>
      <c r="B114" t="str">
        <v>Agri-Tech (India) Limited</v>
      </c>
      <c r="C114" t="s">
        <v>10</v>
      </c>
      <c r="D114">
        <v>182.55</v>
      </c>
      <c r="E114">
        <v>186</v>
      </c>
      <c r="F114">
        <v>180.5</v>
      </c>
      <c r="G114" s="3">
        <v>182.85</v>
      </c>
      <c r="H114">
        <v>182.25</v>
      </c>
      <c r="I114">
        <v>182.55</v>
      </c>
      <c r="J114">
        <v>3662</v>
      </c>
      <c r="K114">
        <v>669445.6</v>
      </c>
      <c r="L114" s="1">
        <v>45240</v>
      </c>
      <c r="M114">
        <v>31</v>
      </c>
      <c r="N114" t="s">
        <v>171</v>
      </c>
      <c r="O114" s="5">
        <v>45240</v>
      </c>
      <c r="P114" s="5">
        <v>43777</v>
      </c>
    </row>
    <row r="115" spans="1:16" x14ac:dyDescent="0.25">
      <c r="A115" t="s">
        <v>172</v>
      </c>
      <c r="B115" t="str">
        <v>Agro Phos India Limited</v>
      </c>
      <c r="C115" t="s">
        <v>14</v>
      </c>
      <c r="D115">
        <v>35.549999999999997</v>
      </c>
      <c r="E115">
        <v>39.4</v>
      </c>
      <c r="F115">
        <v>34.549999999999997</v>
      </c>
      <c r="G115" s="3">
        <v>37.299999999999997</v>
      </c>
      <c r="H115">
        <v>36.5</v>
      </c>
      <c r="I115">
        <v>35.9</v>
      </c>
      <c r="J115">
        <v>178684</v>
      </c>
      <c r="K115">
        <v>6538712.9500000002</v>
      </c>
      <c r="L115" s="1">
        <v>45240</v>
      </c>
      <c r="M115">
        <v>835</v>
      </c>
      <c r="N115" t="s">
        <v>174</v>
      </c>
      <c r="O115" s="5">
        <v>45240</v>
      </c>
      <c r="P115" s="5">
        <v>43777</v>
      </c>
    </row>
    <row r="116" spans="1:16" x14ac:dyDescent="0.25">
      <c r="A116" t="s">
        <v>175</v>
      </c>
      <c r="B116" t="str">
        <v>AGS Transact Technologies Limited</v>
      </c>
      <c r="C116" t="s">
        <v>14</v>
      </c>
      <c r="D116">
        <v>61.35</v>
      </c>
      <c r="E116">
        <v>69.849999999999994</v>
      </c>
      <c r="F116">
        <v>61.3</v>
      </c>
      <c r="G116" s="3">
        <v>65.75</v>
      </c>
      <c r="H116">
        <v>65.849999999999994</v>
      </c>
      <c r="I116">
        <v>61.5</v>
      </c>
      <c r="J116">
        <v>5119476</v>
      </c>
      <c r="K116">
        <v>344641223.30000001</v>
      </c>
      <c r="L116" s="1">
        <v>45240</v>
      </c>
      <c r="M116">
        <v>26168</v>
      </c>
      <c r="N116" t="s">
        <v>177</v>
      </c>
      <c r="O116" s="5">
        <v>45240</v>
      </c>
      <c r="P116" s="5">
        <v>43777</v>
      </c>
    </row>
    <row r="117" spans="1:16" x14ac:dyDescent="0.25">
      <c r="A117" t="s">
        <v>6896</v>
      </c>
      <c r="B117" t="str">
        <v>Not Found</v>
      </c>
      <c r="C117" t="s">
        <v>5788</v>
      </c>
      <c r="D117">
        <v>107</v>
      </c>
      <c r="E117">
        <v>112</v>
      </c>
      <c r="F117">
        <v>107</v>
      </c>
      <c r="G117" s="3">
        <v>112</v>
      </c>
      <c r="H117">
        <v>112</v>
      </c>
      <c r="I117">
        <v>112</v>
      </c>
      <c r="J117">
        <v>6000</v>
      </c>
      <c r="K117">
        <v>652000</v>
      </c>
      <c r="L117" s="1">
        <v>45240</v>
      </c>
      <c r="M117">
        <v>3</v>
      </c>
      <c r="N117" t="s">
        <v>6895</v>
      </c>
      <c r="O117" s="5">
        <v>45240</v>
      </c>
      <c r="P117" s="5">
        <v>43777</v>
      </c>
    </row>
    <row r="118" spans="1:16" x14ac:dyDescent="0.25">
      <c r="A118" t="s">
        <v>178</v>
      </c>
      <c r="B118" t="str">
        <v>Abans Holdings Limited</v>
      </c>
      <c r="C118" t="s">
        <v>14</v>
      </c>
      <c r="D118">
        <v>315.3</v>
      </c>
      <c r="E118">
        <v>322</v>
      </c>
      <c r="F118">
        <v>308</v>
      </c>
      <c r="G118" s="3">
        <v>320.10000000000002</v>
      </c>
      <c r="H118">
        <v>321</v>
      </c>
      <c r="I118">
        <v>315.89999999999998</v>
      </c>
      <c r="J118">
        <v>229645</v>
      </c>
      <c r="K118">
        <v>72518725.650000006</v>
      </c>
      <c r="L118" s="1">
        <v>45240</v>
      </c>
      <c r="M118">
        <v>4098</v>
      </c>
      <c r="N118" t="s">
        <v>180</v>
      </c>
      <c r="O118" s="5">
        <v>45240</v>
      </c>
      <c r="P118" s="5">
        <v>43777</v>
      </c>
    </row>
    <row r="119" spans="1:16" x14ac:dyDescent="0.25">
      <c r="A119" t="s">
        <v>181</v>
      </c>
      <c r="B119" t="str">
        <v>Ahlada Engineers Limited</v>
      </c>
      <c r="C119" t="s">
        <v>14</v>
      </c>
      <c r="D119">
        <v>113</v>
      </c>
      <c r="E119">
        <v>113</v>
      </c>
      <c r="F119">
        <v>110.7</v>
      </c>
      <c r="G119" s="3">
        <v>112.2</v>
      </c>
      <c r="H119">
        <v>112.65</v>
      </c>
      <c r="I119">
        <v>111</v>
      </c>
      <c r="J119">
        <v>12005</v>
      </c>
      <c r="K119">
        <v>1342145.3999999999</v>
      </c>
      <c r="L119" s="1">
        <v>45240</v>
      </c>
      <c r="M119">
        <v>182</v>
      </c>
      <c r="N119" t="s">
        <v>183</v>
      </c>
      <c r="O119" s="5">
        <v>45240</v>
      </c>
      <c r="P119" s="5">
        <v>43777</v>
      </c>
    </row>
    <row r="120" spans="1:16" x14ac:dyDescent="0.25">
      <c r="A120" t="s">
        <v>184</v>
      </c>
      <c r="B120" t="str">
        <v>Asian Hotels (East) Limited</v>
      </c>
      <c r="C120" t="s">
        <v>14</v>
      </c>
      <c r="D120">
        <v>129.15</v>
      </c>
      <c r="E120">
        <v>137</v>
      </c>
      <c r="F120">
        <v>126.1</v>
      </c>
      <c r="G120" s="3">
        <v>133.44999999999999</v>
      </c>
      <c r="H120">
        <v>133</v>
      </c>
      <c r="I120">
        <v>129.69999999999999</v>
      </c>
      <c r="J120">
        <v>23565</v>
      </c>
      <c r="K120">
        <v>3089985.2</v>
      </c>
      <c r="L120" s="1">
        <v>45240</v>
      </c>
      <c r="M120">
        <v>453</v>
      </c>
      <c r="N120" t="s">
        <v>186</v>
      </c>
      <c r="O120" s="5">
        <v>45240</v>
      </c>
      <c r="P120" s="5">
        <v>43777</v>
      </c>
    </row>
    <row r="121" spans="1:16" x14ac:dyDescent="0.25">
      <c r="A121" t="s">
        <v>187</v>
      </c>
      <c r="B121" t="str">
        <v>Ahluwalia Contracts (India) Limited</v>
      </c>
      <c r="C121" t="s">
        <v>14</v>
      </c>
      <c r="D121">
        <v>680.45</v>
      </c>
      <c r="E121">
        <v>711.25</v>
      </c>
      <c r="F121">
        <v>674</v>
      </c>
      <c r="G121" s="3">
        <v>680.8</v>
      </c>
      <c r="H121">
        <v>684.5</v>
      </c>
      <c r="I121">
        <v>681.85</v>
      </c>
      <c r="J121">
        <v>235239</v>
      </c>
      <c r="K121">
        <v>162822322.59999999</v>
      </c>
      <c r="L121" s="1">
        <v>45240</v>
      </c>
      <c r="M121">
        <v>14067</v>
      </c>
      <c r="N121" t="s">
        <v>189</v>
      </c>
      <c r="O121" s="5">
        <v>45240</v>
      </c>
      <c r="P121" s="5">
        <v>43777</v>
      </c>
    </row>
    <row r="122" spans="1:16" x14ac:dyDescent="0.25">
      <c r="A122" t="s">
        <v>190</v>
      </c>
      <c r="B122" t="str">
        <v>AIA Engineering Limited</v>
      </c>
      <c r="C122" t="s">
        <v>14</v>
      </c>
      <c r="D122">
        <v>3610.05</v>
      </c>
      <c r="E122">
        <v>3638.8</v>
      </c>
      <c r="F122">
        <v>3542</v>
      </c>
      <c r="G122" s="3">
        <v>3559.5</v>
      </c>
      <c r="H122">
        <v>3555</v>
      </c>
      <c r="I122">
        <v>3611.15</v>
      </c>
      <c r="J122">
        <v>40915</v>
      </c>
      <c r="K122">
        <v>147263265.05000001</v>
      </c>
      <c r="L122" s="1">
        <v>45240</v>
      </c>
      <c r="M122">
        <v>9001</v>
      </c>
      <c r="N122" t="s">
        <v>192</v>
      </c>
      <c r="O122" s="5">
        <v>45240</v>
      </c>
      <c r="P122" s="5">
        <v>43777</v>
      </c>
    </row>
    <row r="123" spans="1:16" x14ac:dyDescent="0.25">
      <c r="A123" t="s">
        <v>6894</v>
      </c>
      <c r="B123" t="str">
        <v>Not Found</v>
      </c>
      <c r="C123" t="s">
        <v>5788</v>
      </c>
      <c r="D123">
        <v>30.45</v>
      </c>
      <c r="E123">
        <v>30.45</v>
      </c>
      <c r="F123">
        <v>30.45</v>
      </c>
      <c r="G123" s="3">
        <v>30.45</v>
      </c>
      <c r="H123">
        <v>30.45</v>
      </c>
      <c r="I123">
        <v>31.1</v>
      </c>
      <c r="J123">
        <v>6000</v>
      </c>
      <c r="K123">
        <v>182700</v>
      </c>
      <c r="L123" s="1">
        <v>45240</v>
      </c>
      <c r="M123">
        <v>1</v>
      </c>
      <c r="N123" t="s">
        <v>6893</v>
      </c>
      <c r="O123" s="5">
        <v>45240</v>
      </c>
      <c r="P123" s="5">
        <v>43777</v>
      </c>
    </row>
    <row r="124" spans="1:16" x14ac:dyDescent="0.25">
      <c r="A124" t="s">
        <v>193</v>
      </c>
      <c r="B124" t="str">
        <v>Airan Limited</v>
      </c>
      <c r="C124" t="s">
        <v>10</v>
      </c>
      <c r="D124">
        <v>22.4</v>
      </c>
      <c r="E124">
        <v>22.4</v>
      </c>
      <c r="F124">
        <v>21.6</v>
      </c>
      <c r="G124" s="3">
        <v>21.8</v>
      </c>
      <c r="H124">
        <v>21.8</v>
      </c>
      <c r="I124">
        <v>21.95</v>
      </c>
      <c r="J124">
        <v>67496</v>
      </c>
      <c r="K124">
        <v>1478406.05</v>
      </c>
      <c r="L124" s="1">
        <v>45240</v>
      </c>
      <c r="M124">
        <v>455</v>
      </c>
      <c r="N124" t="s">
        <v>195</v>
      </c>
      <c r="O124" s="5">
        <v>45240</v>
      </c>
      <c r="P124" s="5">
        <v>43777</v>
      </c>
    </row>
    <row r="125" spans="1:16" x14ac:dyDescent="0.25">
      <c r="A125" t="s">
        <v>196</v>
      </c>
      <c r="B125" t="str">
        <v>Airo Lam limited</v>
      </c>
      <c r="C125" t="s">
        <v>10</v>
      </c>
      <c r="D125">
        <v>127.8</v>
      </c>
      <c r="E125">
        <v>135.44999999999999</v>
      </c>
      <c r="F125">
        <v>124</v>
      </c>
      <c r="G125" s="3">
        <v>133.55000000000001</v>
      </c>
      <c r="H125">
        <v>135.25</v>
      </c>
      <c r="I125">
        <v>129.1</v>
      </c>
      <c r="J125">
        <v>45446</v>
      </c>
      <c r="K125">
        <v>5896132.4500000002</v>
      </c>
      <c r="L125" s="1">
        <v>45240</v>
      </c>
      <c r="M125">
        <v>303</v>
      </c>
      <c r="N125" t="s">
        <v>198</v>
      </c>
      <c r="O125" s="5">
        <v>45240</v>
      </c>
      <c r="P125" s="5">
        <v>43777</v>
      </c>
    </row>
    <row r="126" spans="1:16" x14ac:dyDescent="0.25">
      <c r="A126" t="s">
        <v>6892</v>
      </c>
      <c r="B126" t="str">
        <v>Not Found</v>
      </c>
      <c r="C126" t="s">
        <v>6796</v>
      </c>
      <c r="D126">
        <v>548.85</v>
      </c>
      <c r="E126">
        <v>548.85</v>
      </c>
      <c r="F126">
        <v>540.5</v>
      </c>
      <c r="G126" s="3">
        <v>545.29999999999995</v>
      </c>
      <c r="H126">
        <v>545.35</v>
      </c>
      <c r="I126">
        <v>543.65</v>
      </c>
      <c r="J126">
        <v>32493</v>
      </c>
      <c r="K126">
        <v>17705638.800000001</v>
      </c>
      <c r="L126" s="1">
        <v>45240</v>
      </c>
      <c r="M126">
        <v>705</v>
      </c>
      <c r="N126" t="s">
        <v>6891</v>
      </c>
      <c r="O126" s="5">
        <v>45240</v>
      </c>
      <c r="P126" s="5">
        <v>43777</v>
      </c>
    </row>
    <row r="127" spans="1:16" x14ac:dyDescent="0.25">
      <c r="A127" t="s">
        <v>6890</v>
      </c>
      <c r="B127" t="str">
        <v>Not Found</v>
      </c>
      <c r="C127" t="s">
        <v>5788</v>
      </c>
      <c r="D127">
        <v>63.9</v>
      </c>
      <c r="E127">
        <v>63.9</v>
      </c>
      <c r="F127">
        <v>62.6</v>
      </c>
      <c r="G127" s="3">
        <v>62.6</v>
      </c>
      <c r="H127">
        <v>62.6</v>
      </c>
      <c r="I127">
        <v>65.900000000000006</v>
      </c>
      <c r="J127">
        <v>4800</v>
      </c>
      <c r="K127">
        <v>302580</v>
      </c>
      <c r="L127" s="1">
        <v>45240</v>
      </c>
      <c r="M127">
        <v>4</v>
      </c>
      <c r="N127" t="s">
        <v>6889</v>
      </c>
      <c r="O127" s="5">
        <v>45240</v>
      </c>
      <c r="P127" s="5">
        <v>43777</v>
      </c>
    </row>
    <row r="128" spans="1:16" x14ac:dyDescent="0.25">
      <c r="A128" t="s">
        <v>199</v>
      </c>
      <c r="B128" t="str">
        <v>Ajanta Pharma Limited</v>
      </c>
      <c r="C128" t="s">
        <v>14</v>
      </c>
      <c r="D128">
        <v>1875</v>
      </c>
      <c r="E128">
        <v>1910</v>
      </c>
      <c r="F128">
        <v>1858.1</v>
      </c>
      <c r="G128" s="3">
        <v>1887.85</v>
      </c>
      <c r="H128">
        <v>1885</v>
      </c>
      <c r="I128">
        <v>1875.15</v>
      </c>
      <c r="J128">
        <v>235241</v>
      </c>
      <c r="K128">
        <v>444544381.89999998</v>
      </c>
      <c r="L128" s="1">
        <v>45240</v>
      </c>
      <c r="M128">
        <v>13691</v>
      </c>
      <c r="N128" t="s">
        <v>201</v>
      </c>
      <c r="O128" s="5">
        <v>45240</v>
      </c>
      <c r="P128" s="5">
        <v>43777</v>
      </c>
    </row>
    <row r="129" spans="1:16" x14ac:dyDescent="0.25">
      <c r="A129" t="s">
        <v>202</v>
      </c>
      <c r="B129" t="str">
        <v>Ajmera Realty &amp; Infra India Limited</v>
      </c>
      <c r="C129" t="s">
        <v>14</v>
      </c>
      <c r="D129">
        <v>406</v>
      </c>
      <c r="E129">
        <v>409.9</v>
      </c>
      <c r="F129">
        <v>400</v>
      </c>
      <c r="G129" s="3">
        <v>401.75</v>
      </c>
      <c r="H129">
        <v>401.9</v>
      </c>
      <c r="I129">
        <v>406.65</v>
      </c>
      <c r="J129">
        <v>36642</v>
      </c>
      <c r="K129">
        <v>14831683.1</v>
      </c>
      <c r="L129" s="1">
        <v>45240</v>
      </c>
      <c r="M129">
        <v>3940</v>
      </c>
      <c r="N129" t="s">
        <v>204</v>
      </c>
      <c r="O129" s="5">
        <v>45240</v>
      </c>
      <c r="P129" s="5">
        <v>43777</v>
      </c>
    </row>
    <row r="130" spans="1:16" x14ac:dyDescent="0.25">
      <c r="A130" t="s">
        <v>205</v>
      </c>
      <c r="B130" t="str">
        <v>Ajooni Biotech Limited</v>
      </c>
      <c r="C130" t="s">
        <v>14</v>
      </c>
      <c r="D130">
        <v>5.0999999999999996</v>
      </c>
      <c r="E130">
        <v>5.0999999999999996</v>
      </c>
      <c r="F130">
        <v>4.8</v>
      </c>
      <c r="G130" s="3">
        <v>4.9000000000000004</v>
      </c>
      <c r="H130">
        <v>4.9000000000000004</v>
      </c>
      <c r="I130">
        <v>4.95</v>
      </c>
      <c r="J130">
        <v>869898</v>
      </c>
      <c r="K130">
        <v>4314368.45</v>
      </c>
      <c r="L130" s="1">
        <v>45240</v>
      </c>
      <c r="M130">
        <v>811</v>
      </c>
      <c r="N130" t="s">
        <v>207</v>
      </c>
      <c r="O130" s="5">
        <v>45240</v>
      </c>
      <c r="P130" s="5">
        <v>43777</v>
      </c>
    </row>
    <row r="131" spans="1:16" x14ac:dyDescent="0.25">
      <c r="A131" t="s">
        <v>208</v>
      </c>
      <c r="B131" t="str">
        <v>Akash Infra-Projects Limited</v>
      </c>
      <c r="C131" t="s">
        <v>14</v>
      </c>
      <c r="D131">
        <v>29.6</v>
      </c>
      <c r="E131">
        <v>29.85</v>
      </c>
      <c r="F131">
        <v>29.3</v>
      </c>
      <c r="G131" s="3">
        <v>29.65</v>
      </c>
      <c r="H131">
        <v>29.5</v>
      </c>
      <c r="I131">
        <v>29.4</v>
      </c>
      <c r="J131">
        <v>25745</v>
      </c>
      <c r="K131">
        <v>760107.1</v>
      </c>
      <c r="L131" s="1">
        <v>45240</v>
      </c>
      <c r="M131">
        <v>587</v>
      </c>
      <c r="N131" t="s">
        <v>210</v>
      </c>
      <c r="O131" s="5">
        <v>45240</v>
      </c>
      <c r="P131" s="5">
        <v>43777</v>
      </c>
    </row>
    <row r="132" spans="1:16" x14ac:dyDescent="0.25">
      <c r="A132" t="s">
        <v>211</v>
      </c>
      <c r="B132" t="str">
        <v>Akg Exim Limited</v>
      </c>
      <c r="C132" t="s">
        <v>14</v>
      </c>
      <c r="D132">
        <v>23.9</v>
      </c>
      <c r="E132">
        <v>24.35</v>
      </c>
      <c r="F132">
        <v>22.4</v>
      </c>
      <c r="G132" s="3">
        <v>22.55</v>
      </c>
      <c r="H132">
        <v>22.75</v>
      </c>
      <c r="I132">
        <v>23.65</v>
      </c>
      <c r="J132">
        <v>307235</v>
      </c>
      <c r="K132">
        <v>7089940.2999999998</v>
      </c>
      <c r="L132" s="1">
        <v>45240</v>
      </c>
      <c r="M132">
        <v>2543</v>
      </c>
      <c r="N132" t="s">
        <v>213</v>
      </c>
      <c r="O132" s="5">
        <v>45240</v>
      </c>
      <c r="P132" s="5">
        <v>43777</v>
      </c>
    </row>
    <row r="133" spans="1:16" x14ac:dyDescent="0.25">
      <c r="A133" t="s">
        <v>214</v>
      </c>
      <c r="B133" t="str">
        <v>AKI India Limited</v>
      </c>
      <c r="C133" t="s">
        <v>10</v>
      </c>
      <c r="D133">
        <v>21.75</v>
      </c>
      <c r="E133">
        <v>21.75</v>
      </c>
      <c r="F133">
        <v>21.75</v>
      </c>
      <c r="G133" s="3">
        <v>21.75</v>
      </c>
      <c r="H133">
        <v>21.75</v>
      </c>
      <c r="I133">
        <v>21.35</v>
      </c>
      <c r="J133">
        <v>14144</v>
      </c>
      <c r="K133">
        <v>307632</v>
      </c>
      <c r="L133" s="1">
        <v>45240</v>
      </c>
      <c r="M133">
        <v>33</v>
      </c>
      <c r="N133" t="s">
        <v>216</v>
      </c>
      <c r="O133" s="5">
        <v>45240</v>
      </c>
      <c r="P133" s="5">
        <v>43777</v>
      </c>
    </row>
    <row r="134" spans="1:16" x14ac:dyDescent="0.25">
      <c r="A134" t="s">
        <v>217</v>
      </c>
      <c r="B134" t="str">
        <v>Akshar Spintex Limited</v>
      </c>
      <c r="C134" t="s">
        <v>14</v>
      </c>
      <c r="D134">
        <v>6.7</v>
      </c>
      <c r="E134">
        <v>6.7</v>
      </c>
      <c r="F134">
        <v>6.2</v>
      </c>
      <c r="G134" s="3">
        <v>6.2</v>
      </c>
      <c r="H134">
        <v>6.2</v>
      </c>
      <c r="I134">
        <v>6.5</v>
      </c>
      <c r="J134">
        <v>1374390</v>
      </c>
      <c r="K134">
        <v>8616587.4000000004</v>
      </c>
      <c r="L134" s="1">
        <v>45240</v>
      </c>
      <c r="M134">
        <v>862</v>
      </c>
      <c r="N134" t="s">
        <v>219</v>
      </c>
      <c r="O134" s="5">
        <v>45240</v>
      </c>
      <c r="P134" s="5">
        <v>43777</v>
      </c>
    </row>
    <row r="135" spans="1:16" x14ac:dyDescent="0.25">
      <c r="A135" t="s">
        <v>220</v>
      </c>
      <c r="B135" t="str">
        <v>AksharChem India Limited</v>
      </c>
      <c r="C135" t="s">
        <v>14</v>
      </c>
      <c r="D135">
        <v>246.1</v>
      </c>
      <c r="E135">
        <v>251.3</v>
      </c>
      <c r="F135">
        <v>246.1</v>
      </c>
      <c r="G135" s="3">
        <v>247.35</v>
      </c>
      <c r="H135">
        <v>248.1</v>
      </c>
      <c r="I135">
        <v>248.9</v>
      </c>
      <c r="J135">
        <v>2726</v>
      </c>
      <c r="K135">
        <v>676207.5</v>
      </c>
      <c r="L135" s="1">
        <v>45240</v>
      </c>
      <c r="M135">
        <v>335</v>
      </c>
      <c r="N135" t="s">
        <v>222</v>
      </c>
      <c r="O135" s="5">
        <v>45240</v>
      </c>
      <c r="P135" s="5">
        <v>43777</v>
      </c>
    </row>
    <row r="136" spans="1:16" x14ac:dyDescent="0.25">
      <c r="A136" t="s">
        <v>223</v>
      </c>
      <c r="B136" t="str">
        <v>Aksh Optifibre Limited</v>
      </c>
      <c r="C136" t="s">
        <v>10</v>
      </c>
      <c r="D136">
        <v>10.15</v>
      </c>
      <c r="E136">
        <v>10.35</v>
      </c>
      <c r="F136">
        <v>9.9499999999999993</v>
      </c>
      <c r="G136" s="3">
        <v>10.199999999999999</v>
      </c>
      <c r="H136">
        <v>10.3</v>
      </c>
      <c r="I136">
        <v>10.25</v>
      </c>
      <c r="J136">
        <v>493061</v>
      </c>
      <c r="K136">
        <v>4961067.8499999996</v>
      </c>
      <c r="L136" s="1">
        <v>45240</v>
      </c>
      <c r="M136">
        <v>574</v>
      </c>
      <c r="N136" t="s">
        <v>225</v>
      </c>
      <c r="O136" s="5">
        <v>45240</v>
      </c>
      <c r="P136" s="5">
        <v>43777</v>
      </c>
    </row>
    <row r="137" spans="1:16" x14ac:dyDescent="0.25">
      <c r="A137" t="s">
        <v>226</v>
      </c>
      <c r="B137" t="str">
        <v>Akzo Nobel India Limited</v>
      </c>
      <c r="C137" t="s">
        <v>14</v>
      </c>
      <c r="D137">
        <v>2447</v>
      </c>
      <c r="E137">
        <v>2473</v>
      </c>
      <c r="F137">
        <v>2421.15</v>
      </c>
      <c r="G137" s="3">
        <v>2452.6999999999998</v>
      </c>
      <c r="H137">
        <v>2450</v>
      </c>
      <c r="I137">
        <v>2438.0500000000002</v>
      </c>
      <c r="J137">
        <v>20382</v>
      </c>
      <c r="K137">
        <v>49865834.649999999</v>
      </c>
      <c r="L137" s="1">
        <v>45240</v>
      </c>
      <c r="M137">
        <v>2649</v>
      </c>
      <c r="N137" t="s">
        <v>228</v>
      </c>
      <c r="O137" s="5">
        <v>45240</v>
      </c>
      <c r="P137" s="5">
        <v>43777</v>
      </c>
    </row>
    <row r="138" spans="1:16" x14ac:dyDescent="0.25">
      <c r="A138" t="s">
        <v>229</v>
      </c>
      <c r="B138" t="str">
        <v>Alankit Limited</v>
      </c>
      <c r="C138" t="s">
        <v>14</v>
      </c>
      <c r="D138">
        <v>11.95</v>
      </c>
      <c r="E138">
        <v>13.15</v>
      </c>
      <c r="F138">
        <v>11.75</v>
      </c>
      <c r="G138" s="3">
        <v>12.7</v>
      </c>
      <c r="H138">
        <v>12.75</v>
      </c>
      <c r="I138">
        <v>12</v>
      </c>
      <c r="J138">
        <v>5883231</v>
      </c>
      <c r="K138">
        <v>74687511.25</v>
      </c>
      <c r="L138" s="1">
        <v>45240</v>
      </c>
      <c r="M138">
        <v>4625</v>
      </c>
      <c r="N138" t="s">
        <v>231</v>
      </c>
      <c r="O138" s="5">
        <v>45240</v>
      </c>
      <c r="P138" s="5">
        <v>43777</v>
      </c>
    </row>
    <row r="139" spans="1:16" x14ac:dyDescent="0.25">
      <c r="A139" t="s">
        <v>232</v>
      </c>
      <c r="B139" t="str">
        <v>Albert David Limited</v>
      </c>
      <c r="C139" t="s">
        <v>14</v>
      </c>
      <c r="D139">
        <v>860.05</v>
      </c>
      <c r="E139">
        <v>872.05</v>
      </c>
      <c r="F139">
        <v>835</v>
      </c>
      <c r="G139" s="3">
        <v>840.7</v>
      </c>
      <c r="H139">
        <v>845</v>
      </c>
      <c r="I139">
        <v>845.9</v>
      </c>
      <c r="J139">
        <v>38367</v>
      </c>
      <c r="K139">
        <v>32681871.600000001</v>
      </c>
      <c r="L139" s="1">
        <v>45240</v>
      </c>
      <c r="M139">
        <v>2929</v>
      </c>
      <c r="N139" t="s">
        <v>234</v>
      </c>
      <c r="O139" s="5">
        <v>45240</v>
      </c>
      <c r="P139" s="5">
        <v>43777</v>
      </c>
    </row>
    <row r="140" spans="1:16" x14ac:dyDescent="0.25">
      <c r="A140" t="s">
        <v>235</v>
      </c>
      <c r="B140" t="str">
        <v>Alembic Limited</v>
      </c>
      <c r="C140" t="s">
        <v>14</v>
      </c>
      <c r="D140">
        <v>78.349999999999994</v>
      </c>
      <c r="E140">
        <v>79.400000000000006</v>
      </c>
      <c r="F140">
        <v>77.95</v>
      </c>
      <c r="G140" s="3">
        <v>78.75</v>
      </c>
      <c r="H140">
        <v>79</v>
      </c>
      <c r="I140">
        <v>78.25</v>
      </c>
      <c r="J140">
        <v>613215</v>
      </c>
      <c r="K140">
        <v>48282361.299999997</v>
      </c>
      <c r="L140" s="1">
        <v>45240</v>
      </c>
      <c r="M140">
        <v>3139</v>
      </c>
      <c r="N140" t="s">
        <v>237</v>
      </c>
      <c r="O140" s="5">
        <v>45240</v>
      </c>
      <c r="P140" s="5">
        <v>43777</v>
      </c>
    </row>
    <row r="141" spans="1:16" x14ac:dyDescent="0.25">
      <c r="A141" t="s">
        <v>238</v>
      </c>
      <c r="B141" t="str">
        <v>Alicon Castalloy Limited</v>
      </c>
      <c r="C141" t="s">
        <v>14</v>
      </c>
      <c r="D141">
        <v>835</v>
      </c>
      <c r="E141">
        <v>858</v>
      </c>
      <c r="F141">
        <v>827.5</v>
      </c>
      <c r="G141" s="3">
        <v>831.9</v>
      </c>
      <c r="H141">
        <v>830</v>
      </c>
      <c r="I141">
        <v>829.6</v>
      </c>
      <c r="J141">
        <v>20385</v>
      </c>
      <c r="K141">
        <v>17158080</v>
      </c>
      <c r="L141" s="1">
        <v>45240</v>
      </c>
      <c r="M141">
        <v>1989</v>
      </c>
      <c r="N141" t="s">
        <v>240</v>
      </c>
      <c r="O141" s="5">
        <v>45240</v>
      </c>
      <c r="P141" s="5">
        <v>43777</v>
      </c>
    </row>
    <row r="142" spans="1:16" x14ac:dyDescent="0.25">
      <c r="A142" t="s">
        <v>241</v>
      </c>
      <c r="B142" t="str">
        <v>Alkali Metals Limited</v>
      </c>
      <c r="C142" t="s">
        <v>14</v>
      </c>
      <c r="D142">
        <v>110.95</v>
      </c>
      <c r="E142">
        <v>110.95</v>
      </c>
      <c r="F142">
        <v>105.75</v>
      </c>
      <c r="G142" s="3">
        <v>106.75</v>
      </c>
      <c r="H142">
        <v>107.2</v>
      </c>
      <c r="I142">
        <v>107.45</v>
      </c>
      <c r="J142">
        <v>11523</v>
      </c>
      <c r="K142">
        <v>1237477.3</v>
      </c>
      <c r="L142" s="1">
        <v>45240</v>
      </c>
      <c r="M142">
        <v>528</v>
      </c>
      <c r="N142" t="s">
        <v>243</v>
      </c>
      <c r="O142" s="5">
        <v>45240</v>
      </c>
      <c r="P142" s="5">
        <v>43777</v>
      </c>
    </row>
    <row r="143" spans="1:16" x14ac:dyDescent="0.25">
      <c r="A143" t="s">
        <v>244</v>
      </c>
      <c r="B143" t="str">
        <v>Alkem Laboratories Limited</v>
      </c>
      <c r="C143" t="s">
        <v>14</v>
      </c>
      <c r="D143">
        <v>4275.1000000000004</v>
      </c>
      <c r="E143">
        <v>4325</v>
      </c>
      <c r="F143">
        <v>4212.5</v>
      </c>
      <c r="G143" s="3">
        <v>4306.25</v>
      </c>
      <c r="H143">
        <v>4310</v>
      </c>
      <c r="I143">
        <v>4282.7</v>
      </c>
      <c r="J143">
        <v>361432</v>
      </c>
      <c r="K143">
        <v>1546582424.05</v>
      </c>
      <c r="L143" s="1">
        <v>45240</v>
      </c>
      <c r="M143">
        <v>33210</v>
      </c>
      <c r="N143" t="s">
        <v>246</v>
      </c>
      <c r="O143" s="5">
        <v>45240</v>
      </c>
      <c r="P143" s="5">
        <v>43777</v>
      </c>
    </row>
    <row r="144" spans="1:16" x14ac:dyDescent="0.25">
      <c r="A144" t="s">
        <v>247</v>
      </c>
      <c r="B144" t="str">
        <v>Alkyl Amines Chemicals Limited</v>
      </c>
      <c r="C144" t="s">
        <v>14</v>
      </c>
      <c r="D144">
        <v>2130.0500000000002</v>
      </c>
      <c r="E144">
        <v>2143.1</v>
      </c>
      <c r="F144">
        <v>2124</v>
      </c>
      <c r="G144" s="3">
        <v>2127.5</v>
      </c>
      <c r="H144">
        <v>2129.1999999999998</v>
      </c>
      <c r="I144">
        <v>2124.1999999999998</v>
      </c>
      <c r="J144">
        <v>20776</v>
      </c>
      <c r="K144">
        <v>44239403.299999997</v>
      </c>
      <c r="L144" s="1">
        <v>45240</v>
      </c>
      <c r="M144">
        <v>3579</v>
      </c>
      <c r="N144" t="s">
        <v>249</v>
      </c>
      <c r="O144" s="5">
        <v>45240</v>
      </c>
      <c r="P144" s="5">
        <v>43777</v>
      </c>
    </row>
    <row r="145" spans="1:16" x14ac:dyDescent="0.25">
      <c r="A145" t="s">
        <v>250</v>
      </c>
      <c r="B145" t="str">
        <v>Allcargo Logistics Limited</v>
      </c>
      <c r="C145" t="s">
        <v>14</v>
      </c>
      <c r="D145">
        <v>270</v>
      </c>
      <c r="E145">
        <v>275.85000000000002</v>
      </c>
      <c r="F145">
        <v>268.25</v>
      </c>
      <c r="G145" s="3">
        <v>271.55</v>
      </c>
      <c r="H145">
        <v>272</v>
      </c>
      <c r="I145">
        <v>265.85000000000002</v>
      </c>
      <c r="J145">
        <v>553293</v>
      </c>
      <c r="K145">
        <v>150536646.69999999</v>
      </c>
      <c r="L145" s="1">
        <v>45240</v>
      </c>
      <c r="M145">
        <v>11869</v>
      </c>
      <c r="N145" t="s">
        <v>252</v>
      </c>
      <c r="O145" s="5">
        <v>45240</v>
      </c>
      <c r="P145" s="5">
        <v>43777</v>
      </c>
    </row>
    <row r="146" spans="1:16" x14ac:dyDescent="0.25">
      <c r="A146" t="s">
        <v>6888</v>
      </c>
      <c r="B146" t="str">
        <v>Not Found</v>
      </c>
      <c r="C146" t="s">
        <v>5788</v>
      </c>
      <c r="D146">
        <v>236.5</v>
      </c>
      <c r="E146">
        <v>256</v>
      </c>
      <c r="F146">
        <v>235</v>
      </c>
      <c r="G146" s="3">
        <v>245.1</v>
      </c>
      <c r="H146">
        <v>245</v>
      </c>
      <c r="I146">
        <v>238.65</v>
      </c>
      <c r="J146">
        <v>89600</v>
      </c>
      <c r="K146">
        <v>22185640</v>
      </c>
      <c r="L146" s="1">
        <v>45240</v>
      </c>
      <c r="M146">
        <v>103</v>
      </c>
      <c r="N146" t="s">
        <v>6887</v>
      </c>
      <c r="O146" s="5">
        <v>45240</v>
      </c>
      <c r="P146" s="5">
        <v>43777</v>
      </c>
    </row>
    <row r="147" spans="1:16" x14ac:dyDescent="0.25">
      <c r="A147" t="s">
        <v>253</v>
      </c>
      <c r="B147" t="str">
        <v>Allsec Technologies Limited</v>
      </c>
      <c r="C147" t="s">
        <v>14</v>
      </c>
      <c r="D147">
        <v>637</v>
      </c>
      <c r="E147">
        <v>637.45000000000005</v>
      </c>
      <c r="F147">
        <v>620</v>
      </c>
      <c r="G147" s="3">
        <v>630.04999999999995</v>
      </c>
      <c r="H147">
        <v>625</v>
      </c>
      <c r="I147">
        <v>664.55</v>
      </c>
      <c r="J147">
        <v>68599</v>
      </c>
      <c r="K147">
        <v>43178182.799999997</v>
      </c>
      <c r="L147" s="1">
        <v>45240</v>
      </c>
      <c r="M147">
        <v>4586</v>
      </c>
      <c r="N147" t="s">
        <v>255</v>
      </c>
      <c r="O147" s="5">
        <v>45240</v>
      </c>
      <c r="P147" s="5">
        <v>43777</v>
      </c>
    </row>
    <row r="148" spans="1:16" x14ac:dyDescent="0.25">
      <c r="A148" t="s">
        <v>256</v>
      </c>
      <c r="B148" t="str">
        <v>Almondz Global Securities Limited</v>
      </c>
      <c r="C148" t="s">
        <v>14</v>
      </c>
      <c r="D148">
        <v>82</v>
      </c>
      <c r="E148">
        <v>82.6</v>
      </c>
      <c r="F148">
        <v>81.05</v>
      </c>
      <c r="G148" s="3">
        <v>81.7</v>
      </c>
      <c r="H148">
        <v>81.95</v>
      </c>
      <c r="I148">
        <v>82.05</v>
      </c>
      <c r="J148">
        <v>14589</v>
      </c>
      <c r="K148">
        <v>1190261.75</v>
      </c>
      <c r="L148" s="1">
        <v>45240</v>
      </c>
      <c r="M148">
        <v>204</v>
      </c>
      <c r="N148" t="s">
        <v>258</v>
      </c>
      <c r="O148" s="5">
        <v>45240</v>
      </c>
      <c r="P148" s="5">
        <v>43777</v>
      </c>
    </row>
    <row r="149" spans="1:16" x14ac:dyDescent="0.25">
      <c r="A149" t="s">
        <v>259</v>
      </c>
      <c r="B149" t="str">
        <v>Alok Industries Limited</v>
      </c>
      <c r="C149" t="s">
        <v>14</v>
      </c>
      <c r="D149">
        <v>18.75</v>
      </c>
      <c r="E149">
        <v>18.95</v>
      </c>
      <c r="F149">
        <v>18.55</v>
      </c>
      <c r="G149" s="3">
        <v>18.75</v>
      </c>
      <c r="H149">
        <v>18.8</v>
      </c>
      <c r="I149">
        <v>18.75</v>
      </c>
      <c r="J149">
        <v>7686138</v>
      </c>
      <c r="K149">
        <v>144152333.30000001</v>
      </c>
      <c r="L149" s="1">
        <v>45240</v>
      </c>
      <c r="M149">
        <v>9249</v>
      </c>
      <c r="N149" t="s">
        <v>261</v>
      </c>
      <c r="O149" s="5">
        <v>45240</v>
      </c>
      <c r="P149" s="5">
        <v>43777</v>
      </c>
    </row>
    <row r="150" spans="1:16" x14ac:dyDescent="0.25">
      <c r="A150" t="s">
        <v>262</v>
      </c>
      <c r="B150" t="str">
        <v>Alpa Laboratories Limited</v>
      </c>
      <c r="C150" t="s">
        <v>14</v>
      </c>
      <c r="D150">
        <v>86.5</v>
      </c>
      <c r="E150">
        <v>89</v>
      </c>
      <c r="F150">
        <v>85.1</v>
      </c>
      <c r="G150" s="3">
        <v>87.25</v>
      </c>
      <c r="H150">
        <v>87.6</v>
      </c>
      <c r="I150">
        <v>86.4</v>
      </c>
      <c r="J150">
        <v>339742</v>
      </c>
      <c r="K150">
        <v>29679267.550000001</v>
      </c>
      <c r="L150" s="1">
        <v>45240</v>
      </c>
      <c r="M150">
        <v>3768</v>
      </c>
      <c r="N150" t="s">
        <v>264</v>
      </c>
      <c r="O150" s="5">
        <v>45240</v>
      </c>
      <c r="P150" s="5">
        <v>43777</v>
      </c>
    </row>
    <row r="151" spans="1:16" x14ac:dyDescent="0.25">
      <c r="A151" t="s">
        <v>6886</v>
      </c>
      <c r="B151" t="str">
        <v>Not Found</v>
      </c>
      <c r="C151" t="s">
        <v>14</v>
      </c>
      <c r="D151">
        <v>18.14</v>
      </c>
      <c r="E151">
        <v>18.14</v>
      </c>
      <c r="F151">
        <v>17.53</v>
      </c>
      <c r="G151" s="3">
        <v>17.64</v>
      </c>
      <c r="H151">
        <v>17.7</v>
      </c>
      <c r="I151">
        <v>17.7</v>
      </c>
      <c r="J151">
        <v>10389</v>
      </c>
      <c r="K151">
        <v>183439.21</v>
      </c>
      <c r="L151" s="1">
        <v>45240</v>
      </c>
      <c r="M151">
        <v>108</v>
      </c>
      <c r="N151" t="s">
        <v>6885</v>
      </c>
      <c r="O151" s="5">
        <v>45240</v>
      </c>
      <c r="P151" s="5">
        <v>43777</v>
      </c>
    </row>
    <row r="152" spans="1:16" x14ac:dyDescent="0.25">
      <c r="A152" t="s">
        <v>265</v>
      </c>
      <c r="B152" t="str">
        <v>Alphageo (India) Limited</v>
      </c>
      <c r="C152" t="s">
        <v>14</v>
      </c>
      <c r="D152">
        <v>281.25</v>
      </c>
      <c r="E152">
        <v>283.60000000000002</v>
      </c>
      <c r="F152">
        <v>279</v>
      </c>
      <c r="G152" s="3">
        <v>281.7</v>
      </c>
      <c r="H152">
        <v>282</v>
      </c>
      <c r="I152">
        <v>278.60000000000002</v>
      </c>
      <c r="J152">
        <v>7101</v>
      </c>
      <c r="K152">
        <v>1992976.2</v>
      </c>
      <c r="L152" s="1">
        <v>45240</v>
      </c>
      <c r="M152">
        <v>537</v>
      </c>
      <c r="N152" t="s">
        <v>267</v>
      </c>
      <c r="O152" s="5">
        <v>45240</v>
      </c>
      <c r="P152" s="5">
        <v>43777</v>
      </c>
    </row>
    <row r="153" spans="1:16" x14ac:dyDescent="0.25">
      <c r="A153" t="s">
        <v>268</v>
      </c>
      <c r="B153" t="str">
        <v>Alps Industries Limited</v>
      </c>
      <c r="C153" t="s">
        <v>14</v>
      </c>
      <c r="D153">
        <v>2.15</v>
      </c>
      <c r="E153">
        <v>2.15</v>
      </c>
      <c r="F153">
        <v>2.0499999999999998</v>
      </c>
      <c r="G153" s="3">
        <v>2.0499999999999998</v>
      </c>
      <c r="H153">
        <v>2.0499999999999998</v>
      </c>
      <c r="I153">
        <v>2.1</v>
      </c>
      <c r="J153">
        <v>38270</v>
      </c>
      <c r="K153">
        <v>78985.649999999994</v>
      </c>
      <c r="L153" s="1">
        <v>45240</v>
      </c>
      <c r="M153">
        <v>76</v>
      </c>
      <c r="N153" t="s">
        <v>270</v>
      </c>
      <c r="O153" s="5">
        <v>45240</v>
      </c>
      <c r="P153" s="5">
        <v>43777</v>
      </c>
    </row>
    <row r="154" spans="1:16" x14ac:dyDescent="0.25">
      <c r="A154" t="s">
        <v>6884</v>
      </c>
      <c r="B154" t="str">
        <v>Not Found</v>
      </c>
      <c r="C154" t="s">
        <v>5788</v>
      </c>
      <c r="D154">
        <v>140.85</v>
      </c>
      <c r="E154">
        <v>141.9</v>
      </c>
      <c r="F154">
        <v>140.85</v>
      </c>
      <c r="G154" s="3">
        <v>141</v>
      </c>
      <c r="H154">
        <v>141</v>
      </c>
      <c r="I154">
        <v>141.9</v>
      </c>
      <c r="J154">
        <v>6000</v>
      </c>
      <c r="K154">
        <v>847350</v>
      </c>
      <c r="L154" s="1">
        <v>45240</v>
      </c>
      <c r="M154">
        <v>3</v>
      </c>
      <c r="N154" t="s">
        <v>6883</v>
      </c>
      <c r="O154" s="5">
        <v>45240</v>
      </c>
      <c r="P154" s="5">
        <v>43777</v>
      </c>
    </row>
    <row r="155" spans="1:16" x14ac:dyDescent="0.25">
      <c r="A155" t="s">
        <v>271</v>
      </c>
      <c r="B155" t="str">
        <v>Amber Enterprises India Limited</v>
      </c>
      <c r="C155" t="s">
        <v>14</v>
      </c>
      <c r="D155">
        <v>3128.25</v>
      </c>
      <c r="E155">
        <v>3128.25</v>
      </c>
      <c r="F155">
        <v>2970.55</v>
      </c>
      <c r="G155" s="3">
        <v>3051.65</v>
      </c>
      <c r="H155">
        <v>3054</v>
      </c>
      <c r="I155">
        <v>3128.25</v>
      </c>
      <c r="J155">
        <v>287244</v>
      </c>
      <c r="K155">
        <v>871094772.39999998</v>
      </c>
      <c r="L155" s="1">
        <v>45240</v>
      </c>
      <c r="M155">
        <v>36784</v>
      </c>
      <c r="N155" t="s">
        <v>273</v>
      </c>
      <c r="O155" s="5">
        <v>45240</v>
      </c>
      <c r="P155" s="5">
        <v>43777</v>
      </c>
    </row>
    <row r="156" spans="1:16" x14ac:dyDescent="0.25">
      <c r="A156" t="s">
        <v>274</v>
      </c>
      <c r="B156" t="str">
        <v>Ambica Agarbathies &amp; Aroma industries Limited</v>
      </c>
      <c r="C156" t="s">
        <v>10</v>
      </c>
      <c r="D156">
        <v>31.5</v>
      </c>
      <c r="E156">
        <v>31.5</v>
      </c>
      <c r="F156">
        <v>30.9</v>
      </c>
      <c r="G156" s="3">
        <v>30.9</v>
      </c>
      <c r="H156">
        <v>30.9</v>
      </c>
      <c r="I156">
        <v>31.5</v>
      </c>
      <c r="J156">
        <v>303</v>
      </c>
      <c r="K156">
        <v>9450.9</v>
      </c>
      <c r="L156" s="1">
        <v>45240</v>
      </c>
      <c r="M156">
        <v>7</v>
      </c>
      <c r="N156" t="s">
        <v>276</v>
      </c>
      <c r="O156" s="5">
        <v>45240</v>
      </c>
      <c r="P156" s="5">
        <v>43777</v>
      </c>
    </row>
    <row r="157" spans="1:16" x14ac:dyDescent="0.25">
      <c r="A157" t="s">
        <v>277</v>
      </c>
      <c r="B157" t="str">
        <v>Ambika Cotton Mills Limited</v>
      </c>
      <c r="C157" t="s">
        <v>14</v>
      </c>
      <c r="D157">
        <v>1525.95</v>
      </c>
      <c r="E157">
        <v>1525.95</v>
      </c>
      <c r="F157">
        <v>1500</v>
      </c>
      <c r="G157" s="3">
        <v>1506.85</v>
      </c>
      <c r="H157">
        <v>1508</v>
      </c>
      <c r="I157">
        <v>1530.55</v>
      </c>
      <c r="J157">
        <v>12017</v>
      </c>
      <c r="K157">
        <v>18096843.75</v>
      </c>
      <c r="L157" s="1">
        <v>45240</v>
      </c>
      <c r="M157">
        <v>1813</v>
      </c>
      <c r="N157" t="s">
        <v>279</v>
      </c>
      <c r="O157" s="5">
        <v>45240</v>
      </c>
      <c r="P157" s="5">
        <v>43777</v>
      </c>
    </row>
    <row r="158" spans="1:16" x14ac:dyDescent="0.25">
      <c r="A158" t="s">
        <v>280</v>
      </c>
      <c r="B158" t="str">
        <v>Ambuja Cements Limited</v>
      </c>
      <c r="C158" t="s">
        <v>14</v>
      </c>
      <c r="D158">
        <v>418.75</v>
      </c>
      <c r="E158">
        <v>419.85</v>
      </c>
      <c r="F158">
        <v>415.45</v>
      </c>
      <c r="G158" s="3">
        <v>418.1</v>
      </c>
      <c r="H158">
        <v>417.95</v>
      </c>
      <c r="I158">
        <v>418.3</v>
      </c>
      <c r="J158">
        <v>1025880</v>
      </c>
      <c r="K158">
        <v>428333545.14999998</v>
      </c>
      <c r="L158" s="1">
        <v>45240</v>
      </c>
      <c r="M158">
        <v>17442</v>
      </c>
      <c r="N158" t="s">
        <v>282</v>
      </c>
      <c r="O158" s="5">
        <v>45240</v>
      </c>
      <c r="P158" s="5">
        <v>43777</v>
      </c>
    </row>
    <row r="159" spans="1:16" x14ac:dyDescent="0.25">
      <c r="A159" t="s">
        <v>283</v>
      </c>
      <c r="B159" t="str">
        <v>AMD Industries Limited</v>
      </c>
      <c r="C159" t="s">
        <v>14</v>
      </c>
      <c r="D159">
        <v>78.650000000000006</v>
      </c>
      <c r="E159">
        <v>78.650000000000006</v>
      </c>
      <c r="F159">
        <v>73.75</v>
      </c>
      <c r="G159" s="3">
        <v>74.349999999999994</v>
      </c>
      <c r="H159">
        <v>73.900000000000006</v>
      </c>
      <c r="I159">
        <v>77.55</v>
      </c>
      <c r="J159">
        <v>120527</v>
      </c>
      <c r="K159">
        <v>8965654.1500000004</v>
      </c>
      <c r="L159" s="1">
        <v>45240</v>
      </c>
      <c r="M159">
        <v>2014</v>
      </c>
      <c r="N159" t="s">
        <v>285</v>
      </c>
      <c r="O159" s="5">
        <v>45240</v>
      </c>
      <c r="P159" s="5">
        <v>43777</v>
      </c>
    </row>
    <row r="160" spans="1:16" x14ac:dyDescent="0.25">
      <c r="A160" t="s">
        <v>6882</v>
      </c>
      <c r="B160" t="str">
        <v>Not Found</v>
      </c>
      <c r="C160" t="s">
        <v>5788</v>
      </c>
      <c r="D160">
        <v>83</v>
      </c>
      <c r="E160">
        <v>88</v>
      </c>
      <c r="F160">
        <v>83</v>
      </c>
      <c r="G160" s="3">
        <v>88</v>
      </c>
      <c r="H160">
        <v>88</v>
      </c>
      <c r="I160">
        <v>82.8</v>
      </c>
      <c r="J160">
        <v>6400</v>
      </c>
      <c r="K160">
        <v>544000</v>
      </c>
      <c r="L160" s="1">
        <v>45240</v>
      </c>
      <c r="M160">
        <v>4</v>
      </c>
      <c r="N160" t="s">
        <v>6881</v>
      </c>
      <c r="O160" s="5">
        <v>45240</v>
      </c>
      <c r="P160" s="5">
        <v>43777</v>
      </c>
    </row>
    <row r="161" spans="1:16" x14ac:dyDescent="0.25">
      <c r="A161" t="s">
        <v>286</v>
      </c>
      <c r="B161" t="str">
        <v>Ami Organics Limited</v>
      </c>
      <c r="C161" t="s">
        <v>14</v>
      </c>
      <c r="D161">
        <v>1105.6500000000001</v>
      </c>
      <c r="E161">
        <v>1124.9000000000001</v>
      </c>
      <c r="F161">
        <v>1070.0999999999999</v>
      </c>
      <c r="G161" s="3">
        <v>1073.55</v>
      </c>
      <c r="H161">
        <v>1074</v>
      </c>
      <c r="I161">
        <v>1105.5999999999999</v>
      </c>
      <c r="J161">
        <v>134054</v>
      </c>
      <c r="K161">
        <v>145282889.34999999</v>
      </c>
      <c r="L161" s="1">
        <v>45240</v>
      </c>
      <c r="M161">
        <v>15164</v>
      </c>
      <c r="N161" t="s">
        <v>288</v>
      </c>
      <c r="O161" s="5">
        <v>45240</v>
      </c>
      <c r="P161" s="5">
        <v>43777</v>
      </c>
    </row>
    <row r="162" spans="1:16" x14ac:dyDescent="0.25">
      <c r="A162" t="s">
        <v>289</v>
      </c>
      <c r="B162" t="str">
        <v>Amj Land Holdings Limited</v>
      </c>
      <c r="C162" t="s">
        <v>14</v>
      </c>
      <c r="D162">
        <v>38.549999999999997</v>
      </c>
      <c r="E162">
        <v>38.549999999999997</v>
      </c>
      <c r="F162">
        <v>36.299999999999997</v>
      </c>
      <c r="G162" s="3">
        <v>36.549999999999997</v>
      </c>
      <c r="H162">
        <v>36.65</v>
      </c>
      <c r="I162">
        <v>38.25</v>
      </c>
      <c r="J162">
        <v>462947</v>
      </c>
      <c r="K162">
        <v>17381744.949999999</v>
      </c>
      <c r="L162" s="1">
        <v>45240</v>
      </c>
      <c r="M162">
        <v>1938</v>
      </c>
      <c r="N162" t="s">
        <v>291</v>
      </c>
      <c r="O162" s="5">
        <v>45240</v>
      </c>
      <c r="P162" s="5">
        <v>43777</v>
      </c>
    </row>
    <row r="163" spans="1:16" x14ac:dyDescent="0.25">
      <c r="A163" t="s">
        <v>292</v>
      </c>
      <c r="B163" t="str">
        <v>Amines &amp; Plasticizers Limited</v>
      </c>
      <c r="C163" t="s">
        <v>14</v>
      </c>
      <c r="D163">
        <v>163.35</v>
      </c>
      <c r="E163">
        <v>163.35</v>
      </c>
      <c r="F163">
        <v>157</v>
      </c>
      <c r="G163" s="3">
        <v>160</v>
      </c>
      <c r="H163">
        <v>159.85</v>
      </c>
      <c r="I163">
        <v>162.75</v>
      </c>
      <c r="J163">
        <v>8742</v>
      </c>
      <c r="K163">
        <v>1402793.05</v>
      </c>
      <c r="L163" s="1">
        <v>45240</v>
      </c>
      <c r="M163">
        <v>473</v>
      </c>
      <c r="N163" t="s">
        <v>294</v>
      </c>
      <c r="O163" s="5">
        <v>45240</v>
      </c>
      <c r="P163" s="5">
        <v>43777</v>
      </c>
    </row>
    <row r="164" spans="1:16" x14ac:dyDescent="0.25">
      <c r="A164" t="s">
        <v>295</v>
      </c>
      <c r="B164" t="str">
        <v>Amrutanjan Health Care Limited</v>
      </c>
      <c r="C164" t="s">
        <v>14</v>
      </c>
      <c r="D164">
        <v>608.1</v>
      </c>
      <c r="E164">
        <v>611</v>
      </c>
      <c r="F164">
        <v>601.70000000000005</v>
      </c>
      <c r="G164" s="3">
        <v>602.6</v>
      </c>
      <c r="H164">
        <v>603</v>
      </c>
      <c r="I164">
        <v>607.54999999999995</v>
      </c>
      <c r="J164">
        <v>13773</v>
      </c>
      <c r="K164">
        <v>8339283.7999999998</v>
      </c>
      <c r="L164" s="1">
        <v>45240</v>
      </c>
      <c r="M164">
        <v>965</v>
      </c>
      <c r="N164" t="s">
        <v>297</v>
      </c>
      <c r="O164" s="5">
        <v>45240</v>
      </c>
      <c r="P164" s="5">
        <v>43777</v>
      </c>
    </row>
    <row r="165" spans="1:16" x14ac:dyDescent="0.25">
      <c r="A165" t="s">
        <v>298</v>
      </c>
      <c r="B165" t="str">
        <v>Anand Rathi Wealth Limited</v>
      </c>
      <c r="C165" t="s">
        <v>14</v>
      </c>
      <c r="D165">
        <v>2000</v>
      </c>
      <c r="E165">
        <v>2100</v>
      </c>
      <c r="F165">
        <v>2000</v>
      </c>
      <c r="G165" s="3">
        <v>2069.15</v>
      </c>
      <c r="H165">
        <v>2100</v>
      </c>
      <c r="I165">
        <v>2010.05</v>
      </c>
      <c r="J165">
        <v>49910</v>
      </c>
      <c r="K165">
        <v>102098188.55</v>
      </c>
      <c r="L165" s="1">
        <v>45240</v>
      </c>
      <c r="M165">
        <v>9179</v>
      </c>
      <c r="N165" t="s">
        <v>300</v>
      </c>
      <c r="O165" s="5">
        <v>45240</v>
      </c>
      <c r="P165" s="5">
        <v>43777</v>
      </c>
    </row>
    <row r="166" spans="1:16" x14ac:dyDescent="0.25">
      <c r="A166" t="s">
        <v>301</v>
      </c>
      <c r="B166" t="str">
        <v>Anant Raj Limited</v>
      </c>
      <c r="C166" t="s">
        <v>14</v>
      </c>
      <c r="D166">
        <v>247.25</v>
      </c>
      <c r="E166">
        <v>252.1</v>
      </c>
      <c r="F166">
        <v>246.3</v>
      </c>
      <c r="G166" s="3">
        <v>247.55</v>
      </c>
      <c r="H166">
        <v>247</v>
      </c>
      <c r="I166">
        <v>247.8</v>
      </c>
      <c r="J166">
        <v>788615</v>
      </c>
      <c r="K166">
        <v>196985323</v>
      </c>
      <c r="L166" s="1">
        <v>45240</v>
      </c>
      <c r="M166">
        <v>10083</v>
      </c>
      <c r="N166" t="s">
        <v>303</v>
      </c>
      <c r="O166" s="5">
        <v>45240</v>
      </c>
      <c r="P166" s="5">
        <v>43777</v>
      </c>
    </row>
    <row r="167" spans="1:16" x14ac:dyDescent="0.25">
      <c r="A167" t="s">
        <v>304</v>
      </c>
      <c r="B167" t="str">
        <v>ANDHRA PAPER LIMITED</v>
      </c>
      <c r="C167" t="s">
        <v>14</v>
      </c>
      <c r="D167">
        <v>553.79999999999995</v>
      </c>
      <c r="E167">
        <v>562.95000000000005</v>
      </c>
      <c r="F167">
        <v>548.54999999999995</v>
      </c>
      <c r="G167" s="3">
        <v>553.1</v>
      </c>
      <c r="H167">
        <v>553</v>
      </c>
      <c r="I167">
        <v>553.79999999999995</v>
      </c>
      <c r="J167">
        <v>93182</v>
      </c>
      <c r="K167">
        <v>51752439.450000003</v>
      </c>
      <c r="L167" s="1">
        <v>45240</v>
      </c>
      <c r="M167">
        <v>7021</v>
      </c>
      <c r="N167" t="s">
        <v>306</v>
      </c>
      <c r="O167" s="5">
        <v>45240</v>
      </c>
      <c r="P167" s="5">
        <v>43777</v>
      </c>
    </row>
    <row r="168" spans="1:16" x14ac:dyDescent="0.25">
      <c r="A168" t="s">
        <v>307</v>
      </c>
      <c r="B168" t="str">
        <v>The Andhra Sugars Limited</v>
      </c>
      <c r="C168" t="s">
        <v>14</v>
      </c>
      <c r="D168">
        <v>107.5</v>
      </c>
      <c r="E168">
        <v>109.7</v>
      </c>
      <c r="F168">
        <v>106.95</v>
      </c>
      <c r="G168" s="3">
        <v>108.2</v>
      </c>
      <c r="H168">
        <v>108.5</v>
      </c>
      <c r="I168">
        <v>107.95</v>
      </c>
      <c r="J168">
        <v>129429</v>
      </c>
      <c r="K168">
        <v>14017842.949999999</v>
      </c>
      <c r="L168" s="1">
        <v>45240</v>
      </c>
      <c r="M168">
        <v>1789</v>
      </c>
      <c r="N168" t="s">
        <v>309</v>
      </c>
      <c r="O168" s="5">
        <v>45240</v>
      </c>
      <c r="P168" s="5">
        <v>43777</v>
      </c>
    </row>
    <row r="169" spans="1:16" x14ac:dyDescent="0.25">
      <c r="A169" t="s">
        <v>310</v>
      </c>
      <c r="B169" t="str">
        <v>Angel One Limited</v>
      </c>
      <c r="C169" t="s">
        <v>14</v>
      </c>
      <c r="D169">
        <v>2723.1</v>
      </c>
      <c r="E169">
        <v>2744</v>
      </c>
      <c r="F169">
        <v>2669.15</v>
      </c>
      <c r="G169" s="3">
        <v>2720.35</v>
      </c>
      <c r="H169">
        <v>2728.95</v>
      </c>
      <c r="I169">
        <v>2704.2</v>
      </c>
      <c r="J169">
        <v>751337</v>
      </c>
      <c r="K169">
        <v>2035519303.75</v>
      </c>
      <c r="L169" s="1">
        <v>45240</v>
      </c>
      <c r="M169">
        <v>49983</v>
      </c>
      <c r="N169" t="s">
        <v>312</v>
      </c>
      <c r="O169" s="5">
        <v>45240</v>
      </c>
      <c r="P169" s="5">
        <v>43777</v>
      </c>
    </row>
    <row r="170" spans="1:16" x14ac:dyDescent="0.25">
      <c r="A170" t="s">
        <v>313</v>
      </c>
      <c r="B170" t="str">
        <v>Anik Industries Limited</v>
      </c>
      <c r="C170" t="s">
        <v>14</v>
      </c>
      <c r="D170">
        <v>42.35</v>
      </c>
      <c r="E170">
        <v>43.5</v>
      </c>
      <c r="F170">
        <v>42.35</v>
      </c>
      <c r="G170" s="3">
        <v>42.35</v>
      </c>
      <c r="H170">
        <v>42.35</v>
      </c>
      <c r="I170">
        <v>44.55</v>
      </c>
      <c r="J170">
        <v>99770</v>
      </c>
      <c r="K170">
        <v>4259321.6500000004</v>
      </c>
      <c r="L170" s="1">
        <v>45240</v>
      </c>
      <c r="M170">
        <v>885</v>
      </c>
      <c r="N170" t="s">
        <v>315</v>
      </c>
      <c r="O170" s="5">
        <v>45240</v>
      </c>
      <c r="P170" s="5">
        <v>43777</v>
      </c>
    </row>
    <row r="171" spans="1:16" x14ac:dyDescent="0.25">
      <c r="A171" t="s">
        <v>316</v>
      </c>
      <c r="B171" t="str">
        <v>Ankit Metal &amp; Power Limited</v>
      </c>
      <c r="C171" t="s">
        <v>10</v>
      </c>
      <c r="D171">
        <v>4.6500000000000004</v>
      </c>
      <c r="E171">
        <v>4.95</v>
      </c>
      <c r="F171">
        <v>4.6500000000000004</v>
      </c>
      <c r="G171" s="3">
        <v>4.95</v>
      </c>
      <c r="H171">
        <v>4.95</v>
      </c>
      <c r="I171">
        <v>4.75</v>
      </c>
      <c r="J171">
        <v>162685</v>
      </c>
      <c r="K171">
        <v>800365</v>
      </c>
      <c r="L171" s="1">
        <v>45240</v>
      </c>
      <c r="M171">
        <v>279</v>
      </c>
      <c r="N171" t="s">
        <v>318</v>
      </c>
      <c r="O171" s="5">
        <v>45240</v>
      </c>
      <c r="P171" s="5">
        <v>43777</v>
      </c>
    </row>
    <row r="172" spans="1:16" x14ac:dyDescent="0.25">
      <c r="A172" t="s">
        <v>6880</v>
      </c>
      <c r="B172" t="str">
        <v>Not Found</v>
      </c>
      <c r="C172" t="s">
        <v>5788</v>
      </c>
      <c r="D172">
        <v>280</v>
      </c>
      <c r="E172">
        <v>282.95</v>
      </c>
      <c r="F172">
        <v>275</v>
      </c>
      <c r="G172" s="3">
        <v>282</v>
      </c>
      <c r="H172">
        <v>282</v>
      </c>
      <c r="I172">
        <v>279.89999999999998</v>
      </c>
      <c r="J172">
        <v>7600</v>
      </c>
      <c r="K172">
        <v>2116760</v>
      </c>
      <c r="L172" s="1">
        <v>45240</v>
      </c>
      <c r="M172">
        <v>15</v>
      </c>
      <c r="N172" t="s">
        <v>6879</v>
      </c>
      <c r="O172" s="5">
        <v>45240</v>
      </c>
      <c r="P172" s="5">
        <v>43777</v>
      </c>
    </row>
    <row r="173" spans="1:16" x14ac:dyDescent="0.25">
      <c r="A173" t="s">
        <v>319</v>
      </c>
      <c r="B173" t="str">
        <v>Anmol India Limited</v>
      </c>
      <c r="C173" t="s">
        <v>14</v>
      </c>
      <c r="D173">
        <v>55</v>
      </c>
      <c r="E173">
        <v>56.15</v>
      </c>
      <c r="F173">
        <v>54.3</v>
      </c>
      <c r="G173" s="3">
        <v>55.4</v>
      </c>
      <c r="H173">
        <v>55.6</v>
      </c>
      <c r="I173">
        <v>55.55</v>
      </c>
      <c r="J173">
        <v>492289</v>
      </c>
      <c r="K173">
        <v>27144954.800000001</v>
      </c>
      <c r="L173" s="1">
        <v>45240</v>
      </c>
      <c r="M173">
        <v>1422</v>
      </c>
      <c r="N173" t="s">
        <v>321</v>
      </c>
      <c r="O173" s="5">
        <v>45240</v>
      </c>
      <c r="P173" s="5">
        <v>43777</v>
      </c>
    </row>
    <row r="174" spans="1:16" x14ac:dyDescent="0.25">
      <c r="A174" t="s">
        <v>6878</v>
      </c>
      <c r="B174" t="str">
        <v>Not Found</v>
      </c>
      <c r="C174" t="s">
        <v>5788</v>
      </c>
      <c r="D174">
        <v>360</v>
      </c>
      <c r="E174">
        <v>360</v>
      </c>
      <c r="F174">
        <v>320.39999999999998</v>
      </c>
      <c r="G174" s="3">
        <v>324.7</v>
      </c>
      <c r="H174">
        <v>326.95</v>
      </c>
      <c r="I174">
        <v>342.8</v>
      </c>
      <c r="J174">
        <v>218000</v>
      </c>
      <c r="K174">
        <v>72814900</v>
      </c>
      <c r="L174" s="1">
        <v>45240</v>
      </c>
      <c r="M174">
        <v>366</v>
      </c>
      <c r="N174" t="s">
        <v>6877</v>
      </c>
      <c r="O174" s="5">
        <v>45240</v>
      </c>
      <c r="P174" s="5">
        <v>43777</v>
      </c>
    </row>
    <row r="175" spans="1:16" x14ac:dyDescent="0.25">
      <c r="A175" t="s">
        <v>322</v>
      </c>
      <c r="B175" t="str">
        <v>Antarctica Limited</v>
      </c>
      <c r="C175" t="s">
        <v>10</v>
      </c>
      <c r="D175">
        <v>0.75</v>
      </c>
      <c r="E175">
        <v>0.75</v>
      </c>
      <c r="F175">
        <v>0.7</v>
      </c>
      <c r="G175" s="3">
        <v>0.75</v>
      </c>
      <c r="H175">
        <v>0.75</v>
      </c>
      <c r="I175">
        <v>0.75</v>
      </c>
      <c r="J175">
        <v>89804</v>
      </c>
      <c r="K175">
        <v>65417.25</v>
      </c>
      <c r="L175" s="1">
        <v>45240</v>
      </c>
      <c r="M175">
        <v>161</v>
      </c>
      <c r="N175" t="s">
        <v>324</v>
      </c>
      <c r="O175" s="5">
        <v>45240</v>
      </c>
      <c r="P175" s="5">
        <v>43777</v>
      </c>
    </row>
    <row r="176" spans="1:16" x14ac:dyDescent="0.25">
      <c r="A176" t="s">
        <v>325</v>
      </c>
      <c r="B176" t="str">
        <v>The Anup Engineering Limited</v>
      </c>
      <c r="C176" t="s">
        <v>14</v>
      </c>
      <c r="D176">
        <v>2493</v>
      </c>
      <c r="E176">
        <v>2620</v>
      </c>
      <c r="F176">
        <v>2452.3000000000002</v>
      </c>
      <c r="G176" s="3">
        <v>2579.5</v>
      </c>
      <c r="H176">
        <v>2590</v>
      </c>
      <c r="I176">
        <v>2449.85</v>
      </c>
      <c r="J176">
        <v>57145</v>
      </c>
      <c r="K176">
        <v>146220705.80000001</v>
      </c>
      <c r="L176" s="1">
        <v>45240</v>
      </c>
      <c r="M176">
        <v>8266</v>
      </c>
      <c r="N176" t="s">
        <v>327</v>
      </c>
      <c r="O176" s="5">
        <v>45240</v>
      </c>
      <c r="P176" s="5">
        <v>43777</v>
      </c>
    </row>
    <row r="177" spans="1:16" x14ac:dyDescent="0.25">
      <c r="A177" t="s">
        <v>328</v>
      </c>
      <c r="B177" t="str">
        <v>Anupam Rasayan India Limited</v>
      </c>
      <c r="C177" t="s">
        <v>14</v>
      </c>
      <c r="D177">
        <v>904</v>
      </c>
      <c r="E177">
        <v>910</v>
      </c>
      <c r="F177">
        <v>896.1</v>
      </c>
      <c r="G177" s="3">
        <v>906.3</v>
      </c>
      <c r="H177">
        <v>905</v>
      </c>
      <c r="I177">
        <v>905.1</v>
      </c>
      <c r="J177">
        <v>114175</v>
      </c>
      <c r="K177">
        <v>103187683.15000001</v>
      </c>
      <c r="L177" s="1">
        <v>45240</v>
      </c>
      <c r="M177">
        <v>4127</v>
      </c>
      <c r="N177" t="s">
        <v>330</v>
      </c>
      <c r="O177" s="5">
        <v>45240</v>
      </c>
      <c r="P177" s="5">
        <v>43777</v>
      </c>
    </row>
    <row r="178" spans="1:16" x14ac:dyDescent="0.25">
      <c r="A178" t="s">
        <v>331</v>
      </c>
      <c r="B178" t="str">
        <v>Apar Industries Limited</v>
      </c>
      <c r="C178" t="s">
        <v>14</v>
      </c>
      <c r="D178">
        <v>5152</v>
      </c>
      <c r="E178">
        <v>5258.1</v>
      </c>
      <c r="F178">
        <v>5060</v>
      </c>
      <c r="G178" s="3">
        <v>5107.6000000000004</v>
      </c>
      <c r="H178">
        <v>5085</v>
      </c>
      <c r="I178">
        <v>5185.3999999999996</v>
      </c>
      <c r="J178">
        <v>67686</v>
      </c>
      <c r="K178">
        <v>348880067.05000001</v>
      </c>
      <c r="L178" s="1">
        <v>45240</v>
      </c>
      <c r="M178">
        <v>12037</v>
      </c>
      <c r="N178" t="s">
        <v>333</v>
      </c>
      <c r="O178" s="5">
        <v>45240</v>
      </c>
      <c r="P178" s="5">
        <v>43777</v>
      </c>
    </row>
    <row r="179" spans="1:16" x14ac:dyDescent="0.25">
      <c r="A179" t="s">
        <v>334</v>
      </c>
      <c r="B179" t="str">
        <v>Anjani Portland Cement Limited</v>
      </c>
      <c r="C179" t="s">
        <v>14</v>
      </c>
      <c r="D179">
        <v>219</v>
      </c>
      <c r="E179">
        <v>223.9</v>
      </c>
      <c r="F179">
        <v>210.75</v>
      </c>
      <c r="G179" s="3">
        <v>212.35</v>
      </c>
      <c r="H179">
        <v>212.2</v>
      </c>
      <c r="I179">
        <v>221.4</v>
      </c>
      <c r="J179">
        <v>78952</v>
      </c>
      <c r="K179">
        <v>17074956.899999999</v>
      </c>
      <c r="L179" s="1">
        <v>45240</v>
      </c>
      <c r="M179">
        <v>3197</v>
      </c>
      <c r="N179" t="s">
        <v>336</v>
      </c>
      <c r="O179" s="5">
        <v>45240</v>
      </c>
      <c r="P179" s="5">
        <v>43777</v>
      </c>
    </row>
    <row r="180" spans="1:16" x14ac:dyDescent="0.25">
      <c r="A180" t="s">
        <v>337</v>
      </c>
      <c r="B180" t="str">
        <v>Apcotex Industries Limited</v>
      </c>
      <c r="C180" t="s">
        <v>14</v>
      </c>
      <c r="D180">
        <v>486.95</v>
      </c>
      <c r="E180">
        <v>492.9</v>
      </c>
      <c r="F180">
        <v>481.6</v>
      </c>
      <c r="G180" s="3">
        <v>490.95</v>
      </c>
      <c r="H180">
        <v>492.9</v>
      </c>
      <c r="I180">
        <v>482.4</v>
      </c>
      <c r="J180">
        <v>24379</v>
      </c>
      <c r="K180">
        <v>11934218.9</v>
      </c>
      <c r="L180" s="1">
        <v>45240</v>
      </c>
      <c r="M180">
        <v>1667</v>
      </c>
      <c r="N180" t="s">
        <v>339</v>
      </c>
      <c r="O180" s="5">
        <v>45240</v>
      </c>
      <c r="P180" s="5">
        <v>43777</v>
      </c>
    </row>
    <row r="181" spans="1:16" x14ac:dyDescent="0.25">
      <c r="A181" t="s">
        <v>340</v>
      </c>
      <c r="B181" t="str">
        <v>Apex Frozen Foods Limited</v>
      </c>
      <c r="C181" t="s">
        <v>14</v>
      </c>
      <c r="D181">
        <v>217.2</v>
      </c>
      <c r="E181">
        <v>217.2</v>
      </c>
      <c r="F181">
        <v>214</v>
      </c>
      <c r="G181" s="3">
        <v>214.65</v>
      </c>
      <c r="H181">
        <v>215.15</v>
      </c>
      <c r="I181">
        <v>217.2</v>
      </c>
      <c r="J181">
        <v>31823</v>
      </c>
      <c r="K181">
        <v>6843339.1500000004</v>
      </c>
      <c r="L181" s="1">
        <v>45240</v>
      </c>
      <c r="M181">
        <v>1310</v>
      </c>
      <c r="N181" t="s">
        <v>342</v>
      </c>
      <c r="O181" s="5">
        <v>45240</v>
      </c>
      <c r="P181" s="5">
        <v>43777</v>
      </c>
    </row>
    <row r="182" spans="1:16" x14ac:dyDescent="0.25">
      <c r="A182" t="s">
        <v>343</v>
      </c>
      <c r="B182" t="str">
        <v>APL Apollo Tubes Limited</v>
      </c>
      <c r="C182" t="s">
        <v>14</v>
      </c>
      <c r="D182">
        <v>1650.8</v>
      </c>
      <c r="E182">
        <v>1666.35</v>
      </c>
      <c r="F182">
        <v>1626.05</v>
      </c>
      <c r="G182" s="3">
        <v>1654.55</v>
      </c>
      <c r="H182">
        <v>1656.45</v>
      </c>
      <c r="I182">
        <v>1646.35</v>
      </c>
      <c r="J182">
        <v>1217739</v>
      </c>
      <c r="K182">
        <v>2011642841.8499999</v>
      </c>
      <c r="L182" s="1">
        <v>45240</v>
      </c>
      <c r="M182">
        <v>36767</v>
      </c>
      <c r="N182" t="s">
        <v>345</v>
      </c>
      <c r="O182" s="5">
        <v>45240</v>
      </c>
      <c r="P182" s="5">
        <v>43777</v>
      </c>
    </row>
    <row r="183" spans="1:16" x14ac:dyDescent="0.25">
      <c r="A183" t="s">
        <v>346</v>
      </c>
      <c r="B183" t="str">
        <v>Alembic Pharmaceuticals Limited</v>
      </c>
      <c r="C183" t="s">
        <v>14</v>
      </c>
      <c r="D183">
        <v>736.45</v>
      </c>
      <c r="E183">
        <v>741.75</v>
      </c>
      <c r="F183">
        <v>724</v>
      </c>
      <c r="G183" s="3">
        <v>726.6</v>
      </c>
      <c r="H183">
        <v>726</v>
      </c>
      <c r="I183">
        <v>734.2</v>
      </c>
      <c r="J183">
        <v>74862</v>
      </c>
      <c r="K183">
        <v>54826472.700000003</v>
      </c>
      <c r="L183" s="1">
        <v>45240</v>
      </c>
      <c r="M183">
        <v>8933</v>
      </c>
      <c r="N183" t="s">
        <v>348</v>
      </c>
      <c r="O183" s="5">
        <v>45240</v>
      </c>
      <c r="P183" s="5">
        <v>43777</v>
      </c>
    </row>
    <row r="184" spans="1:16" x14ac:dyDescent="0.25">
      <c r="A184" t="s">
        <v>349</v>
      </c>
      <c r="B184" t="str">
        <v>Apollo Micro Systems Limited</v>
      </c>
      <c r="C184" t="s">
        <v>14</v>
      </c>
      <c r="D184">
        <v>114</v>
      </c>
      <c r="E184">
        <v>120.4</v>
      </c>
      <c r="F184">
        <v>112.05</v>
      </c>
      <c r="G184" s="3">
        <v>116.85</v>
      </c>
      <c r="H184">
        <v>116.95</v>
      </c>
      <c r="I184">
        <v>113.2</v>
      </c>
      <c r="J184">
        <v>6058222</v>
      </c>
      <c r="K184">
        <v>710702191.95000005</v>
      </c>
      <c r="L184" s="1">
        <v>45240</v>
      </c>
      <c r="M184">
        <v>45581</v>
      </c>
      <c r="N184" t="s">
        <v>351</v>
      </c>
      <c r="O184" s="5">
        <v>45240</v>
      </c>
      <c r="P184" s="5">
        <v>43777</v>
      </c>
    </row>
    <row r="185" spans="1:16" x14ac:dyDescent="0.25">
      <c r="A185" t="s">
        <v>352</v>
      </c>
      <c r="B185" t="str">
        <v>Apollo Hospitals Enterprise Limited</v>
      </c>
      <c r="C185" t="s">
        <v>14</v>
      </c>
      <c r="D185">
        <v>5300</v>
      </c>
      <c r="E185">
        <v>5338</v>
      </c>
      <c r="F185">
        <v>5218.6499999999996</v>
      </c>
      <c r="G185" s="3">
        <v>5278.5</v>
      </c>
      <c r="H185">
        <v>5261.8</v>
      </c>
      <c r="I185">
        <v>5297.6</v>
      </c>
      <c r="J185">
        <v>696409</v>
      </c>
      <c r="K185">
        <v>3671332027.8499999</v>
      </c>
      <c r="L185" s="1">
        <v>45240</v>
      </c>
      <c r="M185">
        <v>62330</v>
      </c>
      <c r="N185" t="s">
        <v>354</v>
      </c>
      <c r="O185" s="5">
        <v>45240</v>
      </c>
      <c r="P185" s="5">
        <v>43777</v>
      </c>
    </row>
    <row r="186" spans="1:16" x14ac:dyDescent="0.25">
      <c r="A186" t="s">
        <v>355</v>
      </c>
      <c r="B186" t="str">
        <v>Apollo Pipes Limited</v>
      </c>
      <c r="C186" t="s">
        <v>14</v>
      </c>
      <c r="D186">
        <v>675</v>
      </c>
      <c r="E186">
        <v>699.85</v>
      </c>
      <c r="F186">
        <v>666.05</v>
      </c>
      <c r="G186" s="3">
        <v>697.2</v>
      </c>
      <c r="H186">
        <v>697.85</v>
      </c>
      <c r="I186">
        <v>676.25</v>
      </c>
      <c r="J186">
        <v>109202</v>
      </c>
      <c r="K186">
        <v>75404394.400000006</v>
      </c>
      <c r="L186" s="1">
        <v>45240</v>
      </c>
      <c r="M186">
        <v>8802</v>
      </c>
      <c r="N186" t="s">
        <v>357</v>
      </c>
      <c r="O186" s="5">
        <v>45240</v>
      </c>
      <c r="P186" s="5">
        <v>43777</v>
      </c>
    </row>
    <row r="187" spans="1:16" x14ac:dyDescent="0.25">
      <c r="A187" t="s">
        <v>358</v>
      </c>
      <c r="B187" t="str">
        <v>Apollo Tyres Limited</v>
      </c>
      <c r="C187" t="s">
        <v>14</v>
      </c>
      <c r="D187">
        <v>417.85</v>
      </c>
      <c r="E187">
        <v>419.5</v>
      </c>
      <c r="F187">
        <v>412.9</v>
      </c>
      <c r="G187" s="3">
        <v>418.7</v>
      </c>
      <c r="H187">
        <v>418.5</v>
      </c>
      <c r="I187">
        <v>417.85</v>
      </c>
      <c r="J187">
        <v>1716232</v>
      </c>
      <c r="K187">
        <v>715331125.54999995</v>
      </c>
      <c r="L187" s="1">
        <v>45240</v>
      </c>
      <c r="M187">
        <v>30661</v>
      </c>
      <c r="N187" t="s">
        <v>360</v>
      </c>
      <c r="O187" s="5">
        <v>45240</v>
      </c>
      <c r="P187" s="5">
        <v>43777</v>
      </c>
    </row>
    <row r="188" spans="1:16" x14ac:dyDescent="0.25">
      <c r="A188" t="s">
        <v>361</v>
      </c>
      <c r="B188" t="str">
        <v>Apollo Sindoori Hotels Limited</v>
      </c>
      <c r="C188" t="s">
        <v>14</v>
      </c>
      <c r="D188">
        <v>1739</v>
      </c>
      <c r="E188">
        <v>1775</v>
      </c>
      <c r="F188">
        <v>1725.1</v>
      </c>
      <c r="G188" s="3">
        <v>1732.2</v>
      </c>
      <c r="H188">
        <v>1727</v>
      </c>
      <c r="I188">
        <v>1734.05</v>
      </c>
      <c r="J188">
        <v>1969</v>
      </c>
      <c r="K188">
        <v>3438740.1</v>
      </c>
      <c r="L188" s="1">
        <v>45240</v>
      </c>
      <c r="M188">
        <v>337</v>
      </c>
      <c r="N188" t="s">
        <v>363</v>
      </c>
      <c r="O188" s="5">
        <v>45240</v>
      </c>
      <c r="P188" s="5">
        <v>43777</v>
      </c>
    </row>
    <row r="189" spans="1:16" x14ac:dyDescent="0.25">
      <c r="A189" t="s">
        <v>364</v>
      </c>
      <c r="B189" t="str">
        <v>Aptech Limited</v>
      </c>
      <c r="C189" t="s">
        <v>14</v>
      </c>
      <c r="D189">
        <v>245.75</v>
      </c>
      <c r="E189">
        <v>254.65</v>
      </c>
      <c r="F189">
        <v>245.2</v>
      </c>
      <c r="G189" s="3">
        <v>253.35</v>
      </c>
      <c r="H189">
        <v>254.5</v>
      </c>
      <c r="I189">
        <v>246.6</v>
      </c>
      <c r="J189">
        <v>262835</v>
      </c>
      <c r="K189">
        <v>66027478.5</v>
      </c>
      <c r="L189" s="1">
        <v>45240</v>
      </c>
      <c r="M189">
        <v>8097</v>
      </c>
      <c r="N189" t="s">
        <v>366</v>
      </c>
      <c r="O189" s="5">
        <v>45240</v>
      </c>
      <c r="P189" s="5">
        <v>43777</v>
      </c>
    </row>
    <row r="190" spans="1:16" x14ac:dyDescent="0.25">
      <c r="A190" t="s">
        <v>367</v>
      </c>
      <c r="B190" t="str">
        <v>Aptus Value Housing Finance India Limited</v>
      </c>
      <c r="C190" t="s">
        <v>5861</v>
      </c>
      <c r="D190">
        <v>287</v>
      </c>
      <c r="E190">
        <v>287</v>
      </c>
      <c r="F190">
        <v>287</v>
      </c>
      <c r="G190" s="3">
        <v>287</v>
      </c>
      <c r="H190">
        <v>287</v>
      </c>
      <c r="I190">
        <v>307.45</v>
      </c>
      <c r="J190">
        <v>7435937</v>
      </c>
      <c r="K190">
        <v>2134113919</v>
      </c>
      <c r="L190" s="1">
        <v>45240</v>
      </c>
      <c r="M190">
        <v>3</v>
      </c>
      <c r="N190" t="s">
        <v>369</v>
      </c>
      <c r="O190" s="5">
        <v>45240</v>
      </c>
      <c r="P190" s="5">
        <v>43777</v>
      </c>
    </row>
    <row r="191" spans="1:16" x14ac:dyDescent="0.25">
      <c r="A191" t="s">
        <v>367</v>
      </c>
      <c r="B191" t="str">
        <v>Aptus Value Housing Finance India Limited</v>
      </c>
      <c r="C191" t="s">
        <v>14</v>
      </c>
      <c r="D191">
        <v>296</v>
      </c>
      <c r="E191">
        <v>303.2</v>
      </c>
      <c r="F191">
        <v>290.35000000000002</v>
      </c>
      <c r="G191" s="3">
        <v>300.45</v>
      </c>
      <c r="H191">
        <v>303.2</v>
      </c>
      <c r="I191">
        <v>286.10000000000002</v>
      </c>
      <c r="J191">
        <v>2117633</v>
      </c>
      <c r="K191">
        <v>629195495</v>
      </c>
      <c r="L191" s="1">
        <v>45240</v>
      </c>
      <c r="M191">
        <v>30913</v>
      </c>
      <c r="N191" t="s">
        <v>369</v>
      </c>
      <c r="O191" s="5">
        <v>45240</v>
      </c>
      <c r="P191" s="5">
        <v>43777</v>
      </c>
    </row>
    <row r="192" spans="1:16" x14ac:dyDescent="0.25">
      <c r="A192" t="s">
        <v>6876</v>
      </c>
      <c r="B192" t="str">
        <v>Not Found</v>
      </c>
      <c r="C192" t="s">
        <v>5788</v>
      </c>
      <c r="D192">
        <v>74.400000000000006</v>
      </c>
      <c r="E192">
        <v>74.400000000000006</v>
      </c>
      <c r="F192">
        <v>73</v>
      </c>
      <c r="G192" s="3">
        <v>73.349999999999994</v>
      </c>
      <c r="H192">
        <v>73</v>
      </c>
      <c r="I192">
        <v>73.5</v>
      </c>
      <c r="J192">
        <v>30000</v>
      </c>
      <c r="K192">
        <v>2208300</v>
      </c>
      <c r="L192" s="1">
        <v>45240</v>
      </c>
      <c r="M192">
        <v>15</v>
      </c>
      <c r="N192" t="s">
        <v>6875</v>
      </c>
      <c r="O192" s="5">
        <v>45240</v>
      </c>
      <c r="P192" s="5">
        <v>43777</v>
      </c>
    </row>
    <row r="193" spans="1:16" x14ac:dyDescent="0.25">
      <c r="A193" t="s">
        <v>370</v>
      </c>
      <c r="B193" t="str">
        <v>Archidply Industries Limited</v>
      </c>
      <c r="C193" t="s">
        <v>10</v>
      </c>
      <c r="D193">
        <v>80.099999999999994</v>
      </c>
      <c r="E193">
        <v>80.099999999999994</v>
      </c>
      <c r="F193">
        <v>77.05</v>
      </c>
      <c r="G193" s="3">
        <v>78.3</v>
      </c>
      <c r="H193">
        <v>78.900000000000006</v>
      </c>
      <c r="I193">
        <v>80.05</v>
      </c>
      <c r="J193">
        <v>23452</v>
      </c>
      <c r="K193">
        <v>1838160.2</v>
      </c>
      <c r="L193" s="1">
        <v>45240</v>
      </c>
      <c r="M193">
        <v>256</v>
      </c>
      <c r="N193" t="s">
        <v>372</v>
      </c>
      <c r="O193" s="5">
        <v>45240</v>
      </c>
      <c r="P193" s="5">
        <v>43777</v>
      </c>
    </row>
    <row r="194" spans="1:16" x14ac:dyDescent="0.25">
      <c r="A194" t="s">
        <v>373</v>
      </c>
      <c r="B194" t="str">
        <v>Archies Limited</v>
      </c>
      <c r="C194" t="s">
        <v>14</v>
      </c>
      <c r="D194">
        <v>25.05</v>
      </c>
      <c r="E194">
        <v>25.25</v>
      </c>
      <c r="F194">
        <v>24.5</v>
      </c>
      <c r="G194" s="3">
        <v>24.85</v>
      </c>
      <c r="H194">
        <v>24.5</v>
      </c>
      <c r="I194">
        <v>24.9</v>
      </c>
      <c r="J194">
        <v>19265</v>
      </c>
      <c r="K194">
        <v>480957.5</v>
      </c>
      <c r="L194" s="1">
        <v>45240</v>
      </c>
      <c r="M194">
        <v>338</v>
      </c>
      <c r="N194" t="s">
        <v>375</v>
      </c>
      <c r="O194" s="5">
        <v>45240</v>
      </c>
      <c r="P194" s="5">
        <v>43777</v>
      </c>
    </row>
    <row r="195" spans="1:16" x14ac:dyDescent="0.25">
      <c r="A195" t="s">
        <v>376</v>
      </c>
      <c r="B195" t="str">
        <v>Amara Raja Energy &amp; Mobility Limited</v>
      </c>
      <c r="C195" t="s">
        <v>14</v>
      </c>
      <c r="D195">
        <v>629.1</v>
      </c>
      <c r="E195">
        <v>630.5</v>
      </c>
      <c r="F195">
        <v>625.54999999999995</v>
      </c>
      <c r="G195" s="3">
        <v>628.15</v>
      </c>
      <c r="H195">
        <v>628.6</v>
      </c>
      <c r="I195">
        <v>631.15</v>
      </c>
      <c r="J195">
        <v>136433</v>
      </c>
      <c r="K195">
        <v>85619988.700000003</v>
      </c>
      <c r="L195" s="1">
        <v>45240</v>
      </c>
      <c r="M195">
        <v>10173</v>
      </c>
      <c r="N195" t="s">
        <v>378</v>
      </c>
      <c r="O195" s="5">
        <v>45240</v>
      </c>
      <c r="P195" s="5">
        <v>43777</v>
      </c>
    </row>
    <row r="196" spans="1:16" x14ac:dyDescent="0.25">
      <c r="A196" t="s">
        <v>379</v>
      </c>
      <c r="B196" t="str">
        <v>Rajdarshan Industries Limited</v>
      </c>
      <c r="C196" t="s">
        <v>10</v>
      </c>
      <c r="D196">
        <v>35.049999999999997</v>
      </c>
      <c r="E196">
        <v>35.799999999999997</v>
      </c>
      <c r="F196">
        <v>35.049999999999997</v>
      </c>
      <c r="G196" s="3">
        <v>35.1</v>
      </c>
      <c r="H196">
        <v>35.4</v>
      </c>
      <c r="I196">
        <v>35.049999999999997</v>
      </c>
      <c r="J196">
        <v>821</v>
      </c>
      <c r="K196">
        <v>28920.15</v>
      </c>
      <c r="L196" s="1">
        <v>45240</v>
      </c>
      <c r="M196">
        <v>27</v>
      </c>
      <c r="N196" t="s">
        <v>381</v>
      </c>
      <c r="O196" s="5">
        <v>45240</v>
      </c>
      <c r="P196" s="5">
        <v>43777</v>
      </c>
    </row>
    <row r="197" spans="1:16" x14ac:dyDescent="0.25">
      <c r="A197" t="s">
        <v>6874</v>
      </c>
      <c r="B197" t="str">
        <v>Not Found</v>
      </c>
      <c r="C197" t="s">
        <v>5788</v>
      </c>
      <c r="D197">
        <v>131.35</v>
      </c>
      <c r="E197">
        <v>131.35</v>
      </c>
      <c r="F197">
        <v>123</v>
      </c>
      <c r="G197" s="3">
        <v>123.8</v>
      </c>
      <c r="H197">
        <v>124</v>
      </c>
      <c r="I197">
        <v>131.35</v>
      </c>
      <c r="J197">
        <v>33000</v>
      </c>
      <c r="K197">
        <v>4126950</v>
      </c>
      <c r="L197" s="1">
        <v>45240</v>
      </c>
      <c r="M197">
        <v>31</v>
      </c>
      <c r="N197" t="s">
        <v>6873</v>
      </c>
      <c r="O197" s="5">
        <v>45240</v>
      </c>
      <c r="P197" s="5">
        <v>43777</v>
      </c>
    </row>
    <row r="198" spans="1:16" x14ac:dyDescent="0.25">
      <c r="A198" t="s">
        <v>382</v>
      </c>
      <c r="B198" t="str">
        <v>Aries Agro Limited</v>
      </c>
      <c r="C198" t="s">
        <v>14</v>
      </c>
      <c r="D198">
        <v>173</v>
      </c>
      <c r="E198">
        <v>176.15</v>
      </c>
      <c r="F198">
        <v>171</v>
      </c>
      <c r="G198" s="3">
        <v>174.6</v>
      </c>
      <c r="H198">
        <v>174.55</v>
      </c>
      <c r="I198">
        <v>173.85</v>
      </c>
      <c r="J198">
        <v>31625</v>
      </c>
      <c r="K198">
        <v>5519313.0499999998</v>
      </c>
      <c r="L198" s="1">
        <v>45240</v>
      </c>
      <c r="M198">
        <v>762</v>
      </c>
      <c r="N198" t="s">
        <v>384</v>
      </c>
      <c r="O198" s="5">
        <v>45240</v>
      </c>
      <c r="P198" s="5">
        <v>43777</v>
      </c>
    </row>
    <row r="199" spans="1:16" x14ac:dyDescent="0.25">
      <c r="A199" t="s">
        <v>6872</v>
      </c>
      <c r="B199" t="str">
        <v>Not Found</v>
      </c>
      <c r="C199" t="s">
        <v>5788</v>
      </c>
      <c r="D199">
        <v>108</v>
      </c>
      <c r="E199">
        <v>108</v>
      </c>
      <c r="F199">
        <v>108</v>
      </c>
      <c r="G199" s="3">
        <v>108</v>
      </c>
      <c r="H199">
        <v>108</v>
      </c>
      <c r="I199">
        <v>110</v>
      </c>
      <c r="J199">
        <v>1600</v>
      </c>
      <c r="K199">
        <v>172800</v>
      </c>
      <c r="L199" s="1">
        <v>45240</v>
      </c>
      <c r="M199">
        <v>2</v>
      </c>
      <c r="N199" t="s">
        <v>6871</v>
      </c>
      <c r="O199" s="5">
        <v>45240</v>
      </c>
      <c r="P199" s="5">
        <v>43777</v>
      </c>
    </row>
    <row r="200" spans="1:16" x14ac:dyDescent="0.25">
      <c r="A200" t="s">
        <v>385</v>
      </c>
      <c r="B200" t="str">
        <v>Arihant Capital Markets Limited</v>
      </c>
      <c r="C200" t="s">
        <v>14</v>
      </c>
      <c r="D200">
        <v>68</v>
      </c>
      <c r="E200">
        <v>69.8</v>
      </c>
      <c r="F200">
        <v>66.75</v>
      </c>
      <c r="G200" s="3">
        <v>69.05</v>
      </c>
      <c r="H200">
        <v>68.95</v>
      </c>
      <c r="I200">
        <v>67.650000000000006</v>
      </c>
      <c r="J200">
        <v>94017</v>
      </c>
      <c r="K200">
        <v>6470294.6500000004</v>
      </c>
      <c r="L200" s="1">
        <v>45240</v>
      </c>
      <c r="M200">
        <v>941</v>
      </c>
      <c r="N200" t="s">
        <v>387</v>
      </c>
      <c r="O200" s="5">
        <v>45240</v>
      </c>
      <c r="P200" s="5">
        <v>43777</v>
      </c>
    </row>
    <row r="201" spans="1:16" x14ac:dyDescent="0.25">
      <c r="A201" t="s">
        <v>388</v>
      </c>
      <c r="B201" t="str">
        <v>Arihant Superstructures Limited</v>
      </c>
      <c r="C201" t="s">
        <v>14</v>
      </c>
      <c r="D201">
        <v>211.75</v>
      </c>
      <c r="E201">
        <v>222.5</v>
      </c>
      <c r="F201">
        <v>210.5</v>
      </c>
      <c r="G201" s="3">
        <v>216.6</v>
      </c>
      <c r="H201">
        <v>216.9</v>
      </c>
      <c r="I201">
        <v>213.9</v>
      </c>
      <c r="J201">
        <v>316899</v>
      </c>
      <c r="K201">
        <v>69153497.450000003</v>
      </c>
      <c r="L201" s="1">
        <v>45240</v>
      </c>
      <c r="M201">
        <v>9082</v>
      </c>
      <c r="N201" t="s">
        <v>390</v>
      </c>
      <c r="O201" s="5">
        <v>45240</v>
      </c>
      <c r="P201" s="5">
        <v>43777</v>
      </c>
    </row>
    <row r="202" spans="1:16" x14ac:dyDescent="0.25">
      <c r="A202" t="s">
        <v>6870</v>
      </c>
      <c r="B202" t="str">
        <v>Not Found</v>
      </c>
      <c r="C202" t="s">
        <v>5788</v>
      </c>
      <c r="D202">
        <v>73.05</v>
      </c>
      <c r="E202">
        <v>73.05</v>
      </c>
      <c r="F202">
        <v>72</v>
      </c>
      <c r="G202" s="3">
        <v>72.599999999999994</v>
      </c>
      <c r="H202">
        <v>72.5</v>
      </c>
      <c r="I202">
        <v>77.5</v>
      </c>
      <c r="J202">
        <v>9600</v>
      </c>
      <c r="K202">
        <v>697200</v>
      </c>
      <c r="L202" s="1">
        <v>45240</v>
      </c>
      <c r="M202">
        <v>6</v>
      </c>
      <c r="N202" t="s">
        <v>6869</v>
      </c>
      <c r="O202" s="5">
        <v>45240</v>
      </c>
      <c r="P202" s="5">
        <v>43777</v>
      </c>
    </row>
    <row r="203" spans="1:16" x14ac:dyDescent="0.25">
      <c r="A203" t="s">
        <v>391</v>
      </c>
      <c r="B203" t="str">
        <v>Arman Financial Services Limited</v>
      </c>
      <c r="C203" t="s">
        <v>14</v>
      </c>
      <c r="D203">
        <v>2127</v>
      </c>
      <c r="E203">
        <v>2166.6</v>
      </c>
      <c r="F203">
        <v>2125</v>
      </c>
      <c r="G203" s="3">
        <v>2136.65</v>
      </c>
      <c r="H203">
        <v>2130.1</v>
      </c>
      <c r="I203">
        <v>2138.6</v>
      </c>
      <c r="J203">
        <v>10395</v>
      </c>
      <c r="K203">
        <v>22212446.649999999</v>
      </c>
      <c r="L203" s="1">
        <v>45240</v>
      </c>
      <c r="M203">
        <v>2016</v>
      </c>
      <c r="N203" t="s">
        <v>393</v>
      </c>
      <c r="O203" s="5">
        <v>45240</v>
      </c>
      <c r="P203" s="5">
        <v>43777</v>
      </c>
    </row>
    <row r="204" spans="1:16" x14ac:dyDescent="0.25">
      <c r="A204" t="s">
        <v>394</v>
      </c>
      <c r="B204" t="str">
        <v>Aro Granite Industries Limited</v>
      </c>
      <c r="C204" t="s">
        <v>10</v>
      </c>
      <c r="D204">
        <v>47.35</v>
      </c>
      <c r="E204">
        <v>48</v>
      </c>
      <c r="F204">
        <v>46</v>
      </c>
      <c r="G204" s="3">
        <v>47.55</v>
      </c>
      <c r="H204">
        <v>47.8</v>
      </c>
      <c r="I204">
        <v>47.35</v>
      </c>
      <c r="J204">
        <v>21210</v>
      </c>
      <c r="K204">
        <v>996183.9</v>
      </c>
      <c r="L204" s="1">
        <v>45240</v>
      </c>
      <c r="M204">
        <v>117</v>
      </c>
      <c r="N204" t="s">
        <v>396</v>
      </c>
      <c r="O204" s="5">
        <v>45240</v>
      </c>
      <c r="P204" s="5">
        <v>43777</v>
      </c>
    </row>
    <row r="205" spans="1:16" x14ac:dyDescent="0.25">
      <c r="A205" t="s">
        <v>397</v>
      </c>
      <c r="B205" t="str">
        <v>Arrow Greentech Limited</v>
      </c>
      <c r="C205" t="s">
        <v>14</v>
      </c>
      <c r="D205">
        <v>389.9</v>
      </c>
      <c r="E205">
        <v>479.35</v>
      </c>
      <c r="F205">
        <v>385.05</v>
      </c>
      <c r="G205" s="3">
        <v>444.4</v>
      </c>
      <c r="H205">
        <v>447</v>
      </c>
      <c r="I205">
        <v>437.3</v>
      </c>
      <c r="J205">
        <v>467379</v>
      </c>
      <c r="K205">
        <v>206597591.90000001</v>
      </c>
      <c r="L205" s="1">
        <v>45240</v>
      </c>
      <c r="M205">
        <v>34800</v>
      </c>
      <c r="N205" t="s">
        <v>399</v>
      </c>
      <c r="O205" s="5">
        <v>45240</v>
      </c>
      <c r="P205" s="5">
        <v>43777</v>
      </c>
    </row>
    <row r="206" spans="1:16" x14ac:dyDescent="0.25">
      <c r="A206" t="s">
        <v>400</v>
      </c>
      <c r="B206" t="str">
        <v>Arshiya Limited</v>
      </c>
      <c r="C206" t="s">
        <v>14</v>
      </c>
      <c r="D206">
        <v>4.05</v>
      </c>
      <c r="E206">
        <v>4.2</v>
      </c>
      <c r="F206">
        <v>4.05</v>
      </c>
      <c r="G206" s="3">
        <v>4.1500000000000004</v>
      </c>
      <c r="H206">
        <v>4.2</v>
      </c>
      <c r="I206">
        <v>4.0999999999999996</v>
      </c>
      <c r="J206">
        <v>222983</v>
      </c>
      <c r="K206">
        <v>927852.55</v>
      </c>
      <c r="L206" s="1">
        <v>45240</v>
      </c>
      <c r="M206">
        <v>333</v>
      </c>
      <c r="N206" t="s">
        <v>402</v>
      </c>
      <c r="O206" s="5">
        <v>45240</v>
      </c>
      <c r="P206" s="5">
        <v>43777</v>
      </c>
    </row>
    <row r="207" spans="1:16" x14ac:dyDescent="0.25">
      <c r="A207" t="s">
        <v>403</v>
      </c>
      <c r="B207" t="str">
        <v>ARSS Infrastructure Projects Limited</v>
      </c>
      <c r="C207" t="s">
        <v>10</v>
      </c>
      <c r="D207">
        <v>18.95</v>
      </c>
      <c r="E207">
        <v>19.8</v>
      </c>
      <c r="F207">
        <v>18.75</v>
      </c>
      <c r="G207" s="3">
        <v>19.05</v>
      </c>
      <c r="H207">
        <v>19</v>
      </c>
      <c r="I207">
        <v>19.05</v>
      </c>
      <c r="J207">
        <v>6252</v>
      </c>
      <c r="K207">
        <v>120277.45</v>
      </c>
      <c r="L207" s="1">
        <v>45240</v>
      </c>
      <c r="M207">
        <v>35</v>
      </c>
      <c r="N207" t="s">
        <v>405</v>
      </c>
      <c r="O207" s="5">
        <v>45240</v>
      </c>
      <c r="P207" s="5">
        <v>43777</v>
      </c>
    </row>
    <row r="208" spans="1:16" x14ac:dyDescent="0.25">
      <c r="A208" t="s">
        <v>406</v>
      </c>
      <c r="B208" t="str">
        <v>Artemis Medicare Services Limited</v>
      </c>
      <c r="C208" t="s">
        <v>14</v>
      </c>
      <c r="D208">
        <v>160.80000000000001</v>
      </c>
      <c r="E208">
        <v>163.75</v>
      </c>
      <c r="F208">
        <v>157.35</v>
      </c>
      <c r="G208" s="3">
        <v>161.05000000000001</v>
      </c>
      <c r="H208">
        <v>161.5</v>
      </c>
      <c r="I208">
        <v>159.05000000000001</v>
      </c>
      <c r="J208">
        <v>232296</v>
      </c>
      <c r="K208">
        <v>37409590.149999999</v>
      </c>
      <c r="L208" s="1">
        <v>45240</v>
      </c>
      <c r="M208">
        <v>5726</v>
      </c>
      <c r="N208" t="s">
        <v>408</v>
      </c>
      <c r="O208" s="5">
        <v>45240</v>
      </c>
      <c r="P208" s="5">
        <v>43777</v>
      </c>
    </row>
    <row r="209" spans="1:16" x14ac:dyDescent="0.25">
      <c r="A209" t="s">
        <v>409</v>
      </c>
      <c r="B209" t="str">
        <v>Art Nirman Limited</v>
      </c>
      <c r="C209" t="s">
        <v>14</v>
      </c>
      <c r="D209">
        <v>48.95</v>
      </c>
      <c r="E209">
        <v>49.5</v>
      </c>
      <c r="F209">
        <v>47.25</v>
      </c>
      <c r="G209" s="3">
        <v>49.25</v>
      </c>
      <c r="H209">
        <v>49.5</v>
      </c>
      <c r="I209">
        <v>48</v>
      </c>
      <c r="J209">
        <v>1277</v>
      </c>
      <c r="K209">
        <v>62033.1</v>
      </c>
      <c r="L209" s="1">
        <v>45240</v>
      </c>
      <c r="M209">
        <v>71</v>
      </c>
      <c r="N209" t="s">
        <v>411</v>
      </c>
      <c r="O209" s="5">
        <v>45240</v>
      </c>
      <c r="P209" s="5">
        <v>43777</v>
      </c>
    </row>
    <row r="210" spans="1:16" x14ac:dyDescent="0.25">
      <c r="A210" t="s">
        <v>412</v>
      </c>
      <c r="B210" t="str">
        <v>Arvee Laboratories (India) Limited</v>
      </c>
      <c r="C210" t="s">
        <v>14</v>
      </c>
      <c r="D210">
        <v>122.85</v>
      </c>
      <c r="E210">
        <v>122.85</v>
      </c>
      <c r="F210">
        <v>119</v>
      </c>
      <c r="G210" s="3">
        <v>121.7</v>
      </c>
      <c r="H210">
        <v>119</v>
      </c>
      <c r="I210">
        <v>121.3</v>
      </c>
      <c r="J210">
        <v>602</v>
      </c>
      <c r="K210">
        <v>73432.600000000006</v>
      </c>
      <c r="L210" s="1">
        <v>45240</v>
      </c>
      <c r="M210">
        <v>29</v>
      </c>
      <c r="N210" t="s">
        <v>414</v>
      </c>
      <c r="O210" s="5">
        <v>45240</v>
      </c>
      <c r="P210" s="5">
        <v>43777</v>
      </c>
    </row>
    <row r="211" spans="1:16" x14ac:dyDescent="0.25">
      <c r="A211" t="s">
        <v>415</v>
      </c>
      <c r="B211" t="str">
        <v>Arvind Limited</v>
      </c>
      <c r="C211" t="s">
        <v>14</v>
      </c>
      <c r="D211">
        <v>200</v>
      </c>
      <c r="E211">
        <v>215.95</v>
      </c>
      <c r="F211">
        <v>199.1</v>
      </c>
      <c r="G211" s="3">
        <v>212.15</v>
      </c>
      <c r="H211">
        <v>211.65</v>
      </c>
      <c r="I211">
        <v>200.45</v>
      </c>
      <c r="J211">
        <v>5961621</v>
      </c>
      <c r="K211">
        <v>1258519225.75</v>
      </c>
      <c r="L211" s="1">
        <v>45240</v>
      </c>
      <c r="M211">
        <v>49158</v>
      </c>
      <c r="N211" t="s">
        <v>417</v>
      </c>
      <c r="O211" s="5">
        <v>45240</v>
      </c>
      <c r="P211" s="5">
        <v>43777</v>
      </c>
    </row>
    <row r="212" spans="1:16" x14ac:dyDescent="0.25">
      <c r="A212" t="s">
        <v>418</v>
      </c>
      <c r="B212" t="str">
        <v>Arvind Fashions Limited</v>
      </c>
      <c r="C212" t="s">
        <v>14</v>
      </c>
      <c r="D212">
        <v>378</v>
      </c>
      <c r="E212">
        <v>397</v>
      </c>
      <c r="F212">
        <v>375</v>
      </c>
      <c r="G212" s="3">
        <v>380.7</v>
      </c>
      <c r="H212">
        <v>379.9</v>
      </c>
      <c r="I212">
        <v>377.4</v>
      </c>
      <c r="J212">
        <v>1430975</v>
      </c>
      <c r="K212">
        <v>556102275</v>
      </c>
      <c r="L212" s="1">
        <v>45240</v>
      </c>
      <c r="M212">
        <v>33375</v>
      </c>
      <c r="N212" t="s">
        <v>420</v>
      </c>
      <c r="O212" s="5">
        <v>45240</v>
      </c>
      <c r="P212" s="5">
        <v>43777</v>
      </c>
    </row>
    <row r="213" spans="1:16" x14ac:dyDescent="0.25">
      <c r="A213" t="s">
        <v>421</v>
      </c>
      <c r="B213" t="str">
        <v>Arvind SmartSpaces Limited</v>
      </c>
      <c r="C213" t="s">
        <v>14</v>
      </c>
      <c r="D213">
        <v>353.8</v>
      </c>
      <c r="E213">
        <v>355.3</v>
      </c>
      <c r="F213">
        <v>349.95</v>
      </c>
      <c r="G213" s="3">
        <v>350.65</v>
      </c>
      <c r="H213">
        <v>350.5</v>
      </c>
      <c r="I213">
        <v>353.8</v>
      </c>
      <c r="J213">
        <v>68093</v>
      </c>
      <c r="K213">
        <v>23960121.5</v>
      </c>
      <c r="L213" s="1">
        <v>45240</v>
      </c>
      <c r="M213">
        <v>4149</v>
      </c>
      <c r="N213" t="s">
        <v>423</v>
      </c>
      <c r="O213" s="5">
        <v>45240</v>
      </c>
      <c r="P213" s="5">
        <v>43777</v>
      </c>
    </row>
    <row r="214" spans="1:16" x14ac:dyDescent="0.25">
      <c r="A214" t="s">
        <v>424</v>
      </c>
      <c r="B214" t="str">
        <v>Asahi India Glass Limited</v>
      </c>
      <c r="C214" t="s">
        <v>14</v>
      </c>
      <c r="D214">
        <v>563.79999999999995</v>
      </c>
      <c r="E214">
        <v>563.79999999999995</v>
      </c>
      <c r="F214">
        <v>553.79999999999995</v>
      </c>
      <c r="G214" s="3">
        <v>558.6</v>
      </c>
      <c r="H214">
        <v>559</v>
      </c>
      <c r="I214">
        <v>560.70000000000005</v>
      </c>
      <c r="J214">
        <v>25603</v>
      </c>
      <c r="K214">
        <v>14276526.699999999</v>
      </c>
      <c r="L214" s="1">
        <v>45240</v>
      </c>
      <c r="M214">
        <v>1810</v>
      </c>
      <c r="N214" t="s">
        <v>426</v>
      </c>
      <c r="O214" s="5">
        <v>45240</v>
      </c>
      <c r="P214" s="5">
        <v>43777</v>
      </c>
    </row>
    <row r="215" spans="1:16" x14ac:dyDescent="0.25">
      <c r="A215" t="s">
        <v>427</v>
      </c>
      <c r="B215" t="str">
        <v>Asahi Songwon Colors Limited</v>
      </c>
      <c r="C215" t="s">
        <v>14</v>
      </c>
      <c r="D215">
        <v>295</v>
      </c>
      <c r="E215">
        <v>300.14999999999998</v>
      </c>
      <c r="F215">
        <v>288.35000000000002</v>
      </c>
      <c r="G215" s="3">
        <v>298.75</v>
      </c>
      <c r="H215">
        <v>299</v>
      </c>
      <c r="I215">
        <v>292.3</v>
      </c>
      <c r="J215">
        <v>61797</v>
      </c>
      <c r="K215">
        <v>18239630</v>
      </c>
      <c r="L215" s="1">
        <v>45240</v>
      </c>
      <c r="M215">
        <v>2151</v>
      </c>
      <c r="N215" t="s">
        <v>429</v>
      </c>
      <c r="O215" s="5">
        <v>45240</v>
      </c>
      <c r="P215" s="5">
        <v>43777</v>
      </c>
    </row>
    <row r="216" spans="1:16" x14ac:dyDescent="0.25">
      <c r="A216" t="s">
        <v>430</v>
      </c>
      <c r="B216" t="str">
        <v>Automotive Stampings and Assemblies Limited</v>
      </c>
      <c r="C216" t="s">
        <v>14</v>
      </c>
      <c r="D216">
        <v>400</v>
      </c>
      <c r="E216">
        <v>402</v>
      </c>
      <c r="F216">
        <v>395</v>
      </c>
      <c r="G216" s="3">
        <v>397.25</v>
      </c>
      <c r="H216">
        <v>396.25</v>
      </c>
      <c r="I216">
        <v>402.15</v>
      </c>
      <c r="J216">
        <v>10199</v>
      </c>
      <c r="K216">
        <v>4060330.8</v>
      </c>
      <c r="L216" s="1">
        <v>45240</v>
      </c>
      <c r="M216">
        <v>970</v>
      </c>
      <c r="N216" t="s">
        <v>432</v>
      </c>
      <c r="O216" s="5">
        <v>45240</v>
      </c>
      <c r="P216" s="5">
        <v>43777</v>
      </c>
    </row>
    <row r="217" spans="1:16" x14ac:dyDescent="0.25">
      <c r="A217" t="s">
        <v>433</v>
      </c>
      <c r="B217" t="str">
        <v>Associated Alcohols &amp; Breweries Ltd.</v>
      </c>
      <c r="C217" t="s">
        <v>14</v>
      </c>
      <c r="D217">
        <v>473.05</v>
      </c>
      <c r="E217">
        <v>480.15</v>
      </c>
      <c r="F217">
        <v>468.55</v>
      </c>
      <c r="G217" s="3">
        <v>473.4</v>
      </c>
      <c r="H217">
        <v>472.5</v>
      </c>
      <c r="I217">
        <v>473.05</v>
      </c>
      <c r="J217">
        <v>43657</v>
      </c>
      <c r="K217">
        <v>20700289</v>
      </c>
      <c r="L217" s="1">
        <v>45240</v>
      </c>
      <c r="M217">
        <v>4217</v>
      </c>
      <c r="N217" t="s">
        <v>435</v>
      </c>
      <c r="O217" s="5">
        <v>45240</v>
      </c>
      <c r="P217" s="5">
        <v>43777</v>
      </c>
    </row>
    <row r="218" spans="1:16" x14ac:dyDescent="0.25">
      <c r="A218" t="s">
        <v>436</v>
      </c>
      <c r="B218" t="str">
        <v>Ashapura Minechem Limited</v>
      </c>
      <c r="C218" t="s">
        <v>10</v>
      </c>
      <c r="D218">
        <v>319.8</v>
      </c>
      <c r="E218">
        <v>324</v>
      </c>
      <c r="F218">
        <v>306</v>
      </c>
      <c r="G218" s="3">
        <v>310.8</v>
      </c>
      <c r="H218">
        <v>313</v>
      </c>
      <c r="I218">
        <v>317.95</v>
      </c>
      <c r="J218">
        <v>218858</v>
      </c>
      <c r="K218">
        <v>68744115.700000003</v>
      </c>
      <c r="L218" s="1">
        <v>45240</v>
      </c>
      <c r="M218">
        <v>1475</v>
      </c>
      <c r="N218" t="s">
        <v>438</v>
      </c>
      <c r="O218" s="5">
        <v>45240</v>
      </c>
      <c r="P218" s="5">
        <v>43777</v>
      </c>
    </row>
    <row r="219" spans="1:16" x14ac:dyDescent="0.25">
      <c r="A219" t="s">
        <v>439</v>
      </c>
      <c r="B219" t="str">
        <v>Ashiana Housing Limited</v>
      </c>
      <c r="C219" t="s">
        <v>14</v>
      </c>
      <c r="D219">
        <v>227.8</v>
      </c>
      <c r="E219">
        <v>240.1</v>
      </c>
      <c r="F219">
        <v>223</v>
      </c>
      <c r="G219" s="3">
        <v>236.1</v>
      </c>
      <c r="H219">
        <v>236.05</v>
      </c>
      <c r="I219">
        <v>227.2</v>
      </c>
      <c r="J219">
        <v>279629</v>
      </c>
      <c r="K219">
        <v>65491938.75</v>
      </c>
      <c r="L219" s="1">
        <v>45240</v>
      </c>
      <c r="M219">
        <v>5290</v>
      </c>
      <c r="N219" t="s">
        <v>441</v>
      </c>
      <c r="O219" s="5">
        <v>45240</v>
      </c>
      <c r="P219" s="5">
        <v>43777</v>
      </c>
    </row>
    <row r="220" spans="1:16" x14ac:dyDescent="0.25">
      <c r="A220" t="s">
        <v>442</v>
      </c>
      <c r="B220" t="str">
        <v>Ashima Limited</v>
      </c>
      <c r="C220" t="s">
        <v>14</v>
      </c>
      <c r="D220">
        <v>14.8</v>
      </c>
      <c r="E220">
        <v>14.8</v>
      </c>
      <c r="F220">
        <v>14.35</v>
      </c>
      <c r="G220" s="3">
        <v>14.6</v>
      </c>
      <c r="H220">
        <v>14.35</v>
      </c>
      <c r="I220">
        <v>14.8</v>
      </c>
      <c r="J220">
        <v>131412</v>
      </c>
      <c r="K220">
        <v>1921508.65</v>
      </c>
      <c r="L220" s="1">
        <v>45240</v>
      </c>
      <c r="M220">
        <v>448</v>
      </c>
      <c r="N220" t="s">
        <v>444</v>
      </c>
      <c r="O220" s="5">
        <v>45240</v>
      </c>
      <c r="P220" s="5">
        <v>43777</v>
      </c>
    </row>
    <row r="221" spans="1:16" x14ac:dyDescent="0.25">
      <c r="A221" t="s">
        <v>445</v>
      </c>
      <c r="B221" t="str">
        <v>Ashoka Buildcon Limited</v>
      </c>
      <c r="C221" t="s">
        <v>14</v>
      </c>
      <c r="D221">
        <v>139.94999999999999</v>
      </c>
      <c r="E221">
        <v>143.6</v>
      </c>
      <c r="F221">
        <v>136.75</v>
      </c>
      <c r="G221" s="3">
        <v>139.15</v>
      </c>
      <c r="H221">
        <v>139.19999999999999</v>
      </c>
      <c r="I221">
        <v>140.5</v>
      </c>
      <c r="J221">
        <v>2435499</v>
      </c>
      <c r="K221">
        <v>341346978.25</v>
      </c>
      <c r="L221" s="1">
        <v>45240</v>
      </c>
      <c r="M221">
        <v>16602</v>
      </c>
      <c r="N221" t="s">
        <v>447</v>
      </c>
      <c r="O221" s="5">
        <v>45240</v>
      </c>
      <c r="P221" s="5">
        <v>43777</v>
      </c>
    </row>
    <row r="222" spans="1:16" x14ac:dyDescent="0.25">
      <c r="A222" t="s">
        <v>448</v>
      </c>
      <c r="B222" t="str">
        <v>Ashoka Metcast Limited</v>
      </c>
      <c r="C222" t="s">
        <v>14</v>
      </c>
      <c r="D222">
        <v>21.9</v>
      </c>
      <c r="E222">
        <v>21.9</v>
      </c>
      <c r="F222">
        <v>19.649999999999999</v>
      </c>
      <c r="G222" s="3">
        <v>20.350000000000001</v>
      </c>
      <c r="H222">
        <v>20.25</v>
      </c>
      <c r="I222">
        <v>20.5</v>
      </c>
      <c r="J222">
        <v>192275</v>
      </c>
      <c r="K222">
        <v>3930149.25</v>
      </c>
      <c r="L222" s="1">
        <v>45240</v>
      </c>
      <c r="M222">
        <v>2325</v>
      </c>
      <c r="N222" t="s">
        <v>450</v>
      </c>
      <c r="O222" s="5">
        <v>45240</v>
      </c>
      <c r="P222" s="5">
        <v>43777</v>
      </c>
    </row>
    <row r="223" spans="1:16" x14ac:dyDescent="0.25">
      <c r="A223" t="s">
        <v>451</v>
      </c>
      <c r="B223" t="str">
        <v>Ashok Leyland Limited</v>
      </c>
      <c r="C223" t="s">
        <v>14</v>
      </c>
      <c r="D223">
        <v>171.3</v>
      </c>
      <c r="E223">
        <v>174.25</v>
      </c>
      <c r="F223">
        <v>168.55</v>
      </c>
      <c r="G223" s="3">
        <v>173.8</v>
      </c>
      <c r="H223">
        <v>173.75</v>
      </c>
      <c r="I223">
        <v>170.4</v>
      </c>
      <c r="J223">
        <v>11807704</v>
      </c>
      <c r="K223">
        <v>2034699392.1500001</v>
      </c>
      <c r="L223" s="1">
        <v>45240</v>
      </c>
      <c r="M223">
        <v>65258</v>
      </c>
      <c r="N223" t="s">
        <v>453</v>
      </c>
      <c r="O223" s="5">
        <v>45240</v>
      </c>
      <c r="P223" s="5">
        <v>43777</v>
      </c>
    </row>
    <row r="224" spans="1:16" x14ac:dyDescent="0.25">
      <c r="A224" t="s">
        <v>454</v>
      </c>
      <c r="B224" t="str">
        <v>Asian Energy Services Limited</v>
      </c>
      <c r="C224" t="s">
        <v>14</v>
      </c>
      <c r="D224">
        <v>189</v>
      </c>
      <c r="E224">
        <v>189</v>
      </c>
      <c r="F224">
        <v>185.3</v>
      </c>
      <c r="G224" s="3">
        <v>186.25</v>
      </c>
      <c r="H224">
        <v>186</v>
      </c>
      <c r="I224">
        <v>186.4</v>
      </c>
      <c r="J224">
        <v>11855</v>
      </c>
      <c r="K224">
        <v>2218225.9</v>
      </c>
      <c r="L224" s="1">
        <v>45240</v>
      </c>
      <c r="M224">
        <v>557</v>
      </c>
      <c r="N224" t="s">
        <v>456</v>
      </c>
      <c r="O224" s="5">
        <v>45240</v>
      </c>
      <c r="P224" s="5">
        <v>43777</v>
      </c>
    </row>
    <row r="225" spans="1:16" x14ac:dyDescent="0.25">
      <c r="A225" t="s">
        <v>457</v>
      </c>
      <c r="B225" t="str">
        <v>Asian Hotels (North) Limited</v>
      </c>
      <c r="C225" t="s">
        <v>14</v>
      </c>
      <c r="D225">
        <v>201.05</v>
      </c>
      <c r="E225">
        <v>205</v>
      </c>
      <c r="F225">
        <v>200.6</v>
      </c>
      <c r="G225" s="3">
        <v>201.35</v>
      </c>
      <c r="H225">
        <v>201</v>
      </c>
      <c r="I225">
        <v>211.15</v>
      </c>
      <c r="J225">
        <v>29383</v>
      </c>
      <c r="K225">
        <v>5910827.9000000004</v>
      </c>
      <c r="L225" s="1">
        <v>45240</v>
      </c>
      <c r="M225">
        <v>297</v>
      </c>
      <c r="N225" t="s">
        <v>459</v>
      </c>
      <c r="O225" s="5">
        <v>45240</v>
      </c>
      <c r="P225" s="5">
        <v>43777</v>
      </c>
    </row>
    <row r="226" spans="1:16" x14ac:dyDescent="0.25">
      <c r="A226" t="s">
        <v>460</v>
      </c>
      <c r="B226" t="str">
        <v>Asian Paints Limited</v>
      </c>
      <c r="C226" t="s">
        <v>14</v>
      </c>
      <c r="D226">
        <v>3070</v>
      </c>
      <c r="E226">
        <v>3085</v>
      </c>
      <c r="F226">
        <v>3040.1</v>
      </c>
      <c r="G226" s="3">
        <v>3076.45</v>
      </c>
      <c r="H226">
        <v>3080</v>
      </c>
      <c r="I226">
        <v>3080.2</v>
      </c>
      <c r="J226">
        <v>364232</v>
      </c>
      <c r="K226">
        <v>1115647633.3499999</v>
      </c>
      <c r="L226" s="1">
        <v>45240</v>
      </c>
      <c r="M226">
        <v>40004</v>
      </c>
      <c r="N226" t="s">
        <v>462</v>
      </c>
      <c r="O226" s="5">
        <v>45240</v>
      </c>
      <c r="P226" s="5">
        <v>43777</v>
      </c>
    </row>
    <row r="227" spans="1:16" x14ac:dyDescent="0.25">
      <c r="A227" t="s">
        <v>463</v>
      </c>
      <c r="B227" t="str">
        <v>Asian Granito India Limited</v>
      </c>
      <c r="C227" t="s">
        <v>14</v>
      </c>
      <c r="D227">
        <v>79.7</v>
      </c>
      <c r="E227">
        <v>81.95</v>
      </c>
      <c r="F227">
        <v>79.2</v>
      </c>
      <c r="G227" s="3">
        <v>80.650000000000006</v>
      </c>
      <c r="H227">
        <v>80.650000000000006</v>
      </c>
      <c r="I227">
        <v>79.95</v>
      </c>
      <c r="J227">
        <v>1082453</v>
      </c>
      <c r="K227">
        <v>87279166.599999994</v>
      </c>
      <c r="L227" s="1">
        <v>45240</v>
      </c>
      <c r="M227">
        <v>4958</v>
      </c>
      <c r="N227" t="s">
        <v>465</v>
      </c>
      <c r="O227" s="5">
        <v>45240</v>
      </c>
      <c r="P227" s="5">
        <v>43777</v>
      </c>
    </row>
    <row r="228" spans="1:16" x14ac:dyDescent="0.25">
      <c r="A228" t="s">
        <v>6868</v>
      </c>
      <c r="B228" t="str">
        <v>Not Found</v>
      </c>
      <c r="C228" t="s">
        <v>5853</v>
      </c>
      <c r="D228">
        <v>33.4</v>
      </c>
      <c r="E228">
        <v>36</v>
      </c>
      <c r="F228">
        <v>33.4</v>
      </c>
      <c r="G228" s="3">
        <v>36</v>
      </c>
      <c r="H228">
        <v>36</v>
      </c>
      <c r="I228">
        <v>35.15</v>
      </c>
      <c r="J228">
        <v>16000</v>
      </c>
      <c r="K228">
        <v>565400</v>
      </c>
      <c r="L228" s="1">
        <v>45240</v>
      </c>
      <c r="M228">
        <v>4</v>
      </c>
      <c r="N228" t="s">
        <v>6867</v>
      </c>
      <c r="O228" s="5">
        <v>45240</v>
      </c>
      <c r="P228" s="5">
        <v>43777</v>
      </c>
    </row>
    <row r="229" spans="1:16" x14ac:dyDescent="0.25">
      <c r="A229" t="s">
        <v>466</v>
      </c>
      <c r="B229" t="str">
        <v>Bartronics India Limited</v>
      </c>
      <c r="C229" t="s">
        <v>10</v>
      </c>
      <c r="D229">
        <v>17.55</v>
      </c>
      <c r="E229">
        <v>17.55</v>
      </c>
      <c r="F229">
        <v>17.55</v>
      </c>
      <c r="G229" s="3">
        <v>17.55</v>
      </c>
      <c r="H229">
        <v>17.55</v>
      </c>
      <c r="I229">
        <v>17.25</v>
      </c>
      <c r="J229">
        <v>15034</v>
      </c>
      <c r="K229">
        <v>263846.7</v>
      </c>
      <c r="L229" s="1">
        <v>45240</v>
      </c>
      <c r="M229">
        <v>23</v>
      </c>
      <c r="N229" t="s">
        <v>468</v>
      </c>
      <c r="O229" s="5">
        <v>45240</v>
      </c>
      <c r="P229" s="5">
        <v>43777</v>
      </c>
    </row>
    <row r="230" spans="1:16" x14ac:dyDescent="0.25">
      <c r="A230" t="s">
        <v>469</v>
      </c>
      <c r="B230" t="str">
        <v>Aspinwall and Company Limited</v>
      </c>
      <c r="C230" t="s">
        <v>14</v>
      </c>
      <c r="D230">
        <v>240.2</v>
      </c>
      <c r="E230">
        <v>240.2</v>
      </c>
      <c r="F230">
        <v>228.3</v>
      </c>
      <c r="G230" s="3">
        <v>231.85</v>
      </c>
      <c r="H230">
        <v>230.95</v>
      </c>
      <c r="I230">
        <v>233.3</v>
      </c>
      <c r="J230">
        <v>2051</v>
      </c>
      <c r="K230">
        <v>473514.3</v>
      </c>
      <c r="L230" s="1">
        <v>45240</v>
      </c>
      <c r="M230">
        <v>133</v>
      </c>
      <c r="N230" t="s">
        <v>471</v>
      </c>
      <c r="O230" s="5">
        <v>45240</v>
      </c>
      <c r="P230" s="5">
        <v>43777</v>
      </c>
    </row>
    <row r="231" spans="1:16" x14ac:dyDescent="0.25">
      <c r="A231" t="s">
        <v>472</v>
      </c>
      <c r="B231" t="str">
        <v>Astec LifeSciences Limited</v>
      </c>
      <c r="C231" t="s">
        <v>14</v>
      </c>
      <c r="D231">
        <v>1230.25</v>
      </c>
      <c r="E231">
        <v>1260.6500000000001</v>
      </c>
      <c r="F231">
        <v>1224.95</v>
      </c>
      <c r="G231" s="3">
        <v>1248.5</v>
      </c>
      <c r="H231">
        <v>1241</v>
      </c>
      <c r="I231">
        <v>1226.05</v>
      </c>
      <c r="J231">
        <v>7415</v>
      </c>
      <c r="K231">
        <v>9220176</v>
      </c>
      <c r="L231" s="1">
        <v>45240</v>
      </c>
      <c r="M231">
        <v>961</v>
      </c>
      <c r="N231" t="s">
        <v>474</v>
      </c>
      <c r="O231" s="5">
        <v>45240</v>
      </c>
      <c r="P231" s="5">
        <v>43777</v>
      </c>
    </row>
    <row r="232" spans="1:16" x14ac:dyDescent="0.25">
      <c r="A232" t="s">
        <v>475</v>
      </c>
      <c r="B232" t="str">
        <v>Aster DM Healthcare Limited</v>
      </c>
      <c r="C232" t="s">
        <v>14</v>
      </c>
      <c r="D232">
        <v>333.65</v>
      </c>
      <c r="E232">
        <v>341.3</v>
      </c>
      <c r="F232">
        <v>329.8</v>
      </c>
      <c r="G232" s="3">
        <v>339.35</v>
      </c>
      <c r="H232">
        <v>337.2</v>
      </c>
      <c r="I232">
        <v>333.1</v>
      </c>
      <c r="J232">
        <v>165661</v>
      </c>
      <c r="K232">
        <v>55837997.850000001</v>
      </c>
      <c r="L232" s="1">
        <v>45240</v>
      </c>
      <c r="M232">
        <v>7241</v>
      </c>
      <c r="N232" t="s">
        <v>477</v>
      </c>
      <c r="O232" s="5">
        <v>45240</v>
      </c>
      <c r="P232" s="5">
        <v>43777</v>
      </c>
    </row>
    <row r="233" spans="1:16" x14ac:dyDescent="0.25">
      <c r="A233" t="s">
        <v>478</v>
      </c>
      <c r="B233" t="str">
        <v>Astral Limited</v>
      </c>
      <c r="C233" t="s">
        <v>14</v>
      </c>
      <c r="D233">
        <v>1890</v>
      </c>
      <c r="E233">
        <v>1902</v>
      </c>
      <c r="F233">
        <v>1876.05</v>
      </c>
      <c r="G233" s="3">
        <v>1891.35</v>
      </c>
      <c r="H233">
        <v>1890.25</v>
      </c>
      <c r="I233">
        <v>1899.25</v>
      </c>
      <c r="J233">
        <v>137779</v>
      </c>
      <c r="K233">
        <v>260277791.80000001</v>
      </c>
      <c r="L233" s="1">
        <v>45240</v>
      </c>
      <c r="M233">
        <v>17168</v>
      </c>
      <c r="N233" t="s">
        <v>480</v>
      </c>
      <c r="O233" s="5">
        <v>45240</v>
      </c>
      <c r="P233" s="5">
        <v>43777</v>
      </c>
    </row>
    <row r="234" spans="1:16" x14ac:dyDescent="0.25">
      <c r="A234" t="s">
        <v>481</v>
      </c>
      <c r="B234" t="str">
        <v>Astra Microwave Products Limited</v>
      </c>
      <c r="C234" t="s">
        <v>14</v>
      </c>
      <c r="D234">
        <v>508.45</v>
      </c>
      <c r="E234">
        <v>521.5</v>
      </c>
      <c r="F234">
        <v>506</v>
      </c>
      <c r="G234" s="3">
        <v>516.45000000000005</v>
      </c>
      <c r="H234">
        <v>518.65</v>
      </c>
      <c r="I234">
        <v>505.3</v>
      </c>
      <c r="J234">
        <v>951270</v>
      </c>
      <c r="K234">
        <v>489426024.85000002</v>
      </c>
      <c r="L234" s="1">
        <v>45240</v>
      </c>
      <c r="M234">
        <v>26320</v>
      </c>
      <c r="N234" t="s">
        <v>483</v>
      </c>
      <c r="O234" s="5">
        <v>45240</v>
      </c>
      <c r="P234" s="5">
        <v>43777</v>
      </c>
    </row>
    <row r="235" spans="1:16" x14ac:dyDescent="0.25">
      <c r="A235" t="s">
        <v>484</v>
      </c>
      <c r="B235" t="str">
        <v>AstraZeneca Pharma India Limited</v>
      </c>
      <c r="C235" t="s">
        <v>14</v>
      </c>
      <c r="D235">
        <v>4912.6000000000004</v>
      </c>
      <c r="E235">
        <v>4996.8999999999996</v>
      </c>
      <c r="F235">
        <v>4650</v>
      </c>
      <c r="G235" s="3">
        <v>4652.8999999999996</v>
      </c>
      <c r="H235">
        <v>4650</v>
      </c>
      <c r="I235">
        <v>4912.6000000000004</v>
      </c>
      <c r="J235">
        <v>51480</v>
      </c>
      <c r="K235">
        <v>244027393.44999999</v>
      </c>
      <c r="L235" s="1">
        <v>45240</v>
      </c>
      <c r="M235">
        <v>11599</v>
      </c>
      <c r="N235" t="s">
        <v>486</v>
      </c>
      <c r="O235" s="5">
        <v>45240</v>
      </c>
      <c r="P235" s="5">
        <v>43777</v>
      </c>
    </row>
    <row r="236" spans="1:16" x14ac:dyDescent="0.25">
      <c r="A236" t="s">
        <v>487</v>
      </c>
      <c r="B236" t="str">
        <v>Astron Paper &amp; Board Mill Limited</v>
      </c>
      <c r="C236" t="s">
        <v>10</v>
      </c>
      <c r="D236">
        <v>30.3</v>
      </c>
      <c r="E236">
        <v>30.3</v>
      </c>
      <c r="F236">
        <v>28.5</v>
      </c>
      <c r="G236" s="3">
        <v>28.7</v>
      </c>
      <c r="H236">
        <v>28.7</v>
      </c>
      <c r="I236">
        <v>29</v>
      </c>
      <c r="J236">
        <v>12287</v>
      </c>
      <c r="K236">
        <v>360485.75</v>
      </c>
      <c r="L236" s="1">
        <v>45240</v>
      </c>
      <c r="M236">
        <v>93</v>
      </c>
      <c r="N236" t="s">
        <v>489</v>
      </c>
      <c r="O236" s="5">
        <v>45240</v>
      </c>
      <c r="P236" s="5">
        <v>43777</v>
      </c>
    </row>
    <row r="237" spans="1:16" x14ac:dyDescent="0.25">
      <c r="A237" t="s">
        <v>490</v>
      </c>
      <c r="B237" t="str">
        <v>Atal Realtech Limited</v>
      </c>
      <c r="C237" t="s">
        <v>10</v>
      </c>
      <c r="D237">
        <v>67.150000000000006</v>
      </c>
      <c r="E237">
        <v>68.8</v>
      </c>
      <c r="F237">
        <v>66.400000000000006</v>
      </c>
      <c r="G237" s="3">
        <v>68.45</v>
      </c>
      <c r="H237">
        <v>68.650000000000006</v>
      </c>
      <c r="I237">
        <v>67.150000000000006</v>
      </c>
      <c r="J237">
        <v>15115</v>
      </c>
      <c r="K237">
        <v>1023524.05</v>
      </c>
      <c r="L237" s="1">
        <v>45240</v>
      </c>
      <c r="M237">
        <v>183</v>
      </c>
      <c r="N237" t="s">
        <v>492</v>
      </c>
      <c r="O237" s="5">
        <v>45240</v>
      </c>
      <c r="P237" s="5">
        <v>43777</v>
      </c>
    </row>
    <row r="238" spans="1:16" x14ac:dyDescent="0.25">
      <c r="A238" t="s">
        <v>493</v>
      </c>
      <c r="B238" t="str">
        <v>Atam Valves Limited</v>
      </c>
      <c r="C238" t="s">
        <v>14</v>
      </c>
      <c r="D238">
        <v>150.94999999999999</v>
      </c>
      <c r="E238">
        <v>152.55000000000001</v>
      </c>
      <c r="F238">
        <v>147.30000000000001</v>
      </c>
      <c r="G238" s="3">
        <v>150.6</v>
      </c>
      <c r="H238">
        <v>149.30000000000001</v>
      </c>
      <c r="I238">
        <v>149.5</v>
      </c>
      <c r="J238">
        <v>11581</v>
      </c>
      <c r="K238">
        <v>1739523.15</v>
      </c>
      <c r="L238" s="1">
        <v>45240</v>
      </c>
      <c r="M238">
        <v>673</v>
      </c>
      <c r="N238" t="s">
        <v>495</v>
      </c>
      <c r="O238" s="5">
        <v>45240</v>
      </c>
      <c r="P238" s="5">
        <v>43777</v>
      </c>
    </row>
    <row r="239" spans="1:16" x14ac:dyDescent="0.25">
      <c r="A239" t="s">
        <v>496</v>
      </c>
      <c r="B239" t="str">
        <v>Agro Tech Foods Limited</v>
      </c>
      <c r="C239" t="s">
        <v>14</v>
      </c>
      <c r="D239">
        <v>803.9</v>
      </c>
      <c r="E239">
        <v>803.9</v>
      </c>
      <c r="F239">
        <v>782.4</v>
      </c>
      <c r="G239" s="3">
        <v>788.35</v>
      </c>
      <c r="H239">
        <v>786</v>
      </c>
      <c r="I239">
        <v>802.15</v>
      </c>
      <c r="J239">
        <v>5110</v>
      </c>
      <c r="K239">
        <v>4046115.1</v>
      </c>
      <c r="L239" s="1">
        <v>45240</v>
      </c>
      <c r="M239">
        <v>610</v>
      </c>
      <c r="N239" t="s">
        <v>498</v>
      </c>
      <c r="O239" s="5">
        <v>45240</v>
      </c>
      <c r="P239" s="5">
        <v>43777</v>
      </c>
    </row>
    <row r="240" spans="1:16" x14ac:dyDescent="0.25">
      <c r="A240" t="s">
        <v>499</v>
      </c>
      <c r="B240" t="str">
        <v>Adani Total Gas Limited</v>
      </c>
      <c r="C240" t="s">
        <v>14</v>
      </c>
      <c r="D240">
        <v>535</v>
      </c>
      <c r="E240">
        <v>542.20000000000005</v>
      </c>
      <c r="F240">
        <v>532</v>
      </c>
      <c r="G240" s="3">
        <v>539.5</v>
      </c>
      <c r="H240">
        <v>540</v>
      </c>
      <c r="I240">
        <v>535</v>
      </c>
      <c r="J240">
        <v>292745</v>
      </c>
      <c r="K240">
        <v>157707320.44999999</v>
      </c>
      <c r="L240" s="1">
        <v>45240</v>
      </c>
      <c r="M240">
        <v>11652</v>
      </c>
      <c r="N240" t="s">
        <v>501</v>
      </c>
      <c r="O240" s="5">
        <v>45240</v>
      </c>
      <c r="P240" s="5">
        <v>43777</v>
      </c>
    </row>
    <row r="241" spans="1:16" x14ac:dyDescent="0.25">
      <c r="A241" t="s">
        <v>502</v>
      </c>
      <c r="B241" t="str">
        <v>Allcargo Terminals Limited</v>
      </c>
      <c r="C241" t="s">
        <v>14</v>
      </c>
      <c r="D241">
        <v>41.5</v>
      </c>
      <c r="E241">
        <v>42.5</v>
      </c>
      <c r="F241">
        <v>41</v>
      </c>
      <c r="G241" s="3">
        <v>41.35</v>
      </c>
      <c r="H241">
        <v>41.25</v>
      </c>
      <c r="I241">
        <v>41.5</v>
      </c>
      <c r="J241">
        <v>819462</v>
      </c>
      <c r="K241">
        <v>34041912.799999997</v>
      </c>
      <c r="L241" s="1">
        <v>45240</v>
      </c>
      <c r="M241">
        <v>2868</v>
      </c>
      <c r="N241" t="s">
        <v>504</v>
      </c>
      <c r="O241" s="5">
        <v>45240</v>
      </c>
      <c r="P241" s="5">
        <v>43777</v>
      </c>
    </row>
    <row r="242" spans="1:16" x14ac:dyDescent="0.25">
      <c r="A242" t="s">
        <v>505</v>
      </c>
      <c r="B242" t="str">
        <v>Atlanta  Limited</v>
      </c>
      <c r="C242" t="s">
        <v>14</v>
      </c>
      <c r="D242">
        <v>17.75</v>
      </c>
      <c r="E242">
        <v>17.850000000000001</v>
      </c>
      <c r="F242">
        <v>17.5</v>
      </c>
      <c r="G242" s="3">
        <v>17.850000000000001</v>
      </c>
      <c r="H242">
        <v>17.850000000000001</v>
      </c>
      <c r="I242">
        <v>17</v>
      </c>
      <c r="J242">
        <v>54270</v>
      </c>
      <c r="K242">
        <v>967979.65</v>
      </c>
      <c r="L242" s="1">
        <v>45240</v>
      </c>
      <c r="M242">
        <v>156</v>
      </c>
      <c r="N242" t="s">
        <v>507</v>
      </c>
      <c r="O242" s="5">
        <v>45240</v>
      </c>
      <c r="P242" s="5">
        <v>43777</v>
      </c>
    </row>
    <row r="243" spans="1:16" x14ac:dyDescent="0.25">
      <c r="A243" t="s">
        <v>508</v>
      </c>
      <c r="B243" t="str">
        <v>Atul Limited</v>
      </c>
      <c r="C243" t="s">
        <v>14</v>
      </c>
      <c r="D243">
        <v>6641.6</v>
      </c>
      <c r="E243">
        <v>6682.75</v>
      </c>
      <c r="F243">
        <v>6606</v>
      </c>
      <c r="G243" s="3">
        <v>6651.3</v>
      </c>
      <c r="H243">
        <v>6651.4</v>
      </c>
      <c r="I243">
        <v>6641.6</v>
      </c>
      <c r="J243">
        <v>30679</v>
      </c>
      <c r="K243">
        <v>203978730.44999999</v>
      </c>
      <c r="L243" s="1">
        <v>45240</v>
      </c>
      <c r="M243">
        <v>4161</v>
      </c>
      <c r="N243" t="s">
        <v>510</v>
      </c>
      <c r="O243" s="5">
        <v>45240</v>
      </c>
      <c r="P243" s="5">
        <v>43777</v>
      </c>
    </row>
    <row r="244" spans="1:16" x14ac:dyDescent="0.25">
      <c r="A244" t="s">
        <v>511</v>
      </c>
      <c r="B244" t="str">
        <v>Atul Auto Limited</v>
      </c>
      <c r="C244" t="s">
        <v>14</v>
      </c>
      <c r="D244">
        <v>628.4</v>
      </c>
      <c r="E244">
        <v>637.5</v>
      </c>
      <c r="F244">
        <v>626.15</v>
      </c>
      <c r="G244" s="3">
        <v>630.70000000000005</v>
      </c>
      <c r="H244">
        <v>628.25</v>
      </c>
      <c r="I244">
        <v>623.6</v>
      </c>
      <c r="J244">
        <v>111230</v>
      </c>
      <c r="K244">
        <v>70323075.200000003</v>
      </c>
      <c r="L244" s="1">
        <v>45240</v>
      </c>
      <c r="M244">
        <v>3632</v>
      </c>
      <c r="N244" t="s">
        <v>513</v>
      </c>
      <c r="O244" s="5">
        <v>45240</v>
      </c>
      <c r="P244" s="5">
        <v>43777</v>
      </c>
    </row>
    <row r="245" spans="1:16" x14ac:dyDescent="0.25">
      <c r="A245" t="s">
        <v>514</v>
      </c>
      <c r="B245" t="str">
        <v>AU Small Finance Bank Limited</v>
      </c>
      <c r="C245" t="s">
        <v>14</v>
      </c>
      <c r="D245">
        <v>689.8</v>
      </c>
      <c r="E245">
        <v>700.55</v>
      </c>
      <c r="F245">
        <v>683.4</v>
      </c>
      <c r="G245" s="3">
        <v>699.25</v>
      </c>
      <c r="H245">
        <v>700</v>
      </c>
      <c r="I245">
        <v>690.55</v>
      </c>
      <c r="J245">
        <v>1514007</v>
      </c>
      <c r="K245">
        <v>1054489971.55</v>
      </c>
      <c r="L245" s="1">
        <v>45240</v>
      </c>
      <c r="M245">
        <v>35646</v>
      </c>
      <c r="N245" t="s">
        <v>516</v>
      </c>
      <c r="O245" s="5">
        <v>45240</v>
      </c>
      <c r="P245" s="5">
        <v>43777</v>
      </c>
    </row>
    <row r="246" spans="1:16" x14ac:dyDescent="0.25">
      <c r="A246" t="s">
        <v>6866</v>
      </c>
      <c r="B246" t="str">
        <v>Not Found</v>
      </c>
      <c r="C246" t="s">
        <v>5788</v>
      </c>
      <c r="D246">
        <v>225</v>
      </c>
      <c r="E246">
        <v>231.35</v>
      </c>
      <c r="F246">
        <v>220</v>
      </c>
      <c r="G246" s="3">
        <v>231.15</v>
      </c>
      <c r="H246">
        <v>231.35</v>
      </c>
      <c r="I246">
        <v>222.6</v>
      </c>
      <c r="J246">
        <v>8500</v>
      </c>
      <c r="K246">
        <v>1933950</v>
      </c>
      <c r="L246" s="1">
        <v>45240</v>
      </c>
      <c r="M246">
        <v>15</v>
      </c>
      <c r="N246" t="s">
        <v>6865</v>
      </c>
      <c r="O246" s="5">
        <v>45240</v>
      </c>
      <c r="P246" s="5">
        <v>43777</v>
      </c>
    </row>
    <row r="247" spans="1:16" x14ac:dyDescent="0.25">
      <c r="A247" t="s">
        <v>517</v>
      </c>
      <c r="B247" t="str">
        <v>Aurionpro Solutions Limited</v>
      </c>
      <c r="C247" t="s">
        <v>10</v>
      </c>
      <c r="D247">
        <v>1792.85</v>
      </c>
      <c r="E247">
        <v>1819</v>
      </c>
      <c r="F247">
        <v>1716</v>
      </c>
      <c r="G247" s="3">
        <v>1767.3</v>
      </c>
      <c r="H247">
        <v>1778</v>
      </c>
      <c r="I247">
        <v>1792.85</v>
      </c>
      <c r="J247">
        <v>6541</v>
      </c>
      <c r="K247">
        <v>11576649.15</v>
      </c>
      <c r="L247" s="1">
        <v>45240</v>
      </c>
      <c r="M247">
        <v>532</v>
      </c>
      <c r="N247" t="s">
        <v>519</v>
      </c>
      <c r="O247" s="5">
        <v>45240</v>
      </c>
      <c r="P247" s="5">
        <v>43777</v>
      </c>
    </row>
    <row r="248" spans="1:16" x14ac:dyDescent="0.25">
      <c r="A248" t="s">
        <v>6864</v>
      </c>
      <c r="B248" t="str">
        <v>Not Found</v>
      </c>
      <c r="C248" t="s">
        <v>5788</v>
      </c>
      <c r="D248">
        <v>64.3</v>
      </c>
      <c r="E248">
        <v>64.349999999999994</v>
      </c>
      <c r="F248">
        <v>63</v>
      </c>
      <c r="G248" s="3">
        <v>63.6</v>
      </c>
      <c r="H248">
        <v>63.6</v>
      </c>
      <c r="I248">
        <v>62.7</v>
      </c>
      <c r="J248">
        <v>22400</v>
      </c>
      <c r="K248">
        <v>1424880</v>
      </c>
      <c r="L248" s="1">
        <v>45240</v>
      </c>
      <c r="M248">
        <v>14</v>
      </c>
      <c r="N248" t="s">
        <v>6863</v>
      </c>
      <c r="O248" s="5">
        <v>45240</v>
      </c>
      <c r="P248" s="5">
        <v>43777</v>
      </c>
    </row>
    <row r="249" spans="1:16" x14ac:dyDescent="0.25">
      <c r="A249" t="s">
        <v>520</v>
      </c>
      <c r="B249" t="str">
        <v>Aurobindo Pharma Limited</v>
      </c>
      <c r="C249" t="s">
        <v>14</v>
      </c>
      <c r="D249">
        <v>964</v>
      </c>
      <c r="E249">
        <v>984</v>
      </c>
      <c r="F249">
        <v>941.55</v>
      </c>
      <c r="G249" s="3">
        <v>979.7</v>
      </c>
      <c r="H249">
        <v>977.15</v>
      </c>
      <c r="I249">
        <v>950.75</v>
      </c>
      <c r="J249">
        <v>5495149</v>
      </c>
      <c r="K249">
        <v>5323413894.25</v>
      </c>
      <c r="L249" s="1">
        <v>45240</v>
      </c>
      <c r="M249">
        <v>123031</v>
      </c>
      <c r="N249" t="s">
        <v>522</v>
      </c>
      <c r="O249" s="5">
        <v>45240</v>
      </c>
      <c r="P249" s="5">
        <v>43777</v>
      </c>
    </row>
    <row r="250" spans="1:16" x14ac:dyDescent="0.25">
      <c r="A250" t="s">
        <v>523</v>
      </c>
      <c r="B250" t="str">
        <v>Aurum PropTech Limited</v>
      </c>
      <c r="C250" t="s">
        <v>14</v>
      </c>
      <c r="D250">
        <v>132</v>
      </c>
      <c r="E250">
        <v>135.9</v>
      </c>
      <c r="F250">
        <v>132</v>
      </c>
      <c r="G250" s="3">
        <v>133.6</v>
      </c>
      <c r="H250">
        <v>135</v>
      </c>
      <c r="I250">
        <v>133</v>
      </c>
      <c r="J250">
        <v>66389</v>
      </c>
      <c r="K250">
        <v>8880200.5500000007</v>
      </c>
      <c r="L250" s="1">
        <v>45240</v>
      </c>
      <c r="M250">
        <v>1263</v>
      </c>
      <c r="N250" t="s">
        <v>525</v>
      </c>
      <c r="O250" s="5">
        <v>45240</v>
      </c>
      <c r="P250" s="5">
        <v>43777</v>
      </c>
    </row>
    <row r="251" spans="1:16" x14ac:dyDescent="0.25">
      <c r="A251" t="s">
        <v>6862</v>
      </c>
      <c r="B251" t="str">
        <v>Not Found</v>
      </c>
      <c r="C251" t="s">
        <v>6796</v>
      </c>
      <c r="D251">
        <v>68.7</v>
      </c>
      <c r="E251">
        <v>70</v>
      </c>
      <c r="F251">
        <v>66.599999999999994</v>
      </c>
      <c r="G251" s="3">
        <v>68.400000000000006</v>
      </c>
      <c r="H251">
        <v>68.400000000000006</v>
      </c>
      <c r="I251">
        <v>68.45</v>
      </c>
      <c r="J251">
        <v>7804</v>
      </c>
      <c r="K251">
        <v>534040.75</v>
      </c>
      <c r="L251" s="1">
        <v>45240</v>
      </c>
      <c r="M251">
        <v>84</v>
      </c>
      <c r="N251" t="s">
        <v>6861</v>
      </c>
      <c r="O251" s="5">
        <v>45240</v>
      </c>
      <c r="P251" s="5">
        <v>43777</v>
      </c>
    </row>
    <row r="252" spans="1:16" x14ac:dyDescent="0.25">
      <c r="A252" t="s">
        <v>526</v>
      </c>
      <c r="B252" t="str">
        <v>Ausom Enterprise Limited</v>
      </c>
      <c r="C252" t="s">
        <v>10</v>
      </c>
      <c r="D252">
        <v>70.599999999999994</v>
      </c>
      <c r="E252">
        <v>70.599999999999994</v>
      </c>
      <c r="F252">
        <v>68.05</v>
      </c>
      <c r="G252" s="3">
        <v>69.349999999999994</v>
      </c>
      <c r="H252">
        <v>69.599999999999994</v>
      </c>
      <c r="I252">
        <v>67.3</v>
      </c>
      <c r="J252">
        <v>1271</v>
      </c>
      <c r="K252">
        <v>88308.45</v>
      </c>
      <c r="L252" s="1">
        <v>45240</v>
      </c>
      <c r="M252">
        <v>22</v>
      </c>
      <c r="N252" t="s">
        <v>528</v>
      </c>
      <c r="O252" s="5">
        <v>45240</v>
      </c>
      <c r="P252" s="5">
        <v>43777</v>
      </c>
    </row>
    <row r="253" spans="1:16" x14ac:dyDescent="0.25">
      <c r="A253" t="s">
        <v>529</v>
      </c>
      <c r="B253" t="str">
        <v>Automotive Axles Limited</v>
      </c>
      <c r="C253" t="s">
        <v>14</v>
      </c>
      <c r="D253">
        <v>2380.6999999999998</v>
      </c>
      <c r="E253">
        <v>2389.9499999999998</v>
      </c>
      <c r="F253">
        <v>2335</v>
      </c>
      <c r="G253" s="3">
        <v>2346.6999999999998</v>
      </c>
      <c r="H253">
        <v>2355</v>
      </c>
      <c r="I253">
        <v>2368.85</v>
      </c>
      <c r="J253">
        <v>12566</v>
      </c>
      <c r="K253">
        <v>29578392.949999999</v>
      </c>
      <c r="L253" s="1">
        <v>45240</v>
      </c>
      <c r="M253">
        <v>2534</v>
      </c>
      <c r="N253" t="s">
        <v>531</v>
      </c>
      <c r="O253" s="5">
        <v>45240</v>
      </c>
      <c r="P253" s="5">
        <v>43777</v>
      </c>
    </row>
    <row r="254" spans="1:16" x14ac:dyDescent="0.25">
      <c r="A254" t="s">
        <v>6860</v>
      </c>
      <c r="B254" t="str">
        <v>Not Found</v>
      </c>
      <c r="C254" t="s">
        <v>14</v>
      </c>
      <c r="D254">
        <v>165.99</v>
      </c>
      <c r="E254">
        <v>166.09</v>
      </c>
      <c r="F254">
        <v>164.45</v>
      </c>
      <c r="G254" s="3">
        <v>165.18</v>
      </c>
      <c r="H254">
        <v>165.74</v>
      </c>
      <c r="I254">
        <v>165.96</v>
      </c>
      <c r="J254">
        <v>45214</v>
      </c>
      <c r="K254">
        <v>7467975.1600000001</v>
      </c>
      <c r="L254" s="1">
        <v>45240</v>
      </c>
      <c r="M254">
        <v>992</v>
      </c>
      <c r="N254" t="s">
        <v>6859</v>
      </c>
      <c r="O254" s="5">
        <v>45240</v>
      </c>
      <c r="P254" s="5">
        <v>43777</v>
      </c>
    </row>
    <row r="255" spans="1:16" x14ac:dyDescent="0.25">
      <c r="A255" t="s">
        <v>532</v>
      </c>
      <c r="B255" t="str">
        <v>Autoline Industries Limited</v>
      </c>
      <c r="C255" t="s">
        <v>10</v>
      </c>
      <c r="D255">
        <v>100.75</v>
      </c>
      <c r="E255">
        <v>100.75</v>
      </c>
      <c r="F255">
        <v>100.75</v>
      </c>
      <c r="G255" s="3">
        <v>100.75</v>
      </c>
      <c r="H255">
        <v>100.75</v>
      </c>
      <c r="I255">
        <v>102.8</v>
      </c>
      <c r="J255">
        <v>44739</v>
      </c>
      <c r="K255">
        <v>4507454.25</v>
      </c>
      <c r="L255" s="1">
        <v>45240</v>
      </c>
      <c r="M255">
        <v>116</v>
      </c>
      <c r="N255" t="s">
        <v>534</v>
      </c>
      <c r="O255" s="5">
        <v>45240</v>
      </c>
      <c r="P255" s="5">
        <v>43777</v>
      </c>
    </row>
    <row r="256" spans="1:16" x14ac:dyDescent="0.25">
      <c r="A256" t="s">
        <v>535</v>
      </c>
      <c r="B256" t="str">
        <v>Avadh Sugar &amp; Energy Limited</v>
      </c>
      <c r="C256" t="s">
        <v>14</v>
      </c>
      <c r="D256">
        <v>700</v>
      </c>
      <c r="E256">
        <v>716.35</v>
      </c>
      <c r="F256">
        <v>696.1</v>
      </c>
      <c r="G256" s="3">
        <v>702.1</v>
      </c>
      <c r="H256">
        <v>702</v>
      </c>
      <c r="I256">
        <v>702.8</v>
      </c>
      <c r="J256">
        <v>92841</v>
      </c>
      <c r="K256">
        <v>65421620.549999997</v>
      </c>
      <c r="L256" s="1">
        <v>45240</v>
      </c>
      <c r="M256">
        <v>5659</v>
      </c>
      <c r="N256" t="s">
        <v>537</v>
      </c>
      <c r="O256" s="5">
        <v>45240</v>
      </c>
      <c r="P256" s="5">
        <v>43777</v>
      </c>
    </row>
    <row r="257" spans="1:16" x14ac:dyDescent="0.25">
      <c r="A257" t="s">
        <v>538</v>
      </c>
      <c r="B257" t="str">
        <v>Avalon Technologies Limited</v>
      </c>
      <c r="C257" t="s">
        <v>14</v>
      </c>
      <c r="D257">
        <v>488.05</v>
      </c>
      <c r="E257">
        <v>491.9</v>
      </c>
      <c r="F257">
        <v>470.5</v>
      </c>
      <c r="G257" s="3">
        <v>472.35</v>
      </c>
      <c r="H257">
        <v>473</v>
      </c>
      <c r="I257">
        <v>486.7</v>
      </c>
      <c r="J257">
        <v>329700</v>
      </c>
      <c r="K257">
        <v>157932904</v>
      </c>
      <c r="L257" s="1">
        <v>45240</v>
      </c>
      <c r="M257">
        <v>17845</v>
      </c>
      <c r="N257" t="s">
        <v>540</v>
      </c>
      <c r="O257" s="5">
        <v>45240</v>
      </c>
      <c r="P257" s="5">
        <v>43777</v>
      </c>
    </row>
    <row r="258" spans="1:16" x14ac:dyDescent="0.25">
      <c r="A258" t="s">
        <v>541</v>
      </c>
      <c r="B258" t="str">
        <v>Avanti Feeds Limited</v>
      </c>
      <c r="C258" t="s">
        <v>14</v>
      </c>
      <c r="D258">
        <v>394.6</v>
      </c>
      <c r="E258">
        <v>396.75</v>
      </c>
      <c r="F258">
        <v>393.3</v>
      </c>
      <c r="G258" s="3">
        <v>395.85</v>
      </c>
      <c r="H258">
        <v>396.5</v>
      </c>
      <c r="I258">
        <v>394.7</v>
      </c>
      <c r="J258">
        <v>60458</v>
      </c>
      <c r="K258">
        <v>23876532.899999999</v>
      </c>
      <c r="L258" s="1">
        <v>45240</v>
      </c>
      <c r="M258">
        <v>3301</v>
      </c>
      <c r="N258" t="s">
        <v>543</v>
      </c>
      <c r="O258" s="5">
        <v>45240</v>
      </c>
      <c r="P258" s="5">
        <v>43777</v>
      </c>
    </row>
    <row r="259" spans="1:16" x14ac:dyDescent="0.25">
      <c r="A259" t="s">
        <v>544</v>
      </c>
      <c r="B259" t="str">
        <v>AVG Logistics Limited</v>
      </c>
      <c r="C259" t="s">
        <v>14</v>
      </c>
      <c r="D259">
        <v>285</v>
      </c>
      <c r="E259">
        <v>290</v>
      </c>
      <c r="F259">
        <v>279.35000000000002</v>
      </c>
      <c r="G259" s="3">
        <v>288.3</v>
      </c>
      <c r="H259">
        <v>289.89999999999998</v>
      </c>
      <c r="I259">
        <v>284.7</v>
      </c>
      <c r="J259">
        <v>27148</v>
      </c>
      <c r="K259">
        <v>7749600.3499999996</v>
      </c>
      <c r="L259" s="1">
        <v>45240</v>
      </c>
      <c r="M259">
        <v>723</v>
      </c>
      <c r="N259" t="s">
        <v>546</v>
      </c>
      <c r="O259" s="5">
        <v>45240</v>
      </c>
      <c r="P259" s="5">
        <v>43777</v>
      </c>
    </row>
    <row r="260" spans="1:16" x14ac:dyDescent="0.25">
      <c r="A260" t="s">
        <v>547</v>
      </c>
      <c r="B260" t="str">
        <v>Avonmore Capital &amp; Management Services Limited</v>
      </c>
      <c r="C260" t="s">
        <v>14</v>
      </c>
      <c r="D260">
        <v>83.8</v>
      </c>
      <c r="E260">
        <v>84.15</v>
      </c>
      <c r="F260">
        <v>75</v>
      </c>
      <c r="G260" s="3">
        <v>77.45</v>
      </c>
      <c r="H260">
        <v>77.650000000000006</v>
      </c>
      <c r="I260">
        <v>81.95</v>
      </c>
      <c r="J260">
        <v>63318</v>
      </c>
      <c r="K260">
        <v>4993077.5999999996</v>
      </c>
      <c r="L260" s="1">
        <v>45240</v>
      </c>
      <c r="M260">
        <v>1363</v>
      </c>
      <c r="N260" t="s">
        <v>549</v>
      </c>
      <c r="O260" s="5">
        <v>45240</v>
      </c>
      <c r="P260" s="5">
        <v>43777</v>
      </c>
    </row>
    <row r="261" spans="1:16" x14ac:dyDescent="0.25">
      <c r="A261" t="s">
        <v>550</v>
      </c>
      <c r="B261" t="str">
        <v>AVRO INDIA LIMITED</v>
      </c>
      <c r="C261" t="s">
        <v>14</v>
      </c>
      <c r="D261">
        <v>102.45</v>
      </c>
      <c r="E261">
        <v>102.95</v>
      </c>
      <c r="F261">
        <v>100.5</v>
      </c>
      <c r="G261" s="3">
        <v>101.75</v>
      </c>
      <c r="H261">
        <v>102</v>
      </c>
      <c r="I261">
        <v>101.65</v>
      </c>
      <c r="J261">
        <v>15279</v>
      </c>
      <c r="K261">
        <v>1555856.55</v>
      </c>
      <c r="L261" s="1">
        <v>45240</v>
      </c>
      <c r="M261">
        <v>326</v>
      </c>
      <c r="N261" t="s">
        <v>552</v>
      </c>
      <c r="O261" s="5">
        <v>45240</v>
      </c>
      <c r="P261" s="5">
        <v>43777</v>
      </c>
    </row>
    <row r="262" spans="1:16" x14ac:dyDescent="0.25">
      <c r="A262" t="s">
        <v>553</v>
      </c>
      <c r="B262" t="str">
        <v>AVT Natural Products Limited</v>
      </c>
      <c r="C262" t="s">
        <v>14</v>
      </c>
      <c r="D262">
        <v>88.25</v>
      </c>
      <c r="E262">
        <v>93</v>
      </c>
      <c r="F262">
        <v>85.8</v>
      </c>
      <c r="G262" s="3">
        <v>88.65</v>
      </c>
      <c r="H262">
        <v>89</v>
      </c>
      <c r="I262">
        <v>89.05</v>
      </c>
      <c r="J262">
        <v>571384</v>
      </c>
      <c r="K262">
        <v>51075229.049999997</v>
      </c>
      <c r="L262" s="1">
        <v>45240</v>
      </c>
      <c r="M262">
        <v>5838</v>
      </c>
      <c r="N262" t="s">
        <v>555</v>
      </c>
      <c r="O262" s="5">
        <v>45240</v>
      </c>
      <c r="P262" s="5">
        <v>43777</v>
      </c>
    </row>
    <row r="263" spans="1:16" x14ac:dyDescent="0.25">
      <c r="A263" t="s">
        <v>556</v>
      </c>
      <c r="B263" t="str">
        <v>Antony Waste Handling Cell Limited</v>
      </c>
      <c r="C263" t="s">
        <v>14</v>
      </c>
      <c r="D263">
        <v>410</v>
      </c>
      <c r="E263">
        <v>474</v>
      </c>
      <c r="F263">
        <v>396.2</v>
      </c>
      <c r="G263" s="3">
        <v>453.95</v>
      </c>
      <c r="H263">
        <v>455</v>
      </c>
      <c r="I263">
        <v>402.45</v>
      </c>
      <c r="J263">
        <v>3819268</v>
      </c>
      <c r="K263">
        <v>1709011510.05</v>
      </c>
      <c r="L263" s="1">
        <v>45240</v>
      </c>
      <c r="M263">
        <v>112302</v>
      </c>
      <c r="N263" t="s">
        <v>558</v>
      </c>
      <c r="O263" s="5">
        <v>45240</v>
      </c>
      <c r="P263" s="5">
        <v>43777</v>
      </c>
    </row>
    <row r="264" spans="1:16" x14ac:dyDescent="0.25">
      <c r="A264" t="s">
        <v>559</v>
      </c>
      <c r="B264" t="str">
        <v>Adani Wilmar Limited</v>
      </c>
      <c r="C264" t="s">
        <v>14</v>
      </c>
      <c r="D264">
        <v>300.35000000000002</v>
      </c>
      <c r="E264">
        <v>300.55</v>
      </c>
      <c r="F264">
        <v>293</v>
      </c>
      <c r="G264" s="3">
        <v>293.39999999999998</v>
      </c>
      <c r="H264">
        <v>293.60000000000002</v>
      </c>
      <c r="I264">
        <v>300.55</v>
      </c>
      <c r="J264">
        <v>2470854</v>
      </c>
      <c r="K264">
        <v>728778053.25</v>
      </c>
      <c r="L264" s="1">
        <v>45240</v>
      </c>
      <c r="M264">
        <v>56426</v>
      </c>
      <c r="N264" t="s">
        <v>561</v>
      </c>
      <c r="O264" s="5">
        <v>45240</v>
      </c>
      <c r="P264" s="5">
        <v>43777</v>
      </c>
    </row>
    <row r="265" spans="1:16" x14ac:dyDescent="0.25">
      <c r="A265" t="s">
        <v>562</v>
      </c>
      <c r="B265" t="str">
        <v>Axis Bank Limited</v>
      </c>
      <c r="C265" t="s">
        <v>14</v>
      </c>
      <c r="D265">
        <v>1017.9</v>
      </c>
      <c r="E265">
        <v>1031</v>
      </c>
      <c r="F265">
        <v>1016.65</v>
      </c>
      <c r="G265" s="3">
        <v>1029.2</v>
      </c>
      <c r="H265">
        <v>1029.8</v>
      </c>
      <c r="I265">
        <v>1021.9</v>
      </c>
      <c r="J265">
        <v>3294063</v>
      </c>
      <c r="K265">
        <v>3374359818.3499999</v>
      </c>
      <c r="L265" s="1">
        <v>45240</v>
      </c>
      <c r="M265">
        <v>110355</v>
      </c>
      <c r="N265" t="s">
        <v>564</v>
      </c>
      <c r="O265" s="5">
        <v>45240</v>
      </c>
      <c r="P265" s="5">
        <v>43777</v>
      </c>
    </row>
    <row r="266" spans="1:16" x14ac:dyDescent="0.25">
      <c r="A266" t="s">
        <v>6858</v>
      </c>
      <c r="B266" t="str">
        <v>Not Found</v>
      </c>
      <c r="C266" t="s">
        <v>14</v>
      </c>
      <c r="D266">
        <v>442.81</v>
      </c>
      <c r="E266">
        <v>444.89</v>
      </c>
      <c r="F266">
        <v>440.94</v>
      </c>
      <c r="G266" s="3">
        <v>443.9</v>
      </c>
      <c r="H266">
        <v>444</v>
      </c>
      <c r="I266">
        <v>445.09</v>
      </c>
      <c r="J266">
        <v>46110</v>
      </c>
      <c r="K266">
        <v>20407851.109999999</v>
      </c>
      <c r="L266" s="1">
        <v>45240</v>
      </c>
      <c r="M266">
        <v>54</v>
      </c>
      <c r="N266" t="s">
        <v>6857</v>
      </c>
      <c r="O266" s="5">
        <v>45240</v>
      </c>
      <c r="P266" s="5">
        <v>43777</v>
      </c>
    </row>
    <row r="267" spans="1:16" x14ac:dyDescent="0.25">
      <c r="A267" t="s">
        <v>6856</v>
      </c>
      <c r="B267" t="str">
        <v>Not Found</v>
      </c>
      <c r="C267" t="s">
        <v>14</v>
      </c>
      <c r="D267">
        <v>11.32</v>
      </c>
      <c r="E267">
        <v>11.32</v>
      </c>
      <c r="F267">
        <v>11.27</v>
      </c>
      <c r="G267" s="3">
        <v>11.28</v>
      </c>
      <c r="H267">
        <v>11.29</v>
      </c>
      <c r="I267">
        <v>11.27</v>
      </c>
      <c r="J267">
        <v>24085</v>
      </c>
      <c r="K267">
        <v>271675.25</v>
      </c>
      <c r="L267" s="1">
        <v>45240</v>
      </c>
      <c r="M267">
        <v>292</v>
      </c>
      <c r="N267" t="s">
        <v>6855</v>
      </c>
      <c r="O267" s="5">
        <v>45240</v>
      </c>
      <c r="P267" s="5">
        <v>43777</v>
      </c>
    </row>
    <row r="268" spans="1:16" x14ac:dyDescent="0.25">
      <c r="A268" t="s">
        <v>565</v>
      </c>
      <c r="B268" t="str">
        <v>AXISCADES Technologies Limited</v>
      </c>
      <c r="C268" t="s">
        <v>14</v>
      </c>
      <c r="D268">
        <v>517.04999999999995</v>
      </c>
      <c r="E268">
        <v>542.9</v>
      </c>
      <c r="F268">
        <v>517.04999999999995</v>
      </c>
      <c r="G268" s="3">
        <v>540.54999999999995</v>
      </c>
      <c r="H268">
        <v>540.70000000000005</v>
      </c>
      <c r="I268">
        <v>517.04999999999995</v>
      </c>
      <c r="J268">
        <v>37231</v>
      </c>
      <c r="K268">
        <v>19893879.350000001</v>
      </c>
      <c r="L268" s="1">
        <v>45240</v>
      </c>
      <c r="M268">
        <v>1418</v>
      </c>
      <c r="N268" t="s">
        <v>567</v>
      </c>
      <c r="O268" s="5">
        <v>45240</v>
      </c>
      <c r="P268" s="5">
        <v>43777</v>
      </c>
    </row>
    <row r="269" spans="1:16" x14ac:dyDescent="0.25">
      <c r="A269" t="s">
        <v>6854</v>
      </c>
      <c r="B269" t="str">
        <v>Not Found</v>
      </c>
      <c r="C269" t="s">
        <v>14</v>
      </c>
      <c r="D269">
        <v>86.91</v>
      </c>
      <c r="E269">
        <v>87.15</v>
      </c>
      <c r="F269">
        <v>86.5</v>
      </c>
      <c r="G269" s="3">
        <v>87.12</v>
      </c>
      <c r="H269">
        <v>87.15</v>
      </c>
      <c r="I269">
        <v>87.21</v>
      </c>
      <c r="J269">
        <v>645</v>
      </c>
      <c r="K269">
        <v>56037.440000000002</v>
      </c>
      <c r="L269" s="1">
        <v>45240</v>
      </c>
      <c r="M269">
        <v>24</v>
      </c>
      <c r="N269" t="s">
        <v>6853</v>
      </c>
      <c r="O269" s="5">
        <v>45240</v>
      </c>
      <c r="P269" s="5">
        <v>43777</v>
      </c>
    </row>
    <row r="270" spans="1:16" x14ac:dyDescent="0.25">
      <c r="A270" t="s">
        <v>6852</v>
      </c>
      <c r="B270" t="str">
        <v>Not Found</v>
      </c>
      <c r="C270" t="s">
        <v>14</v>
      </c>
      <c r="D270">
        <v>51.38</v>
      </c>
      <c r="E270">
        <v>51.67</v>
      </c>
      <c r="F270">
        <v>51.33</v>
      </c>
      <c r="G270" s="3">
        <v>51.58</v>
      </c>
      <c r="H270">
        <v>51.6</v>
      </c>
      <c r="I270">
        <v>51.18</v>
      </c>
      <c r="J270">
        <v>203822</v>
      </c>
      <c r="K270">
        <v>10513572.859999999</v>
      </c>
      <c r="L270" s="1">
        <v>45240</v>
      </c>
      <c r="M270">
        <v>2741</v>
      </c>
      <c r="N270" t="s">
        <v>6851</v>
      </c>
      <c r="O270" s="5">
        <v>45240</v>
      </c>
      <c r="P270" s="5">
        <v>43777</v>
      </c>
    </row>
    <row r="271" spans="1:16" x14ac:dyDescent="0.25">
      <c r="A271" t="s">
        <v>6850</v>
      </c>
      <c r="B271" t="str">
        <v>Not Found</v>
      </c>
      <c r="C271" t="s">
        <v>14</v>
      </c>
      <c r="D271">
        <v>99</v>
      </c>
      <c r="E271">
        <v>99.77</v>
      </c>
      <c r="F271">
        <v>98.61</v>
      </c>
      <c r="G271" s="3">
        <v>99.31</v>
      </c>
      <c r="H271">
        <v>99.77</v>
      </c>
      <c r="I271">
        <v>99.01</v>
      </c>
      <c r="J271">
        <v>2177</v>
      </c>
      <c r="K271">
        <v>215943.51</v>
      </c>
      <c r="L271" s="1">
        <v>45240</v>
      </c>
      <c r="M271">
        <v>55</v>
      </c>
      <c r="N271" t="s">
        <v>6849</v>
      </c>
      <c r="O271" s="5">
        <v>45240</v>
      </c>
      <c r="P271" s="5">
        <v>43777</v>
      </c>
    </row>
    <row r="272" spans="1:16" x14ac:dyDescent="0.25">
      <c r="A272" t="s">
        <v>6848</v>
      </c>
      <c r="B272" t="str">
        <v>Not Found</v>
      </c>
      <c r="C272" t="s">
        <v>14</v>
      </c>
      <c r="D272">
        <v>72.78</v>
      </c>
      <c r="E272">
        <v>72.78</v>
      </c>
      <c r="F272">
        <v>72</v>
      </c>
      <c r="G272" s="3">
        <v>72.23</v>
      </c>
      <c r="H272">
        <v>72.2</v>
      </c>
      <c r="I272">
        <v>71.8</v>
      </c>
      <c r="J272">
        <v>13917</v>
      </c>
      <c r="K272">
        <v>1007699.38</v>
      </c>
      <c r="L272" s="1">
        <v>45240</v>
      </c>
      <c r="M272">
        <v>215</v>
      </c>
      <c r="N272" t="s">
        <v>6847</v>
      </c>
      <c r="O272" s="5">
        <v>45240</v>
      </c>
      <c r="P272" s="5">
        <v>43777</v>
      </c>
    </row>
    <row r="273" spans="1:16" x14ac:dyDescent="0.25">
      <c r="A273" t="s">
        <v>6846</v>
      </c>
      <c r="B273" t="str">
        <v>Not Found</v>
      </c>
      <c r="C273" t="s">
        <v>14</v>
      </c>
      <c r="D273">
        <v>209.49</v>
      </c>
      <c r="E273">
        <v>209.49</v>
      </c>
      <c r="F273">
        <v>207.31</v>
      </c>
      <c r="G273" s="3">
        <v>208.46</v>
      </c>
      <c r="H273">
        <v>209.31</v>
      </c>
      <c r="I273">
        <v>208.93</v>
      </c>
      <c r="J273">
        <v>3328</v>
      </c>
      <c r="K273">
        <v>692897.51</v>
      </c>
      <c r="L273" s="1">
        <v>45240</v>
      </c>
      <c r="M273">
        <v>138</v>
      </c>
      <c r="N273" t="s">
        <v>6845</v>
      </c>
      <c r="O273" s="5">
        <v>45240</v>
      </c>
      <c r="P273" s="5">
        <v>43777</v>
      </c>
    </row>
    <row r="274" spans="1:16" x14ac:dyDescent="0.25">
      <c r="A274" t="s">
        <v>6844</v>
      </c>
      <c r="B274" t="str">
        <v>Not Found</v>
      </c>
      <c r="C274" t="s">
        <v>14</v>
      </c>
      <c r="D274">
        <v>322.92</v>
      </c>
      <c r="E274">
        <v>326.7</v>
      </c>
      <c r="F274">
        <v>320.61</v>
      </c>
      <c r="G274" s="3">
        <v>322.60000000000002</v>
      </c>
      <c r="H274">
        <v>324.99</v>
      </c>
      <c r="I274">
        <v>323.95</v>
      </c>
      <c r="J274">
        <v>4234</v>
      </c>
      <c r="K274">
        <v>1362524.73</v>
      </c>
      <c r="L274" s="1">
        <v>45240</v>
      </c>
      <c r="M274">
        <v>217</v>
      </c>
      <c r="N274" t="s">
        <v>6843</v>
      </c>
      <c r="O274" s="5">
        <v>45240</v>
      </c>
      <c r="P274" s="5">
        <v>43777</v>
      </c>
    </row>
    <row r="275" spans="1:16" x14ac:dyDescent="0.25">
      <c r="A275" t="s">
        <v>568</v>
      </c>
      <c r="B275" t="str">
        <v>Axita Cotton Limited</v>
      </c>
      <c r="C275" t="s">
        <v>14</v>
      </c>
      <c r="D275">
        <v>27.8</v>
      </c>
      <c r="E275">
        <v>28.2</v>
      </c>
      <c r="F275">
        <v>27.35</v>
      </c>
      <c r="G275" s="3">
        <v>27.45</v>
      </c>
      <c r="H275">
        <v>27.4</v>
      </c>
      <c r="I275">
        <v>27.6</v>
      </c>
      <c r="J275">
        <v>732648</v>
      </c>
      <c r="K275">
        <v>20311385.600000001</v>
      </c>
      <c r="L275" s="1">
        <v>45240</v>
      </c>
      <c r="M275">
        <v>3131</v>
      </c>
      <c r="N275" t="s">
        <v>570</v>
      </c>
      <c r="O275" s="5">
        <v>45240</v>
      </c>
      <c r="P275" s="5">
        <v>43777</v>
      </c>
    </row>
    <row r="276" spans="1:16" x14ac:dyDescent="0.25">
      <c r="A276" t="s">
        <v>6842</v>
      </c>
      <c r="B276" t="str">
        <v>Not Found</v>
      </c>
      <c r="C276" t="s">
        <v>14</v>
      </c>
      <c r="D276">
        <v>66.680000000000007</v>
      </c>
      <c r="E276">
        <v>66.680000000000007</v>
      </c>
      <c r="F276">
        <v>64.95</v>
      </c>
      <c r="G276" s="3">
        <v>65.25</v>
      </c>
      <c r="H276">
        <v>65.52</v>
      </c>
      <c r="I276">
        <v>65.37</v>
      </c>
      <c r="J276">
        <v>571</v>
      </c>
      <c r="K276">
        <v>37326.39</v>
      </c>
      <c r="L276" s="1">
        <v>45240</v>
      </c>
      <c r="M276">
        <v>30</v>
      </c>
      <c r="N276" t="s">
        <v>6841</v>
      </c>
      <c r="O276" s="5">
        <v>45240</v>
      </c>
      <c r="P276" s="5">
        <v>43777</v>
      </c>
    </row>
    <row r="277" spans="1:16" x14ac:dyDescent="0.25">
      <c r="A277" t="s">
        <v>571</v>
      </c>
      <c r="B277" t="str">
        <v>AYM Syntex Limited</v>
      </c>
      <c r="C277" t="s">
        <v>14</v>
      </c>
      <c r="D277">
        <v>67.95</v>
      </c>
      <c r="E277">
        <v>67.95</v>
      </c>
      <c r="F277">
        <v>66.650000000000006</v>
      </c>
      <c r="G277" s="3">
        <v>67.150000000000006</v>
      </c>
      <c r="H277">
        <v>67.849999999999994</v>
      </c>
      <c r="I277">
        <v>66.45</v>
      </c>
      <c r="J277">
        <v>9936</v>
      </c>
      <c r="K277">
        <v>666645.19999999995</v>
      </c>
      <c r="L277" s="1">
        <v>45240</v>
      </c>
      <c r="M277">
        <v>323</v>
      </c>
      <c r="N277" t="s">
        <v>573</v>
      </c>
      <c r="O277" s="5">
        <v>45240</v>
      </c>
      <c r="P277" s="5">
        <v>43777</v>
      </c>
    </row>
    <row r="278" spans="1:16" x14ac:dyDescent="0.25">
      <c r="A278" t="s">
        <v>574</v>
      </c>
      <c r="B278" t="str">
        <v>Bafna Pharmaceuticals Limited</v>
      </c>
      <c r="C278" t="s">
        <v>10</v>
      </c>
      <c r="D278">
        <v>84.25</v>
      </c>
      <c r="E278">
        <v>85</v>
      </c>
      <c r="F278">
        <v>80.05</v>
      </c>
      <c r="G278" s="3">
        <v>81.95</v>
      </c>
      <c r="H278">
        <v>81.75</v>
      </c>
      <c r="I278">
        <v>84.25</v>
      </c>
      <c r="J278">
        <v>12334</v>
      </c>
      <c r="K278">
        <v>1018482.55</v>
      </c>
      <c r="L278" s="1">
        <v>45240</v>
      </c>
      <c r="M278">
        <v>126</v>
      </c>
      <c r="N278" t="s">
        <v>576</v>
      </c>
      <c r="O278" s="5">
        <v>45240</v>
      </c>
      <c r="P278" s="5">
        <v>43777</v>
      </c>
    </row>
    <row r="279" spans="1:16" x14ac:dyDescent="0.25">
      <c r="A279" t="s">
        <v>577</v>
      </c>
      <c r="B279" t="str">
        <v>B.A.G Films and Media Limited</v>
      </c>
      <c r="C279" t="s">
        <v>10</v>
      </c>
      <c r="D279">
        <v>5.8</v>
      </c>
      <c r="E279">
        <v>5.8</v>
      </c>
      <c r="F279">
        <v>5.75</v>
      </c>
      <c r="G279" s="3">
        <v>5.75</v>
      </c>
      <c r="H279">
        <v>5.75</v>
      </c>
      <c r="I279">
        <v>5.7</v>
      </c>
      <c r="J279">
        <v>141982</v>
      </c>
      <c r="K279">
        <v>820320.05</v>
      </c>
      <c r="L279" s="1">
        <v>45240</v>
      </c>
      <c r="M279">
        <v>232</v>
      </c>
      <c r="N279" t="s">
        <v>579</v>
      </c>
      <c r="O279" s="5">
        <v>45240</v>
      </c>
      <c r="P279" s="5">
        <v>43777</v>
      </c>
    </row>
    <row r="280" spans="1:16" x14ac:dyDescent="0.25">
      <c r="A280" t="s">
        <v>6840</v>
      </c>
      <c r="B280" t="str">
        <v>Not Found</v>
      </c>
      <c r="C280" t="s">
        <v>5788</v>
      </c>
      <c r="D280">
        <v>199.8</v>
      </c>
      <c r="E280">
        <v>217</v>
      </c>
      <c r="F280">
        <v>186</v>
      </c>
      <c r="G280" s="3">
        <v>194</v>
      </c>
      <c r="H280">
        <v>195</v>
      </c>
      <c r="I280">
        <v>191</v>
      </c>
      <c r="J280">
        <v>38250</v>
      </c>
      <c r="K280">
        <v>7480387.5</v>
      </c>
      <c r="L280" s="1">
        <v>45240</v>
      </c>
      <c r="M280">
        <v>51</v>
      </c>
      <c r="N280" t="s">
        <v>6839</v>
      </c>
      <c r="O280" s="5">
        <v>45240</v>
      </c>
      <c r="P280" s="5">
        <v>43777</v>
      </c>
    </row>
    <row r="281" spans="1:16" x14ac:dyDescent="0.25">
      <c r="A281" t="s">
        <v>580</v>
      </c>
      <c r="B281" t="str">
        <v>Baid Finserv Limited</v>
      </c>
      <c r="C281" t="s">
        <v>10</v>
      </c>
      <c r="D281">
        <v>21.4</v>
      </c>
      <c r="E281">
        <v>22.25</v>
      </c>
      <c r="F281">
        <v>21.4</v>
      </c>
      <c r="G281" s="3">
        <v>21.8</v>
      </c>
      <c r="H281">
        <v>21.8</v>
      </c>
      <c r="I281">
        <v>21.75</v>
      </c>
      <c r="J281">
        <v>30170</v>
      </c>
      <c r="K281">
        <v>655936</v>
      </c>
      <c r="L281" s="1">
        <v>45240</v>
      </c>
      <c r="M281">
        <v>147</v>
      </c>
      <c r="N281" t="s">
        <v>582</v>
      </c>
      <c r="O281" s="5">
        <v>45240</v>
      </c>
      <c r="P281" s="5">
        <v>43777</v>
      </c>
    </row>
    <row r="282" spans="1:16" x14ac:dyDescent="0.25">
      <c r="A282" t="s">
        <v>583</v>
      </c>
      <c r="B282" t="str">
        <v>Bajaj Auto Limited</v>
      </c>
      <c r="C282" t="s">
        <v>14</v>
      </c>
      <c r="D282">
        <v>5409.95</v>
      </c>
      <c r="E282">
        <v>5427.05</v>
      </c>
      <c r="F282">
        <v>5349.05</v>
      </c>
      <c r="G282" s="3">
        <v>5392.05</v>
      </c>
      <c r="H282">
        <v>5391.6</v>
      </c>
      <c r="I282">
        <v>5418.9</v>
      </c>
      <c r="J282">
        <v>149325</v>
      </c>
      <c r="K282">
        <v>804218826.39999998</v>
      </c>
      <c r="L282" s="1">
        <v>45240</v>
      </c>
      <c r="M282">
        <v>25480</v>
      </c>
      <c r="N282" t="s">
        <v>585</v>
      </c>
      <c r="O282" s="5">
        <v>45240</v>
      </c>
      <c r="P282" s="5">
        <v>43777</v>
      </c>
    </row>
    <row r="283" spans="1:16" x14ac:dyDescent="0.25">
      <c r="A283" t="s">
        <v>586</v>
      </c>
      <c r="B283" t="str">
        <v>Bajaj Consumer Care Limited</v>
      </c>
      <c r="C283" t="s">
        <v>14</v>
      </c>
      <c r="D283">
        <v>221.25</v>
      </c>
      <c r="E283">
        <v>228.5</v>
      </c>
      <c r="F283">
        <v>220.6</v>
      </c>
      <c r="G283" s="3">
        <v>226.05</v>
      </c>
      <c r="H283">
        <v>225.6</v>
      </c>
      <c r="I283">
        <v>219.85</v>
      </c>
      <c r="J283">
        <v>649150</v>
      </c>
      <c r="K283">
        <v>146418892.40000001</v>
      </c>
      <c r="L283" s="1">
        <v>45240</v>
      </c>
      <c r="M283">
        <v>11984</v>
      </c>
      <c r="N283" t="s">
        <v>588</v>
      </c>
      <c r="O283" s="5">
        <v>45240</v>
      </c>
      <c r="P283" s="5">
        <v>43777</v>
      </c>
    </row>
    <row r="284" spans="1:16" x14ac:dyDescent="0.25">
      <c r="A284" t="s">
        <v>589</v>
      </c>
      <c r="B284" t="str">
        <v>Bajaj Electricals Limited</v>
      </c>
      <c r="C284" t="s">
        <v>14</v>
      </c>
      <c r="D284">
        <v>1018.1</v>
      </c>
      <c r="E284">
        <v>1022.2</v>
      </c>
      <c r="F284">
        <v>1004.5</v>
      </c>
      <c r="G284" s="3">
        <v>1008.65</v>
      </c>
      <c r="H284">
        <v>1008</v>
      </c>
      <c r="I284">
        <v>1013.4</v>
      </c>
      <c r="J284">
        <v>27076</v>
      </c>
      <c r="K284">
        <v>27394550.25</v>
      </c>
      <c r="L284" s="1">
        <v>45240</v>
      </c>
      <c r="M284">
        <v>3741</v>
      </c>
      <c r="N284" t="s">
        <v>591</v>
      </c>
      <c r="O284" s="5">
        <v>45240</v>
      </c>
      <c r="P284" s="5">
        <v>43777</v>
      </c>
    </row>
    <row r="285" spans="1:16" x14ac:dyDescent="0.25">
      <c r="A285" t="s">
        <v>592</v>
      </c>
      <c r="B285" t="str">
        <v>Bajaj Finserv Limited</v>
      </c>
      <c r="C285" t="s">
        <v>14</v>
      </c>
      <c r="D285">
        <v>1581</v>
      </c>
      <c r="E285">
        <v>1598.8</v>
      </c>
      <c r="F285">
        <v>1572.65</v>
      </c>
      <c r="G285" s="3">
        <v>1596</v>
      </c>
      <c r="H285">
        <v>1594</v>
      </c>
      <c r="I285">
        <v>1582.25</v>
      </c>
      <c r="J285">
        <v>672720</v>
      </c>
      <c r="K285">
        <v>1069040443.5</v>
      </c>
      <c r="L285" s="1">
        <v>45240</v>
      </c>
      <c r="M285">
        <v>34416</v>
      </c>
      <c r="N285" t="s">
        <v>594</v>
      </c>
      <c r="O285" s="5">
        <v>45240</v>
      </c>
      <c r="P285" s="5">
        <v>43777</v>
      </c>
    </row>
    <row r="286" spans="1:16" x14ac:dyDescent="0.25">
      <c r="A286" t="s">
        <v>595</v>
      </c>
      <c r="B286" t="str">
        <v>Bajaj Healthcare Limited</v>
      </c>
      <c r="C286" t="s">
        <v>14</v>
      </c>
      <c r="D286">
        <v>385.4</v>
      </c>
      <c r="E286">
        <v>390.75</v>
      </c>
      <c r="F286">
        <v>374.25</v>
      </c>
      <c r="G286" s="3">
        <v>377.3</v>
      </c>
      <c r="H286">
        <v>377</v>
      </c>
      <c r="I286">
        <v>396.45</v>
      </c>
      <c r="J286">
        <v>420519</v>
      </c>
      <c r="K286">
        <v>160353655.09999999</v>
      </c>
      <c r="L286" s="1">
        <v>45240</v>
      </c>
      <c r="M286">
        <v>17851</v>
      </c>
      <c r="N286" t="s">
        <v>597</v>
      </c>
      <c r="O286" s="5">
        <v>45240</v>
      </c>
      <c r="P286" s="5">
        <v>43777</v>
      </c>
    </row>
    <row r="287" spans="1:16" x14ac:dyDescent="0.25">
      <c r="A287" t="s">
        <v>598</v>
      </c>
      <c r="B287" t="str">
        <v>Bajaj Hindusthan Sugar Limited</v>
      </c>
      <c r="C287" t="s">
        <v>14</v>
      </c>
      <c r="D287">
        <v>31.1</v>
      </c>
      <c r="E287">
        <v>33.25</v>
      </c>
      <c r="F287">
        <v>30.75</v>
      </c>
      <c r="G287" s="3">
        <v>32.4</v>
      </c>
      <c r="H287">
        <v>32.450000000000003</v>
      </c>
      <c r="I287">
        <v>31.7</v>
      </c>
      <c r="J287">
        <v>28935705</v>
      </c>
      <c r="K287">
        <v>934254703.14999998</v>
      </c>
      <c r="L287" s="1">
        <v>45240</v>
      </c>
      <c r="M287">
        <v>31545</v>
      </c>
      <c r="N287" t="s">
        <v>600</v>
      </c>
      <c r="O287" s="5">
        <v>45240</v>
      </c>
      <c r="P287" s="5">
        <v>43777</v>
      </c>
    </row>
    <row r="288" spans="1:16" x14ac:dyDescent="0.25">
      <c r="A288" t="s">
        <v>601</v>
      </c>
      <c r="B288" t="str">
        <v>Bajaj Holdings &amp; Investment Limited</v>
      </c>
      <c r="C288" t="s">
        <v>14</v>
      </c>
      <c r="D288">
        <v>7015.05</v>
      </c>
      <c r="E288">
        <v>7150</v>
      </c>
      <c r="F288">
        <v>7015.05</v>
      </c>
      <c r="G288" s="3">
        <v>7138.6</v>
      </c>
      <c r="H288">
        <v>7095</v>
      </c>
      <c r="I288">
        <v>7073.8</v>
      </c>
      <c r="J288">
        <v>14493</v>
      </c>
      <c r="K288">
        <v>103200629.55</v>
      </c>
      <c r="L288" s="1">
        <v>45240</v>
      </c>
      <c r="M288">
        <v>4609</v>
      </c>
      <c r="N288" t="s">
        <v>603</v>
      </c>
      <c r="O288" s="5">
        <v>45240</v>
      </c>
      <c r="P288" s="5">
        <v>43777</v>
      </c>
    </row>
    <row r="289" spans="1:16" x14ac:dyDescent="0.25">
      <c r="A289" t="s">
        <v>604</v>
      </c>
      <c r="B289" t="str">
        <v>Bajaj Finance Limited</v>
      </c>
      <c r="C289" t="s">
        <v>14</v>
      </c>
      <c r="D289">
        <v>7370</v>
      </c>
      <c r="E289">
        <v>7454</v>
      </c>
      <c r="F289">
        <v>7346.45</v>
      </c>
      <c r="G289" s="3">
        <v>7444.8</v>
      </c>
      <c r="H289">
        <v>7450.3</v>
      </c>
      <c r="I289">
        <v>7386.7</v>
      </c>
      <c r="J289">
        <v>496261</v>
      </c>
      <c r="K289">
        <v>3684870710.0999999</v>
      </c>
      <c r="L289" s="1">
        <v>45240</v>
      </c>
      <c r="M289">
        <v>53636</v>
      </c>
      <c r="N289" t="s">
        <v>606</v>
      </c>
      <c r="O289" s="5">
        <v>45240</v>
      </c>
      <c r="P289" s="5">
        <v>43777</v>
      </c>
    </row>
    <row r="290" spans="1:16" x14ac:dyDescent="0.25">
      <c r="A290" t="s">
        <v>607</v>
      </c>
      <c r="B290" t="str">
        <v>Balaji Telefilms Limited</v>
      </c>
      <c r="C290" t="s">
        <v>14</v>
      </c>
      <c r="D290">
        <v>75</v>
      </c>
      <c r="E290">
        <v>76.45</v>
      </c>
      <c r="F290">
        <v>71.25</v>
      </c>
      <c r="G290" s="3">
        <v>71.849999999999994</v>
      </c>
      <c r="H290">
        <v>71.599999999999994</v>
      </c>
      <c r="I290">
        <v>74.650000000000006</v>
      </c>
      <c r="J290">
        <v>1272719</v>
      </c>
      <c r="K290">
        <v>92774223.25</v>
      </c>
      <c r="L290" s="1">
        <v>45240</v>
      </c>
      <c r="M290">
        <v>6092</v>
      </c>
      <c r="N290" t="s">
        <v>609</v>
      </c>
      <c r="O290" s="5">
        <v>45240</v>
      </c>
      <c r="P290" s="5">
        <v>43777</v>
      </c>
    </row>
    <row r="291" spans="1:16" x14ac:dyDescent="0.25">
      <c r="A291" t="s">
        <v>610</v>
      </c>
      <c r="B291" t="str">
        <v>Balaji Amines Limited</v>
      </c>
      <c r="C291" t="s">
        <v>14</v>
      </c>
      <c r="D291">
        <v>2000</v>
      </c>
      <c r="E291">
        <v>2053.4</v>
      </c>
      <c r="F291">
        <v>2000</v>
      </c>
      <c r="G291" s="3">
        <v>2025</v>
      </c>
      <c r="H291">
        <v>2022.95</v>
      </c>
      <c r="I291">
        <v>2010.7</v>
      </c>
      <c r="J291">
        <v>46964</v>
      </c>
      <c r="K291">
        <v>95027069.700000003</v>
      </c>
      <c r="L291" s="1">
        <v>45240</v>
      </c>
      <c r="M291">
        <v>7241</v>
      </c>
      <c r="N291" t="s">
        <v>612</v>
      </c>
      <c r="O291" s="5">
        <v>45240</v>
      </c>
      <c r="P291" s="5">
        <v>43777</v>
      </c>
    </row>
    <row r="292" spans="1:16" x14ac:dyDescent="0.25">
      <c r="A292" t="s">
        <v>613</v>
      </c>
      <c r="B292" t="str">
        <v>BALAXI PHARMACEUTICALS LIMITED</v>
      </c>
      <c r="C292" t="s">
        <v>14</v>
      </c>
      <c r="D292">
        <v>416.3</v>
      </c>
      <c r="E292">
        <v>421.4</v>
      </c>
      <c r="F292">
        <v>415.8</v>
      </c>
      <c r="G292" s="3">
        <v>419.25</v>
      </c>
      <c r="H292">
        <v>419.1</v>
      </c>
      <c r="I292">
        <v>416.3</v>
      </c>
      <c r="J292">
        <v>327</v>
      </c>
      <c r="K292">
        <v>136943.75</v>
      </c>
      <c r="L292" s="1">
        <v>45240</v>
      </c>
      <c r="M292">
        <v>60</v>
      </c>
      <c r="N292" t="s">
        <v>615</v>
      </c>
      <c r="O292" s="5">
        <v>45240</v>
      </c>
      <c r="P292" s="5">
        <v>43777</v>
      </c>
    </row>
    <row r="293" spans="1:16" x14ac:dyDescent="0.25">
      <c r="A293" t="s">
        <v>616</v>
      </c>
      <c r="B293" t="str">
        <v>Balkrishna Paper Mills Limited</v>
      </c>
      <c r="C293" t="s">
        <v>14</v>
      </c>
      <c r="D293">
        <v>29.2</v>
      </c>
      <c r="E293">
        <v>30.15</v>
      </c>
      <c r="F293">
        <v>29.1</v>
      </c>
      <c r="G293" s="3">
        <v>29.3</v>
      </c>
      <c r="H293">
        <v>29.3</v>
      </c>
      <c r="I293">
        <v>29.6</v>
      </c>
      <c r="J293">
        <v>21258</v>
      </c>
      <c r="K293">
        <v>627406.69999999995</v>
      </c>
      <c r="L293" s="1">
        <v>45240</v>
      </c>
      <c r="M293">
        <v>468</v>
      </c>
      <c r="N293" t="s">
        <v>618</v>
      </c>
      <c r="O293" s="5">
        <v>45240</v>
      </c>
      <c r="P293" s="5">
        <v>43777</v>
      </c>
    </row>
    <row r="294" spans="1:16" x14ac:dyDescent="0.25">
      <c r="A294" t="s">
        <v>619</v>
      </c>
      <c r="B294" t="str">
        <v>Balkrishna Industries Limited</v>
      </c>
      <c r="C294" t="s">
        <v>14</v>
      </c>
      <c r="D294">
        <v>2580</v>
      </c>
      <c r="E294">
        <v>2583.75</v>
      </c>
      <c r="F294">
        <v>2547</v>
      </c>
      <c r="G294" s="3">
        <v>2566.5500000000002</v>
      </c>
      <c r="H294">
        <v>2580</v>
      </c>
      <c r="I294">
        <v>2584.15</v>
      </c>
      <c r="J294">
        <v>103882</v>
      </c>
      <c r="K294">
        <v>266553258.94999999</v>
      </c>
      <c r="L294" s="1">
        <v>45240</v>
      </c>
      <c r="M294">
        <v>10325</v>
      </c>
      <c r="N294" t="s">
        <v>621</v>
      </c>
      <c r="O294" s="5">
        <v>45240</v>
      </c>
      <c r="P294" s="5">
        <v>43777</v>
      </c>
    </row>
    <row r="295" spans="1:16" x14ac:dyDescent="0.25">
      <c r="A295" t="s">
        <v>622</v>
      </c>
      <c r="B295" t="str">
        <v>Balmer Lawrie &amp; Company Limited</v>
      </c>
      <c r="C295" t="s">
        <v>14</v>
      </c>
      <c r="D295">
        <v>145</v>
      </c>
      <c r="E295">
        <v>146.35</v>
      </c>
      <c r="F295">
        <v>144</v>
      </c>
      <c r="G295" s="3">
        <v>144.80000000000001</v>
      </c>
      <c r="H295">
        <v>145.44999999999999</v>
      </c>
      <c r="I295">
        <v>145</v>
      </c>
      <c r="J295">
        <v>308375</v>
      </c>
      <c r="K295">
        <v>44763063.5</v>
      </c>
      <c r="L295" s="1">
        <v>45240</v>
      </c>
      <c r="M295">
        <v>4458</v>
      </c>
      <c r="N295" t="s">
        <v>624</v>
      </c>
      <c r="O295" s="5">
        <v>45240</v>
      </c>
      <c r="P295" s="5">
        <v>43777</v>
      </c>
    </row>
    <row r="296" spans="1:16" x14ac:dyDescent="0.25">
      <c r="A296" t="s">
        <v>625</v>
      </c>
      <c r="B296" t="str">
        <v>Bal Pharma Limited</v>
      </c>
      <c r="C296" t="s">
        <v>14</v>
      </c>
      <c r="D296">
        <v>93.5</v>
      </c>
      <c r="E296">
        <v>94.85</v>
      </c>
      <c r="F296">
        <v>92.25</v>
      </c>
      <c r="G296" s="3">
        <v>93.65</v>
      </c>
      <c r="H296">
        <v>93.6</v>
      </c>
      <c r="I296">
        <v>93.5</v>
      </c>
      <c r="J296">
        <v>18995</v>
      </c>
      <c r="K296">
        <v>1773443.25</v>
      </c>
      <c r="L296" s="1">
        <v>45240</v>
      </c>
      <c r="M296">
        <v>526</v>
      </c>
      <c r="N296" t="s">
        <v>627</v>
      </c>
      <c r="O296" s="5">
        <v>45240</v>
      </c>
      <c r="P296" s="5">
        <v>43777</v>
      </c>
    </row>
    <row r="297" spans="1:16" x14ac:dyDescent="0.25">
      <c r="A297" t="s">
        <v>628</v>
      </c>
      <c r="B297" t="str">
        <v>Balrampur Chini Mills Limited</v>
      </c>
      <c r="C297" t="s">
        <v>14</v>
      </c>
      <c r="D297">
        <v>430.25</v>
      </c>
      <c r="E297">
        <v>439.9</v>
      </c>
      <c r="F297">
        <v>430.25</v>
      </c>
      <c r="G297" s="3">
        <v>437.5</v>
      </c>
      <c r="H297">
        <v>436.7</v>
      </c>
      <c r="I297">
        <v>432.6</v>
      </c>
      <c r="J297">
        <v>1373853</v>
      </c>
      <c r="K297">
        <v>600666580.10000002</v>
      </c>
      <c r="L297" s="1">
        <v>45240</v>
      </c>
      <c r="M297">
        <v>20061</v>
      </c>
      <c r="N297" t="s">
        <v>630</v>
      </c>
      <c r="O297" s="5">
        <v>45240</v>
      </c>
      <c r="P297" s="5">
        <v>43777</v>
      </c>
    </row>
    <row r="298" spans="1:16" x14ac:dyDescent="0.25">
      <c r="A298" t="s">
        <v>631</v>
      </c>
      <c r="B298" t="str">
        <v>Banaras Beads Limited</v>
      </c>
      <c r="C298" t="s">
        <v>14</v>
      </c>
      <c r="D298">
        <v>90.9</v>
      </c>
      <c r="E298">
        <v>91.65</v>
      </c>
      <c r="F298">
        <v>90.3</v>
      </c>
      <c r="G298" s="3">
        <v>90.5</v>
      </c>
      <c r="H298">
        <v>90.5</v>
      </c>
      <c r="I298">
        <v>90.85</v>
      </c>
      <c r="J298">
        <v>15623</v>
      </c>
      <c r="K298">
        <v>1416764</v>
      </c>
      <c r="L298" s="1">
        <v>45240</v>
      </c>
      <c r="M298">
        <v>451</v>
      </c>
      <c r="N298" t="s">
        <v>633</v>
      </c>
      <c r="O298" s="5">
        <v>45240</v>
      </c>
      <c r="P298" s="5">
        <v>43777</v>
      </c>
    </row>
    <row r="299" spans="1:16" x14ac:dyDescent="0.25">
      <c r="A299" t="s">
        <v>634</v>
      </c>
      <c r="B299" t="str">
        <v>Bannari Amman Sugars Limited</v>
      </c>
      <c r="C299" t="s">
        <v>14</v>
      </c>
      <c r="D299">
        <v>2560.0500000000002</v>
      </c>
      <c r="E299">
        <v>2610</v>
      </c>
      <c r="F299">
        <v>2560</v>
      </c>
      <c r="G299" s="3">
        <v>2580.15</v>
      </c>
      <c r="H299">
        <v>2599</v>
      </c>
      <c r="I299">
        <v>2559.25</v>
      </c>
      <c r="J299">
        <v>1052</v>
      </c>
      <c r="K299">
        <v>2726900.65</v>
      </c>
      <c r="L299" s="1">
        <v>45240</v>
      </c>
      <c r="M299">
        <v>225</v>
      </c>
      <c r="N299" t="s">
        <v>636</v>
      </c>
      <c r="O299" s="5">
        <v>45240</v>
      </c>
      <c r="P299" s="5">
        <v>43777</v>
      </c>
    </row>
    <row r="300" spans="1:16" x14ac:dyDescent="0.25">
      <c r="A300" t="s">
        <v>637</v>
      </c>
      <c r="B300" t="str">
        <v>Banco Products (I) Limited</v>
      </c>
      <c r="C300" t="s">
        <v>14</v>
      </c>
      <c r="D300">
        <v>522.79999999999995</v>
      </c>
      <c r="E300">
        <v>534.70000000000005</v>
      </c>
      <c r="F300">
        <v>513.1</v>
      </c>
      <c r="G300" s="3">
        <v>532.70000000000005</v>
      </c>
      <c r="H300">
        <v>533.45000000000005</v>
      </c>
      <c r="I300">
        <v>525.5</v>
      </c>
      <c r="J300">
        <v>212708</v>
      </c>
      <c r="K300">
        <v>111826432.65000001</v>
      </c>
      <c r="L300" s="1">
        <v>45240</v>
      </c>
      <c r="M300">
        <v>10338</v>
      </c>
      <c r="N300" t="s">
        <v>639</v>
      </c>
      <c r="O300" s="5">
        <v>45240</v>
      </c>
      <c r="P300" s="5">
        <v>43777</v>
      </c>
    </row>
    <row r="301" spans="1:16" x14ac:dyDescent="0.25">
      <c r="A301" t="s">
        <v>640</v>
      </c>
      <c r="B301" t="str">
        <v>Bandhan Bank Limited</v>
      </c>
      <c r="C301" t="s">
        <v>14</v>
      </c>
      <c r="D301">
        <v>217.2</v>
      </c>
      <c r="E301">
        <v>218.25</v>
      </c>
      <c r="F301">
        <v>214.6</v>
      </c>
      <c r="G301" s="3">
        <v>217.75</v>
      </c>
      <c r="H301">
        <v>218.1</v>
      </c>
      <c r="I301">
        <v>217.2</v>
      </c>
      <c r="J301">
        <v>2769494</v>
      </c>
      <c r="K301">
        <v>599588682.14999998</v>
      </c>
      <c r="L301" s="1">
        <v>45240</v>
      </c>
      <c r="M301">
        <v>24095</v>
      </c>
      <c r="N301" t="s">
        <v>642</v>
      </c>
      <c r="O301" s="5">
        <v>45240</v>
      </c>
      <c r="P301" s="5">
        <v>43777</v>
      </c>
    </row>
    <row r="302" spans="1:16" x14ac:dyDescent="0.25">
      <c r="A302" t="s">
        <v>643</v>
      </c>
      <c r="B302" t="str">
        <v>Bang Overseas Limited</v>
      </c>
      <c r="C302" t="s">
        <v>14</v>
      </c>
      <c r="D302">
        <v>47.65</v>
      </c>
      <c r="E302">
        <v>47.85</v>
      </c>
      <c r="F302">
        <v>46.05</v>
      </c>
      <c r="G302" s="3">
        <v>46.65</v>
      </c>
      <c r="H302">
        <v>46.55</v>
      </c>
      <c r="I302">
        <v>48.4</v>
      </c>
      <c r="J302">
        <v>39254</v>
      </c>
      <c r="K302">
        <v>1839476.65</v>
      </c>
      <c r="L302" s="1">
        <v>45240</v>
      </c>
      <c r="M302">
        <v>826</v>
      </c>
      <c r="N302" t="s">
        <v>645</v>
      </c>
      <c r="O302" s="5">
        <v>45240</v>
      </c>
      <c r="P302" s="5">
        <v>43777</v>
      </c>
    </row>
    <row r="303" spans="1:16" x14ac:dyDescent="0.25">
      <c r="A303" t="s">
        <v>646</v>
      </c>
      <c r="B303" t="str">
        <v>Banka BioLoo Limited</v>
      </c>
      <c r="C303" t="s">
        <v>14</v>
      </c>
      <c r="D303">
        <v>74.400000000000006</v>
      </c>
      <c r="E303">
        <v>74.400000000000006</v>
      </c>
      <c r="F303">
        <v>71.5</v>
      </c>
      <c r="G303" s="3">
        <v>73</v>
      </c>
      <c r="H303">
        <v>73.150000000000006</v>
      </c>
      <c r="I303">
        <v>73.45</v>
      </c>
      <c r="J303">
        <v>16454</v>
      </c>
      <c r="K303">
        <v>1200858.1000000001</v>
      </c>
      <c r="L303" s="1">
        <v>45240</v>
      </c>
      <c r="M303">
        <v>903</v>
      </c>
      <c r="N303" t="s">
        <v>648</v>
      </c>
      <c r="O303" s="5">
        <v>45240</v>
      </c>
      <c r="P303" s="5">
        <v>43777</v>
      </c>
    </row>
    <row r="304" spans="1:16" x14ac:dyDescent="0.25">
      <c r="A304" t="s">
        <v>649</v>
      </c>
      <c r="B304" t="str">
        <v>Bank of Baroda</v>
      </c>
      <c r="C304" t="s">
        <v>14</v>
      </c>
      <c r="D304">
        <v>192.5</v>
      </c>
      <c r="E304">
        <v>195.25</v>
      </c>
      <c r="F304">
        <v>191.75</v>
      </c>
      <c r="G304" s="3">
        <v>194.85</v>
      </c>
      <c r="H304">
        <v>195.05</v>
      </c>
      <c r="I304">
        <v>193</v>
      </c>
      <c r="J304">
        <v>10091704</v>
      </c>
      <c r="K304">
        <v>1956575772.3</v>
      </c>
      <c r="L304" s="1">
        <v>45240</v>
      </c>
      <c r="M304">
        <v>42992</v>
      </c>
      <c r="N304" t="s">
        <v>651</v>
      </c>
      <c r="O304" s="5">
        <v>45240</v>
      </c>
      <c r="P304" s="5">
        <v>43777</v>
      </c>
    </row>
    <row r="305" spans="1:16" x14ac:dyDescent="0.25">
      <c r="A305" t="s">
        <v>6838</v>
      </c>
      <c r="B305" t="str">
        <v>Not Found</v>
      </c>
      <c r="C305" t="s">
        <v>14</v>
      </c>
      <c r="D305">
        <v>441.59</v>
      </c>
      <c r="E305">
        <v>447.09</v>
      </c>
      <c r="F305">
        <v>441.59</v>
      </c>
      <c r="G305" s="3">
        <v>446.11</v>
      </c>
      <c r="H305">
        <v>446.27</v>
      </c>
      <c r="I305">
        <v>445.59</v>
      </c>
      <c r="J305">
        <v>387911</v>
      </c>
      <c r="K305">
        <v>172755543.24000001</v>
      </c>
      <c r="L305" s="1">
        <v>45240</v>
      </c>
      <c r="M305">
        <v>5067</v>
      </c>
      <c r="N305" t="s">
        <v>6837</v>
      </c>
      <c r="O305" s="5">
        <v>45240</v>
      </c>
      <c r="P305" s="5">
        <v>43777</v>
      </c>
    </row>
    <row r="306" spans="1:16" x14ac:dyDescent="0.25">
      <c r="A306" t="s">
        <v>6836</v>
      </c>
      <c r="B306" t="str">
        <v>Not Found</v>
      </c>
      <c r="C306" t="s">
        <v>14</v>
      </c>
      <c r="D306">
        <v>437.05</v>
      </c>
      <c r="E306">
        <v>438.15</v>
      </c>
      <c r="F306">
        <v>434.55</v>
      </c>
      <c r="G306" s="3">
        <v>438.02</v>
      </c>
      <c r="H306">
        <v>438.15</v>
      </c>
      <c r="I306">
        <v>437.01</v>
      </c>
      <c r="J306">
        <v>530</v>
      </c>
      <c r="K306">
        <v>231371.91</v>
      </c>
      <c r="L306" s="1">
        <v>45240</v>
      </c>
      <c r="M306">
        <v>43</v>
      </c>
      <c r="N306" t="s">
        <v>6835</v>
      </c>
      <c r="O306" s="5">
        <v>45240</v>
      </c>
      <c r="P306" s="5">
        <v>43777</v>
      </c>
    </row>
    <row r="307" spans="1:16" x14ac:dyDescent="0.25">
      <c r="A307" t="s">
        <v>652</v>
      </c>
      <c r="B307" t="str">
        <v>Bank of India</v>
      </c>
      <c r="C307" t="s">
        <v>14</v>
      </c>
      <c r="D307">
        <v>103.7</v>
      </c>
      <c r="E307">
        <v>103.8</v>
      </c>
      <c r="F307">
        <v>102.5</v>
      </c>
      <c r="G307" s="3">
        <v>103</v>
      </c>
      <c r="H307">
        <v>103.05</v>
      </c>
      <c r="I307">
        <v>103.95</v>
      </c>
      <c r="J307">
        <v>5236922</v>
      </c>
      <c r="K307">
        <v>540111824.54999995</v>
      </c>
      <c r="L307" s="1">
        <v>45240</v>
      </c>
      <c r="M307">
        <v>20567</v>
      </c>
      <c r="N307" t="s">
        <v>654</v>
      </c>
      <c r="O307" s="5">
        <v>45240</v>
      </c>
      <c r="P307" s="5">
        <v>43777</v>
      </c>
    </row>
    <row r="308" spans="1:16" x14ac:dyDescent="0.25">
      <c r="A308" t="s">
        <v>655</v>
      </c>
      <c r="B308" t="str">
        <v>Banswara Syntex Limited</v>
      </c>
      <c r="C308" t="s">
        <v>14</v>
      </c>
      <c r="D308">
        <v>143.75</v>
      </c>
      <c r="E308">
        <v>143.75</v>
      </c>
      <c r="F308">
        <v>141.1</v>
      </c>
      <c r="G308" s="3">
        <v>141.6</v>
      </c>
      <c r="H308">
        <v>141.6</v>
      </c>
      <c r="I308">
        <v>143</v>
      </c>
      <c r="J308">
        <v>72668</v>
      </c>
      <c r="K308">
        <v>10309541.199999999</v>
      </c>
      <c r="L308" s="1">
        <v>45240</v>
      </c>
      <c r="M308">
        <v>1149</v>
      </c>
      <c r="N308" t="s">
        <v>657</v>
      </c>
      <c r="O308" s="5">
        <v>45240</v>
      </c>
      <c r="P308" s="5">
        <v>43777</v>
      </c>
    </row>
    <row r="309" spans="1:16" x14ac:dyDescent="0.25">
      <c r="A309" t="s">
        <v>658</v>
      </c>
      <c r="B309" t="str">
        <v>Barbeque Nation Hospitality Limited</v>
      </c>
      <c r="C309" t="s">
        <v>14</v>
      </c>
      <c r="D309">
        <v>617.75</v>
      </c>
      <c r="E309">
        <v>617.75</v>
      </c>
      <c r="F309">
        <v>604.20000000000005</v>
      </c>
      <c r="G309" s="3">
        <v>605.70000000000005</v>
      </c>
      <c r="H309">
        <v>605</v>
      </c>
      <c r="I309">
        <v>614.25</v>
      </c>
      <c r="J309">
        <v>62786</v>
      </c>
      <c r="K309">
        <v>38169979.75</v>
      </c>
      <c r="L309" s="1">
        <v>45240</v>
      </c>
      <c r="M309">
        <v>4107</v>
      </c>
      <c r="N309" t="s">
        <v>660</v>
      </c>
      <c r="O309" s="5">
        <v>45240</v>
      </c>
      <c r="P309" s="5">
        <v>43777</v>
      </c>
    </row>
    <row r="310" spans="1:16" x14ac:dyDescent="0.25">
      <c r="A310" t="s">
        <v>661</v>
      </c>
      <c r="B310" t="str">
        <v>BASF India Limited</v>
      </c>
      <c r="C310" t="s">
        <v>14</v>
      </c>
      <c r="D310">
        <v>2846</v>
      </c>
      <c r="E310">
        <v>2852</v>
      </c>
      <c r="F310">
        <v>2790</v>
      </c>
      <c r="G310" s="3">
        <v>2845.05</v>
      </c>
      <c r="H310">
        <v>2852</v>
      </c>
      <c r="I310">
        <v>2846</v>
      </c>
      <c r="J310">
        <v>56529</v>
      </c>
      <c r="K310">
        <v>160006959.40000001</v>
      </c>
      <c r="L310" s="1">
        <v>45240</v>
      </c>
      <c r="M310">
        <v>6211</v>
      </c>
      <c r="N310" t="s">
        <v>663</v>
      </c>
      <c r="O310" s="5">
        <v>45240</v>
      </c>
      <c r="P310" s="5">
        <v>43777</v>
      </c>
    </row>
    <row r="311" spans="1:16" x14ac:dyDescent="0.25">
      <c r="A311" t="s">
        <v>6834</v>
      </c>
      <c r="B311" t="str">
        <v>Not Found</v>
      </c>
      <c r="C311" t="s">
        <v>5788</v>
      </c>
      <c r="D311">
        <v>282.3</v>
      </c>
      <c r="E311">
        <v>282.3</v>
      </c>
      <c r="F311">
        <v>270</v>
      </c>
      <c r="G311" s="3">
        <v>281.39999999999998</v>
      </c>
      <c r="H311">
        <v>279.14999999999998</v>
      </c>
      <c r="I311">
        <v>282.89999999999998</v>
      </c>
      <c r="J311">
        <v>190800</v>
      </c>
      <c r="K311">
        <v>53081100</v>
      </c>
      <c r="L311" s="1">
        <v>45240</v>
      </c>
      <c r="M311">
        <v>149</v>
      </c>
      <c r="N311" t="s">
        <v>6833</v>
      </c>
      <c r="O311" s="5">
        <v>45240</v>
      </c>
      <c r="P311" s="5">
        <v>43777</v>
      </c>
    </row>
    <row r="312" spans="1:16" x14ac:dyDescent="0.25">
      <c r="A312" t="s">
        <v>664</v>
      </c>
      <c r="B312" t="str">
        <v>Bannari Amman Spinning Mills Limited</v>
      </c>
      <c r="C312" t="s">
        <v>14</v>
      </c>
      <c r="D312">
        <v>44.85</v>
      </c>
      <c r="E312">
        <v>45.25</v>
      </c>
      <c r="F312">
        <v>43.85</v>
      </c>
      <c r="G312" s="3">
        <v>44.45</v>
      </c>
      <c r="H312">
        <v>44.6</v>
      </c>
      <c r="I312">
        <v>44.35</v>
      </c>
      <c r="J312">
        <v>45057</v>
      </c>
      <c r="K312">
        <v>2008610.5</v>
      </c>
      <c r="L312" s="1">
        <v>45240</v>
      </c>
      <c r="M312">
        <v>490</v>
      </c>
      <c r="N312" t="s">
        <v>666</v>
      </c>
      <c r="O312" s="5">
        <v>45240</v>
      </c>
      <c r="P312" s="5">
        <v>43777</v>
      </c>
    </row>
    <row r="313" spans="1:16" x14ac:dyDescent="0.25">
      <c r="A313" t="s">
        <v>667</v>
      </c>
      <c r="B313" t="str">
        <v>Bata India Limited</v>
      </c>
      <c r="C313" t="s">
        <v>14</v>
      </c>
      <c r="D313">
        <v>1570</v>
      </c>
      <c r="E313">
        <v>1572</v>
      </c>
      <c r="F313">
        <v>1548</v>
      </c>
      <c r="G313" s="3">
        <v>1562.65</v>
      </c>
      <c r="H313">
        <v>1572</v>
      </c>
      <c r="I313">
        <v>1572.15</v>
      </c>
      <c r="J313">
        <v>108001</v>
      </c>
      <c r="K313">
        <v>168358149.84999999</v>
      </c>
      <c r="L313" s="1">
        <v>45240</v>
      </c>
      <c r="M313">
        <v>10881</v>
      </c>
      <c r="N313" t="s">
        <v>669</v>
      </c>
      <c r="O313" s="5">
        <v>45240</v>
      </c>
      <c r="P313" s="5">
        <v>43777</v>
      </c>
    </row>
    <row r="314" spans="1:16" x14ac:dyDescent="0.25">
      <c r="A314" t="s">
        <v>670</v>
      </c>
      <c r="B314" t="str">
        <v>Bayer Cropscience Limited</v>
      </c>
      <c r="C314" t="s">
        <v>14</v>
      </c>
      <c r="D314">
        <v>5420.75</v>
      </c>
      <c r="E314">
        <v>5514.5</v>
      </c>
      <c r="F314">
        <v>5403.25</v>
      </c>
      <c r="G314" s="3">
        <v>5433.7</v>
      </c>
      <c r="H314">
        <v>5430</v>
      </c>
      <c r="I314">
        <v>5383.25</v>
      </c>
      <c r="J314">
        <v>21221</v>
      </c>
      <c r="K314">
        <v>115711401</v>
      </c>
      <c r="L314" s="1">
        <v>45240</v>
      </c>
      <c r="M314">
        <v>5573</v>
      </c>
      <c r="N314" t="s">
        <v>672</v>
      </c>
      <c r="O314" s="5">
        <v>45240</v>
      </c>
      <c r="P314" s="5">
        <v>43777</v>
      </c>
    </row>
    <row r="315" spans="1:16" x14ac:dyDescent="0.25">
      <c r="A315" t="s">
        <v>6832</v>
      </c>
      <c r="B315" t="str">
        <v>Not Found</v>
      </c>
      <c r="C315" t="s">
        <v>14</v>
      </c>
      <c r="D315">
        <v>1092.99</v>
      </c>
      <c r="E315">
        <v>1093.99</v>
      </c>
      <c r="F315">
        <v>1091.0899999999999</v>
      </c>
      <c r="G315" s="3">
        <v>1091.19</v>
      </c>
      <c r="H315">
        <v>1093.99</v>
      </c>
      <c r="I315">
        <v>1092.3499999999999</v>
      </c>
      <c r="J315">
        <v>270</v>
      </c>
      <c r="K315">
        <v>294624.12</v>
      </c>
      <c r="L315" s="1">
        <v>45240</v>
      </c>
      <c r="M315">
        <v>9</v>
      </c>
      <c r="N315" t="s">
        <v>6831</v>
      </c>
      <c r="O315" s="5">
        <v>45240</v>
      </c>
      <c r="P315" s="5">
        <v>43777</v>
      </c>
    </row>
    <row r="316" spans="1:16" x14ac:dyDescent="0.25">
      <c r="A316" t="s">
        <v>673</v>
      </c>
      <c r="B316" t="str">
        <v>Bharat Bijlee Limited</v>
      </c>
      <c r="C316" t="s">
        <v>14</v>
      </c>
      <c r="D316">
        <v>3607</v>
      </c>
      <c r="E316">
        <v>3662.95</v>
      </c>
      <c r="F316">
        <v>3571</v>
      </c>
      <c r="G316" s="3">
        <v>3579.7</v>
      </c>
      <c r="H316">
        <v>3590</v>
      </c>
      <c r="I316">
        <v>3636.3</v>
      </c>
      <c r="J316">
        <v>14731</v>
      </c>
      <c r="K316">
        <v>53141019.850000001</v>
      </c>
      <c r="L316" s="1">
        <v>45240</v>
      </c>
      <c r="M316">
        <v>3278</v>
      </c>
      <c r="N316" t="s">
        <v>675</v>
      </c>
      <c r="O316" s="5">
        <v>45240</v>
      </c>
      <c r="P316" s="5">
        <v>43777</v>
      </c>
    </row>
    <row r="317" spans="1:16" x14ac:dyDescent="0.25">
      <c r="A317" t="s">
        <v>676</v>
      </c>
      <c r="B317" t="str">
        <v>Black Box Limited</v>
      </c>
      <c r="C317" t="s">
        <v>10</v>
      </c>
      <c r="D317">
        <v>244.9</v>
      </c>
      <c r="E317">
        <v>248</v>
      </c>
      <c r="F317">
        <v>240</v>
      </c>
      <c r="G317" s="3">
        <v>241.15</v>
      </c>
      <c r="H317">
        <v>241</v>
      </c>
      <c r="I317">
        <v>241.15</v>
      </c>
      <c r="J317">
        <v>100366</v>
      </c>
      <c r="K317">
        <v>24580310.899999999</v>
      </c>
      <c r="L317" s="1">
        <v>45240</v>
      </c>
      <c r="M317">
        <v>684</v>
      </c>
      <c r="N317" t="s">
        <v>678</v>
      </c>
      <c r="O317" s="5">
        <v>45240</v>
      </c>
      <c r="P317" s="5">
        <v>43777</v>
      </c>
    </row>
    <row r="318" spans="1:16" x14ac:dyDescent="0.25">
      <c r="A318" t="s">
        <v>679</v>
      </c>
      <c r="B318" t="str">
        <v>Bombay Burmah Trading Corporation Limited</v>
      </c>
      <c r="C318" t="s">
        <v>14</v>
      </c>
      <c r="D318">
        <v>1432.95</v>
      </c>
      <c r="E318">
        <v>1488.85</v>
      </c>
      <c r="F318">
        <v>1420</v>
      </c>
      <c r="G318" s="3">
        <v>1459.95</v>
      </c>
      <c r="H318">
        <v>1475</v>
      </c>
      <c r="I318">
        <v>1431.4</v>
      </c>
      <c r="J318">
        <v>197232</v>
      </c>
      <c r="K318">
        <v>287334370.10000002</v>
      </c>
      <c r="L318" s="1">
        <v>45240</v>
      </c>
      <c r="M318">
        <v>13014</v>
      </c>
      <c r="N318" t="s">
        <v>681</v>
      </c>
      <c r="O318" s="5">
        <v>45240</v>
      </c>
      <c r="P318" s="5">
        <v>43777</v>
      </c>
    </row>
    <row r="319" spans="1:16" x14ac:dyDescent="0.25">
      <c r="A319" t="s">
        <v>682</v>
      </c>
      <c r="B319" t="str">
        <v>B&amp;B Triplewall Containers Limited</v>
      </c>
      <c r="C319" t="s">
        <v>14</v>
      </c>
      <c r="D319">
        <v>239.55</v>
      </c>
      <c r="E319">
        <v>241.9</v>
      </c>
      <c r="F319">
        <v>236.05</v>
      </c>
      <c r="G319" s="3">
        <v>238.35</v>
      </c>
      <c r="H319">
        <v>240.15</v>
      </c>
      <c r="I319">
        <v>234.9</v>
      </c>
      <c r="J319">
        <v>9579</v>
      </c>
      <c r="K319">
        <v>2286567.85</v>
      </c>
      <c r="L319" s="1">
        <v>45240</v>
      </c>
      <c r="M319">
        <v>414</v>
      </c>
      <c r="N319" t="s">
        <v>684</v>
      </c>
      <c r="O319" s="5">
        <v>45240</v>
      </c>
      <c r="P319" s="5">
        <v>43777</v>
      </c>
    </row>
    <row r="320" spans="1:16" x14ac:dyDescent="0.25">
      <c r="A320" t="s">
        <v>685</v>
      </c>
      <c r="B320" t="str">
        <v>Brightcom Group Limited</v>
      </c>
      <c r="C320" t="s">
        <v>14</v>
      </c>
      <c r="D320">
        <v>16.850000000000001</v>
      </c>
      <c r="E320">
        <v>16.95</v>
      </c>
      <c r="F320">
        <v>16.649999999999999</v>
      </c>
      <c r="G320" s="3">
        <v>16.8</v>
      </c>
      <c r="H320">
        <v>16.850000000000001</v>
      </c>
      <c r="I320">
        <v>16.850000000000001</v>
      </c>
      <c r="J320">
        <v>4047135</v>
      </c>
      <c r="K320">
        <v>67938127.150000006</v>
      </c>
      <c r="L320" s="1">
        <v>45240</v>
      </c>
      <c r="M320">
        <v>8175</v>
      </c>
      <c r="N320" t="s">
        <v>687</v>
      </c>
      <c r="O320" s="5">
        <v>45240</v>
      </c>
      <c r="P320" s="5">
        <v>43777</v>
      </c>
    </row>
    <row r="321" spans="1:16" x14ac:dyDescent="0.25">
      <c r="A321" t="s">
        <v>688</v>
      </c>
      <c r="B321" t="str">
        <v>Bcl Industries Limited</v>
      </c>
      <c r="C321" t="s">
        <v>14</v>
      </c>
      <c r="D321">
        <v>51.85</v>
      </c>
      <c r="E321">
        <v>54.85</v>
      </c>
      <c r="F321">
        <v>51.1</v>
      </c>
      <c r="G321" s="3">
        <v>52.25</v>
      </c>
      <c r="H321">
        <v>52.7</v>
      </c>
      <c r="I321">
        <v>51.75</v>
      </c>
      <c r="J321">
        <v>2798226</v>
      </c>
      <c r="K321">
        <v>148770873.40000001</v>
      </c>
      <c r="L321" s="1">
        <v>45240</v>
      </c>
      <c r="M321">
        <v>12736</v>
      </c>
      <c r="N321" t="s">
        <v>690</v>
      </c>
      <c r="O321" s="5">
        <v>45240</v>
      </c>
      <c r="P321" s="5">
        <v>43777</v>
      </c>
    </row>
    <row r="322" spans="1:16" x14ac:dyDescent="0.25">
      <c r="A322" t="s">
        <v>691</v>
      </c>
      <c r="B322" t="str">
        <v>Brand Concepts Limited</v>
      </c>
      <c r="C322" t="s">
        <v>10</v>
      </c>
      <c r="D322">
        <v>504.55</v>
      </c>
      <c r="E322">
        <v>504.55</v>
      </c>
      <c r="F322">
        <v>504.55</v>
      </c>
      <c r="G322" s="3">
        <v>504.55</v>
      </c>
      <c r="H322">
        <v>504.55</v>
      </c>
      <c r="I322">
        <v>494.7</v>
      </c>
      <c r="J322">
        <v>987</v>
      </c>
      <c r="K322">
        <v>497990.85</v>
      </c>
      <c r="L322" s="1">
        <v>45240</v>
      </c>
      <c r="M322">
        <v>10</v>
      </c>
      <c r="N322" t="s">
        <v>693</v>
      </c>
      <c r="O322" s="5">
        <v>45240</v>
      </c>
      <c r="P322" s="5">
        <v>43777</v>
      </c>
    </row>
    <row r="323" spans="1:16" x14ac:dyDescent="0.25">
      <c r="A323" t="s">
        <v>694</v>
      </c>
      <c r="B323" t="str">
        <v>Bharat Dynamics Limited</v>
      </c>
      <c r="C323" t="s">
        <v>14</v>
      </c>
      <c r="D323">
        <v>1042</v>
      </c>
      <c r="E323">
        <v>1057.5</v>
      </c>
      <c r="F323">
        <v>1035</v>
      </c>
      <c r="G323" s="3">
        <v>1053.2</v>
      </c>
      <c r="H323">
        <v>1052</v>
      </c>
      <c r="I323">
        <v>1052.0999999999999</v>
      </c>
      <c r="J323">
        <v>315962</v>
      </c>
      <c r="K323">
        <v>331253095.75</v>
      </c>
      <c r="L323" s="1">
        <v>45240</v>
      </c>
      <c r="M323">
        <v>19108</v>
      </c>
      <c r="N323" t="s">
        <v>696</v>
      </c>
      <c r="O323" s="5">
        <v>45240</v>
      </c>
      <c r="P323" s="5">
        <v>43777</v>
      </c>
    </row>
    <row r="324" spans="1:16" x14ac:dyDescent="0.25">
      <c r="A324" t="s">
        <v>697</v>
      </c>
      <c r="B324" t="str">
        <v>Beardsell Limited</v>
      </c>
      <c r="C324" t="s">
        <v>10</v>
      </c>
      <c r="D324">
        <v>45.7</v>
      </c>
      <c r="E324">
        <v>46.65</v>
      </c>
      <c r="F324">
        <v>44.6</v>
      </c>
      <c r="G324" s="3">
        <v>45.75</v>
      </c>
      <c r="H324">
        <v>45.85</v>
      </c>
      <c r="I324">
        <v>45.7</v>
      </c>
      <c r="J324">
        <v>37187</v>
      </c>
      <c r="K324">
        <v>1686787.45</v>
      </c>
      <c r="L324" s="1">
        <v>45240</v>
      </c>
      <c r="M324">
        <v>153</v>
      </c>
      <c r="N324" t="s">
        <v>699</v>
      </c>
      <c r="O324" s="5">
        <v>45240</v>
      </c>
      <c r="P324" s="5">
        <v>43777</v>
      </c>
    </row>
    <row r="325" spans="1:16" x14ac:dyDescent="0.25">
      <c r="A325" t="s">
        <v>700</v>
      </c>
      <c r="B325" t="str">
        <v>Mrs. Bectors Food Specialities Limited</v>
      </c>
      <c r="C325" t="s">
        <v>14</v>
      </c>
      <c r="D325">
        <v>1224.9000000000001</v>
      </c>
      <c r="E325">
        <v>1287.55</v>
      </c>
      <c r="F325">
        <v>1190.45</v>
      </c>
      <c r="G325" s="3">
        <v>1217.4000000000001</v>
      </c>
      <c r="H325">
        <v>1216.3499999999999</v>
      </c>
      <c r="I325">
        <v>1214.05</v>
      </c>
      <c r="J325">
        <v>691593</v>
      </c>
      <c r="K325">
        <v>854531687</v>
      </c>
      <c r="L325" s="1">
        <v>45240</v>
      </c>
      <c r="M325">
        <v>49284</v>
      </c>
      <c r="N325" t="s">
        <v>702</v>
      </c>
      <c r="O325" s="5">
        <v>45240</v>
      </c>
      <c r="P325" s="5">
        <v>43777</v>
      </c>
    </row>
    <row r="326" spans="1:16" x14ac:dyDescent="0.25">
      <c r="A326" t="s">
        <v>703</v>
      </c>
      <c r="B326" t="str">
        <v>Bedmutha Industries Limited</v>
      </c>
      <c r="C326" t="s">
        <v>10</v>
      </c>
      <c r="D326">
        <v>155</v>
      </c>
      <c r="E326">
        <v>155.25</v>
      </c>
      <c r="F326">
        <v>155</v>
      </c>
      <c r="G326" s="3">
        <v>155.05000000000001</v>
      </c>
      <c r="H326">
        <v>155.05000000000001</v>
      </c>
      <c r="I326">
        <v>152.25</v>
      </c>
      <c r="J326">
        <v>27563</v>
      </c>
      <c r="K326">
        <v>4274773.9000000004</v>
      </c>
      <c r="L326" s="1">
        <v>45240</v>
      </c>
      <c r="M326">
        <v>105</v>
      </c>
      <c r="N326" t="s">
        <v>705</v>
      </c>
      <c r="O326" s="5">
        <v>45240</v>
      </c>
      <c r="P326" s="5">
        <v>43777</v>
      </c>
    </row>
    <row r="327" spans="1:16" x14ac:dyDescent="0.25">
      <c r="A327" t="s">
        <v>706</v>
      </c>
      <c r="B327" t="str">
        <v>Bharat Electronics Limited</v>
      </c>
      <c r="C327" t="s">
        <v>14</v>
      </c>
      <c r="D327">
        <v>137.5</v>
      </c>
      <c r="E327">
        <v>139.1</v>
      </c>
      <c r="F327">
        <v>137.05000000000001</v>
      </c>
      <c r="G327" s="3">
        <v>138.80000000000001</v>
      </c>
      <c r="H327">
        <v>138.85</v>
      </c>
      <c r="I327">
        <v>137.94999999999999</v>
      </c>
      <c r="J327">
        <v>5781314</v>
      </c>
      <c r="K327">
        <v>799855940.35000002</v>
      </c>
      <c r="L327" s="1">
        <v>45240</v>
      </c>
      <c r="M327">
        <v>35812</v>
      </c>
      <c r="N327" t="s">
        <v>708</v>
      </c>
      <c r="O327" s="5">
        <v>45240</v>
      </c>
      <c r="P327" s="5">
        <v>43777</v>
      </c>
    </row>
    <row r="328" spans="1:16" x14ac:dyDescent="0.25">
      <c r="A328" t="s">
        <v>709</v>
      </c>
      <c r="B328" t="str">
        <v>BEML Limited</v>
      </c>
      <c r="C328" t="s">
        <v>14</v>
      </c>
      <c r="D328">
        <v>2165</v>
      </c>
      <c r="E328">
        <v>2195</v>
      </c>
      <c r="F328">
        <v>2142.6</v>
      </c>
      <c r="G328" s="3">
        <v>2170.85</v>
      </c>
      <c r="H328">
        <v>2173</v>
      </c>
      <c r="I328">
        <v>2094.15</v>
      </c>
      <c r="J328">
        <v>629841</v>
      </c>
      <c r="K328">
        <v>1366124699.6500001</v>
      </c>
      <c r="L328" s="1">
        <v>45240</v>
      </c>
      <c r="M328">
        <v>38221</v>
      </c>
      <c r="N328" t="s">
        <v>711</v>
      </c>
      <c r="O328" s="5">
        <v>45240</v>
      </c>
      <c r="P328" s="5">
        <v>43777</v>
      </c>
    </row>
    <row r="329" spans="1:16" x14ac:dyDescent="0.25">
      <c r="A329" t="s">
        <v>712</v>
      </c>
      <c r="B329" t="str">
        <v>Bhansali Engineering Polymers Limited</v>
      </c>
      <c r="C329" t="s">
        <v>14</v>
      </c>
      <c r="D329">
        <v>87.25</v>
      </c>
      <c r="E329">
        <v>88.95</v>
      </c>
      <c r="F329">
        <v>87.25</v>
      </c>
      <c r="G329" s="3">
        <v>88</v>
      </c>
      <c r="H329">
        <v>87.65</v>
      </c>
      <c r="I329">
        <v>87.85</v>
      </c>
      <c r="J329">
        <v>268779</v>
      </c>
      <c r="K329">
        <v>23729440</v>
      </c>
      <c r="L329" s="1">
        <v>45240</v>
      </c>
      <c r="M329">
        <v>3496</v>
      </c>
      <c r="N329" t="s">
        <v>714</v>
      </c>
      <c r="O329" s="5">
        <v>45240</v>
      </c>
      <c r="P329" s="5">
        <v>43777</v>
      </c>
    </row>
    <row r="330" spans="1:16" x14ac:dyDescent="0.25">
      <c r="A330" t="s">
        <v>715</v>
      </c>
      <c r="B330" t="str">
        <v>Berger Paints (I) Limited</v>
      </c>
      <c r="C330" t="s">
        <v>14</v>
      </c>
      <c r="D330">
        <v>578.95000000000005</v>
      </c>
      <c r="E330">
        <v>579</v>
      </c>
      <c r="F330">
        <v>568.6</v>
      </c>
      <c r="G330" s="3">
        <v>578.4</v>
      </c>
      <c r="H330">
        <v>577.70000000000005</v>
      </c>
      <c r="I330">
        <v>578.95000000000005</v>
      </c>
      <c r="J330">
        <v>513917</v>
      </c>
      <c r="K330">
        <v>295394439.39999998</v>
      </c>
      <c r="L330" s="1">
        <v>45240</v>
      </c>
      <c r="M330">
        <v>15098</v>
      </c>
      <c r="N330" t="s">
        <v>717</v>
      </c>
      <c r="O330" s="5">
        <v>45240</v>
      </c>
      <c r="P330" s="5">
        <v>43777</v>
      </c>
    </row>
    <row r="331" spans="1:16" x14ac:dyDescent="0.25">
      <c r="A331" t="s">
        <v>6830</v>
      </c>
      <c r="B331" t="str">
        <v>Not Found</v>
      </c>
      <c r="C331" t="s">
        <v>5788</v>
      </c>
      <c r="D331">
        <v>1154.95</v>
      </c>
      <c r="E331">
        <v>1225</v>
      </c>
      <c r="F331">
        <v>1080</v>
      </c>
      <c r="G331" s="3">
        <v>1161.5999999999999</v>
      </c>
      <c r="H331">
        <v>1170</v>
      </c>
      <c r="I331">
        <v>1124.8</v>
      </c>
      <c r="J331">
        <v>9400</v>
      </c>
      <c r="K331">
        <v>10995860</v>
      </c>
      <c r="L331" s="1">
        <v>45240</v>
      </c>
      <c r="M331">
        <v>83</v>
      </c>
      <c r="N331" t="s">
        <v>6829</v>
      </c>
      <c r="O331" s="5">
        <v>45240</v>
      </c>
      <c r="P331" s="5">
        <v>43777</v>
      </c>
    </row>
    <row r="332" spans="1:16" x14ac:dyDescent="0.25">
      <c r="A332" t="s">
        <v>6828</v>
      </c>
      <c r="B332" t="str">
        <v>Not Found</v>
      </c>
      <c r="C332" t="s">
        <v>5788</v>
      </c>
      <c r="D332">
        <v>1502.05</v>
      </c>
      <c r="E332">
        <v>1520.7</v>
      </c>
      <c r="F332">
        <v>1498</v>
      </c>
      <c r="G332" s="3">
        <v>1520.7</v>
      </c>
      <c r="H332">
        <v>1520.7</v>
      </c>
      <c r="I332">
        <v>1499.5</v>
      </c>
      <c r="J332">
        <v>500</v>
      </c>
      <c r="K332">
        <v>752593.75</v>
      </c>
      <c r="L332" s="1">
        <v>45240</v>
      </c>
      <c r="M332">
        <v>4</v>
      </c>
      <c r="N332" t="s">
        <v>6827</v>
      </c>
      <c r="O332" s="5">
        <v>45240</v>
      </c>
      <c r="P332" s="5">
        <v>43777</v>
      </c>
    </row>
    <row r="333" spans="1:16" x14ac:dyDescent="0.25">
      <c r="A333" t="s">
        <v>718</v>
      </c>
      <c r="B333" t="str">
        <v>BF Investment Limited</v>
      </c>
      <c r="C333" t="s">
        <v>14</v>
      </c>
      <c r="D333">
        <v>490.05</v>
      </c>
      <c r="E333">
        <v>491.3</v>
      </c>
      <c r="F333">
        <v>478</v>
      </c>
      <c r="G333" s="3">
        <v>481.9</v>
      </c>
      <c r="H333">
        <v>482.85</v>
      </c>
      <c r="I333">
        <v>489.95</v>
      </c>
      <c r="J333">
        <v>44559</v>
      </c>
      <c r="K333">
        <v>21649668.100000001</v>
      </c>
      <c r="L333" s="1">
        <v>45240</v>
      </c>
      <c r="M333">
        <v>2027</v>
      </c>
      <c r="N333" t="s">
        <v>720</v>
      </c>
      <c r="O333" s="5">
        <v>45240</v>
      </c>
      <c r="P333" s="5">
        <v>43777</v>
      </c>
    </row>
    <row r="334" spans="1:16" x14ac:dyDescent="0.25">
      <c r="A334" t="s">
        <v>6826</v>
      </c>
      <c r="B334" t="str">
        <v>Not Found</v>
      </c>
      <c r="C334" t="s">
        <v>14</v>
      </c>
      <c r="D334">
        <v>19.670000000000002</v>
      </c>
      <c r="E334">
        <v>19.98</v>
      </c>
      <c r="F334">
        <v>19.670000000000002</v>
      </c>
      <c r="G334" s="3">
        <v>19.899999999999999</v>
      </c>
      <c r="H334">
        <v>19.93</v>
      </c>
      <c r="I334">
        <v>19.82</v>
      </c>
      <c r="J334">
        <v>143821</v>
      </c>
      <c r="K334">
        <v>2851402.98</v>
      </c>
      <c r="L334" s="1">
        <v>45240</v>
      </c>
      <c r="M334">
        <v>508</v>
      </c>
      <c r="N334" t="s">
        <v>6825</v>
      </c>
      <c r="O334" s="5">
        <v>45240</v>
      </c>
      <c r="P334" s="5">
        <v>43777</v>
      </c>
    </row>
    <row r="335" spans="1:16" x14ac:dyDescent="0.25">
      <c r="A335" t="s">
        <v>721</v>
      </c>
      <c r="B335" t="str">
        <v>BF Utilities Limited</v>
      </c>
      <c r="C335" t="s">
        <v>14</v>
      </c>
      <c r="D335">
        <v>610.9</v>
      </c>
      <c r="E335">
        <v>627</v>
      </c>
      <c r="F335">
        <v>604.04999999999995</v>
      </c>
      <c r="G335" s="3">
        <v>615.95000000000005</v>
      </c>
      <c r="H335">
        <v>620</v>
      </c>
      <c r="I335">
        <v>611.65</v>
      </c>
      <c r="J335">
        <v>60110</v>
      </c>
      <c r="K335">
        <v>37087849.700000003</v>
      </c>
      <c r="L335" s="1">
        <v>45240</v>
      </c>
      <c r="M335">
        <v>1886</v>
      </c>
      <c r="N335" t="s">
        <v>723</v>
      </c>
      <c r="O335" s="5">
        <v>45240</v>
      </c>
      <c r="P335" s="5">
        <v>43777</v>
      </c>
    </row>
    <row r="336" spans="1:16" x14ac:dyDescent="0.25">
      <c r="A336" t="s">
        <v>724</v>
      </c>
      <c r="B336" t="str">
        <v>BGR Energy Systems Limited</v>
      </c>
      <c r="C336" t="s">
        <v>14</v>
      </c>
      <c r="D336">
        <v>73.5</v>
      </c>
      <c r="E336">
        <v>75</v>
      </c>
      <c r="F336">
        <v>72.7</v>
      </c>
      <c r="G336" s="3">
        <v>73.3</v>
      </c>
      <c r="H336">
        <v>73.05</v>
      </c>
      <c r="I336">
        <v>73.599999999999994</v>
      </c>
      <c r="J336">
        <v>200194</v>
      </c>
      <c r="K336">
        <v>14712935.65</v>
      </c>
      <c r="L336" s="1">
        <v>45240</v>
      </c>
      <c r="M336">
        <v>1646</v>
      </c>
      <c r="N336" t="s">
        <v>726</v>
      </c>
      <c r="O336" s="5">
        <v>45240</v>
      </c>
      <c r="P336" s="5">
        <v>43777</v>
      </c>
    </row>
    <row r="337" spans="1:16" x14ac:dyDescent="0.25">
      <c r="A337" t="s">
        <v>727</v>
      </c>
      <c r="B337" t="str">
        <v>Bhagiradha Chemicals &amp; Industries Limited</v>
      </c>
      <c r="C337" t="s">
        <v>14</v>
      </c>
      <c r="D337">
        <v>1579.6</v>
      </c>
      <c r="E337">
        <v>1617.45</v>
      </c>
      <c r="F337">
        <v>1571.55</v>
      </c>
      <c r="G337" s="3">
        <v>1593.3</v>
      </c>
      <c r="H337">
        <v>1591</v>
      </c>
      <c r="I337">
        <v>1577.8</v>
      </c>
      <c r="J337">
        <v>4950</v>
      </c>
      <c r="K337">
        <v>7861306.5</v>
      </c>
      <c r="L337" s="1">
        <v>45240</v>
      </c>
      <c r="M337">
        <v>407</v>
      </c>
      <c r="N337" t="s">
        <v>729</v>
      </c>
      <c r="O337" s="5">
        <v>45240</v>
      </c>
      <c r="P337" s="5">
        <v>43777</v>
      </c>
    </row>
    <row r="338" spans="1:16" x14ac:dyDescent="0.25">
      <c r="A338" t="s">
        <v>730</v>
      </c>
      <c r="B338" t="str">
        <v>Bhageria Industries Limited</v>
      </c>
      <c r="C338" t="s">
        <v>14</v>
      </c>
      <c r="D338">
        <v>145.65</v>
      </c>
      <c r="E338">
        <v>149.94999999999999</v>
      </c>
      <c r="F338">
        <v>145.65</v>
      </c>
      <c r="G338" s="3">
        <v>147.55000000000001</v>
      </c>
      <c r="H338">
        <v>147.19999999999999</v>
      </c>
      <c r="I338">
        <v>149.1</v>
      </c>
      <c r="J338">
        <v>12469</v>
      </c>
      <c r="K338">
        <v>1847722.5</v>
      </c>
      <c r="L338" s="1">
        <v>45240</v>
      </c>
      <c r="M338">
        <v>350</v>
      </c>
      <c r="N338" t="s">
        <v>732</v>
      </c>
      <c r="O338" s="5">
        <v>45240</v>
      </c>
      <c r="P338" s="5">
        <v>43777</v>
      </c>
    </row>
    <row r="339" spans="1:16" x14ac:dyDescent="0.25">
      <c r="A339" t="s">
        <v>733</v>
      </c>
      <c r="B339" t="str">
        <v>Bhagyanagar India Limited</v>
      </c>
      <c r="C339" t="s">
        <v>10</v>
      </c>
      <c r="D339">
        <v>66.7</v>
      </c>
      <c r="E339">
        <v>66.7</v>
      </c>
      <c r="F339">
        <v>66.7</v>
      </c>
      <c r="G339" s="3">
        <v>66.7</v>
      </c>
      <c r="H339">
        <v>66.7</v>
      </c>
      <c r="I339">
        <v>68.05</v>
      </c>
      <c r="J339">
        <v>1329</v>
      </c>
      <c r="K339">
        <v>88644.3</v>
      </c>
      <c r="L339" s="1">
        <v>45240</v>
      </c>
      <c r="M339">
        <v>33</v>
      </c>
      <c r="N339" t="s">
        <v>735</v>
      </c>
      <c r="O339" s="5">
        <v>45240</v>
      </c>
      <c r="P339" s="5">
        <v>43777</v>
      </c>
    </row>
    <row r="340" spans="1:16" x14ac:dyDescent="0.25">
      <c r="A340" t="s">
        <v>736</v>
      </c>
      <c r="B340" t="str">
        <v>Bhandari Hosiery Exports Limited</v>
      </c>
      <c r="C340" t="s">
        <v>10</v>
      </c>
      <c r="D340">
        <v>6</v>
      </c>
      <c r="E340">
        <v>6.15</v>
      </c>
      <c r="F340">
        <v>5.9</v>
      </c>
      <c r="G340" s="3">
        <v>6.05</v>
      </c>
      <c r="H340">
        <v>6.05</v>
      </c>
      <c r="I340">
        <v>6</v>
      </c>
      <c r="J340">
        <v>192063</v>
      </c>
      <c r="K340">
        <v>1156638.3999999999</v>
      </c>
      <c r="L340" s="1">
        <v>45240</v>
      </c>
      <c r="M340">
        <v>504</v>
      </c>
      <c r="N340" t="s">
        <v>738</v>
      </c>
      <c r="O340" s="5">
        <v>45240</v>
      </c>
      <c r="P340" s="5">
        <v>43777</v>
      </c>
    </row>
    <row r="341" spans="1:16" x14ac:dyDescent="0.25">
      <c r="A341" t="s">
        <v>739</v>
      </c>
      <c r="B341" t="str">
        <v>Bharat Forge Limited</v>
      </c>
      <c r="C341" t="s">
        <v>14</v>
      </c>
      <c r="D341">
        <v>1032</v>
      </c>
      <c r="E341">
        <v>1043</v>
      </c>
      <c r="F341">
        <v>1018</v>
      </c>
      <c r="G341" s="3">
        <v>1040.5</v>
      </c>
      <c r="H341">
        <v>1040</v>
      </c>
      <c r="I341">
        <v>1032.9000000000001</v>
      </c>
      <c r="J341">
        <v>1066829</v>
      </c>
      <c r="K341">
        <v>1102352795.8499999</v>
      </c>
      <c r="L341" s="1">
        <v>45240</v>
      </c>
      <c r="M341">
        <v>32367</v>
      </c>
      <c r="N341" t="s">
        <v>741</v>
      </c>
      <c r="O341" s="5">
        <v>45240</v>
      </c>
      <c r="P341" s="5">
        <v>43777</v>
      </c>
    </row>
    <row r="342" spans="1:16" x14ac:dyDescent="0.25">
      <c r="A342" t="s">
        <v>742</v>
      </c>
      <c r="B342" t="str">
        <v>Bharat Gears Limited</v>
      </c>
      <c r="C342" t="s">
        <v>14</v>
      </c>
      <c r="D342">
        <v>115</v>
      </c>
      <c r="E342">
        <v>115.05</v>
      </c>
      <c r="F342">
        <v>113</v>
      </c>
      <c r="G342" s="3">
        <v>113.85</v>
      </c>
      <c r="H342">
        <v>113.75</v>
      </c>
      <c r="I342">
        <v>116.85</v>
      </c>
      <c r="J342">
        <v>53227</v>
      </c>
      <c r="K342">
        <v>6061069</v>
      </c>
      <c r="L342" s="1">
        <v>45240</v>
      </c>
      <c r="M342">
        <v>1017</v>
      </c>
      <c r="N342" t="s">
        <v>744</v>
      </c>
      <c r="O342" s="5">
        <v>45240</v>
      </c>
      <c r="P342" s="5">
        <v>43777</v>
      </c>
    </row>
    <row r="343" spans="1:16" x14ac:dyDescent="0.25">
      <c r="A343" t="s">
        <v>745</v>
      </c>
      <c r="B343" t="str">
        <v>Bharat Rasayan Limited</v>
      </c>
      <c r="C343" t="s">
        <v>14</v>
      </c>
      <c r="D343">
        <v>9274</v>
      </c>
      <c r="E343">
        <v>9274</v>
      </c>
      <c r="F343">
        <v>9000</v>
      </c>
      <c r="G343" s="3">
        <v>9113.4500000000007</v>
      </c>
      <c r="H343">
        <v>9100</v>
      </c>
      <c r="I343">
        <v>9188.4500000000007</v>
      </c>
      <c r="J343">
        <v>675</v>
      </c>
      <c r="K343">
        <v>6146187.2999999998</v>
      </c>
      <c r="L343" s="1">
        <v>45240</v>
      </c>
      <c r="M343">
        <v>396</v>
      </c>
      <c r="N343" t="s">
        <v>747</v>
      </c>
      <c r="O343" s="5">
        <v>45240</v>
      </c>
      <c r="P343" s="5">
        <v>43777</v>
      </c>
    </row>
    <row r="344" spans="1:16" x14ac:dyDescent="0.25">
      <c r="A344" t="s">
        <v>748</v>
      </c>
      <c r="B344" t="str">
        <v>Bharat Wire Ropes Limited</v>
      </c>
      <c r="C344" t="s">
        <v>14</v>
      </c>
      <c r="D344">
        <v>282.7</v>
      </c>
      <c r="E344">
        <v>288.64999999999998</v>
      </c>
      <c r="F344">
        <v>278.05</v>
      </c>
      <c r="G344" s="3">
        <v>286.64999999999998</v>
      </c>
      <c r="H344">
        <v>285.95</v>
      </c>
      <c r="I344">
        <v>282.95</v>
      </c>
      <c r="J344">
        <v>400081</v>
      </c>
      <c r="K344">
        <v>114241698.7</v>
      </c>
      <c r="L344" s="1">
        <v>45240</v>
      </c>
      <c r="M344">
        <v>4624</v>
      </c>
      <c r="N344" t="s">
        <v>750</v>
      </c>
      <c r="O344" s="5">
        <v>45240</v>
      </c>
      <c r="P344" s="5">
        <v>43777</v>
      </c>
    </row>
    <row r="345" spans="1:16" x14ac:dyDescent="0.25">
      <c r="A345" t="s">
        <v>751</v>
      </c>
      <c r="B345" t="str">
        <v>Bharti Airtel Limited</v>
      </c>
      <c r="C345" t="s">
        <v>14</v>
      </c>
      <c r="D345">
        <v>929</v>
      </c>
      <c r="E345">
        <v>937</v>
      </c>
      <c r="F345">
        <v>929</v>
      </c>
      <c r="G345" s="3">
        <v>935.5</v>
      </c>
      <c r="H345">
        <v>934.35</v>
      </c>
      <c r="I345">
        <v>932.35</v>
      </c>
      <c r="J345">
        <v>1345614</v>
      </c>
      <c r="K345">
        <v>1256686984.5999999</v>
      </c>
      <c r="L345" s="1">
        <v>45240</v>
      </c>
      <c r="M345">
        <v>58393</v>
      </c>
      <c r="N345" t="s">
        <v>753</v>
      </c>
      <c r="O345" s="5">
        <v>45240</v>
      </c>
      <c r="P345" s="5">
        <v>43777</v>
      </c>
    </row>
    <row r="346" spans="1:16" x14ac:dyDescent="0.25">
      <c r="A346" t="s">
        <v>754</v>
      </c>
      <c r="B346" t="str">
        <v>Bharat Heavy Electricals Limited</v>
      </c>
      <c r="C346" t="s">
        <v>14</v>
      </c>
      <c r="D346">
        <v>125.55</v>
      </c>
      <c r="E346">
        <v>130.19999999999999</v>
      </c>
      <c r="F346">
        <v>123.8</v>
      </c>
      <c r="G346" s="3">
        <v>129.05000000000001</v>
      </c>
      <c r="H346">
        <v>128.94999999999999</v>
      </c>
      <c r="I346">
        <v>125.8</v>
      </c>
      <c r="J346">
        <v>24894388</v>
      </c>
      <c r="K346">
        <v>3183243159.5</v>
      </c>
      <c r="L346" s="1">
        <v>45240</v>
      </c>
      <c r="M346">
        <v>75124</v>
      </c>
      <c r="N346" t="s">
        <v>756</v>
      </c>
      <c r="O346" s="5">
        <v>45240</v>
      </c>
      <c r="P346" s="5">
        <v>43777</v>
      </c>
    </row>
    <row r="347" spans="1:16" x14ac:dyDescent="0.25">
      <c r="A347" t="s">
        <v>757</v>
      </c>
      <c r="B347" t="str">
        <v>Bigbloc Construction Limited</v>
      </c>
      <c r="C347" t="s">
        <v>14</v>
      </c>
      <c r="D347">
        <v>153.1</v>
      </c>
      <c r="E347">
        <v>154.85</v>
      </c>
      <c r="F347">
        <v>150</v>
      </c>
      <c r="G347" s="3">
        <v>150.75</v>
      </c>
      <c r="H347">
        <v>151.4</v>
      </c>
      <c r="I347">
        <v>152.1</v>
      </c>
      <c r="J347">
        <v>45638</v>
      </c>
      <c r="K347">
        <v>6924772.25</v>
      </c>
      <c r="L347" s="1">
        <v>45240</v>
      </c>
      <c r="M347">
        <v>2199</v>
      </c>
      <c r="N347" t="s">
        <v>759</v>
      </c>
      <c r="O347" s="5">
        <v>45240</v>
      </c>
      <c r="P347" s="5">
        <v>43777</v>
      </c>
    </row>
    <row r="348" spans="1:16" x14ac:dyDescent="0.25">
      <c r="A348" t="s">
        <v>760</v>
      </c>
      <c r="B348" t="str">
        <v>Bikaji Foods International Limited</v>
      </c>
      <c r="C348" t="s">
        <v>14</v>
      </c>
      <c r="D348">
        <v>524.9</v>
      </c>
      <c r="E348">
        <v>528.20000000000005</v>
      </c>
      <c r="F348">
        <v>513</v>
      </c>
      <c r="G348" s="3">
        <v>515.79999999999995</v>
      </c>
      <c r="H348">
        <v>514</v>
      </c>
      <c r="I348">
        <v>524</v>
      </c>
      <c r="J348">
        <v>299462</v>
      </c>
      <c r="K348">
        <v>155623697.25</v>
      </c>
      <c r="L348" s="1">
        <v>45240</v>
      </c>
      <c r="M348">
        <v>9343</v>
      </c>
      <c r="N348" t="s">
        <v>762</v>
      </c>
      <c r="O348" s="5">
        <v>45240</v>
      </c>
      <c r="P348" s="5">
        <v>43777</v>
      </c>
    </row>
    <row r="349" spans="1:16" x14ac:dyDescent="0.25">
      <c r="A349" t="s">
        <v>763</v>
      </c>
      <c r="B349" t="str">
        <v>Bhartiya International Limited</v>
      </c>
      <c r="C349" t="s">
        <v>14</v>
      </c>
      <c r="D349">
        <v>235</v>
      </c>
      <c r="E349">
        <v>235</v>
      </c>
      <c r="F349">
        <v>230.9</v>
      </c>
      <c r="G349" s="3">
        <v>232.1</v>
      </c>
      <c r="H349">
        <v>234.5</v>
      </c>
      <c r="I349">
        <v>230.7</v>
      </c>
      <c r="J349">
        <v>1900</v>
      </c>
      <c r="K349">
        <v>440938.95</v>
      </c>
      <c r="L349" s="1">
        <v>45240</v>
      </c>
      <c r="M349">
        <v>134</v>
      </c>
      <c r="N349" t="s">
        <v>765</v>
      </c>
      <c r="O349" s="5">
        <v>45240</v>
      </c>
      <c r="P349" s="5">
        <v>43777</v>
      </c>
    </row>
    <row r="350" spans="1:16" x14ac:dyDescent="0.25">
      <c r="A350" t="s">
        <v>766</v>
      </c>
      <c r="B350" t="str">
        <v>Binani Industries Limited</v>
      </c>
      <c r="C350" t="s">
        <v>10</v>
      </c>
      <c r="D350">
        <v>16.55</v>
      </c>
      <c r="E350">
        <v>16.600000000000001</v>
      </c>
      <c r="F350">
        <v>15.85</v>
      </c>
      <c r="G350" s="3">
        <v>16.600000000000001</v>
      </c>
      <c r="H350">
        <v>16.600000000000001</v>
      </c>
      <c r="I350">
        <v>15.85</v>
      </c>
      <c r="J350">
        <v>9850</v>
      </c>
      <c r="K350">
        <v>162159.70000000001</v>
      </c>
      <c r="L350" s="1">
        <v>45240</v>
      </c>
      <c r="M350">
        <v>78</v>
      </c>
      <c r="N350" t="s">
        <v>768</v>
      </c>
      <c r="O350" s="5">
        <v>45240</v>
      </c>
      <c r="P350" s="5">
        <v>43777</v>
      </c>
    </row>
    <row r="351" spans="1:16" x14ac:dyDescent="0.25">
      <c r="A351" t="s">
        <v>769</v>
      </c>
      <c r="B351" t="str">
        <v>Biocon Limited</v>
      </c>
      <c r="C351" t="s">
        <v>14</v>
      </c>
      <c r="D351">
        <v>227.85</v>
      </c>
      <c r="E351">
        <v>228.65</v>
      </c>
      <c r="F351">
        <v>222.55</v>
      </c>
      <c r="G351" s="3">
        <v>227.4</v>
      </c>
      <c r="H351">
        <v>228.3</v>
      </c>
      <c r="I351">
        <v>227.05</v>
      </c>
      <c r="J351">
        <v>2629871</v>
      </c>
      <c r="K351">
        <v>592159950.04999995</v>
      </c>
      <c r="L351" s="1">
        <v>45240</v>
      </c>
      <c r="M351">
        <v>25729</v>
      </c>
      <c r="N351" t="s">
        <v>771</v>
      </c>
      <c r="O351" s="5">
        <v>45240</v>
      </c>
      <c r="P351" s="5">
        <v>43777</v>
      </c>
    </row>
    <row r="352" spans="1:16" x14ac:dyDescent="0.25">
      <c r="A352" t="s">
        <v>772</v>
      </c>
      <c r="B352" t="str">
        <v>Biofil Chemicals &amp; Pharmaceuticals Limited</v>
      </c>
      <c r="C352" t="s">
        <v>14</v>
      </c>
      <c r="D352">
        <v>48.85</v>
      </c>
      <c r="E352">
        <v>49.1</v>
      </c>
      <c r="F352">
        <v>48.45</v>
      </c>
      <c r="G352" s="3">
        <v>48.95</v>
      </c>
      <c r="H352">
        <v>49.1</v>
      </c>
      <c r="I352">
        <v>48.85</v>
      </c>
      <c r="J352">
        <v>4888</v>
      </c>
      <c r="K352">
        <v>239065.7</v>
      </c>
      <c r="L352" s="1">
        <v>45240</v>
      </c>
      <c r="M352">
        <v>153</v>
      </c>
      <c r="N352" t="s">
        <v>774</v>
      </c>
      <c r="O352" s="5">
        <v>45240</v>
      </c>
      <c r="P352" s="5">
        <v>43777</v>
      </c>
    </row>
    <row r="353" spans="1:16" x14ac:dyDescent="0.25">
      <c r="A353" t="s">
        <v>6824</v>
      </c>
      <c r="B353" t="str">
        <v>Not Found</v>
      </c>
      <c r="C353" t="s">
        <v>6202</v>
      </c>
      <c r="D353">
        <v>248.75</v>
      </c>
      <c r="E353">
        <v>249.63</v>
      </c>
      <c r="F353">
        <v>247.86</v>
      </c>
      <c r="G353" s="3">
        <v>248.89</v>
      </c>
      <c r="H353">
        <v>249</v>
      </c>
      <c r="I353">
        <v>247.86</v>
      </c>
      <c r="J353">
        <v>94265</v>
      </c>
      <c r="K353">
        <v>23473716.68</v>
      </c>
      <c r="L353" s="1">
        <v>45240</v>
      </c>
      <c r="M353">
        <v>2001</v>
      </c>
      <c r="N353" t="s">
        <v>6823</v>
      </c>
      <c r="O353" s="5">
        <v>45240</v>
      </c>
      <c r="P353" s="5">
        <v>43777</v>
      </c>
    </row>
    <row r="354" spans="1:16" x14ac:dyDescent="0.25">
      <c r="A354" t="s">
        <v>775</v>
      </c>
      <c r="B354" t="str">
        <v>Birla Cable Limited</v>
      </c>
      <c r="C354" t="s">
        <v>14</v>
      </c>
      <c r="D354">
        <v>280</v>
      </c>
      <c r="E354">
        <v>283</v>
      </c>
      <c r="F354">
        <v>276.5</v>
      </c>
      <c r="G354" s="3">
        <v>277.89999999999998</v>
      </c>
      <c r="H354">
        <v>277</v>
      </c>
      <c r="I354">
        <v>280.05</v>
      </c>
      <c r="J354">
        <v>51909</v>
      </c>
      <c r="K354">
        <v>14462128.800000001</v>
      </c>
      <c r="L354" s="1">
        <v>45240</v>
      </c>
      <c r="M354">
        <v>1760</v>
      </c>
      <c r="N354" t="s">
        <v>777</v>
      </c>
      <c r="O354" s="5">
        <v>45240</v>
      </c>
      <c r="P354" s="5">
        <v>43777</v>
      </c>
    </row>
    <row r="355" spans="1:16" x14ac:dyDescent="0.25">
      <c r="A355" t="s">
        <v>778</v>
      </c>
      <c r="B355" t="str">
        <v>Birla Corporation Limited</v>
      </c>
      <c r="C355" t="s">
        <v>14</v>
      </c>
      <c r="D355">
        <v>1299.3</v>
      </c>
      <c r="E355">
        <v>1305.75</v>
      </c>
      <c r="F355">
        <v>1264.45</v>
      </c>
      <c r="G355" s="3">
        <v>1272.55</v>
      </c>
      <c r="H355">
        <v>1275.2</v>
      </c>
      <c r="I355">
        <v>1299.3</v>
      </c>
      <c r="J355">
        <v>89347</v>
      </c>
      <c r="K355">
        <v>114056110</v>
      </c>
      <c r="L355" s="1">
        <v>45240</v>
      </c>
      <c r="M355">
        <v>8676</v>
      </c>
      <c r="N355" t="s">
        <v>780</v>
      </c>
      <c r="O355" s="5">
        <v>45240</v>
      </c>
      <c r="P355" s="5">
        <v>43777</v>
      </c>
    </row>
    <row r="356" spans="1:16" x14ac:dyDescent="0.25">
      <c r="A356" t="s">
        <v>781</v>
      </c>
      <c r="B356" t="str">
        <v>Aditya Birla Money Limited</v>
      </c>
      <c r="C356" t="s">
        <v>14</v>
      </c>
      <c r="D356">
        <v>108.9</v>
      </c>
      <c r="E356">
        <v>114.75</v>
      </c>
      <c r="F356">
        <v>107.55</v>
      </c>
      <c r="G356" s="3">
        <v>109.3</v>
      </c>
      <c r="H356">
        <v>109.25</v>
      </c>
      <c r="I356">
        <v>109.05</v>
      </c>
      <c r="J356">
        <v>996782</v>
      </c>
      <c r="K356">
        <v>111395069.7</v>
      </c>
      <c r="L356" s="1">
        <v>45240</v>
      </c>
      <c r="M356">
        <v>9921</v>
      </c>
      <c r="N356" t="s">
        <v>783</v>
      </c>
      <c r="O356" s="5">
        <v>45240</v>
      </c>
      <c r="P356" s="5">
        <v>43777</v>
      </c>
    </row>
    <row r="357" spans="1:16" x14ac:dyDescent="0.25">
      <c r="A357" t="s">
        <v>784</v>
      </c>
      <c r="B357" t="str">
        <v>Bkm Industries Limited</v>
      </c>
      <c r="C357" t="s">
        <v>786</v>
      </c>
      <c r="D357">
        <v>0.95</v>
      </c>
      <c r="E357">
        <v>1</v>
      </c>
      <c r="F357">
        <v>0.9</v>
      </c>
      <c r="G357" s="3">
        <v>1</v>
      </c>
      <c r="H357">
        <v>1</v>
      </c>
      <c r="I357">
        <v>0.95</v>
      </c>
      <c r="J357">
        <v>143163</v>
      </c>
      <c r="K357">
        <v>140074.5</v>
      </c>
      <c r="L357" s="1">
        <v>45240</v>
      </c>
      <c r="M357">
        <v>91</v>
      </c>
      <c r="N357" t="s">
        <v>787</v>
      </c>
      <c r="O357" s="5">
        <v>45240</v>
      </c>
      <c r="P357" s="5">
        <v>43777</v>
      </c>
    </row>
    <row r="358" spans="1:16" x14ac:dyDescent="0.25">
      <c r="A358" t="s">
        <v>788</v>
      </c>
      <c r="B358" t="str">
        <v>BEML Land Assets Limited</v>
      </c>
      <c r="C358" t="s">
        <v>14</v>
      </c>
      <c r="D358">
        <v>160.80000000000001</v>
      </c>
      <c r="E358">
        <v>162.5</v>
      </c>
      <c r="F358">
        <v>158.19999999999999</v>
      </c>
      <c r="G358" s="3">
        <v>159</v>
      </c>
      <c r="H358">
        <v>159.4</v>
      </c>
      <c r="I358">
        <v>160.94999999999999</v>
      </c>
      <c r="J358">
        <v>68033</v>
      </c>
      <c r="K358">
        <v>10910906.6</v>
      </c>
      <c r="L358" s="1">
        <v>45240</v>
      </c>
      <c r="M358">
        <v>2795</v>
      </c>
      <c r="N358" t="s">
        <v>790</v>
      </c>
      <c r="O358" s="5">
        <v>45240</v>
      </c>
      <c r="P358" s="5">
        <v>43777</v>
      </c>
    </row>
    <row r="359" spans="1:16" x14ac:dyDescent="0.25">
      <c r="A359" t="s">
        <v>791</v>
      </c>
      <c r="B359" t="str">
        <v>BLB Limited</v>
      </c>
      <c r="C359" t="s">
        <v>14</v>
      </c>
      <c r="D359">
        <v>21.25</v>
      </c>
      <c r="E359">
        <v>21.8</v>
      </c>
      <c r="F359">
        <v>21.25</v>
      </c>
      <c r="G359" s="3">
        <v>21.45</v>
      </c>
      <c r="H359">
        <v>21.5</v>
      </c>
      <c r="I359">
        <v>21.55</v>
      </c>
      <c r="J359">
        <v>38124</v>
      </c>
      <c r="K359">
        <v>821099.2</v>
      </c>
      <c r="L359" s="1">
        <v>45240</v>
      </c>
      <c r="M359">
        <v>294</v>
      </c>
      <c r="N359" t="s">
        <v>793</v>
      </c>
      <c r="O359" s="5">
        <v>45240</v>
      </c>
      <c r="P359" s="5">
        <v>43777</v>
      </c>
    </row>
    <row r="360" spans="1:16" x14ac:dyDescent="0.25">
      <c r="A360" t="s">
        <v>794</v>
      </c>
      <c r="B360" t="str">
        <v>Bliss GVS Pharma Limited</v>
      </c>
      <c r="C360" t="s">
        <v>14</v>
      </c>
      <c r="D360">
        <v>111.95</v>
      </c>
      <c r="E360">
        <v>118.8</v>
      </c>
      <c r="F360">
        <v>110</v>
      </c>
      <c r="G360" s="3">
        <v>118.05</v>
      </c>
      <c r="H360">
        <v>117</v>
      </c>
      <c r="I360">
        <v>111.6</v>
      </c>
      <c r="J360">
        <v>1813757</v>
      </c>
      <c r="K360">
        <v>210594155.15000001</v>
      </c>
      <c r="L360" s="1">
        <v>45240</v>
      </c>
      <c r="M360">
        <v>10523</v>
      </c>
      <c r="N360" t="s">
        <v>796</v>
      </c>
      <c r="O360" s="5">
        <v>45240</v>
      </c>
      <c r="P360" s="5">
        <v>43777</v>
      </c>
    </row>
    <row r="361" spans="1:16" x14ac:dyDescent="0.25">
      <c r="A361" t="s">
        <v>797</v>
      </c>
      <c r="B361" t="str">
        <v>B. L. Kashyap and Sons Limited</v>
      </c>
      <c r="C361" t="s">
        <v>14</v>
      </c>
      <c r="D361">
        <v>65.8</v>
      </c>
      <c r="E361">
        <v>68.900000000000006</v>
      </c>
      <c r="F361">
        <v>65.7</v>
      </c>
      <c r="G361" s="3">
        <v>66.150000000000006</v>
      </c>
      <c r="H361">
        <v>66.2</v>
      </c>
      <c r="I361">
        <v>65.5</v>
      </c>
      <c r="J361">
        <v>790810</v>
      </c>
      <c r="K361">
        <v>52748824.100000001</v>
      </c>
      <c r="L361" s="1">
        <v>45240</v>
      </c>
      <c r="M361">
        <v>3272</v>
      </c>
      <c r="N361" t="s">
        <v>799</v>
      </c>
      <c r="O361" s="5">
        <v>45240</v>
      </c>
      <c r="P361" s="5">
        <v>43777</v>
      </c>
    </row>
    <row r="362" spans="1:16" x14ac:dyDescent="0.25">
      <c r="A362" t="s">
        <v>800</v>
      </c>
      <c r="B362" t="str">
        <v>BLS International Services Limited</v>
      </c>
      <c r="C362" t="s">
        <v>14</v>
      </c>
      <c r="D362">
        <v>265.05</v>
      </c>
      <c r="E362">
        <v>278</v>
      </c>
      <c r="F362">
        <v>261.3</v>
      </c>
      <c r="G362" s="3">
        <v>274.45</v>
      </c>
      <c r="H362">
        <v>274</v>
      </c>
      <c r="I362">
        <v>267.39999999999998</v>
      </c>
      <c r="J362">
        <v>3068143</v>
      </c>
      <c r="K362">
        <v>840081958.5</v>
      </c>
      <c r="L362" s="1">
        <v>45240</v>
      </c>
      <c r="M362">
        <v>54737</v>
      </c>
      <c r="N362" t="s">
        <v>802</v>
      </c>
      <c r="O362" s="5">
        <v>45240</v>
      </c>
      <c r="P362" s="5">
        <v>43777</v>
      </c>
    </row>
    <row r="363" spans="1:16" x14ac:dyDescent="0.25">
      <c r="A363" t="s">
        <v>803</v>
      </c>
      <c r="B363" t="str">
        <v>Blue Chip India Limited</v>
      </c>
      <c r="C363" t="s">
        <v>10</v>
      </c>
      <c r="D363">
        <v>1.1499999999999999</v>
      </c>
      <c r="E363">
        <v>1.1499999999999999</v>
      </c>
      <c r="F363">
        <v>1.1000000000000001</v>
      </c>
      <c r="G363" s="3">
        <v>1.1499999999999999</v>
      </c>
      <c r="H363">
        <v>1.1499999999999999</v>
      </c>
      <c r="I363">
        <v>1.1499999999999999</v>
      </c>
      <c r="J363">
        <v>40429</v>
      </c>
      <c r="K363">
        <v>44815</v>
      </c>
      <c r="L363" s="1">
        <v>45240</v>
      </c>
      <c r="M363">
        <v>39</v>
      </c>
      <c r="N363" t="s">
        <v>805</v>
      </c>
      <c r="O363" s="5">
        <v>45240</v>
      </c>
      <c r="P363" s="5">
        <v>43777</v>
      </c>
    </row>
    <row r="364" spans="1:16" x14ac:dyDescent="0.25">
      <c r="A364" t="s">
        <v>806</v>
      </c>
      <c r="B364" t="str">
        <v>Blue Dart Express Limited</v>
      </c>
      <c r="C364" t="s">
        <v>14</v>
      </c>
      <c r="D364">
        <v>6699.8</v>
      </c>
      <c r="E364">
        <v>6829</v>
      </c>
      <c r="F364">
        <v>6649.2</v>
      </c>
      <c r="G364" s="3">
        <v>6807.15</v>
      </c>
      <c r="H364">
        <v>6787.65</v>
      </c>
      <c r="I364">
        <v>6699.8</v>
      </c>
      <c r="J364">
        <v>29853</v>
      </c>
      <c r="K364">
        <v>201260918.90000001</v>
      </c>
      <c r="L364" s="1">
        <v>45240</v>
      </c>
      <c r="M364">
        <v>4850</v>
      </c>
      <c r="N364" t="s">
        <v>808</v>
      </c>
      <c r="O364" s="5">
        <v>45240</v>
      </c>
      <c r="P364" s="5">
        <v>43777</v>
      </c>
    </row>
    <row r="365" spans="1:16" x14ac:dyDescent="0.25">
      <c r="A365" t="s">
        <v>809</v>
      </c>
      <c r="B365" t="str">
        <v>Blue Jet Healthcare Limited</v>
      </c>
      <c r="C365" t="s">
        <v>14</v>
      </c>
      <c r="D365">
        <v>399</v>
      </c>
      <c r="E365">
        <v>402.7</v>
      </c>
      <c r="F365">
        <v>376.65</v>
      </c>
      <c r="G365" s="3">
        <v>387.75</v>
      </c>
      <c r="H365">
        <v>388.9</v>
      </c>
      <c r="I365">
        <v>404.05</v>
      </c>
      <c r="J365">
        <v>666783</v>
      </c>
      <c r="K365">
        <v>260865399</v>
      </c>
      <c r="L365" s="1">
        <v>45240</v>
      </c>
      <c r="M365">
        <v>12373</v>
      </c>
      <c r="N365" t="s">
        <v>811</v>
      </c>
      <c r="O365" s="5">
        <v>45240</v>
      </c>
      <c r="P365" s="5">
        <v>43777</v>
      </c>
    </row>
    <row r="366" spans="1:16" x14ac:dyDescent="0.25">
      <c r="A366" t="s">
        <v>812</v>
      </c>
      <c r="B366" t="str">
        <v>Blue Star Limited</v>
      </c>
      <c r="C366" t="s">
        <v>14</v>
      </c>
      <c r="D366">
        <v>922</v>
      </c>
      <c r="E366">
        <v>959.5</v>
      </c>
      <c r="F366">
        <v>915.95</v>
      </c>
      <c r="G366" s="3">
        <v>950</v>
      </c>
      <c r="H366">
        <v>948.6</v>
      </c>
      <c r="I366">
        <v>921.8</v>
      </c>
      <c r="J366">
        <v>223767</v>
      </c>
      <c r="K366">
        <v>211095597.59999999</v>
      </c>
      <c r="L366" s="1">
        <v>45240</v>
      </c>
      <c r="M366">
        <v>18204</v>
      </c>
      <c r="N366" t="s">
        <v>814</v>
      </c>
      <c r="O366" s="5">
        <v>45240</v>
      </c>
      <c r="P366" s="5">
        <v>43777</v>
      </c>
    </row>
    <row r="367" spans="1:16" x14ac:dyDescent="0.25">
      <c r="A367" t="s">
        <v>6822</v>
      </c>
      <c r="B367" t="str">
        <v>Not Found</v>
      </c>
      <c r="C367" t="s">
        <v>5788</v>
      </c>
      <c r="D367">
        <v>121</v>
      </c>
      <c r="E367">
        <v>124</v>
      </c>
      <c r="F367">
        <v>121</v>
      </c>
      <c r="G367" s="3">
        <v>123</v>
      </c>
      <c r="H367">
        <v>123</v>
      </c>
      <c r="I367">
        <v>121.15</v>
      </c>
      <c r="J367">
        <v>2400</v>
      </c>
      <c r="K367">
        <v>295600</v>
      </c>
      <c r="L367" s="1">
        <v>45240</v>
      </c>
      <c r="M367">
        <v>6</v>
      </c>
      <c r="N367" t="s">
        <v>6821</v>
      </c>
      <c r="O367" s="5">
        <v>45240</v>
      </c>
      <c r="P367" s="5">
        <v>43777</v>
      </c>
    </row>
    <row r="368" spans="1:16" x14ac:dyDescent="0.25">
      <c r="A368" t="s">
        <v>815</v>
      </c>
      <c r="B368" t="str">
        <v>Bodal Chemicals Limited</v>
      </c>
      <c r="C368" t="s">
        <v>14</v>
      </c>
      <c r="D368">
        <v>73.7</v>
      </c>
      <c r="E368">
        <v>74.3</v>
      </c>
      <c r="F368">
        <v>72.95</v>
      </c>
      <c r="G368" s="3">
        <v>73.349999999999994</v>
      </c>
      <c r="H368">
        <v>73.8</v>
      </c>
      <c r="I368">
        <v>73.7</v>
      </c>
      <c r="J368">
        <v>179470</v>
      </c>
      <c r="K368">
        <v>13194030.449999999</v>
      </c>
      <c r="L368" s="1">
        <v>45240</v>
      </c>
      <c r="M368">
        <v>2059</v>
      </c>
      <c r="N368" t="s">
        <v>817</v>
      </c>
      <c r="O368" s="5">
        <v>45240</v>
      </c>
      <c r="P368" s="5">
        <v>43777</v>
      </c>
    </row>
    <row r="369" spans="1:16" x14ac:dyDescent="0.25">
      <c r="A369" t="s">
        <v>818</v>
      </c>
      <c r="B369" t="str">
        <v>Bohra Industries Limited</v>
      </c>
      <c r="C369" t="s">
        <v>10</v>
      </c>
      <c r="D369">
        <v>52.95</v>
      </c>
      <c r="E369">
        <v>52.95</v>
      </c>
      <c r="F369">
        <v>50.45</v>
      </c>
      <c r="G369" s="3">
        <v>52.9</v>
      </c>
      <c r="H369">
        <v>52.9</v>
      </c>
      <c r="I369">
        <v>52.85</v>
      </c>
      <c r="J369">
        <v>280</v>
      </c>
      <c r="K369">
        <v>14786.6</v>
      </c>
      <c r="L369" s="1">
        <v>45240</v>
      </c>
      <c r="M369">
        <v>12</v>
      </c>
      <c r="N369" t="s">
        <v>820</v>
      </c>
      <c r="O369" s="5">
        <v>45240</v>
      </c>
      <c r="P369" s="5">
        <v>43777</v>
      </c>
    </row>
    <row r="370" spans="1:16" x14ac:dyDescent="0.25">
      <c r="A370" t="s">
        <v>821</v>
      </c>
      <c r="B370" t="str">
        <v>Bombay Dyeing &amp; Mfg Company Limited</v>
      </c>
      <c r="C370" t="s">
        <v>14</v>
      </c>
      <c r="D370">
        <v>154</v>
      </c>
      <c r="E370">
        <v>155.75</v>
      </c>
      <c r="F370">
        <v>153.05000000000001</v>
      </c>
      <c r="G370" s="3">
        <v>154.80000000000001</v>
      </c>
      <c r="H370">
        <v>155.4</v>
      </c>
      <c r="I370">
        <v>154.30000000000001</v>
      </c>
      <c r="J370">
        <v>1285831</v>
      </c>
      <c r="K370">
        <v>198562530.90000001</v>
      </c>
      <c r="L370" s="1">
        <v>45240</v>
      </c>
      <c r="M370">
        <v>10392</v>
      </c>
      <c r="N370" t="s">
        <v>823</v>
      </c>
      <c r="O370" s="5">
        <v>45240</v>
      </c>
      <c r="P370" s="5">
        <v>43777</v>
      </c>
    </row>
    <row r="371" spans="1:16" x14ac:dyDescent="0.25">
      <c r="A371" t="s">
        <v>824</v>
      </c>
      <c r="B371" t="str">
        <v>Borosil Limited</v>
      </c>
      <c r="C371" t="s">
        <v>14</v>
      </c>
      <c r="D371">
        <v>405.4</v>
      </c>
      <c r="E371">
        <v>406.3</v>
      </c>
      <c r="F371">
        <v>401</v>
      </c>
      <c r="G371" s="3">
        <v>402.35</v>
      </c>
      <c r="H371">
        <v>401.05</v>
      </c>
      <c r="I371">
        <v>404.05</v>
      </c>
      <c r="J371">
        <v>36476</v>
      </c>
      <c r="K371">
        <v>14714219.949999999</v>
      </c>
      <c r="L371" s="1">
        <v>45240</v>
      </c>
      <c r="M371">
        <v>3117</v>
      </c>
      <c r="N371" t="s">
        <v>826</v>
      </c>
      <c r="O371" s="5">
        <v>45240</v>
      </c>
      <c r="P371" s="5">
        <v>43777</v>
      </c>
    </row>
    <row r="372" spans="1:16" x14ac:dyDescent="0.25">
      <c r="A372" t="s">
        <v>827</v>
      </c>
      <c r="B372" t="str">
        <v>BOROSIL RENEWABLES LIMITED</v>
      </c>
      <c r="C372" t="s">
        <v>14</v>
      </c>
      <c r="D372">
        <v>428</v>
      </c>
      <c r="E372">
        <v>438.75</v>
      </c>
      <c r="F372">
        <v>426.35</v>
      </c>
      <c r="G372" s="3">
        <v>431.5</v>
      </c>
      <c r="H372">
        <v>431</v>
      </c>
      <c r="I372">
        <v>430.25</v>
      </c>
      <c r="J372">
        <v>231495</v>
      </c>
      <c r="K372">
        <v>100372407.55</v>
      </c>
      <c r="L372" s="1">
        <v>45240</v>
      </c>
      <c r="M372">
        <v>9117</v>
      </c>
      <c r="N372" t="s">
        <v>829</v>
      </c>
      <c r="O372" s="5">
        <v>45240</v>
      </c>
      <c r="P372" s="5">
        <v>43777</v>
      </c>
    </row>
    <row r="373" spans="1:16" x14ac:dyDescent="0.25">
      <c r="A373" t="s">
        <v>830</v>
      </c>
      <c r="B373" t="str">
        <v>Bosch Limited</v>
      </c>
      <c r="C373" t="s">
        <v>14</v>
      </c>
      <c r="D373">
        <v>19325.099999999999</v>
      </c>
      <c r="E373">
        <v>19800</v>
      </c>
      <c r="F373">
        <v>19315.2</v>
      </c>
      <c r="G373" s="3">
        <v>19572.45</v>
      </c>
      <c r="H373">
        <v>19585</v>
      </c>
      <c r="I373">
        <v>19535</v>
      </c>
      <c r="J373">
        <v>35887</v>
      </c>
      <c r="K373">
        <v>703379553.64999998</v>
      </c>
      <c r="L373" s="1">
        <v>45240</v>
      </c>
      <c r="M373">
        <v>11450</v>
      </c>
      <c r="N373" t="s">
        <v>832</v>
      </c>
      <c r="O373" s="5">
        <v>45240</v>
      </c>
      <c r="P373" s="5">
        <v>43777</v>
      </c>
    </row>
    <row r="374" spans="1:16" x14ac:dyDescent="0.25">
      <c r="A374" t="s">
        <v>833</v>
      </c>
      <c r="B374" t="str">
        <v>Bharat Petroleum Corporation Limited</v>
      </c>
      <c r="C374" t="s">
        <v>14</v>
      </c>
      <c r="D374">
        <v>381.8</v>
      </c>
      <c r="E374">
        <v>386.1</v>
      </c>
      <c r="F374">
        <v>380.5</v>
      </c>
      <c r="G374" s="3">
        <v>384.05</v>
      </c>
      <c r="H374">
        <v>383.4</v>
      </c>
      <c r="I374">
        <v>383.55</v>
      </c>
      <c r="J374">
        <v>2466243</v>
      </c>
      <c r="K374">
        <v>946784375.54999995</v>
      </c>
      <c r="L374" s="1">
        <v>45240</v>
      </c>
      <c r="M374">
        <v>48450</v>
      </c>
      <c r="N374" t="s">
        <v>835</v>
      </c>
      <c r="O374" s="5">
        <v>45240</v>
      </c>
      <c r="P374" s="5">
        <v>43777</v>
      </c>
    </row>
    <row r="375" spans="1:16" x14ac:dyDescent="0.25">
      <c r="A375" t="s">
        <v>836</v>
      </c>
      <c r="B375" t="str">
        <v>BPL Limited</v>
      </c>
      <c r="C375" t="s">
        <v>10</v>
      </c>
      <c r="D375">
        <v>81.400000000000006</v>
      </c>
      <c r="E375">
        <v>85.45</v>
      </c>
      <c r="F375">
        <v>78.150000000000006</v>
      </c>
      <c r="G375" s="3">
        <v>85.45</v>
      </c>
      <c r="H375">
        <v>85.45</v>
      </c>
      <c r="I375">
        <v>81.400000000000006</v>
      </c>
      <c r="J375">
        <v>119091</v>
      </c>
      <c r="K375">
        <v>9928998.1999999993</v>
      </c>
      <c r="L375" s="1">
        <v>45240</v>
      </c>
      <c r="M375">
        <v>491</v>
      </c>
      <c r="N375" t="s">
        <v>838</v>
      </c>
      <c r="O375" s="5">
        <v>45240</v>
      </c>
      <c r="P375" s="5">
        <v>43777</v>
      </c>
    </row>
    <row r="376" spans="1:16" x14ac:dyDescent="0.25">
      <c r="A376" t="s">
        <v>839</v>
      </c>
      <c r="B376" t="str">
        <v>Brigade Enterprises Limited</v>
      </c>
      <c r="C376" t="s">
        <v>14</v>
      </c>
      <c r="D376">
        <v>702.45</v>
      </c>
      <c r="E376">
        <v>721</v>
      </c>
      <c r="F376">
        <v>695.1</v>
      </c>
      <c r="G376" s="3">
        <v>700.9</v>
      </c>
      <c r="H376">
        <v>703.95</v>
      </c>
      <c r="I376">
        <v>695.45</v>
      </c>
      <c r="J376">
        <v>569549</v>
      </c>
      <c r="K376">
        <v>403455203.14999998</v>
      </c>
      <c r="L376" s="1">
        <v>45240</v>
      </c>
      <c r="M376">
        <v>27202</v>
      </c>
      <c r="N376" t="s">
        <v>841</v>
      </c>
      <c r="O376" s="5">
        <v>45240</v>
      </c>
      <c r="P376" s="5">
        <v>43777</v>
      </c>
    </row>
    <row r="377" spans="1:16" x14ac:dyDescent="0.25">
      <c r="A377" t="s">
        <v>6820</v>
      </c>
      <c r="B377" t="str">
        <v>Not Found</v>
      </c>
      <c r="C377" t="s">
        <v>5788</v>
      </c>
      <c r="D377">
        <v>5.05</v>
      </c>
      <c r="E377">
        <v>5.15</v>
      </c>
      <c r="F377">
        <v>5.05</v>
      </c>
      <c r="G377" s="3">
        <v>5.0999999999999996</v>
      </c>
      <c r="H377">
        <v>5.0999999999999996</v>
      </c>
      <c r="I377">
        <v>5.0999999999999996</v>
      </c>
      <c r="J377">
        <v>48000</v>
      </c>
      <c r="K377">
        <v>245550</v>
      </c>
      <c r="L377" s="1">
        <v>45240</v>
      </c>
      <c r="M377">
        <v>15</v>
      </c>
      <c r="N377" t="s">
        <v>6819</v>
      </c>
      <c r="O377" s="5">
        <v>45240</v>
      </c>
      <c r="P377" s="5">
        <v>43777</v>
      </c>
    </row>
    <row r="378" spans="1:16" x14ac:dyDescent="0.25">
      <c r="A378" t="s">
        <v>842</v>
      </c>
      <c r="B378" t="str">
        <v>Britannia Industries Limited</v>
      </c>
      <c r="C378" t="s">
        <v>14</v>
      </c>
      <c r="D378">
        <v>4657.45</v>
      </c>
      <c r="E378">
        <v>4685.8500000000004</v>
      </c>
      <c r="F378">
        <v>4621</v>
      </c>
      <c r="G378" s="3">
        <v>4681.95</v>
      </c>
      <c r="H378">
        <v>4677.6000000000004</v>
      </c>
      <c r="I378">
        <v>4652.1000000000004</v>
      </c>
      <c r="J378">
        <v>142336</v>
      </c>
      <c r="K378">
        <v>663759638</v>
      </c>
      <c r="L378" s="1">
        <v>45240</v>
      </c>
      <c r="M378">
        <v>18848</v>
      </c>
      <c r="N378" t="s">
        <v>844</v>
      </c>
      <c r="O378" s="5">
        <v>45240</v>
      </c>
      <c r="P378" s="5">
        <v>43777</v>
      </c>
    </row>
    <row r="379" spans="1:16" x14ac:dyDescent="0.25">
      <c r="A379" t="s">
        <v>842</v>
      </c>
      <c r="B379" t="str">
        <v>Britannia Industries Limited</v>
      </c>
      <c r="C379" t="s">
        <v>6182</v>
      </c>
      <c r="D379">
        <v>29.23</v>
      </c>
      <c r="E379">
        <v>29.3</v>
      </c>
      <c r="F379">
        <v>29.23</v>
      </c>
      <c r="G379" s="3">
        <v>29.24</v>
      </c>
      <c r="H379">
        <v>29.24</v>
      </c>
      <c r="I379">
        <v>29.23</v>
      </c>
      <c r="J379">
        <v>2821</v>
      </c>
      <c r="K379">
        <v>82485.03</v>
      </c>
      <c r="L379" s="1">
        <v>45240</v>
      </c>
      <c r="M379">
        <v>41</v>
      </c>
      <c r="N379" t="s">
        <v>6818</v>
      </c>
      <c r="O379" s="5">
        <v>45240</v>
      </c>
      <c r="P379" s="5">
        <v>43777</v>
      </c>
    </row>
    <row r="380" spans="1:16" x14ac:dyDescent="0.25">
      <c r="A380" t="s">
        <v>845</v>
      </c>
      <c r="B380" t="str">
        <v>Bharat Road Network Limited</v>
      </c>
      <c r="C380" t="s">
        <v>14</v>
      </c>
      <c r="D380">
        <v>40.6</v>
      </c>
      <c r="E380">
        <v>41.45</v>
      </c>
      <c r="F380">
        <v>39.700000000000003</v>
      </c>
      <c r="G380" s="3">
        <v>40.200000000000003</v>
      </c>
      <c r="H380">
        <v>40.35</v>
      </c>
      <c r="I380">
        <v>41.2</v>
      </c>
      <c r="J380">
        <v>131248</v>
      </c>
      <c r="K380">
        <v>5269201.0999999996</v>
      </c>
      <c r="L380" s="1">
        <v>45240</v>
      </c>
      <c r="M380">
        <v>1010</v>
      </c>
      <c r="N380" t="s">
        <v>847</v>
      </c>
      <c r="O380" s="5">
        <v>45240</v>
      </c>
      <c r="P380" s="5">
        <v>43777</v>
      </c>
    </row>
    <row r="381" spans="1:16" x14ac:dyDescent="0.25">
      <c r="A381" t="s">
        <v>848</v>
      </c>
      <c r="B381" t="str">
        <v>Brooks Laboratories Limited</v>
      </c>
      <c r="C381" t="s">
        <v>10</v>
      </c>
      <c r="D381">
        <v>122.6</v>
      </c>
      <c r="E381">
        <v>122.6</v>
      </c>
      <c r="F381">
        <v>122.6</v>
      </c>
      <c r="G381" s="3">
        <v>122.6</v>
      </c>
      <c r="H381">
        <v>122.6</v>
      </c>
      <c r="I381">
        <v>120.2</v>
      </c>
      <c r="J381">
        <v>40467</v>
      </c>
      <c r="K381">
        <v>4961254.2</v>
      </c>
      <c r="L381" s="1">
        <v>45240</v>
      </c>
      <c r="M381">
        <v>111</v>
      </c>
      <c r="N381" t="s">
        <v>850</v>
      </c>
      <c r="O381" s="5">
        <v>45240</v>
      </c>
      <c r="P381" s="5">
        <v>43777</v>
      </c>
    </row>
    <row r="382" spans="1:16" x14ac:dyDescent="0.25">
      <c r="A382" t="s">
        <v>851</v>
      </c>
      <c r="B382" t="str">
        <v>BSE Limited</v>
      </c>
      <c r="C382" t="s">
        <v>14</v>
      </c>
      <c r="D382">
        <v>1970</v>
      </c>
      <c r="E382">
        <v>2055</v>
      </c>
      <c r="F382">
        <v>1965.15</v>
      </c>
      <c r="G382" s="3">
        <v>2010.75</v>
      </c>
      <c r="H382">
        <v>2029</v>
      </c>
      <c r="I382">
        <v>1963.45</v>
      </c>
      <c r="J382">
        <v>1693527</v>
      </c>
      <c r="K382">
        <v>3417037663.5500002</v>
      </c>
      <c r="L382" s="1">
        <v>45240</v>
      </c>
      <c r="M382">
        <v>73002</v>
      </c>
      <c r="N382" t="s">
        <v>853</v>
      </c>
      <c r="O382" s="5">
        <v>45240</v>
      </c>
      <c r="P382" s="5">
        <v>43777</v>
      </c>
    </row>
    <row r="383" spans="1:16" x14ac:dyDescent="0.25">
      <c r="A383" t="s">
        <v>854</v>
      </c>
      <c r="B383" t="str">
        <v>Bombay Super Hybrid Seeds Limited</v>
      </c>
      <c r="C383" t="s">
        <v>14</v>
      </c>
      <c r="D383">
        <v>242.15</v>
      </c>
      <c r="E383">
        <v>249</v>
      </c>
      <c r="F383">
        <v>242.05</v>
      </c>
      <c r="G383" s="3">
        <v>248.05</v>
      </c>
      <c r="H383">
        <v>248.9</v>
      </c>
      <c r="I383">
        <v>241.85</v>
      </c>
      <c r="J383">
        <v>23488</v>
      </c>
      <c r="K383">
        <v>5806068.2999999998</v>
      </c>
      <c r="L383" s="1">
        <v>45240</v>
      </c>
      <c r="M383">
        <v>493</v>
      </c>
      <c r="N383" t="s">
        <v>856</v>
      </c>
      <c r="O383" s="5">
        <v>45240</v>
      </c>
      <c r="P383" s="5">
        <v>43777</v>
      </c>
    </row>
    <row r="384" spans="1:16" x14ac:dyDescent="0.25">
      <c r="A384" t="s">
        <v>857</v>
      </c>
      <c r="B384" t="str">
        <v>BSL Limited</v>
      </c>
      <c r="C384" t="s">
        <v>14</v>
      </c>
      <c r="D384">
        <v>180</v>
      </c>
      <c r="E384">
        <v>180</v>
      </c>
      <c r="F384">
        <v>173.05</v>
      </c>
      <c r="G384" s="3">
        <v>177.7</v>
      </c>
      <c r="H384">
        <v>177.05</v>
      </c>
      <c r="I384">
        <v>176.8</v>
      </c>
      <c r="J384">
        <v>3200</v>
      </c>
      <c r="K384">
        <v>565669.85</v>
      </c>
      <c r="L384" s="1">
        <v>45240</v>
      </c>
      <c r="M384">
        <v>221</v>
      </c>
      <c r="N384" t="s">
        <v>859</v>
      </c>
      <c r="O384" s="5">
        <v>45240</v>
      </c>
      <c r="P384" s="5">
        <v>43777</v>
      </c>
    </row>
    <row r="385" spans="1:16" x14ac:dyDescent="0.25">
      <c r="A385" t="s">
        <v>6817</v>
      </c>
      <c r="B385" t="str">
        <v>Not Found</v>
      </c>
      <c r="C385" t="s">
        <v>14</v>
      </c>
      <c r="D385">
        <v>53.89</v>
      </c>
      <c r="E385">
        <v>54.47</v>
      </c>
      <c r="F385">
        <v>53.88</v>
      </c>
      <c r="G385" s="3">
        <v>54.33</v>
      </c>
      <c r="H385">
        <v>54.35</v>
      </c>
      <c r="I385">
        <v>53.84</v>
      </c>
      <c r="J385">
        <v>455241</v>
      </c>
      <c r="K385">
        <v>24608732.309999999</v>
      </c>
      <c r="L385" s="1">
        <v>45240</v>
      </c>
      <c r="M385">
        <v>670</v>
      </c>
      <c r="N385" t="s">
        <v>6816</v>
      </c>
      <c r="O385" s="5">
        <v>45240</v>
      </c>
      <c r="P385" s="5">
        <v>43777</v>
      </c>
    </row>
    <row r="386" spans="1:16" x14ac:dyDescent="0.25">
      <c r="A386" t="s">
        <v>6815</v>
      </c>
      <c r="B386" t="str">
        <v>Not Found</v>
      </c>
      <c r="C386" t="s">
        <v>14</v>
      </c>
      <c r="D386">
        <v>21.71</v>
      </c>
      <c r="E386">
        <v>22.12</v>
      </c>
      <c r="F386">
        <v>21.71</v>
      </c>
      <c r="G386" s="3">
        <v>22.06</v>
      </c>
      <c r="H386">
        <v>22.12</v>
      </c>
      <c r="I386">
        <v>22.03</v>
      </c>
      <c r="J386">
        <v>41906</v>
      </c>
      <c r="K386">
        <v>922800.98</v>
      </c>
      <c r="L386" s="1">
        <v>45240</v>
      </c>
      <c r="M386">
        <v>2486</v>
      </c>
      <c r="N386" t="s">
        <v>6814</v>
      </c>
      <c r="O386" s="5">
        <v>45240</v>
      </c>
      <c r="P386" s="5">
        <v>43777</v>
      </c>
    </row>
    <row r="387" spans="1:16" x14ac:dyDescent="0.25">
      <c r="A387" t="s">
        <v>6813</v>
      </c>
      <c r="B387" t="str">
        <v>Not Found</v>
      </c>
      <c r="C387" t="s">
        <v>14</v>
      </c>
      <c r="D387">
        <v>63.42</v>
      </c>
      <c r="E387">
        <v>63.6</v>
      </c>
      <c r="F387">
        <v>63.09</v>
      </c>
      <c r="G387" s="3">
        <v>63.59</v>
      </c>
      <c r="H387">
        <v>63.6</v>
      </c>
      <c r="I387">
        <v>63.29</v>
      </c>
      <c r="J387">
        <v>490</v>
      </c>
      <c r="K387">
        <v>31067.55</v>
      </c>
      <c r="L387" s="1">
        <v>45240</v>
      </c>
      <c r="M387">
        <v>38</v>
      </c>
      <c r="N387" t="s">
        <v>6812</v>
      </c>
      <c r="O387" s="5">
        <v>45240</v>
      </c>
      <c r="P387" s="5">
        <v>43777</v>
      </c>
    </row>
    <row r="388" spans="1:16" x14ac:dyDescent="0.25">
      <c r="A388" t="s">
        <v>860</v>
      </c>
      <c r="B388" t="str">
        <v>BIRLASOFT LIMITED</v>
      </c>
      <c r="C388" t="s">
        <v>14</v>
      </c>
      <c r="D388">
        <v>584.6</v>
      </c>
      <c r="E388">
        <v>593.9</v>
      </c>
      <c r="F388">
        <v>580</v>
      </c>
      <c r="G388" s="3">
        <v>583.4</v>
      </c>
      <c r="H388">
        <v>583.95000000000005</v>
      </c>
      <c r="I388">
        <v>583</v>
      </c>
      <c r="J388">
        <v>2069707</v>
      </c>
      <c r="K388">
        <v>1211610313.6500001</v>
      </c>
      <c r="L388" s="1">
        <v>45240</v>
      </c>
      <c r="M388">
        <v>32869</v>
      </c>
      <c r="N388" t="s">
        <v>862</v>
      </c>
      <c r="O388" s="5">
        <v>45240</v>
      </c>
      <c r="P388" s="5">
        <v>43777</v>
      </c>
    </row>
    <row r="389" spans="1:16" x14ac:dyDescent="0.25">
      <c r="A389" t="s">
        <v>863</v>
      </c>
      <c r="B389" t="str">
        <v>Bodhi Tree Multimedia Limited</v>
      </c>
      <c r="C389" t="s">
        <v>14</v>
      </c>
      <c r="D389">
        <v>168</v>
      </c>
      <c r="E389">
        <v>168</v>
      </c>
      <c r="F389">
        <v>160.55000000000001</v>
      </c>
      <c r="G389" s="3">
        <v>162.55000000000001</v>
      </c>
      <c r="H389">
        <v>162.65</v>
      </c>
      <c r="I389">
        <v>160.80000000000001</v>
      </c>
      <c r="J389">
        <v>61752</v>
      </c>
      <c r="K389">
        <v>10047959.050000001</v>
      </c>
      <c r="L389" s="1">
        <v>45240</v>
      </c>
      <c r="M389">
        <v>1321</v>
      </c>
      <c r="N389" t="s">
        <v>865</v>
      </c>
      <c r="O389" s="5">
        <v>45240</v>
      </c>
      <c r="P389" s="5">
        <v>43777</v>
      </c>
    </row>
    <row r="390" spans="1:16" x14ac:dyDescent="0.25">
      <c r="A390" t="s">
        <v>866</v>
      </c>
      <c r="B390" t="str">
        <v>Burnpur Cement Limited</v>
      </c>
      <c r="C390" t="s">
        <v>14</v>
      </c>
      <c r="D390">
        <v>6.4</v>
      </c>
      <c r="E390">
        <v>6.75</v>
      </c>
      <c r="F390">
        <v>6.4</v>
      </c>
      <c r="G390" s="3">
        <v>6.65</v>
      </c>
      <c r="H390">
        <v>6.7</v>
      </c>
      <c r="I390">
        <v>6.35</v>
      </c>
      <c r="J390">
        <v>1671014</v>
      </c>
      <c r="K390">
        <v>11104687.550000001</v>
      </c>
      <c r="L390" s="1">
        <v>45240</v>
      </c>
      <c r="M390">
        <v>1708</v>
      </c>
      <c r="N390" t="s">
        <v>868</v>
      </c>
      <c r="O390" s="5">
        <v>45240</v>
      </c>
      <c r="P390" s="5">
        <v>43777</v>
      </c>
    </row>
    <row r="391" spans="1:16" x14ac:dyDescent="0.25">
      <c r="A391" t="s">
        <v>869</v>
      </c>
      <c r="B391" t="str">
        <v>Butterfly Gandhimathi Appliances Limited</v>
      </c>
      <c r="C391" t="s">
        <v>14</v>
      </c>
      <c r="D391">
        <v>1063.05</v>
      </c>
      <c r="E391">
        <v>1090</v>
      </c>
      <c r="F391">
        <v>1063.05</v>
      </c>
      <c r="G391" s="3">
        <v>1079.6500000000001</v>
      </c>
      <c r="H391">
        <v>1080</v>
      </c>
      <c r="I391">
        <v>1074.8499999999999</v>
      </c>
      <c r="J391">
        <v>2226</v>
      </c>
      <c r="K391">
        <v>2405560.4</v>
      </c>
      <c r="L391" s="1">
        <v>45240</v>
      </c>
      <c r="M391">
        <v>446</v>
      </c>
      <c r="N391" t="s">
        <v>871</v>
      </c>
      <c r="O391" s="5">
        <v>45240</v>
      </c>
      <c r="P391" s="5">
        <v>43777</v>
      </c>
    </row>
    <row r="392" spans="1:16" x14ac:dyDescent="0.25">
      <c r="A392" t="s">
        <v>872</v>
      </c>
      <c r="B392" t="str">
        <v>Barak Valley Cements Limited</v>
      </c>
      <c r="C392" t="s">
        <v>10</v>
      </c>
      <c r="D392">
        <v>44</v>
      </c>
      <c r="E392">
        <v>44.9</v>
      </c>
      <c r="F392">
        <v>41.5</v>
      </c>
      <c r="G392" s="3">
        <v>44.2</v>
      </c>
      <c r="H392">
        <v>44.5</v>
      </c>
      <c r="I392">
        <v>42.8</v>
      </c>
      <c r="J392">
        <v>62881</v>
      </c>
      <c r="K392">
        <v>2782093.7</v>
      </c>
      <c r="L392" s="1">
        <v>45240</v>
      </c>
      <c r="M392">
        <v>249</v>
      </c>
      <c r="N392" t="s">
        <v>874</v>
      </c>
      <c r="O392" s="5">
        <v>45240</v>
      </c>
      <c r="P392" s="5">
        <v>43777</v>
      </c>
    </row>
    <row r="393" spans="1:16" x14ac:dyDescent="0.25">
      <c r="A393" t="s">
        <v>875</v>
      </c>
      <c r="B393" t="str">
        <v>The Byke Hospitality Ltd</v>
      </c>
      <c r="C393" t="s">
        <v>14</v>
      </c>
      <c r="D393">
        <v>50</v>
      </c>
      <c r="E393">
        <v>52</v>
      </c>
      <c r="F393">
        <v>49.6</v>
      </c>
      <c r="G393" s="3">
        <v>49.85</v>
      </c>
      <c r="H393">
        <v>49.7</v>
      </c>
      <c r="I393">
        <v>49.6</v>
      </c>
      <c r="J393">
        <v>597081</v>
      </c>
      <c r="K393">
        <v>30430287.550000001</v>
      </c>
      <c r="L393" s="1">
        <v>45240</v>
      </c>
      <c r="M393">
        <v>2596</v>
      </c>
      <c r="N393" t="s">
        <v>877</v>
      </c>
      <c r="O393" s="5">
        <v>45240</v>
      </c>
      <c r="P393" s="5">
        <v>43777</v>
      </c>
    </row>
    <row r="394" spans="1:16" x14ac:dyDescent="0.25">
      <c r="A394" t="s">
        <v>6811</v>
      </c>
      <c r="B394" t="str">
        <v>Not Found</v>
      </c>
      <c r="C394" t="s">
        <v>5788</v>
      </c>
      <c r="D394">
        <v>200.95</v>
      </c>
      <c r="E394">
        <v>209.3</v>
      </c>
      <c r="F394">
        <v>200.95</v>
      </c>
      <c r="G394" s="3">
        <v>200.95</v>
      </c>
      <c r="H394">
        <v>200.95</v>
      </c>
      <c r="I394">
        <v>211.5</v>
      </c>
      <c r="J394">
        <v>24000</v>
      </c>
      <c r="K394">
        <v>4843150</v>
      </c>
      <c r="L394" s="1">
        <v>45240</v>
      </c>
      <c r="M394">
        <v>21</v>
      </c>
      <c r="N394" t="s">
        <v>6810</v>
      </c>
      <c r="O394" s="5">
        <v>45240</v>
      </c>
      <c r="P394" s="5">
        <v>43777</v>
      </c>
    </row>
    <row r="395" spans="1:16" x14ac:dyDescent="0.25">
      <c r="A395" t="s">
        <v>878</v>
      </c>
      <c r="B395" t="str">
        <v>California Software Company Limited</v>
      </c>
      <c r="C395" t="s">
        <v>14</v>
      </c>
      <c r="D395">
        <v>14.15</v>
      </c>
      <c r="E395">
        <v>14.15</v>
      </c>
      <c r="F395">
        <v>13.5</v>
      </c>
      <c r="G395" s="3">
        <v>13.85</v>
      </c>
      <c r="H395">
        <v>13.9</v>
      </c>
      <c r="I395">
        <v>13.55</v>
      </c>
      <c r="J395">
        <v>9347</v>
      </c>
      <c r="K395">
        <v>128781.15</v>
      </c>
      <c r="L395" s="1">
        <v>45240</v>
      </c>
      <c r="M395">
        <v>162</v>
      </c>
      <c r="N395" t="s">
        <v>880</v>
      </c>
      <c r="O395" s="5">
        <v>45240</v>
      </c>
      <c r="P395" s="5">
        <v>43777</v>
      </c>
    </row>
    <row r="396" spans="1:16" x14ac:dyDescent="0.25">
      <c r="A396" t="s">
        <v>881</v>
      </c>
      <c r="B396" t="str">
        <v>Camlin Fine Sciences Limited</v>
      </c>
      <c r="C396" t="s">
        <v>14</v>
      </c>
      <c r="D396">
        <v>128</v>
      </c>
      <c r="E396">
        <v>129.4</v>
      </c>
      <c r="F396">
        <v>127.2</v>
      </c>
      <c r="G396" s="3">
        <v>127.75</v>
      </c>
      <c r="H396">
        <v>127.75</v>
      </c>
      <c r="I396">
        <v>128.85</v>
      </c>
      <c r="J396">
        <v>393224</v>
      </c>
      <c r="K396">
        <v>50301607.799999997</v>
      </c>
      <c r="L396" s="1">
        <v>45240</v>
      </c>
      <c r="M396">
        <v>3118</v>
      </c>
      <c r="N396" t="s">
        <v>883</v>
      </c>
      <c r="O396" s="5">
        <v>45240</v>
      </c>
      <c r="P396" s="5">
        <v>43777</v>
      </c>
    </row>
    <row r="397" spans="1:16" x14ac:dyDescent="0.25">
      <c r="A397" t="s">
        <v>884</v>
      </c>
      <c r="B397" t="str">
        <v>Campus Activewear Limited</v>
      </c>
      <c r="C397" t="s">
        <v>14</v>
      </c>
      <c r="D397">
        <v>249.95</v>
      </c>
      <c r="E397">
        <v>261.89999999999998</v>
      </c>
      <c r="F397">
        <v>237.8</v>
      </c>
      <c r="G397" s="3">
        <v>258.85000000000002</v>
      </c>
      <c r="H397">
        <v>257.89999999999998</v>
      </c>
      <c r="I397">
        <v>264</v>
      </c>
      <c r="J397">
        <v>10768597</v>
      </c>
      <c r="K397">
        <v>2696899653.3499999</v>
      </c>
      <c r="L397" s="1">
        <v>45240</v>
      </c>
      <c r="M397">
        <v>166472</v>
      </c>
      <c r="N397" t="s">
        <v>886</v>
      </c>
      <c r="O397" s="5">
        <v>45240</v>
      </c>
      <c r="P397" s="5">
        <v>43777</v>
      </c>
    </row>
    <row r="398" spans="1:16" x14ac:dyDescent="0.25">
      <c r="A398" t="s">
        <v>887</v>
      </c>
      <c r="B398" t="str">
        <v>Computer Age Management Services Limited</v>
      </c>
      <c r="C398" t="s">
        <v>14</v>
      </c>
      <c r="D398">
        <v>2388.8000000000002</v>
      </c>
      <c r="E398">
        <v>2465</v>
      </c>
      <c r="F398">
        <v>2388</v>
      </c>
      <c r="G398" s="3">
        <v>2425.4</v>
      </c>
      <c r="H398">
        <v>2424</v>
      </c>
      <c r="I398">
        <v>2376.3000000000002</v>
      </c>
      <c r="J398">
        <v>279541</v>
      </c>
      <c r="K398">
        <v>680113375.10000002</v>
      </c>
      <c r="L398" s="1">
        <v>45240</v>
      </c>
      <c r="M398">
        <v>32011</v>
      </c>
      <c r="N398" t="s">
        <v>889</v>
      </c>
      <c r="O398" s="5">
        <v>45240</v>
      </c>
      <c r="P398" s="5">
        <v>43777</v>
      </c>
    </row>
    <row r="399" spans="1:16" x14ac:dyDescent="0.25">
      <c r="A399" t="s">
        <v>6809</v>
      </c>
      <c r="B399" t="str">
        <v>Not Found</v>
      </c>
      <c r="C399" t="s">
        <v>5788</v>
      </c>
      <c r="D399">
        <v>42.25</v>
      </c>
      <c r="E399">
        <v>42.25</v>
      </c>
      <c r="F399">
        <v>38.9</v>
      </c>
      <c r="G399" s="3">
        <v>41.85</v>
      </c>
      <c r="H399">
        <v>42.25</v>
      </c>
      <c r="I399">
        <v>42.55</v>
      </c>
      <c r="J399">
        <v>476000</v>
      </c>
      <c r="K399">
        <v>19294400</v>
      </c>
      <c r="L399" s="1">
        <v>45240</v>
      </c>
      <c r="M399">
        <v>114</v>
      </c>
      <c r="N399" t="s">
        <v>6808</v>
      </c>
      <c r="O399" s="5">
        <v>45240</v>
      </c>
      <c r="P399" s="5">
        <v>43777</v>
      </c>
    </row>
    <row r="400" spans="1:16" x14ac:dyDescent="0.25">
      <c r="A400" t="s">
        <v>890</v>
      </c>
      <c r="B400" t="str">
        <v>Canara Bank</v>
      </c>
      <c r="C400" t="s">
        <v>14</v>
      </c>
      <c r="D400">
        <v>383</v>
      </c>
      <c r="E400">
        <v>388.2</v>
      </c>
      <c r="F400">
        <v>381</v>
      </c>
      <c r="G400" s="3">
        <v>387.4</v>
      </c>
      <c r="H400">
        <v>387.95</v>
      </c>
      <c r="I400">
        <v>384</v>
      </c>
      <c r="J400">
        <v>3213479</v>
      </c>
      <c r="K400">
        <v>1239303449.45</v>
      </c>
      <c r="L400" s="1">
        <v>45240</v>
      </c>
      <c r="M400">
        <v>34992</v>
      </c>
      <c r="N400" t="s">
        <v>892</v>
      </c>
      <c r="O400" s="5">
        <v>45240</v>
      </c>
      <c r="P400" s="5">
        <v>43777</v>
      </c>
    </row>
    <row r="401" spans="1:16" x14ac:dyDescent="0.25">
      <c r="A401" t="s">
        <v>893</v>
      </c>
      <c r="B401" t="str">
        <v>Can Fin Homes Limited</v>
      </c>
      <c r="C401" t="s">
        <v>14</v>
      </c>
      <c r="D401">
        <v>753.9</v>
      </c>
      <c r="E401">
        <v>755.9</v>
      </c>
      <c r="F401">
        <v>746.7</v>
      </c>
      <c r="G401" s="3">
        <v>748.35</v>
      </c>
      <c r="H401">
        <v>748.65</v>
      </c>
      <c r="I401">
        <v>754.45</v>
      </c>
      <c r="J401">
        <v>199819</v>
      </c>
      <c r="K401">
        <v>149898715.44999999</v>
      </c>
      <c r="L401" s="1">
        <v>45240</v>
      </c>
      <c r="M401">
        <v>6414</v>
      </c>
      <c r="N401" t="s">
        <v>895</v>
      </c>
      <c r="O401" s="5">
        <v>45240</v>
      </c>
      <c r="P401" s="5">
        <v>43777</v>
      </c>
    </row>
    <row r="402" spans="1:16" x14ac:dyDescent="0.25">
      <c r="A402" t="s">
        <v>896</v>
      </c>
      <c r="B402" t="str">
        <v>Cantabil Retail India Limited</v>
      </c>
      <c r="C402" t="s">
        <v>14</v>
      </c>
      <c r="D402">
        <v>206</v>
      </c>
      <c r="E402">
        <v>206</v>
      </c>
      <c r="F402">
        <v>199.1</v>
      </c>
      <c r="G402" s="3">
        <v>201.3</v>
      </c>
      <c r="H402">
        <v>200.1</v>
      </c>
      <c r="I402">
        <v>203.1</v>
      </c>
      <c r="J402">
        <v>47790</v>
      </c>
      <c r="K402">
        <v>9697533.0999999996</v>
      </c>
      <c r="L402" s="1">
        <v>45240</v>
      </c>
      <c r="M402">
        <v>1336</v>
      </c>
      <c r="N402" t="s">
        <v>898</v>
      </c>
      <c r="O402" s="5">
        <v>45240</v>
      </c>
      <c r="P402" s="5">
        <v>43777</v>
      </c>
    </row>
    <row r="403" spans="1:16" x14ac:dyDescent="0.25">
      <c r="A403" t="s">
        <v>899</v>
      </c>
      <c r="B403" t="str">
        <v>Capacit'e Infraprojects Limited</v>
      </c>
      <c r="C403" t="s">
        <v>14</v>
      </c>
      <c r="D403">
        <v>224.2</v>
      </c>
      <c r="E403">
        <v>227.95</v>
      </c>
      <c r="F403">
        <v>221</v>
      </c>
      <c r="G403" s="3">
        <v>227</v>
      </c>
      <c r="H403">
        <v>226.8</v>
      </c>
      <c r="I403">
        <v>225.8</v>
      </c>
      <c r="J403">
        <v>897173</v>
      </c>
      <c r="K403">
        <v>202961706.65000001</v>
      </c>
      <c r="L403" s="1">
        <v>45240</v>
      </c>
      <c r="M403">
        <v>12734</v>
      </c>
      <c r="N403" t="s">
        <v>901</v>
      </c>
      <c r="O403" s="5">
        <v>45240</v>
      </c>
      <c r="P403" s="5">
        <v>43777</v>
      </c>
    </row>
    <row r="404" spans="1:16" x14ac:dyDescent="0.25">
      <c r="A404" t="s">
        <v>902</v>
      </c>
      <c r="B404" t="str">
        <v>Caplin Point Laboratories Limited</v>
      </c>
      <c r="C404" t="s">
        <v>14</v>
      </c>
      <c r="D404">
        <v>1115</v>
      </c>
      <c r="E404">
        <v>1230</v>
      </c>
      <c r="F404">
        <v>1111.55</v>
      </c>
      <c r="G404" s="3">
        <v>1199</v>
      </c>
      <c r="H404">
        <v>1205</v>
      </c>
      <c r="I404">
        <v>1106.45</v>
      </c>
      <c r="J404">
        <v>1483187</v>
      </c>
      <c r="K404">
        <v>1775937392.0999999</v>
      </c>
      <c r="L404" s="1">
        <v>45240</v>
      </c>
      <c r="M404">
        <v>79284</v>
      </c>
      <c r="N404" t="s">
        <v>904</v>
      </c>
      <c r="O404" s="5">
        <v>45240</v>
      </c>
      <c r="P404" s="5">
        <v>43777</v>
      </c>
    </row>
    <row r="405" spans="1:16" x14ac:dyDescent="0.25">
      <c r="A405" t="s">
        <v>905</v>
      </c>
      <c r="B405" t="str">
        <v>Capital Trust Limited</v>
      </c>
      <c r="C405" t="s">
        <v>14</v>
      </c>
      <c r="D405">
        <v>101.1</v>
      </c>
      <c r="E405">
        <v>101.1</v>
      </c>
      <c r="F405">
        <v>99</v>
      </c>
      <c r="G405" s="3">
        <v>99.35</v>
      </c>
      <c r="H405">
        <v>99</v>
      </c>
      <c r="I405">
        <v>99.7</v>
      </c>
      <c r="J405">
        <v>8189</v>
      </c>
      <c r="K405">
        <v>818661.6</v>
      </c>
      <c r="L405" s="1">
        <v>45240</v>
      </c>
      <c r="M405">
        <v>128</v>
      </c>
      <c r="N405" t="s">
        <v>907</v>
      </c>
      <c r="O405" s="5">
        <v>45240</v>
      </c>
      <c r="P405" s="5">
        <v>43777</v>
      </c>
    </row>
    <row r="406" spans="1:16" x14ac:dyDescent="0.25">
      <c r="A406" t="s">
        <v>908</v>
      </c>
      <c r="B406" t="str">
        <v>Carborundum Universal Limited</v>
      </c>
      <c r="C406" t="s">
        <v>14</v>
      </c>
      <c r="D406">
        <v>1070</v>
      </c>
      <c r="E406">
        <v>1084.8499999999999</v>
      </c>
      <c r="F406">
        <v>1067.05</v>
      </c>
      <c r="G406" s="3">
        <v>1072.3499999999999</v>
      </c>
      <c r="H406">
        <v>1068</v>
      </c>
      <c r="I406">
        <v>1070.8499999999999</v>
      </c>
      <c r="J406">
        <v>50779</v>
      </c>
      <c r="K406">
        <v>54604312.200000003</v>
      </c>
      <c r="L406" s="1">
        <v>45240</v>
      </c>
      <c r="M406">
        <v>5427</v>
      </c>
      <c r="N406" t="s">
        <v>910</v>
      </c>
      <c r="O406" s="5">
        <v>45240</v>
      </c>
      <c r="P406" s="5">
        <v>43777</v>
      </c>
    </row>
    <row r="407" spans="1:16" x14ac:dyDescent="0.25">
      <c r="A407" t="s">
        <v>911</v>
      </c>
      <c r="B407" t="str">
        <v>Career Point Limited</v>
      </c>
      <c r="C407" t="s">
        <v>14</v>
      </c>
      <c r="D407">
        <v>217.55</v>
      </c>
      <c r="E407">
        <v>223.6</v>
      </c>
      <c r="F407">
        <v>213.6</v>
      </c>
      <c r="G407" s="3">
        <v>215.1</v>
      </c>
      <c r="H407">
        <v>214.5</v>
      </c>
      <c r="I407">
        <v>220.35</v>
      </c>
      <c r="J407">
        <v>74061</v>
      </c>
      <c r="K407">
        <v>16215134.949999999</v>
      </c>
      <c r="L407" s="1">
        <v>45240</v>
      </c>
      <c r="M407">
        <v>10507</v>
      </c>
      <c r="N407" t="s">
        <v>913</v>
      </c>
      <c r="O407" s="5">
        <v>45240</v>
      </c>
      <c r="P407" s="5">
        <v>43777</v>
      </c>
    </row>
    <row r="408" spans="1:16" x14ac:dyDescent="0.25">
      <c r="A408" t="s">
        <v>914</v>
      </c>
      <c r="B408" t="str">
        <v>CARE Ratings Limited</v>
      </c>
      <c r="C408" t="s">
        <v>14</v>
      </c>
      <c r="D408">
        <v>848.9</v>
      </c>
      <c r="E408">
        <v>867.95</v>
      </c>
      <c r="F408">
        <v>843.15</v>
      </c>
      <c r="G408" s="3">
        <v>865.5</v>
      </c>
      <c r="H408">
        <v>857.5</v>
      </c>
      <c r="I408">
        <v>852.1</v>
      </c>
      <c r="J408">
        <v>46794</v>
      </c>
      <c r="K408">
        <v>40137541</v>
      </c>
      <c r="L408" s="1">
        <v>45240</v>
      </c>
      <c r="M408">
        <v>3900</v>
      </c>
      <c r="N408" t="s">
        <v>916</v>
      </c>
      <c r="O408" s="5">
        <v>45240</v>
      </c>
      <c r="P408" s="5">
        <v>43777</v>
      </c>
    </row>
    <row r="409" spans="1:16" x14ac:dyDescent="0.25">
      <c r="A409" t="s">
        <v>917</v>
      </c>
      <c r="B409" t="str">
        <v>Cartrade Tech Limited</v>
      </c>
      <c r="C409" t="s">
        <v>14</v>
      </c>
      <c r="D409">
        <v>733.9</v>
      </c>
      <c r="E409">
        <v>874.25</v>
      </c>
      <c r="F409">
        <v>728</v>
      </c>
      <c r="G409" s="3">
        <v>863.75</v>
      </c>
      <c r="H409">
        <v>874.25</v>
      </c>
      <c r="I409">
        <v>728.55</v>
      </c>
      <c r="J409">
        <v>4863052</v>
      </c>
      <c r="K409">
        <v>4043769618.8499999</v>
      </c>
      <c r="L409" s="1">
        <v>45240</v>
      </c>
      <c r="M409">
        <v>141929</v>
      </c>
      <c r="N409" t="s">
        <v>919</v>
      </c>
      <c r="O409" s="5">
        <v>45240</v>
      </c>
      <c r="P409" s="5">
        <v>43777</v>
      </c>
    </row>
    <row r="410" spans="1:16" x14ac:dyDescent="0.25">
      <c r="A410" t="s">
        <v>920</v>
      </c>
      <c r="B410" t="str">
        <v>CARYSIL LIMITED</v>
      </c>
      <c r="C410" t="s">
        <v>14</v>
      </c>
      <c r="D410">
        <v>761.85</v>
      </c>
      <c r="E410">
        <v>837.1</v>
      </c>
      <c r="F410">
        <v>761.85</v>
      </c>
      <c r="G410" s="3">
        <v>824.55</v>
      </c>
      <c r="H410">
        <v>826</v>
      </c>
      <c r="I410">
        <v>761.8</v>
      </c>
      <c r="J410">
        <v>1230025</v>
      </c>
      <c r="K410">
        <v>985645920.5</v>
      </c>
      <c r="L410" s="1">
        <v>45240</v>
      </c>
      <c r="M410">
        <v>46310</v>
      </c>
      <c r="N410" t="s">
        <v>922</v>
      </c>
      <c r="O410" s="5">
        <v>45240</v>
      </c>
      <c r="P410" s="5">
        <v>43777</v>
      </c>
    </row>
    <row r="411" spans="1:16" x14ac:dyDescent="0.25">
      <c r="A411" t="s">
        <v>923</v>
      </c>
      <c r="B411" t="str">
        <v>Castrol India Limited</v>
      </c>
      <c r="C411" t="s">
        <v>14</v>
      </c>
      <c r="D411">
        <v>136.19999999999999</v>
      </c>
      <c r="E411">
        <v>138.15</v>
      </c>
      <c r="F411">
        <v>136</v>
      </c>
      <c r="G411" s="3">
        <v>136.65</v>
      </c>
      <c r="H411">
        <v>136.44999999999999</v>
      </c>
      <c r="I411">
        <v>137</v>
      </c>
      <c r="J411">
        <v>711821</v>
      </c>
      <c r="K411">
        <v>97602255.700000003</v>
      </c>
      <c r="L411" s="1">
        <v>45240</v>
      </c>
      <c r="M411">
        <v>12477</v>
      </c>
      <c r="N411" t="s">
        <v>925</v>
      </c>
      <c r="O411" s="5">
        <v>45240</v>
      </c>
      <c r="P411" s="5">
        <v>43777</v>
      </c>
    </row>
    <row r="412" spans="1:16" x14ac:dyDescent="0.25">
      <c r="A412" t="s">
        <v>926</v>
      </c>
      <c r="B412" t="str">
        <v>Country Club Hospitality &amp; Holidays Limited</v>
      </c>
      <c r="C412" t="s">
        <v>10</v>
      </c>
      <c r="D412">
        <v>9.8000000000000007</v>
      </c>
      <c r="E412">
        <v>9.9499999999999993</v>
      </c>
      <c r="F412">
        <v>9.4</v>
      </c>
      <c r="G412" s="3">
        <v>9.4499999999999993</v>
      </c>
      <c r="H412">
        <v>9.5</v>
      </c>
      <c r="I412">
        <v>9.8000000000000007</v>
      </c>
      <c r="J412">
        <v>114757</v>
      </c>
      <c r="K412">
        <v>1099912.25</v>
      </c>
      <c r="L412" s="1">
        <v>45240</v>
      </c>
      <c r="M412">
        <v>252</v>
      </c>
      <c r="N412" t="s">
        <v>928</v>
      </c>
      <c r="O412" s="5">
        <v>45240</v>
      </c>
      <c r="P412" s="5">
        <v>43777</v>
      </c>
    </row>
    <row r="413" spans="1:16" x14ac:dyDescent="0.25">
      <c r="A413" t="s">
        <v>929</v>
      </c>
      <c r="B413" t="str">
        <v>CCL Products (India) Limited</v>
      </c>
      <c r="C413" t="s">
        <v>14</v>
      </c>
      <c r="D413">
        <v>627</v>
      </c>
      <c r="E413">
        <v>641</v>
      </c>
      <c r="F413">
        <v>621.6</v>
      </c>
      <c r="G413" s="3">
        <v>625.6</v>
      </c>
      <c r="H413">
        <v>627.04999999999995</v>
      </c>
      <c r="I413">
        <v>625.35</v>
      </c>
      <c r="J413">
        <v>151439</v>
      </c>
      <c r="K413">
        <v>95448326.349999994</v>
      </c>
      <c r="L413" s="1">
        <v>45240</v>
      </c>
      <c r="M413">
        <v>10921</v>
      </c>
      <c r="N413" t="s">
        <v>931</v>
      </c>
      <c r="O413" s="5">
        <v>45240</v>
      </c>
      <c r="P413" s="5">
        <v>43777</v>
      </c>
    </row>
    <row r="414" spans="1:16" x14ac:dyDescent="0.25">
      <c r="A414" t="s">
        <v>932</v>
      </c>
      <c r="B414" t="str">
        <v>Central Depository Services (India) Limited</v>
      </c>
      <c r="C414" t="s">
        <v>14</v>
      </c>
      <c r="D414">
        <v>1696</v>
      </c>
      <c r="E414">
        <v>1788</v>
      </c>
      <c r="F414">
        <v>1691.25</v>
      </c>
      <c r="G414" s="3">
        <v>1777.05</v>
      </c>
      <c r="H414">
        <v>1784.05</v>
      </c>
      <c r="I414">
        <v>1692.75</v>
      </c>
      <c r="J414">
        <v>6328545</v>
      </c>
      <c r="K414">
        <v>11025550544.9</v>
      </c>
      <c r="L414" s="1">
        <v>45240</v>
      </c>
      <c r="M414">
        <v>171591</v>
      </c>
      <c r="N414" t="s">
        <v>934</v>
      </c>
      <c r="O414" s="5">
        <v>45240</v>
      </c>
      <c r="P414" s="5">
        <v>43777</v>
      </c>
    </row>
    <row r="415" spans="1:16" x14ac:dyDescent="0.25">
      <c r="A415" t="s">
        <v>935</v>
      </c>
      <c r="B415" t="str">
        <v>CEAT Limited</v>
      </c>
      <c r="C415" t="s">
        <v>14</v>
      </c>
      <c r="D415">
        <v>2150</v>
      </c>
      <c r="E415">
        <v>2152</v>
      </c>
      <c r="F415">
        <v>2101.1</v>
      </c>
      <c r="G415" s="3">
        <v>2107.1</v>
      </c>
      <c r="H415">
        <v>2109.8000000000002</v>
      </c>
      <c r="I415">
        <v>2150.5</v>
      </c>
      <c r="J415">
        <v>304330</v>
      </c>
      <c r="K415">
        <v>645764012.79999995</v>
      </c>
      <c r="L415" s="1">
        <v>45240</v>
      </c>
      <c r="M415">
        <v>19101</v>
      </c>
      <c r="N415" t="s">
        <v>937</v>
      </c>
      <c r="O415" s="5">
        <v>45240</v>
      </c>
      <c r="P415" s="5">
        <v>43777</v>
      </c>
    </row>
    <row r="416" spans="1:16" x14ac:dyDescent="0.25">
      <c r="A416" t="s">
        <v>938</v>
      </c>
      <c r="B416" t="str">
        <v>Celebrity Fashions Limited</v>
      </c>
      <c r="C416" t="s">
        <v>10</v>
      </c>
      <c r="D416">
        <v>18.399999999999999</v>
      </c>
      <c r="E416">
        <v>18.95</v>
      </c>
      <c r="F416">
        <v>18.25</v>
      </c>
      <c r="G416" s="3">
        <v>18.3</v>
      </c>
      <c r="H416">
        <v>18.399999999999999</v>
      </c>
      <c r="I416">
        <v>18.8</v>
      </c>
      <c r="J416">
        <v>159608</v>
      </c>
      <c r="K416">
        <v>2955094.55</v>
      </c>
      <c r="L416" s="1">
        <v>45240</v>
      </c>
      <c r="M416">
        <v>318</v>
      </c>
      <c r="N416" t="s">
        <v>940</v>
      </c>
      <c r="O416" s="5">
        <v>45240</v>
      </c>
      <c r="P416" s="5">
        <v>43777</v>
      </c>
    </row>
    <row r="417" spans="1:16" x14ac:dyDescent="0.25">
      <c r="A417" t="s">
        <v>6807</v>
      </c>
      <c r="B417" t="str">
        <v>Not Found</v>
      </c>
      <c r="C417" t="s">
        <v>5788</v>
      </c>
      <c r="D417">
        <v>220</v>
      </c>
      <c r="E417">
        <v>222</v>
      </c>
      <c r="F417">
        <v>215.4</v>
      </c>
      <c r="G417" s="3">
        <v>219.8</v>
      </c>
      <c r="H417">
        <v>219.8</v>
      </c>
      <c r="I417">
        <v>220</v>
      </c>
      <c r="J417">
        <v>55200</v>
      </c>
      <c r="K417">
        <v>12069360</v>
      </c>
      <c r="L417" s="1">
        <v>45240</v>
      </c>
      <c r="M417">
        <v>45</v>
      </c>
      <c r="N417" t="s">
        <v>6806</v>
      </c>
      <c r="O417" s="5">
        <v>45240</v>
      </c>
      <c r="P417" s="5">
        <v>43777</v>
      </c>
    </row>
    <row r="418" spans="1:16" x14ac:dyDescent="0.25">
      <c r="A418" t="s">
        <v>941</v>
      </c>
      <c r="B418" t="str">
        <v>Cello World Limited</v>
      </c>
      <c r="C418" t="s">
        <v>14</v>
      </c>
      <c r="D418">
        <v>785</v>
      </c>
      <c r="E418">
        <v>798.7</v>
      </c>
      <c r="F418">
        <v>781.1</v>
      </c>
      <c r="G418" s="3">
        <v>789.6</v>
      </c>
      <c r="H418">
        <v>786</v>
      </c>
      <c r="I418">
        <v>785.2</v>
      </c>
      <c r="J418">
        <v>1114462</v>
      </c>
      <c r="K418">
        <v>879318412.64999998</v>
      </c>
      <c r="L418" s="1">
        <v>45240</v>
      </c>
      <c r="M418">
        <v>24336</v>
      </c>
      <c r="N418" t="s">
        <v>943</v>
      </c>
      <c r="O418" s="5">
        <v>45240</v>
      </c>
      <c r="P418" s="5">
        <v>43777</v>
      </c>
    </row>
    <row r="419" spans="1:16" x14ac:dyDescent="0.25">
      <c r="A419" t="s">
        <v>6805</v>
      </c>
      <c r="B419" t="str">
        <v>Not Found</v>
      </c>
      <c r="C419" t="s">
        <v>5788</v>
      </c>
      <c r="D419">
        <v>47.35</v>
      </c>
      <c r="E419">
        <v>48.2</v>
      </c>
      <c r="F419">
        <v>46.55</v>
      </c>
      <c r="G419" s="3">
        <v>47.9</v>
      </c>
      <c r="H419">
        <v>47.95</v>
      </c>
      <c r="I419">
        <v>47.8</v>
      </c>
      <c r="J419">
        <v>18000</v>
      </c>
      <c r="K419">
        <v>851160</v>
      </c>
      <c r="L419" s="1">
        <v>45240</v>
      </c>
      <c r="M419">
        <v>15</v>
      </c>
      <c r="N419" t="s">
        <v>6804</v>
      </c>
      <c r="O419" s="5">
        <v>45240</v>
      </c>
      <c r="P419" s="5">
        <v>43777</v>
      </c>
    </row>
    <row r="420" spans="1:16" x14ac:dyDescent="0.25">
      <c r="A420" t="s">
        <v>944</v>
      </c>
      <c r="B420" t="str">
        <v>Century Enka Limited</v>
      </c>
      <c r="C420" t="s">
        <v>14</v>
      </c>
      <c r="D420">
        <v>414.35</v>
      </c>
      <c r="E420">
        <v>414.35</v>
      </c>
      <c r="F420">
        <v>408.05</v>
      </c>
      <c r="G420" s="3">
        <v>411.95</v>
      </c>
      <c r="H420">
        <v>413</v>
      </c>
      <c r="I420">
        <v>414.35</v>
      </c>
      <c r="J420">
        <v>28464</v>
      </c>
      <c r="K420">
        <v>11705091.65</v>
      </c>
      <c r="L420" s="1">
        <v>45240</v>
      </c>
      <c r="M420">
        <v>2224</v>
      </c>
      <c r="N420" t="s">
        <v>946</v>
      </c>
      <c r="O420" s="5">
        <v>45240</v>
      </c>
      <c r="P420" s="5">
        <v>43777</v>
      </c>
    </row>
    <row r="421" spans="1:16" x14ac:dyDescent="0.25">
      <c r="A421" t="s">
        <v>947</v>
      </c>
      <c r="B421" t="str">
        <v>Century Extrusions Limited</v>
      </c>
      <c r="C421" t="s">
        <v>10</v>
      </c>
      <c r="D421">
        <v>16.649999999999999</v>
      </c>
      <c r="E421">
        <v>17</v>
      </c>
      <c r="F421">
        <v>16.100000000000001</v>
      </c>
      <c r="G421" s="3">
        <v>16.350000000000001</v>
      </c>
      <c r="H421">
        <v>16.5</v>
      </c>
      <c r="I421">
        <v>16.55</v>
      </c>
      <c r="J421">
        <v>122335</v>
      </c>
      <c r="K421">
        <v>2026625.65</v>
      </c>
      <c r="L421" s="1">
        <v>45240</v>
      </c>
      <c r="M421">
        <v>546</v>
      </c>
      <c r="N421" t="s">
        <v>949</v>
      </c>
      <c r="O421" s="5">
        <v>45240</v>
      </c>
      <c r="P421" s="5">
        <v>43777</v>
      </c>
    </row>
    <row r="422" spans="1:16" x14ac:dyDescent="0.25">
      <c r="A422" t="s">
        <v>950</v>
      </c>
      <c r="B422" t="str">
        <v>Central Bank of India</v>
      </c>
      <c r="C422" t="s">
        <v>14</v>
      </c>
      <c r="D422">
        <v>44.15</v>
      </c>
      <c r="E422">
        <v>44.2</v>
      </c>
      <c r="F422">
        <v>43.65</v>
      </c>
      <c r="G422" s="3">
        <v>43.9</v>
      </c>
      <c r="H422">
        <v>43.95</v>
      </c>
      <c r="I422">
        <v>44.25</v>
      </c>
      <c r="J422">
        <v>6306351</v>
      </c>
      <c r="K422">
        <v>276833721</v>
      </c>
      <c r="L422" s="1">
        <v>45240</v>
      </c>
      <c r="M422">
        <v>10703</v>
      </c>
      <c r="N422" t="s">
        <v>952</v>
      </c>
      <c r="O422" s="5">
        <v>45240</v>
      </c>
      <c r="P422" s="5">
        <v>43777</v>
      </c>
    </row>
    <row r="423" spans="1:16" x14ac:dyDescent="0.25">
      <c r="A423" t="s">
        <v>953</v>
      </c>
      <c r="B423" t="str">
        <v>Centrum Capital Limited</v>
      </c>
      <c r="C423" t="s">
        <v>14</v>
      </c>
      <c r="D423">
        <v>26.5</v>
      </c>
      <c r="E423">
        <v>30.8</v>
      </c>
      <c r="F423">
        <v>26.05</v>
      </c>
      <c r="G423" s="3">
        <v>29.6</v>
      </c>
      <c r="H423">
        <v>29.5</v>
      </c>
      <c r="I423">
        <v>26.55</v>
      </c>
      <c r="J423">
        <v>8605630</v>
      </c>
      <c r="K423">
        <v>251737252.69999999</v>
      </c>
      <c r="L423" s="1">
        <v>45240</v>
      </c>
      <c r="M423">
        <v>15731</v>
      </c>
      <c r="N423" t="s">
        <v>955</v>
      </c>
      <c r="O423" s="5">
        <v>45240</v>
      </c>
      <c r="P423" s="5">
        <v>43777</v>
      </c>
    </row>
    <row r="424" spans="1:16" x14ac:dyDescent="0.25">
      <c r="A424" t="s">
        <v>956</v>
      </c>
      <c r="B424" t="str">
        <v>Centum Electronics Limited</v>
      </c>
      <c r="C424" t="s">
        <v>10</v>
      </c>
      <c r="D424">
        <v>1376</v>
      </c>
      <c r="E424">
        <v>1400</v>
      </c>
      <c r="F424">
        <v>1324.65</v>
      </c>
      <c r="G424" s="3">
        <v>1398.1</v>
      </c>
      <c r="H424">
        <v>1399</v>
      </c>
      <c r="I424">
        <v>1394.35</v>
      </c>
      <c r="J424">
        <v>20161</v>
      </c>
      <c r="K424">
        <v>27624106.149999999</v>
      </c>
      <c r="L424" s="1">
        <v>45240</v>
      </c>
      <c r="M424">
        <v>928</v>
      </c>
      <c r="N424" t="s">
        <v>958</v>
      </c>
      <c r="O424" s="5">
        <v>45240</v>
      </c>
      <c r="P424" s="5">
        <v>43777</v>
      </c>
    </row>
    <row r="425" spans="1:16" x14ac:dyDescent="0.25">
      <c r="A425" t="s">
        <v>959</v>
      </c>
      <c r="B425" t="str">
        <v>Century Plyboards (India) Limited</v>
      </c>
      <c r="C425" t="s">
        <v>14</v>
      </c>
      <c r="D425">
        <v>642</v>
      </c>
      <c r="E425">
        <v>651.95000000000005</v>
      </c>
      <c r="F425">
        <v>627.04999999999995</v>
      </c>
      <c r="G425" s="3">
        <v>635.95000000000005</v>
      </c>
      <c r="H425">
        <v>634.95000000000005</v>
      </c>
      <c r="I425">
        <v>638.65</v>
      </c>
      <c r="J425">
        <v>113242</v>
      </c>
      <c r="K425">
        <v>71520777.049999997</v>
      </c>
      <c r="L425" s="1">
        <v>45240</v>
      </c>
      <c r="M425">
        <v>9534</v>
      </c>
      <c r="N425" t="s">
        <v>961</v>
      </c>
      <c r="O425" s="5">
        <v>45240</v>
      </c>
      <c r="P425" s="5">
        <v>43777</v>
      </c>
    </row>
    <row r="426" spans="1:16" x14ac:dyDescent="0.25">
      <c r="A426" t="s">
        <v>962</v>
      </c>
      <c r="B426" t="str">
        <v>Century Textiles &amp; Industries Limited</v>
      </c>
      <c r="C426" t="s">
        <v>14</v>
      </c>
      <c r="D426">
        <v>1160.7</v>
      </c>
      <c r="E426">
        <v>1173.45</v>
      </c>
      <c r="F426">
        <v>1155.05</v>
      </c>
      <c r="G426" s="3">
        <v>1171.3499999999999</v>
      </c>
      <c r="H426">
        <v>1169</v>
      </c>
      <c r="I426">
        <v>1169.3</v>
      </c>
      <c r="J426">
        <v>98355</v>
      </c>
      <c r="K426">
        <v>114561138.09999999</v>
      </c>
      <c r="L426" s="1">
        <v>45240</v>
      </c>
      <c r="M426">
        <v>5484</v>
      </c>
      <c r="N426" t="s">
        <v>964</v>
      </c>
      <c r="O426" s="5">
        <v>45240</v>
      </c>
      <c r="P426" s="5">
        <v>43777</v>
      </c>
    </row>
    <row r="427" spans="1:16" x14ac:dyDescent="0.25">
      <c r="A427" t="s">
        <v>965</v>
      </c>
      <c r="B427" t="str">
        <v>Cera Sanitaryware Limited</v>
      </c>
      <c r="C427" t="s">
        <v>14</v>
      </c>
      <c r="D427">
        <v>8589.7999999999993</v>
      </c>
      <c r="E427">
        <v>8750</v>
      </c>
      <c r="F427">
        <v>8555.2999999999993</v>
      </c>
      <c r="G427" s="3">
        <v>8607.1</v>
      </c>
      <c r="H427">
        <v>8620</v>
      </c>
      <c r="I427">
        <v>8598.6</v>
      </c>
      <c r="J427">
        <v>17271</v>
      </c>
      <c r="K427">
        <v>149483589</v>
      </c>
      <c r="L427" s="1">
        <v>45240</v>
      </c>
      <c r="M427">
        <v>7362</v>
      </c>
      <c r="N427" t="s">
        <v>967</v>
      </c>
      <c r="O427" s="5">
        <v>45240</v>
      </c>
      <c r="P427" s="5">
        <v>43777</v>
      </c>
    </row>
    <row r="428" spans="1:16" x14ac:dyDescent="0.25">
      <c r="A428" t="s">
        <v>968</v>
      </c>
      <c r="B428" t="str">
        <v>Cerebra Integrated Technologies Limited</v>
      </c>
      <c r="C428" t="s">
        <v>10</v>
      </c>
      <c r="D428">
        <v>7.2</v>
      </c>
      <c r="E428">
        <v>7.2</v>
      </c>
      <c r="F428">
        <v>6.9</v>
      </c>
      <c r="G428" s="3">
        <v>7</v>
      </c>
      <c r="H428">
        <v>7</v>
      </c>
      <c r="I428">
        <v>7.1</v>
      </c>
      <c r="J428">
        <v>59912</v>
      </c>
      <c r="K428">
        <v>420111.05</v>
      </c>
      <c r="L428" s="1">
        <v>45240</v>
      </c>
      <c r="M428">
        <v>203</v>
      </c>
      <c r="N428" t="s">
        <v>970</v>
      </c>
      <c r="O428" s="5">
        <v>45240</v>
      </c>
      <c r="P428" s="5">
        <v>43777</v>
      </c>
    </row>
    <row r="429" spans="1:16" x14ac:dyDescent="0.25">
      <c r="A429" t="s">
        <v>971</v>
      </c>
      <c r="B429" t="str">
        <v>CESC Limited</v>
      </c>
      <c r="C429" t="s">
        <v>14</v>
      </c>
      <c r="D429">
        <v>89.3</v>
      </c>
      <c r="E429">
        <v>90.15</v>
      </c>
      <c r="F429">
        <v>88.8</v>
      </c>
      <c r="G429" s="3">
        <v>89.05</v>
      </c>
      <c r="H429">
        <v>89.2</v>
      </c>
      <c r="I429">
        <v>89.4</v>
      </c>
      <c r="J429">
        <v>1703459</v>
      </c>
      <c r="K429">
        <v>152190959.15000001</v>
      </c>
      <c r="L429" s="1">
        <v>45240</v>
      </c>
      <c r="M429">
        <v>10070</v>
      </c>
      <c r="N429" t="s">
        <v>973</v>
      </c>
      <c r="O429" s="5">
        <v>45240</v>
      </c>
      <c r="P429" s="5">
        <v>43777</v>
      </c>
    </row>
    <row r="430" spans="1:16" x14ac:dyDescent="0.25">
      <c r="A430" t="s">
        <v>974</v>
      </c>
      <c r="B430" t="str">
        <v>Capri Global Capital Limited</v>
      </c>
      <c r="C430" t="s">
        <v>14</v>
      </c>
      <c r="D430">
        <v>754.3</v>
      </c>
      <c r="E430">
        <v>765</v>
      </c>
      <c r="F430">
        <v>745</v>
      </c>
      <c r="G430" s="3">
        <v>762.15</v>
      </c>
      <c r="H430">
        <v>764.85</v>
      </c>
      <c r="I430">
        <v>754.3</v>
      </c>
      <c r="J430">
        <v>118267</v>
      </c>
      <c r="K430">
        <v>89536810.150000006</v>
      </c>
      <c r="L430" s="1">
        <v>45240</v>
      </c>
      <c r="M430">
        <v>3243</v>
      </c>
      <c r="N430" t="s">
        <v>976</v>
      </c>
      <c r="O430" s="5">
        <v>45240</v>
      </c>
      <c r="P430" s="5">
        <v>43777</v>
      </c>
    </row>
    <row r="431" spans="1:16" x14ac:dyDescent="0.25">
      <c r="A431" t="s">
        <v>977</v>
      </c>
      <c r="B431" t="str">
        <v>CG Power and Industrial Solutions Limited</v>
      </c>
      <c r="C431" t="s">
        <v>14</v>
      </c>
      <c r="D431">
        <v>386.25</v>
      </c>
      <c r="E431">
        <v>389.55</v>
      </c>
      <c r="F431">
        <v>379.6</v>
      </c>
      <c r="G431" s="3">
        <v>388.55</v>
      </c>
      <c r="H431">
        <v>387.65</v>
      </c>
      <c r="I431">
        <v>383.65</v>
      </c>
      <c r="J431">
        <v>1117609</v>
      </c>
      <c r="K431">
        <v>430193557.25</v>
      </c>
      <c r="L431" s="1">
        <v>45240</v>
      </c>
      <c r="M431">
        <v>25488</v>
      </c>
      <c r="N431" t="s">
        <v>979</v>
      </c>
      <c r="O431" s="5">
        <v>45240</v>
      </c>
      <c r="P431" s="5">
        <v>43777</v>
      </c>
    </row>
    <row r="432" spans="1:16" x14ac:dyDescent="0.25">
      <c r="A432" t="s">
        <v>980</v>
      </c>
      <c r="B432" t="str">
        <v>Chalet Hotels Limited</v>
      </c>
      <c r="C432" t="s">
        <v>14</v>
      </c>
      <c r="D432">
        <v>588</v>
      </c>
      <c r="E432">
        <v>594</v>
      </c>
      <c r="F432">
        <v>582</v>
      </c>
      <c r="G432" s="3">
        <v>584.29999999999995</v>
      </c>
      <c r="H432">
        <v>582.1</v>
      </c>
      <c r="I432">
        <v>588.45000000000005</v>
      </c>
      <c r="J432">
        <v>85755</v>
      </c>
      <c r="K432">
        <v>50435277.600000001</v>
      </c>
      <c r="L432" s="1">
        <v>45240</v>
      </c>
      <c r="M432">
        <v>6382</v>
      </c>
      <c r="N432" t="s">
        <v>982</v>
      </c>
      <c r="O432" s="5">
        <v>45240</v>
      </c>
      <c r="P432" s="5">
        <v>43777</v>
      </c>
    </row>
    <row r="433" spans="1:16" x14ac:dyDescent="0.25">
      <c r="A433" t="s">
        <v>983</v>
      </c>
      <c r="B433" t="str">
        <v>Chambal Fertilizers &amp; Chemicals Limited</v>
      </c>
      <c r="C433" t="s">
        <v>14</v>
      </c>
      <c r="D433">
        <v>306.8</v>
      </c>
      <c r="E433">
        <v>308.60000000000002</v>
      </c>
      <c r="F433">
        <v>304</v>
      </c>
      <c r="G433" s="3">
        <v>307.8</v>
      </c>
      <c r="H433">
        <v>307.05</v>
      </c>
      <c r="I433">
        <v>307.25</v>
      </c>
      <c r="J433">
        <v>2685242</v>
      </c>
      <c r="K433">
        <v>823260571.35000002</v>
      </c>
      <c r="L433" s="1">
        <v>45240</v>
      </c>
      <c r="M433">
        <v>24972</v>
      </c>
      <c r="N433" t="s">
        <v>985</v>
      </c>
      <c r="O433" s="5">
        <v>45240</v>
      </c>
      <c r="P433" s="5">
        <v>43777</v>
      </c>
    </row>
    <row r="434" spans="1:16" x14ac:dyDescent="0.25">
      <c r="A434" t="s">
        <v>6803</v>
      </c>
      <c r="B434" t="str">
        <v>Not Found</v>
      </c>
      <c r="C434" t="s">
        <v>5788</v>
      </c>
      <c r="D434">
        <v>103.55</v>
      </c>
      <c r="E434">
        <v>104.25</v>
      </c>
      <c r="F434">
        <v>96.5</v>
      </c>
      <c r="G434" s="3">
        <v>97.1</v>
      </c>
      <c r="H434">
        <v>97.6</v>
      </c>
      <c r="I434">
        <v>104.6</v>
      </c>
      <c r="J434">
        <v>248000</v>
      </c>
      <c r="K434">
        <v>24610600</v>
      </c>
      <c r="L434" s="1">
        <v>45240</v>
      </c>
      <c r="M434">
        <v>113</v>
      </c>
      <c r="N434" t="s">
        <v>6802</v>
      </c>
      <c r="O434" s="5">
        <v>45240</v>
      </c>
      <c r="P434" s="5">
        <v>43777</v>
      </c>
    </row>
    <row r="435" spans="1:16" x14ac:dyDescent="0.25">
      <c r="A435" t="s">
        <v>986</v>
      </c>
      <c r="B435" t="str">
        <v>Chembond Chemicals Ltd</v>
      </c>
      <c r="C435" t="s">
        <v>14</v>
      </c>
      <c r="D435">
        <v>433.55</v>
      </c>
      <c r="E435">
        <v>454.4</v>
      </c>
      <c r="F435">
        <v>428.6</v>
      </c>
      <c r="G435" s="3">
        <v>443.45</v>
      </c>
      <c r="H435">
        <v>448</v>
      </c>
      <c r="I435">
        <v>429.75</v>
      </c>
      <c r="J435">
        <v>61963</v>
      </c>
      <c r="K435">
        <v>27407565.899999999</v>
      </c>
      <c r="L435" s="1">
        <v>45240</v>
      </c>
      <c r="M435">
        <v>4615</v>
      </c>
      <c r="N435" t="s">
        <v>988</v>
      </c>
      <c r="O435" s="5">
        <v>45240</v>
      </c>
      <c r="P435" s="5">
        <v>43777</v>
      </c>
    </row>
    <row r="436" spans="1:16" x14ac:dyDescent="0.25">
      <c r="A436" t="s">
        <v>989</v>
      </c>
      <c r="B436" t="str">
        <v>Chemcon Speciality Chemicals Limited</v>
      </c>
      <c r="C436" t="s">
        <v>14</v>
      </c>
      <c r="D436">
        <v>267</v>
      </c>
      <c r="E436">
        <v>267.8</v>
      </c>
      <c r="F436">
        <v>264.8</v>
      </c>
      <c r="G436" s="3">
        <v>265.2</v>
      </c>
      <c r="H436">
        <v>265.8</v>
      </c>
      <c r="I436">
        <v>266.60000000000002</v>
      </c>
      <c r="J436">
        <v>19584</v>
      </c>
      <c r="K436">
        <v>5207036.4000000004</v>
      </c>
      <c r="L436" s="1">
        <v>45240</v>
      </c>
      <c r="M436">
        <v>1199</v>
      </c>
      <c r="N436" t="s">
        <v>991</v>
      </c>
      <c r="O436" s="5">
        <v>45240</v>
      </c>
      <c r="P436" s="5">
        <v>43777</v>
      </c>
    </row>
    <row r="437" spans="1:16" x14ac:dyDescent="0.25">
      <c r="A437" t="s">
        <v>992</v>
      </c>
      <c r="B437" t="str">
        <v>Chemfab Alkalis Limited</v>
      </c>
      <c r="C437" t="s">
        <v>14</v>
      </c>
      <c r="D437">
        <v>364.9</v>
      </c>
      <c r="E437">
        <v>364.9</v>
      </c>
      <c r="F437">
        <v>358.2</v>
      </c>
      <c r="G437" s="3">
        <v>358.75</v>
      </c>
      <c r="H437">
        <v>358.4</v>
      </c>
      <c r="I437">
        <v>361.45</v>
      </c>
      <c r="J437">
        <v>4905</v>
      </c>
      <c r="K437">
        <v>1766447.05</v>
      </c>
      <c r="L437" s="1">
        <v>45240</v>
      </c>
      <c r="M437">
        <v>377</v>
      </c>
      <c r="N437" t="s">
        <v>994</v>
      </c>
      <c r="O437" s="5">
        <v>45240</v>
      </c>
      <c r="P437" s="5">
        <v>43777</v>
      </c>
    </row>
    <row r="438" spans="1:16" x14ac:dyDescent="0.25">
      <c r="A438" t="s">
        <v>995</v>
      </c>
      <c r="B438" t="str">
        <v>Chemplast Sanmar Limited</v>
      </c>
      <c r="C438" t="s">
        <v>14</v>
      </c>
      <c r="D438">
        <v>442.7</v>
      </c>
      <c r="E438">
        <v>450</v>
      </c>
      <c r="F438">
        <v>438</v>
      </c>
      <c r="G438" s="3">
        <v>447.3</v>
      </c>
      <c r="H438">
        <v>448.5</v>
      </c>
      <c r="I438">
        <v>438.3</v>
      </c>
      <c r="J438">
        <v>48161</v>
      </c>
      <c r="K438">
        <v>21438280.399999999</v>
      </c>
      <c r="L438" s="1">
        <v>45240</v>
      </c>
      <c r="M438">
        <v>3863</v>
      </c>
      <c r="N438" t="s">
        <v>997</v>
      </c>
      <c r="O438" s="5">
        <v>45240</v>
      </c>
      <c r="P438" s="5">
        <v>43777</v>
      </c>
    </row>
    <row r="439" spans="1:16" x14ac:dyDescent="0.25">
      <c r="A439" t="s">
        <v>998</v>
      </c>
      <c r="B439" t="str">
        <v>Chennai Petroleum Corporation Limited</v>
      </c>
      <c r="C439" t="s">
        <v>14</v>
      </c>
      <c r="D439">
        <v>572.5</v>
      </c>
      <c r="E439">
        <v>587.20000000000005</v>
      </c>
      <c r="F439">
        <v>569.1</v>
      </c>
      <c r="G439" s="3">
        <v>585.4</v>
      </c>
      <c r="H439">
        <v>585.85</v>
      </c>
      <c r="I439">
        <v>572.54999999999995</v>
      </c>
      <c r="J439">
        <v>1265944</v>
      </c>
      <c r="K439">
        <v>736706742.70000005</v>
      </c>
      <c r="L439" s="1">
        <v>45240</v>
      </c>
      <c r="M439">
        <v>23207</v>
      </c>
      <c r="N439" t="s">
        <v>1000</v>
      </c>
      <c r="O439" s="5">
        <v>45240</v>
      </c>
      <c r="P439" s="5">
        <v>43777</v>
      </c>
    </row>
    <row r="440" spans="1:16" x14ac:dyDescent="0.25">
      <c r="A440" t="s">
        <v>1001</v>
      </c>
      <c r="B440" t="str">
        <v>Cheviot Company Limited</v>
      </c>
      <c r="C440" t="s">
        <v>14</v>
      </c>
      <c r="D440">
        <v>1268</v>
      </c>
      <c r="E440">
        <v>1271</v>
      </c>
      <c r="F440">
        <v>1238</v>
      </c>
      <c r="G440" s="3">
        <v>1240.05</v>
      </c>
      <c r="H440">
        <v>1250</v>
      </c>
      <c r="I440">
        <v>1255.5</v>
      </c>
      <c r="J440">
        <v>5103</v>
      </c>
      <c r="K440">
        <v>6382608</v>
      </c>
      <c r="L440" s="1">
        <v>45240</v>
      </c>
      <c r="M440">
        <v>697</v>
      </c>
      <c r="N440" t="s">
        <v>1003</v>
      </c>
      <c r="O440" s="5">
        <v>45240</v>
      </c>
      <c r="P440" s="5">
        <v>43777</v>
      </c>
    </row>
    <row r="441" spans="1:16" x14ac:dyDescent="0.25">
      <c r="A441" t="s">
        <v>1004</v>
      </c>
      <c r="B441" t="str">
        <v>Choice International Limited</v>
      </c>
      <c r="C441" t="s">
        <v>14</v>
      </c>
      <c r="D441">
        <v>448</v>
      </c>
      <c r="E441">
        <v>448</v>
      </c>
      <c r="F441">
        <v>436.9</v>
      </c>
      <c r="G441" s="3">
        <v>441.1</v>
      </c>
      <c r="H441">
        <v>439</v>
      </c>
      <c r="I441">
        <v>434.05</v>
      </c>
      <c r="J441">
        <v>644330</v>
      </c>
      <c r="K441">
        <v>284137228.14999998</v>
      </c>
      <c r="L441" s="1">
        <v>45240</v>
      </c>
      <c r="M441">
        <v>8889</v>
      </c>
      <c r="N441" t="s">
        <v>1006</v>
      </c>
      <c r="O441" s="5">
        <v>45240</v>
      </c>
      <c r="P441" s="5">
        <v>43777</v>
      </c>
    </row>
    <row r="442" spans="1:16" x14ac:dyDescent="0.25">
      <c r="A442" t="s">
        <v>1007</v>
      </c>
      <c r="B442" t="str">
        <v>Cholamandalam Investment and Finance Company Limited</v>
      </c>
      <c r="C442" t="s">
        <v>14</v>
      </c>
      <c r="D442">
        <v>1149.95</v>
      </c>
      <c r="E442">
        <v>1151.8</v>
      </c>
      <c r="F442">
        <v>1132.05</v>
      </c>
      <c r="G442" s="3">
        <v>1148.25</v>
      </c>
      <c r="H442">
        <v>1147.6500000000001</v>
      </c>
      <c r="I442">
        <v>1152.05</v>
      </c>
      <c r="J442">
        <v>650284</v>
      </c>
      <c r="K442">
        <v>744056288.10000002</v>
      </c>
      <c r="L442" s="1">
        <v>45240</v>
      </c>
      <c r="M442">
        <v>40790</v>
      </c>
      <c r="N442" t="s">
        <v>1009</v>
      </c>
      <c r="O442" s="5">
        <v>45240</v>
      </c>
      <c r="P442" s="5">
        <v>43777</v>
      </c>
    </row>
    <row r="443" spans="1:16" x14ac:dyDescent="0.25">
      <c r="A443" t="s">
        <v>1007</v>
      </c>
      <c r="B443" t="str">
        <v>Cholamandalam Investment and Finance Company Limited</v>
      </c>
      <c r="C443" t="s">
        <v>6611</v>
      </c>
      <c r="D443">
        <v>975</v>
      </c>
      <c r="E443">
        <v>975</v>
      </c>
      <c r="F443">
        <v>975</v>
      </c>
      <c r="G443" s="3">
        <v>975</v>
      </c>
      <c r="H443">
        <v>975</v>
      </c>
      <c r="I443">
        <v>1000</v>
      </c>
      <c r="J443">
        <v>15</v>
      </c>
      <c r="K443">
        <v>14625</v>
      </c>
      <c r="L443" s="1">
        <v>45240</v>
      </c>
      <c r="M443">
        <v>1</v>
      </c>
      <c r="N443" t="s">
        <v>6801</v>
      </c>
      <c r="O443" s="5">
        <v>45240</v>
      </c>
      <c r="P443" s="5">
        <v>43777</v>
      </c>
    </row>
    <row r="444" spans="1:16" x14ac:dyDescent="0.25">
      <c r="A444" t="s">
        <v>1010</v>
      </c>
      <c r="B444" t="str">
        <v>Cholamandalam Financial Holdings Limited</v>
      </c>
      <c r="C444" t="s">
        <v>14</v>
      </c>
      <c r="D444">
        <v>1128.8</v>
      </c>
      <c r="E444">
        <v>1156.9000000000001</v>
      </c>
      <c r="F444">
        <v>1105.5999999999999</v>
      </c>
      <c r="G444" s="3">
        <v>1139</v>
      </c>
      <c r="H444">
        <v>1121.3</v>
      </c>
      <c r="I444">
        <v>1116.8499999999999</v>
      </c>
      <c r="J444">
        <v>117977</v>
      </c>
      <c r="K444">
        <v>132983878.2</v>
      </c>
      <c r="L444" s="1">
        <v>45240</v>
      </c>
      <c r="M444">
        <v>14815</v>
      </c>
      <c r="N444" t="s">
        <v>1012</v>
      </c>
      <c r="O444" s="5">
        <v>45240</v>
      </c>
      <c r="P444" s="5">
        <v>43777</v>
      </c>
    </row>
    <row r="445" spans="1:16" x14ac:dyDescent="0.25">
      <c r="A445" t="s">
        <v>1013</v>
      </c>
      <c r="B445" t="str">
        <v>CIE Automotive India Limited</v>
      </c>
      <c r="C445" t="s">
        <v>14</v>
      </c>
      <c r="D445">
        <v>470.35</v>
      </c>
      <c r="E445">
        <v>472.3</v>
      </c>
      <c r="F445">
        <v>467.2</v>
      </c>
      <c r="G445" s="3">
        <v>470.25</v>
      </c>
      <c r="H445">
        <v>470</v>
      </c>
      <c r="I445">
        <v>473.1</v>
      </c>
      <c r="J445">
        <v>304043</v>
      </c>
      <c r="K445">
        <v>142957343.94999999</v>
      </c>
      <c r="L445" s="1">
        <v>45240</v>
      </c>
      <c r="M445">
        <v>9693</v>
      </c>
      <c r="N445" t="s">
        <v>1015</v>
      </c>
      <c r="O445" s="5">
        <v>45240</v>
      </c>
      <c r="P445" s="5">
        <v>43777</v>
      </c>
    </row>
    <row r="446" spans="1:16" x14ac:dyDescent="0.25">
      <c r="A446" t="s">
        <v>1016</v>
      </c>
      <c r="B446" t="str">
        <v>Cigniti Technologies Limited</v>
      </c>
      <c r="C446" t="s">
        <v>14</v>
      </c>
      <c r="D446">
        <v>1091.6500000000001</v>
      </c>
      <c r="E446">
        <v>1094.8</v>
      </c>
      <c r="F446">
        <v>1062</v>
      </c>
      <c r="G446" s="3">
        <v>1075.45</v>
      </c>
      <c r="H446">
        <v>1081.5</v>
      </c>
      <c r="I446">
        <v>1091.6500000000001</v>
      </c>
      <c r="J446">
        <v>128817</v>
      </c>
      <c r="K446">
        <v>138239256.25</v>
      </c>
      <c r="L446" s="1">
        <v>45240</v>
      </c>
      <c r="M446">
        <v>7699</v>
      </c>
      <c r="N446" t="s">
        <v>1018</v>
      </c>
      <c r="O446" s="5">
        <v>45240</v>
      </c>
      <c r="P446" s="5">
        <v>43777</v>
      </c>
    </row>
    <row r="447" spans="1:16" x14ac:dyDescent="0.25">
      <c r="A447" t="s">
        <v>1019</v>
      </c>
      <c r="B447" t="str">
        <v>Cineline India Limited</v>
      </c>
      <c r="C447" t="s">
        <v>10</v>
      </c>
      <c r="D447">
        <v>128.94999999999999</v>
      </c>
      <c r="E447">
        <v>128.94999999999999</v>
      </c>
      <c r="F447">
        <v>122.5</v>
      </c>
      <c r="G447" s="3">
        <v>122.5</v>
      </c>
      <c r="H447">
        <v>122.5</v>
      </c>
      <c r="I447">
        <v>128.94999999999999</v>
      </c>
      <c r="J447">
        <v>189158</v>
      </c>
      <c r="K447">
        <v>23417807.399999999</v>
      </c>
      <c r="L447" s="1">
        <v>45240</v>
      </c>
      <c r="M447">
        <v>420</v>
      </c>
      <c r="N447" t="s">
        <v>1021</v>
      </c>
      <c r="O447" s="5">
        <v>45240</v>
      </c>
      <c r="P447" s="5">
        <v>43777</v>
      </c>
    </row>
    <row r="448" spans="1:16" x14ac:dyDescent="0.25">
      <c r="A448" t="s">
        <v>1022</v>
      </c>
      <c r="B448" t="str">
        <v>Cinevista Limited</v>
      </c>
      <c r="C448" t="s">
        <v>10</v>
      </c>
      <c r="D448">
        <v>18.8</v>
      </c>
      <c r="E448">
        <v>18.8</v>
      </c>
      <c r="F448">
        <v>17.600000000000001</v>
      </c>
      <c r="G448" s="3">
        <v>17.8</v>
      </c>
      <c r="H448">
        <v>17.75</v>
      </c>
      <c r="I448">
        <v>18.2</v>
      </c>
      <c r="J448">
        <v>15969</v>
      </c>
      <c r="K448">
        <v>286769.09999999998</v>
      </c>
      <c r="L448" s="1">
        <v>45240</v>
      </c>
      <c r="M448">
        <v>124</v>
      </c>
      <c r="N448" t="s">
        <v>1024</v>
      </c>
      <c r="O448" s="5">
        <v>45240</v>
      </c>
      <c r="P448" s="5">
        <v>43777</v>
      </c>
    </row>
    <row r="449" spans="1:16" x14ac:dyDescent="0.25">
      <c r="A449" t="s">
        <v>1025</v>
      </c>
      <c r="B449" t="str">
        <v>Cipla Limited</v>
      </c>
      <c r="C449" t="s">
        <v>14</v>
      </c>
      <c r="D449">
        <v>1237.8499999999999</v>
      </c>
      <c r="E449">
        <v>1242</v>
      </c>
      <c r="F449">
        <v>1230</v>
      </c>
      <c r="G449" s="3">
        <v>1240.0999999999999</v>
      </c>
      <c r="H449">
        <v>1239.0999999999999</v>
      </c>
      <c r="I449">
        <v>1238.1500000000001</v>
      </c>
      <c r="J449">
        <v>576673</v>
      </c>
      <c r="K449">
        <v>713042730.5</v>
      </c>
      <c r="L449" s="1">
        <v>45240</v>
      </c>
      <c r="M449">
        <v>25842</v>
      </c>
      <c r="N449" t="s">
        <v>1027</v>
      </c>
      <c r="O449" s="5">
        <v>45240</v>
      </c>
      <c r="P449" s="5">
        <v>43777</v>
      </c>
    </row>
    <row r="450" spans="1:16" x14ac:dyDescent="0.25">
      <c r="A450" t="s">
        <v>1028</v>
      </c>
      <c r="B450" t="str">
        <v>Clean Science and Technology Limited</v>
      </c>
      <c r="C450" t="s">
        <v>14</v>
      </c>
      <c r="D450">
        <v>1362.05</v>
      </c>
      <c r="E450">
        <v>1381.15</v>
      </c>
      <c r="F450">
        <v>1362</v>
      </c>
      <c r="G450" s="3">
        <v>1371</v>
      </c>
      <c r="H450">
        <v>1370</v>
      </c>
      <c r="I450">
        <v>1375.35</v>
      </c>
      <c r="J450">
        <v>58826</v>
      </c>
      <c r="K450">
        <v>80657436.650000006</v>
      </c>
      <c r="L450" s="1">
        <v>45240</v>
      </c>
      <c r="M450">
        <v>5605</v>
      </c>
      <c r="N450" t="s">
        <v>1030</v>
      </c>
      <c r="O450" s="5">
        <v>45240</v>
      </c>
      <c r="P450" s="5">
        <v>43777</v>
      </c>
    </row>
    <row r="451" spans="1:16" x14ac:dyDescent="0.25">
      <c r="A451" t="s">
        <v>1031</v>
      </c>
      <c r="B451" t="str">
        <v>CL Educate Limited</v>
      </c>
      <c r="C451" t="s">
        <v>6800</v>
      </c>
      <c r="D451">
        <v>83.5</v>
      </c>
      <c r="E451">
        <v>85</v>
      </c>
      <c r="F451">
        <v>83.5</v>
      </c>
      <c r="G451" s="3">
        <v>85</v>
      </c>
      <c r="H451">
        <v>85</v>
      </c>
      <c r="I451">
        <v>84.85</v>
      </c>
      <c r="J451">
        <v>900</v>
      </c>
      <c r="K451">
        <v>75889.5</v>
      </c>
      <c r="L451" s="1">
        <v>45240</v>
      </c>
      <c r="M451">
        <v>11</v>
      </c>
      <c r="N451" t="s">
        <v>1033</v>
      </c>
      <c r="O451" s="5">
        <v>45240</v>
      </c>
      <c r="P451" s="5">
        <v>43777</v>
      </c>
    </row>
    <row r="452" spans="1:16" x14ac:dyDescent="0.25">
      <c r="A452" t="s">
        <v>1031</v>
      </c>
      <c r="B452" t="str">
        <v>CL Educate Limited</v>
      </c>
      <c r="C452" t="s">
        <v>14</v>
      </c>
      <c r="D452">
        <v>84</v>
      </c>
      <c r="E452">
        <v>86.15</v>
      </c>
      <c r="F452">
        <v>82.15</v>
      </c>
      <c r="G452" s="3">
        <v>83.65</v>
      </c>
      <c r="H452">
        <v>83.7</v>
      </c>
      <c r="I452">
        <v>84.85</v>
      </c>
      <c r="J452">
        <v>293518</v>
      </c>
      <c r="K452">
        <v>24615773.75</v>
      </c>
      <c r="L452" s="1">
        <v>45240</v>
      </c>
      <c r="M452">
        <v>4215</v>
      </c>
      <c r="N452" t="s">
        <v>1033</v>
      </c>
      <c r="O452" s="5">
        <v>45240</v>
      </c>
      <c r="P452" s="5">
        <v>43777</v>
      </c>
    </row>
    <row r="453" spans="1:16" x14ac:dyDescent="0.25">
      <c r="A453" t="s">
        <v>6799</v>
      </c>
      <c r="B453" t="str">
        <v>Not Found</v>
      </c>
      <c r="C453" t="s">
        <v>5788</v>
      </c>
      <c r="D453">
        <v>112.25</v>
      </c>
      <c r="E453">
        <v>112.25</v>
      </c>
      <c r="F453">
        <v>112.25</v>
      </c>
      <c r="G453" s="3">
        <v>112.25</v>
      </c>
      <c r="H453">
        <v>112.25</v>
      </c>
      <c r="I453">
        <v>118.15</v>
      </c>
      <c r="J453">
        <v>102000</v>
      </c>
      <c r="K453">
        <v>11449500</v>
      </c>
      <c r="L453" s="1">
        <v>45240</v>
      </c>
      <c r="M453">
        <v>87</v>
      </c>
      <c r="N453" t="s">
        <v>6798</v>
      </c>
      <c r="O453" s="5">
        <v>45240</v>
      </c>
      <c r="P453" s="5">
        <v>43777</v>
      </c>
    </row>
    <row r="454" spans="1:16" x14ac:dyDescent="0.25">
      <c r="A454" t="s">
        <v>6797</v>
      </c>
      <c r="B454" t="str">
        <v>Not Found</v>
      </c>
      <c r="C454" t="s">
        <v>6796</v>
      </c>
      <c r="D454">
        <v>58.3</v>
      </c>
      <c r="E454">
        <v>58.3</v>
      </c>
      <c r="F454">
        <v>58.3</v>
      </c>
      <c r="G454" s="3">
        <v>58.3</v>
      </c>
      <c r="H454">
        <v>58.3</v>
      </c>
      <c r="I454">
        <v>61.35</v>
      </c>
      <c r="J454">
        <v>2400</v>
      </c>
      <c r="K454">
        <v>139920</v>
      </c>
      <c r="L454" s="1">
        <v>45240</v>
      </c>
      <c r="M454">
        <v>2</v>
      </c>
      <c r="N454" t="s">
        <v>6795</v>
      </c>
      <c r="O454" s="5">
        <v>45240</v>
      </c>
      <c r="P454" s="5">
        <v>43777</v>
      </c>
    </row>
    <row r="455" spans="1:16" x14ac:dyDescent="0.25">
      <c r="A455" t="s">
        <v>1034</v>
      </c>
      <c r="B455" t="str">
        <v>Chaman Lal Setia Exports Limited</v>
      </c>
      <c r="C455" t="s">
        <v>14</v>
      </c>
      <c r="D455">
        <v>209.85</v>
      </c>
      <c r="E455">
        <v>211.7</v>
      </c>
      <c r="F455">
        <v>207.05</v>
      </c>
      <c r="G455" s="3">
        <v>208.9</v>
      </c>
      <c r="H455">
        <v>208.05</v>
      </c>
      <c r="I455">
        <v>209</v>
      </c>
      <c r="J455">
        <v>75689</v>
      </c>
      <c r="K455">
        <v>15856202.35</v>
      </c>
      <c r="L455" s="1">
        <v>45240</v>
      </c>
      <c r="M455">
        <v>2758</v>
      </c>
      <c r="N455" t="s">
        <v>1036</v>
      </c>
      <c r="O455" s="5">
        <v>45240</v>
      </c>
      <c r="P455" s="5">
        <v>43777</v>
      </c>
    </row>
    <row r="456" spans="1:16" x14ac:dyDescent="0.25">
      <c r="A456" t="s">
        <v>6794</v>
      </c>
      <c r="B456" t="str">
        <v>Not Found</v>
      </c>
      <c r="C456" t="s">
        <v>5788</v>
      </c>
      <c r="D456">
        <v>38.35</v>
      </c>
      <c r="E456">
        <v>38.700000000000003</v>
      </c>
      <c r="F456">
        <v>38.35</v>
      </c>
      <c r="G456" s="3">
        <v>38.549999999999997</v>
      </c>
      <c r="H456">
        <v>38.549999999999997</v>
      </c>
      <c r="I456">
        <v>39.75</v>
      </c>
      <c r="J456">
        <v>8000</v>
      </c>
      <c r="K456">
        <v>308300</v>
      </c>
      <c r="L456" s="1">
        <v>45240</v>
      </c>
      <c r="M456">
        <v>4</v>
      </c>
      <c r="N456" t="s">
        <v>6793</v>
      </c>
      <c r="O456" s="5">
        <v>45240</v>
      </c>
      <c r="P456" s="5">
        <v>43777</v>
      </c>
    </row>
    <row r="457" spans="1:16" x14ac:dyDescent="0.25">
      <c r="A457" t="s">
        <v>6792</v>
      </c>
      <c r="B457" t="str">
        <v>Not Found</v>
      </c>
      <c r="C457" t="s">
        <v>5788</v>
      </c>
      <c r="D457">
        <v>63.8</v>
      </c>
      <c r="E457">
        <v>63.8</v>
      </c>
      <c r="F457">
        <v>61.55</v>
      </c>
      <c r="G457" s="3">
        <v>61.85</v>
      </c>
      <c r="H457">
        <v>61.55</v>
      </c>
      <c r="I457">
        <v>63.95</v>
      </c>
      <c r="J457">
        <v>66000</v>
      </c>
      <c r="K457">
        <v>4127025</v>
      </c>
      <c r="L457" s="1">
        <v>45240</v>
      </c>
      <c r="M457">
        <v>37</v>
      </c>
      <c r="N457" t="s">
        <v>6791</v>
      </c>
      <c r="O457" s="5">
        <v>45240</v>
      </c>
      <c r="P457" s="5">
        <v>43777</v>
      </c>
    </row>
    <row r="458" spans="1:16" x14ac:dyDescent="0.25">
      <c r="A458" t="s">
        <v>6790</v>
      </c>
      <c r="B458" t="str">
        <v>Not Found</v>
      </c>
      <c r="C458" t="s">
        <v>5788</v>
      </c>
      <c r="D458">
        <v>127.3</v>
      </c>
      <c r="E458">
        <v>127.3</v>
      </c>
      <c r="F458">
        <v>126.75</v>
      </c>
      <c r="G458" s="3">
        <v>127.3</v>
      </c>
      <c r="H458">
        <v>127.3</v>
      </c>
      <c r="I458">
        <v>121.25</v>
      </c>
      <c r="J458">
        <v>9600</v>
      </c>
      <c r="K458">
        <v>1221200</v>
      </c>
      <c r="L458" s="1">
        <v>45240</v>
      </c>
      <c r="M458">
        <v>12</v>
      </c>
      <c r="N458" t="s">
        <v>6789</v>
      </c>
      <c r="O458" s="5">
        <v>45240</v>
      </c>
      <c r="P458" s="5">
        <v>43777</v>
      </c>
    </row>
    <row r="459" spans="1:16" x14ac:dyDescent="0.25">
      <c r="A459" t="s">
        <v>1037</v>
      </c>
      <c r="B459" t="str">
        <v>CMS Info Systems Limited</v>
      </c>
      <c r="C459" t="s">
        <v>14</v>
      </c>
      <c r="D459">
        <v>377.5</v>
      </c>
      <c r="E459">
        <v>384.6</v>
      </c>
      <c r="F459">
        <v>375.05</v>
      </c>
      <c r="G459" s="3">
        <v>376.15</v>
      </c>
      <c r="H459">
        <v>377</v>
      </c>
      <c r="I459">
        <v>377.05</v>
      </c>
      <c r="J459">
        <v>562595</v>
      </c>
      <c r="K459">
        <v>213782917.94999999</v>
      </c>
      <c r="L459" s="1">
        <v>45240</v>
      </c>
      <c r="M459">
        <v>14376</v>
      </c>
      <c r="N459" t="s">
        <v>1039</v>
      </c>
      <c r="O459" s="5">
        <v>45240</v>
      </c>
      <c r="P459" s="5">
        <v>43777</v>
      </c>
    </row>
    <row r="460" spans="1:16" x14ac:dyDescent="0.25">
      <c r="A460" t="s">
        <v>1040</v>
      </c>
      <c r="B460" t="str">
        <v>Coal India Limited</v>
      </c>
      <c r="C460" t="s">
        <v>14</v>
      </c>
      <c r="D460">
        <v>324.45</v>
      </c>
      <c r="E460">
        <v>326.14999999999998</v>
      </c>
      <c r="F460">
        <v>321.55</v>
      </c>
      <c r="G460" s="3">
        <v>323.39999999999998</v>
      </c>
      <c r="H460">
        <v>323.89999999999998</v>
      </c>
      <c r="I460">
        <v>323.55</v>
      </c>
      <c r="J460">
        <v>8445203</v>
      </c>
      <c r="K460">
        <v>2736340867.6999998</v>
      </c>
      <c r="L460" s="1">
        <v>45240</v>
      </c>
      <c r="M460">
        <v>101433</v>
      </c>
      <c r="N460" t="s">
        <v>1042</v>
      </c>
      <c r="O460" s="5">
        <v>45240</v>
      </c>
      <c r="P460" s="5">
        <v>43777</v>
      </c>
    </row>
    <row r="461" spans="1:16" x14ac:dyDescent="0.25">
      <c r="A461" t="s">
        <v>1043</v>
      </c>
      <c r="B461" t="str">
        <v>Coastal Corporation Limited</v>
      </c>
      <c r="C461" t="s">
        <v>14</v>
      </c>
      <c r="D461">
        <v>254.85</v>
      </c>
      <c r="E461">
        <v>256.85000000000002</v>
      </c>
      <c r="F461">
        <v>252.3</v>
      </c>
      <c r="G461" s="3">
        <v>253.7</v>
      </c>
      <c r="H461">
        <v>252.55</v>
      </c>
      <c r="I461">
        <v>256.39999999999998</v>
      </c>
      <c r="J461">
        <v>8285</v>
      </c>
      <c r="K461">
        <v>2103859.7000000002</v>
      </c>
      <c r="L461" s="1">
        <v>45240</v>
      </c>
      <c r="M461">
        <v>493</v>
      </c>
      <c r="N461" t="s">
        <v>1045</v>
      </c>
      <c r="O461" s="5">
        <v>45240</v>
      </c>
      <c r="P461" s="5">
        <v>43777</v>
      </c>
    </row>
    <row r="462" spans="1:16" x14ac:dyDescent="0.25">
      <c r="A462" t="s">
        <v>1046</v>
      </c>
      <c r="B462" t="str">
        <v>Cochin Shipyard Limited</v>
      </c>
      <c r="C462" t="s">
        <v>14</v>
      </c>
      <c r="D462">
        <v>1035</v>
      </c>
      <c r="E462">
        <v>1068.8499999999999</v>
      </c>
      <c r="F462">
        <v>1030</v>
      </c>
      <c r="G462" s="3">
        <v>1048.7</v>
      </c>
      <c r="H462">
        <v>1049.3</v>
      </c>
      <c r="I462">
        <v>1037.5999999999999</v>
      </c>
      <c r="J462">
        <v>1981727</v>
      </c>
      <c r="K462">
        <v>2086820298.8</v>
      </c>
      <c r="L462" s="1">
        <v>45240</v>
      </c>
      <c r="M462">
        <v>47065</v>
      </c>
      <c r="N462" t="s">
        <v>1048</v>
      </c>
      <c r="O462" s="5">
        <v>45240</v>
      </c>
      <c r="P462" s="5">
        <v>43777</v>
      </c>
    </row>
    <row r="463" spans="1:16" x14ac:dyDescent="0.25">
      <c r="A463" t="s">
        <v>1049</v>
      </c>
      <c r="B463" t="str">
        <v>Coffee Day Enterprises Limited</v>
      </c>
      <c r="C463" t="s">
        <v>14</v>
      </c>
      <c r="D463">
        <v>47</v>
      </c>
      <c r="E463">
        <v>47.55</v>
      </c>
      <c r="F463">
        <v>46.05</v>
      </c>
      <c r="G463" s="3">
        <v>46.95</v>
      </c>
      <c r="H463">
        <v>47.2</v>
      </c>
      <c r="I463">
        <v>48.6</v>
      </c>
      <c r="J463">
        <v>2100962</v>
      </c>
      <c r="K463">
        <v>98462834.099999994</v>
      </c>
      <c r="L463" s="1">
        <v>45240</v>
      </c>
      <c r="M463">
        <v>7562</v>
      </c>
      <c r="N463" t="s">
        <v>1051</v>
      </c>
      <c r="O463" s="5">
        <v>45240</v>
      </c>
      <c r="P463" s="5">
        <v>43777</v>
      </c>
    </row>
    <row r="464" spans="1:16" x14ac:dyDescent="0.25">
      <c r="A464" t="s">
        <v>1052</v>
      </c>
      <c r="B464" t="str">
        <v>Coforge Limited</v>
      </c>
      <c r="C464" t="s">
        <v>14</v>
      </c>
      <c r="D464">
        <v>5100</v>
      </c>
      <c r="E464">
        <v>5149</v>
      </c>
      <c r="F464">
        <v>5074</v>
      </c>
      <c r="G464" s="3">
        <v>5139</v>
      </c>
      <c r="H464">
        <v>5145</v>
      </c>
      <c r="I464">
        <v>5128.1000000000004</v>
      </c>
      <c r="J464">
        <v>156660</v>
      </c>
      <c r="K464">
        <v>800354075.04999995</v>
      </c>
      <c r="L464" s="1">
        <v>45240</v>
      </c>
      <c r="M464">
        <v>17534</v>
      </c>
      <c r="N464" t="s">
        <v>1054</v>
      </c>
      <c r="O464" s="5">
        <v>45240</v>
      </c>
      <c r="P464" s="5">
        <v>43777</v>
      </c>
    </row>
    <row r="465" spans="1:16" x14ac:dyDescent="0.25">
      <c r="A465" t="s">
        <v>1055</v>
      </c>
      <c r="B465" t="str">
        <v>Colgate Palmolive (India) Limited</v>
      </c>
      <c r="C465" t="s">
        <v>14</v>
      </c>
      <c r="D465">
        <v>2128</v>
      </c>
      <c r="E465">
        <v>2128</v>
      </c>
      <c r="F465">
        <v>2102.4499999999998</v>
      </c>
      <c r="G465" s="3">
        <v>2107.35</v>
      </c>
      <c r="H465">
        <v>2108</v>
      </c>
      <c r="I465">
        <v>2128.8000000000002</v>
      </c>
      <c r="J465">
        <v>147774</v>
      </c>
      <c r="K465">
        <v>312050390.35000002</v>
      </c>
      <c r="L465" s="1">
        <v>45240</v>
      </c>
      <c r="M465">
        <v>19618</v>
      </c>
      <c r="N465" t="s">
        <v>1057</v>
      </c>
      <c r="O465" s="5">
        <v>45240</v>
      </c>
      <c r="P465" s="5">
        <v>43777</v>
      </c>
    </row>
    <row r="466" spans="1:16" x14ac:dyDescent="0.25">
      <c r="A466" t="s">
        <v>6788</v>
      </c>
      <c r="B466" t="str">
        <v>Not Found</v>
      </c>
      <c r="C466" t="s">
        <v>5788</v>
      </c>
      <c r="D466">
        <v>70.3</v>
      </c>
      <c r="E466">
        <v>70.3</v>
      </c>
      <c r="F466">
        <v>69.3</v>
      </c>
      <c r="G466" s="3">
        <v>70.05</v>
      </c>
      <c r="H466">
        <v>70.150000000000006</v>
      </c>
      <c r="I466">
        <v>71</v>
      </c>
      <c r="J466">
        <v>32000</v>
      </c>
      <c r="K466">
        <v>2234880</v>
      </c>
      <c r="L466" s="1">
        <v>45240</v>
      </c>
      <c r="M466">
        <v>20</v>
      </c>
      <c r="N466" t="s">
        <v>6787</v>
      </c>
      <c r="O466" s="5">
        <v>45240</v>
      </c>
      <c r="P466" s="5">
        <v>43777</v>
      </c>
    </row>
    <row r="467" spans="1:16" x14ac:dyDescent="0.25">
      <c r="A467" t="s">
        <v>1058</v>
      </c>
      <c r="B467" t="str">
        <v>Compuage Infocom Limited</v>
      </c>
      <c r="C467" t="s">
        <v>786</v>
      </c>
      <c r="D467">
        <v>9.4</v>
      </c>
      <c r="E467">
        <v>9.4</v>
      </c>
      <c r="F467">
        <v>9.4</v>
      </c>
      <c r="G467" s="3">
        <v>9.4</v>
      </c>
      <c r="H467">
        <v>9.4</v>
      </c>
      <c r="I467">
        <v>9.9</v>
      </c>
      <c r="J467">
        <v>188312</v>
      </c>
      <c r="K467">
        <v>1770132.8</v>
      </c>
      <c r="L467" s="1">
        <v>45240</v>
      </c>
      <c r="M467">
        <v>403</v>
      </c>
      <c r="N467" t="s">
        <v>1060</v>
      </c>
      <c r="O467" s="5">
        <v>45240</v>
      </c>
      <c r="P467" s="5">
        <v>43777</v>
      </c>
    </row>
    <row r="468" spans="1:16" x14ac:dyDescent="0.25">
      <c r="A468" t="s">
        <v>1061</v>
      </c>
      <c r="B468" t="str">
        <v>Compucom Software Limited</v>
      </c>
      <c r="C468" t="s">
        <v>14</v>
      </c>
      <c r="D468">
        <v>23.8</v>
      </c>
      <c r="E468">
        <v>24.25</v>
      </c>
      <c r="F468">
        <v>23.8</v>
      </c>
      <c r="G468" s="3">
        <v>24.15</v>
      </c>
      <c r="H468">
        <v>24.1</v>
      </c>
      <c r="I468">
        <v>24.1</v>
      </c>
      <c r="J468">
        <v>197672</v>
      </c>
      <c r="K468">
        <v>4753171.9000000004</v>
      </c>
      <c r="L468" s="1">
        <v>45240</v>
      </c>
      <c r="M468">
        <v>1180</v>
      </c>
      <c r="N468" t="s">
        <v>1063</v>
      </c>
      <c r="O468" s="5">
        <v>45240</v>
      </c>
      <c r="P468" s="5">
        <v>43777</v>
      </c>
    </row>
    <row r="469" spans="1:16" x14ac:dyDescent="0.25">
      <c r="A469" t="s">
        <v>1064</v>
      </c>
      <c r="B469" t="str">
        <v>Container Corporation of India Limited</v>
      </c>
      <c r="C469" t="s">
        <v>14</v>
      </c>
      <c r="D469">
        <v>735.35</v>
      </c>
      <c r="E469">
        <v>739</v>
      </c>
      <c r="F469">
        <v>726</v>
      </c>
      <c r="G469" s="3">
        <v>736.85</v>
      </c>
      <c r="H469">
        <v>739</v>
      </c>
      <c r="I469">
        <v>735.35</v>
      </c>
      <c r="J469">
        <v>488913</v>
      </c>
      <c r="K469">
        <v>358074857.05000001</v>
      </c>
      <c r="L469" s="1">
        <v>45240</v>
      </c>
      <c r="M469">
        <v>31853</v>
      </c>
      <c r="N469" t="s">
        <v>1066</v>
      </c>
      <c r="O469" s="5">
        <v>45240</v>
      </c>
      <c r="P469" s="5">
        <v>43777</v>
      </c>
    </row>
    <row r="470" spans="1:16" x14ac:dyDescent="0.25">
      <c r="A470" t="s">
        <v>1067</v>
      </c>
      <c r="B470" t="str">
        <v>Concord Biotech Limited</v>
      </c>
      <c r="C470" t="s">
        <v>14</v>
      </c>
      <c r="D470">
        <v>1344.6</v>
      </c>
      <c r="E470">
        <v>1344.6</v>
      </c>
      <c r="F470">
        <v>1267</v>
      </c>
      <c r="G470" s="3">
        <v>1302.5999999999999</v>
      </c>
      <c r="H470">
        <v>1306</v>
      </c>
      <c r="I470">
        <v>1377.9</v>
      </c>
      <c r="J470">
        <v>423319</v>
      </c>
      <c r="K470">
        <v>550117716.89999998</v>
      </c>
      <c r="L470" s="1">
        <v>45240</v>
      </c>
      <c r="M470">
        <v>29061</v>
      </c>
      <c r="N470" t="s">
        <v>1069</v>
      </c>
      <c r="O470" s="5">
        <v>45240</v>
      </c>
      <c r="P470" s="5">
        <v>43777</v>
      </c>
    </row>
    <row r="471" spans="1:16" x14ac:dyDescent="0.25">
      <c r="A471" t="s">
        <v>1070</v>
      </c>
      <c r="B471" t="str">
        <v>Confidence Petroleum India Limited</v>
      </c>
      <c r="C471" t="s">
        <v>14</v>
      </c>
      <c r="D471">
        <v>82.4</v>
      </c>
      <c r="E471">
        <v>83.9</v>
      </c>
      <c r="F471">
        <v>82.1</v>
      </c>
      <c r="G471" s="3">
        <v>83.4</v>
      </c>
      <c r="H471">
        <v>83.85</v>
      </c>
      <c r="I471">
        <v>82.35</v>
      </c>
      <c r="J471">
        <v>647069</v>
      </c>
      <c r="K471">
        <v>53795572.899999999</v>
      </c>
      <c r="L471" s="1">
        <v>45240</v>
      </c>
      <c r="M471">
        <v>4358</v>
      </c>
      <c r="N471" t="s">
        <v>1072</v>
      </c>
      <c r="O471" s="5">
        <v>45240</v>
      </c>
      <c r="P471" s="5">
        <v>43777</v>
      </c>
    </row>
    <row r="472" spans="1:16" x14ac:dyDescent="0.25">
      <c r="A472" t="s">
        <v>1073</v>
      </c>
      <c r="B472" t="str">
        <v>Consolidated Finvest &amp; Holdings Limited</v>
      </c>
      <c r="C472" t="s">
        <v>14</v>
      </c>
      <c r="D472">
        <v>190.05</v>
      </c>
      <c r="E472">
        <v>195</v>
      </c>
      <c r="F472">
        <v>185.4</v>
      </c>
      <c r="G472" s="3">
        <v>191</v>
      </c>
      <c r="H472">
        <v>191.4</v>
      </c>
      <c r="I472">
        <v>187.2</v>
      </c>
      <c r="J472">
        <v>53732</v>
      </c>
      <c r="K472">
        <v>10212578.050000001</v>
      </c>
      <c r="L472" s="1">
        <v>45240</v>
      </c>
      <c r="M472">
        <v>1910</v>
      </c>
      <c r="N472" t="s">
        <v>1075</v>
      </c>
      <c r="O472" s="5">
        <v>45240</v>
      </c>
      <c r="P472" s="5">
        <v>43777</v>
      </c>
    </row>
    <row r="473" spans="1:16" x14ac:dyDescent="0.25">
      <c r="A473" t="s">
        <v>6786</v>
      </c>
      <c r="B473" t="str">
        <v>Not Found</v>
      </c>
      <c r="C473" t="s">
        <v>14</v>
      </c>
      <c r="D473">
        <v>94.4</v>
      </c>
      <c r="E473">
        <v>94.6</v>
      </c>
      <c r="F473">
        <v>93.21</v>
      </c>
      <c r="G473" s="3">
        <v>93.89</v>
      </c>
      <c r="H473">
        <v>93.95</v>
      </c>
      <c r="I473">
        <v>94.05</v>
      </c>
      <c r="J473">
        <v>7937</v>
      </c>
      <c r="K473">
        <v>744144.79</v>
      </c>
      <c r="L473" s="1">
        <v>45240</v>
      </c>
      <c r="M473">
        <v>317</v>
      </c>
      <c r="N473" t="s">
        <v>6785</v>
      </c>
      <c r="O473" s="5">
        <v>45240</v>
      </c>
      <c r="P473" s="5">
        <v>43777</v>
      </c>
    </row>
    <row r="474" spans="1:16" x14ac:dyDescent="0.25">
      <c r="A474" t="s">
        <v>1076</v>
      </c>
      <c r="B474" t="str">
        <v>Control Print Limited</v>
      </c>
      <c r="C474" t="s">
        <v>14</v>
      </c>
      <c r="D474">
        <v>869.35</v>
      </c>
      <c r="E474">
        <v>875</v>
      </c>
      <c r="F474">
        <v>842.2</v>
      </c>
      <c r="G474" s="3">
        <v>851.35</v>
      </c>
      <c r="H474">
        <v>856</v>
      </c>
      <c r="I474">
        <v>869.35</v>
      </c>
      <c r="J474">
        <v>29467</v>
      </c>
      <c r="K474">
        <v>25128268.300000001</v>
      </c>
      <c r="L474" s="1">
        <v>45240</v>
      </c>
      <c r="M474">
        <v>5539</v>
      </c>
      <c r="N474" t="s">
        <v>1078</v>
      </c>
      <c r="O474" s="5">
        <v>45240</v>
      </c>
      <c r="P474" s="5">
        <v>43777</v>
      </c>
    </row>
    <row r="475" spans="1:16" x14ac:dyDescent="0.25">
      <c r="A475" t="s">
        <v>6784</v>
      </c>
      <c r="B475" t="str">
        <v>Not Found</v>
      </c>
      <c r="C475" t="s">
        <v>5788</v>
      </c>
      <c r="D475">
        <v>515</v>
      </c>
      <c r="E475">
        <v>515</v>
      </c>
      <c r="F475">
        <v>515</v>
      </c>
      <c r="G475" s="3">
        <v>515</v>
      </c>
      <c r="H475">
        <v>515</v>
      </c>
      <c r="I475">
        <v>500</v>
      </c>
      <c r="J475">
        <v>250</v>
      </c>
      <c r="K475">
        <v>128750</v>
      </c>
      <c r="L475" s="1">
        <v>45240</v>
      </c>
      <c r="M475">
        <v>1</v>
      </c>
      <c r="N475" t="s">
        <v>6783</v>
      </c>
      <c r="O475" s="5">
        <v>45240</v>
      </c>
      <c r="P475" s="5">
        <v>43777</v>
      </c>
    </row>
    <row r="476" spans="1:16" x14ac:dyDescent="0.25">
      <c r="A476" t="s">
        <v>1079</v>
      </c>
      <c r="B476" t="str">
        <v>Coral India Finance &amp; Housing Limited</v>
      </c>
      <c r="C476" t="s">
        <v>14</v>
      </c>
      <c r="D476">
        <v>44</v>
      </c>
      <c r="E476">
        <v>44.2</v>
      </c>
      <c r="F476">
        <v>42.35</v>
      </c>
      <c r="G476" s="3">
        <v>43.1</v>
      </c>
      <c r="H476">
        <v>43.45</v>
      </c>
      <c r="I476">
        <v>43.8</v>
      </c>
      <c r="J476">
        <v>84571</v>
      </c>
      <c r="K476">
        <v>3653835.65</v>
      </c>
      <c r="L476" s="1">
        <v>45240</v>
      </c>
      <c r="M476">
        <v>646</v>
      </c>
      <c r="N476" t="s">
        <v>1081</v>
      </c>
      <c r="O476" s="5">
        <v>45240</v>
      </c>
      <c r="P476" s="5">
        <v>43777</v>
      </c>
    </row>
    <row r="477" spans="1:16" x14ac:dyDescent="0.25">
      <c r="A477" t="s">
        <v>1082</v>
      </c>
      <c r="B477" t="str">
        <v>Cords Cable Industries Limited</v>
      </c>
      <c r="C477" t="s">
        <v>14</v>
      </c>
      <c r="D477">
        <v>113.1</v>
      </c>
      <c r="E477">
        <v>115</v>
      </c>
      <c r="F477">
        <v>112.3</v>
      </c>
      <c r="G477" s="3">
        <v>113.85</v>
      </c>
      <c r="H477">
        <v>114.4</v>
      </c>
      <c r="I477">
        <v>113.4</v>
      </c>
      <c r="J477">
        <v>42202</v>
      </c>
      <c r="K477">
        <v>4813798.3499999996</v>
      </c>
      <c r="L477" s="1">
        <v>45240</v>
      </c>
      <c r="M477">
        <v>757</v>
      </c>
      <c r="N477" t="s">
        <v>1084</v>
      </c>
      <c r="O477" s="5">
        <v>45240</v>
      </c>
      <c r="P477" s="5">
        <v>43777</v>
      </c>
    </row>
    <row r="478" spans="1:16" x14ac:dyDescent="0.25">
      <c r="A478" t="s">
        <v>1085</v>
      </c>
      <c r="B478" t="str">
        <v>Coromandel International Limited</v>
      </c>
      <c r="C478" t="s">
        <v>14</v>
      </c>
      <c r="D478">
        <v>1109.0999999999999</v>
      </c>
      <c r="E478">
        <v>1114.8499999999999</v>
      </c>
      <c r="F478">
        <v>1092.95</v>
      </c>
      <c r="G478" s="3">
        <v>1097.5</v>
      </c>
      <c r="H478">
        <v>1099.1500000000001</v>
      </c>
      <c r="I478">
        <v>1109.0999999999999</v>
      </c>
      <c r="J478">
        <v>220538</v>
      </c>
      <c r="K478">
        <v>242569174.84999999</v>
      </c>
      <c r="L478" s="1">
        <v>45240</v>
      </c>
      <c r="M478">
        <v>14547</v>
      </c>
      <c r="N478" t="s">
        <v>1087</v>
      </c>
      <c r="O478" s="5">
        <v>45240</v>
      </c>
      <c r="P478" s="5">
        <v>43777</v>
      </c>
    </row>
    <row r="479" spans="1:16" x14ac:dyDescent="0.25">
      <c r="A479" t="s">
        <v>1088</v>
      </c>
      <c r="B479" t="str">
        <v>COSMO FIRST LIMITED</v>
      </c>
      <c r="C479" t="s">
        <v>14</v>
      </c>
      <c r="D479">
        <v>630.5</v>
      </c>
      <c r="E479">
        <v>642.1</v>
      </c>
      <c r="F479">
        <v>630.5</v>
      </c>
      <c r="G479" s="3">
        <v>635.5</v>
      </c>
      <c r="H479">
        <v>633</v>
      </c>
      <c r="I479">
        <v>635.25</v>
      </c>
      <c r="J479">
        <v>29481</v>
      </c>
      <c r="K479">
        <v>18723811.199999999</v>
      </c>
      <c r="L479" s="1">
        <v>45240</v>
      </c>
      <c r="M479">
        <v>3621</v>
      </c>
      <c r="N479" t="s">
        <v>1090</v>
      </c>
      <c r="O479" s="5">
        <v>45240</v>
      </c>
      <c r="P479" s="5">
        <v>43777</v>
      </c>
    </row>
    <row r="480" spans="1:16" x14ac:dyDescent="0.25">
      <c r="A480" t="s">
        <v>1091</v>
      </c>
      <c r="B480" t="str">
        <v>Country Condo's Limited</v>
      </c>
      <c r="C480" t="s">
        <v>14</v>
      </c>
      <c r="D480">
        <v>4.2</v>
      </c>
      <c r="E480">
        <v>4.45</v>
      </c>
      <c r="F480">
        <v>4.2</v>
      </c>
      <c r="G480" s="3">
        <v>4.45</v>
      </c>
      <c r="H480">
        <v>4.45</v>
      </c>
      <c r="I480">
        <v>4.25</v>
      </c>
      <c r="J480">
        <v>345600</v>
      </c>
      <c r="K480">
        <v>1525115.85</v>
      </c>
      <c r="L480" s="1">
        <v>45240</v>
      </c>
      <c r="M480">
        <v>258</v>
      </c>
      <c r="N480" t="s">
        <v>1093</v>
      </c>
      <c r="O480" s="5">
        <v>45240</v>
      </c>
      <c r="P480" s="5">
        <v>43777</v>
      </c>
    </row>
    <row r="481" spans="1:16" x14ac:dyDescent="0.25">
      <c r="A481" t="s">
        <v>6782</v>
      </c>
      <c r="B481" t="str">
        <v>Not Found</v>
      </c>
      <c r="C481" t="s">
        <v>5788</v>
      </c>
      <c r="D481">
        <v>442</v>
      </c>
      <c r="E481">
        <v>455</v>
      </c>
      <c r="F481">
        <v>442</v>
      </c>
      <c r="G481" s="3">
        <v>449.25</v>
      </c>
      <c r="H481">
        <v>445</v>
      </c>
      <c r="I481">
        <v>444</v>
      </c>
      <c r="J481">
        <v>6000</v>
      </c>
      <c r="K481">
        <v>2687940</v>
      </c>
      <c r="L481" s="1">
        <v>45240</v>
      </c>
      <c r="M481">
        <v>10</v>
      </c>
      <c r="N481" t="s">
        <v>6781</v>
      </c>
      <c r="O481" s="5">
        <v>45240</v>
      </c>
      <c r="P481" s="5">
        <v>43777</v>
      </c>
    </row>
    <row r="482" spans="1:16" x14ac:dyDescent="0.25">
      <c r="A482" t="s">
        <v>6780</v>
      </c>
      <c r="B482" t="str">
        <v>Not Found</v>
      </c>
      <c r="C482" t="s">
        <v>14</v>
      </c>
      <c r="D482">
        <v>55.07</v>
      </c>
      <c r="E482">
        <v>55.37</v>
      </c>
      <c r="F482">
        <v>54.66</v>
      </c>
      <c r="G482" s="3">
        <v>55.29</v>
      </c>
      <c r="H482">
        <v>55.37</v>
      </c>
      <c r="I482">
        <v>54.85</v>
      </c>
      <c r="J482">
        <v>686354</v>
      </c>
      <c r="K482">
        <v>37810400.159999996</v>
      </c>
      <c r="L482" s="1">
        <v>45240</v>
      </c>
      <c r="M482">
        <v>3936</v>
      </c>
      <c r="N482" t="s">
        <v>6779</v>
      </c>
      <c r="O482" s="5">
        <v>45240</v>
      </c>
      <c r="P482" s="5">
        <v>43777</v>
      </c>
    </row>
    <row r="483" spans="1:16" x14ac:dyDescent="0.25">
      <c r="A483" t="s">
        <v>1094</v>
      </c>
      <c r="B483" t="str">
        <v>Craftsman Automation Limited</v>
      </c>
      <c r="C483" t="s">
        <v>14</v>
      </c>
      <c r="D483">
        <v>4909.05</v>
      </c>
      <c r="E483">
        <v>4956</v>
      </c>
      <c r="F483">
        <v>4876</v>
      </c>
      <c r="G483" s="3">
        <v>4888.05</v>
      </c>
      <c r="H483">
        <v>4876</v>
      </c>
      <c r="I483">
        <v>4909.1000000000004</v>
      </c>
      <c r="J483">
        <v>11571</v>
      </c>
      <c r="K483">
        <v>56836142.200000003</v>
      </c>
      <c r="L483" s="1">
        <v>45240</v>
      </c>
      <c r="M483">
        <v>3708</v>
      </c>
      <c r="N483" t="s">
        <v>1096</v>
      </c>
      <c r="O483" s="5">
        <v>45240</v>
      </c>
      <c r="P483" s="5">
        <v>43777</v>
      </c>
    </row>
    <row r="484" spans="1:16" x14ac:dyDescent="0.25">
      <c r="A484" t="s">
        <v>6778</v>
      </c>
      <c r="B484" t="str">
        <v>Not Found</v>
      </c>
      <c r="C484" t="s">
        <v>5788</v>
      </c>
      <c r="D484">
        <v>138.1</v>
      </c>
      <c r="E484">
        <v>138.1</v>
      </c>
      <c r="F484">
        <v>133</v>
      </c>
      <c r="G484" s="3">
        <v>138</v>
      </c>
      <c r="H484">
        <v>138</v>
      </c>
      <c r="I484">
        <v>140.15</v>
      </c>
      <c r="J484">
        <v>11000</v>
      </c>
      <c r="K484">
        <v>1495450</v>
      </c>
      <c r="L484" s="1">
        <v>45240</v>
      </c>
      <c r="M484">
        <v>11</v>
      </c>
      <c r="N484" t="s">
        <v>6777</v>
      </c>
      <c r="O484" s="5">
        <v>45240</v>
      </c>
      <c r="P484" s="5">
        <v>43777</v>
      </c>
    </row>
    <row r="485" spans="1:16" x14ac:dyDescent="0.25">
      <c r="A485" t="s">
        <v>1097</v>
      </c>
      <c r="B485" t="str">
        <v>Creative Newtech Limited</v>
      </c>
      <c r="C485" t="s">
        <v>14</v>
      </c>
      <c r="D485">
        <v>660</v>
      </c>
      <c r="E485">
        <v>709.9</v>
      </c>
      <c r="F485">
        <v>656.55</v>
      </c>
      <c r="G485" s="3">
        <v>691.4</v>
      </c>
      <c r="H485">
        <v>692.25</v>
      </c>
      <c r="I485">
        <v>671.1</v>
      </c>
      <c r="J485">
        <v>49028</v>
      </c>
      <c r="K485">
        <v>33852898.399999999</v>
      </c>
      <c r="L485" s="1">
        <v>45240</v>
      </c>
      <c r="M485">
        <v>3510</v>
      </c>
      <c r="N485" t="s">
        <v>1099</v>
      </c>
      <c r="O485" s="5">
        <v>45240</v>
      </c>
      <c r="P485" s="5">
        <v>43777</v>
      </c>
    </row>
    <row r="486" spans="1:16" x14ac:dyDescent="0.25">
      <c r="A486" t="s">
        <v>1100</v>
      </c>
      <c r="B486" t="str">
        <v>Creative Eye Limited</v>
      </c>
      <c r="C486" t="s">
        <v>14</v>
      </c>
      <c r="D486">
        <v>3.8</v>
      </c>
      <c r="E486">
        <v>3.8</v>
      </c>
      <c r="F486">
        <v>3.8</v>
      </c>
      <c r="G486" s="3">
        <v>3.8</v>
      </c>
      <c r="H486">
        <v>3.8</v>
      </c>
      <c r="I486">
        <v>3.8</v>
      </c>
      <c r="J486">
        <v>165</v>
      </c>
      <c r="K486">
        <v>627</v>
      </c>
      <c r="L486" s="1">
        <v>45240</v>
      </c>
      <c r="M486">
        <v>5</v>
      </c>
      <c r="N486" t="s">
        <v>1102</v>
      </c>
      <c r="O486" s="5">
        <v>45240</v>
      </c>
      <c r="P486" s="5">
        <v>43777</v>
      </c>
    </row>
    <row r="487" spans="1:16" x14ac:dyDescent="0.25">
      <c r="A487" t="s">
        <v>1103</v>
      </c>
      <c r="B487" t="str">
        <v>CREDITACCESS GRAMEEN LIMITED</v>
      </c>
      <c r="C487" t="s">
        <v>14</v>
      </c>
      <c r="D487">
        <v>1683.7</v>
      </c>
      <c r="E487">
        <v>1725</v>
      </c>
      <c r="F487">
        <v>1675</v>
      </c>
      <c r="G487" s="3">
        <v>1699.7</v>
      </c>
      <c r="H487">
        <v>1686</v>
      </c>
      <c r="I487">
        <v>1686.75</v>
      </c>
      <c r="J487">
        <v>294603</v>
      </c>
      <c r="K487">
        <v>501577495.55000001</v>
      </c>
      <c r="L487" s="1">
        <v>45240</v>
      </c>
      <c r="M487">
        <v>19465</v>
      </c>
      <c r="N487" t="s">
        <v>1105</v>
      </c>
      <c r="O487" s="5">
        <v>45240</v>
      </c>
      <c r="P487" s="5">
        <v>43777</v>
      </c>
    </row>
    <row r="488" spans="1:16" x14ac:dyDescent="0.25">
      <c r="A488" t="s">
        <v>1103</v>
      </c>
      <c r="B488" t="str">
        <v>CREDITACCESS GRAMEEN LIMITED</v>
      </c>
      <c r="C488" t="s">
        <v>6182</v>
      </c>
      <c r="D488">
        <v>1000</v>
      </c>
      <c r="E488">
        <v>1001</v>
      </c>
      <c r="F488">
        <v>1000</v>
      </c>
      <c r="G488" s="3">
        <v>1001</v>
      </c>
      <c r="H488">
        <v>1001</v>
      </c>
      <c r="I488">
        <v>1001</v>
      </c>
      <c r="J488">
        <v>1203</v>
      </c>
      <c r="K488">
        <v>1203003</v>
      </c>
      <c r="L488" s="1">
        <v>45240</v>
      </c>
      <c r="M488">
        <v>124</v>
      </c>
      <c r="N488" t="s">
        <v>6776</v>
      </c>
      <c r="O488" s="5">
        <v>45240</v>
      </c>
      <c r="P488" s="5">
        <v>43777</v>
      </c>
    </row>
    <row r="489" spans="1:16" x14ac:dyDescent="0.25">
      <c r="A489" t="s">
        <v>1103</v>
      </c>
      <c r="B489" t="str">
        <v>CREDITACCESS GRAMEEN LIMITED</v>
      </c>
      <c r="C489" t="s">
        <v>6243</v>
      </c>
      <c r="D489">
        <v>1002.1</v>
      </c>
      <c r="E489">
        <v>1002.1</v>
      </c>
      <c r="F489">
        <v>1002.1</v>
      </c>
      <c r="G489" s="3">
        <v>1002.1</v>
      </c>
      <c r="H489">
        <v>1002.1</v>
      </c>
      <c r="I489">
        <v>999</v>
      </c>
      <c r="J489">
        <v>53</v>
      </c>
      <c r="K489">
        <v>53111.3</v>
      </c>
      <c r="L489" s="1">
        <v>45240</v>
      </c>
      <c r="M489">
        <v>2</v>
      </c>
      <c r="N489" t="s">
        <v>6775</v>
      </c>
      <c r="O489" s="5">
        <v>45240</v>
      </c>
      <c r="P489" s="5">
        <v>43777</v>
      </c>
    </row>
    <row r="490" spans="1:16" x14ac:dyDescent="0.25">
      <c r="A490" t="s">
        <v>1103</v>
      </c>
      <c r="B490" t="str">
        <v>CREDITACCESS GRAMEEN LIMITED</v>
      </c>
      <c r="C490" t="s">
        <v>6240</v>
      </c>
      <c r="D490">
        <v>1010</v>
      </c>
      <c r="E490">
        <v>1010</v>
      </c>
      <c r="F490">
        <v>1010</v>
      </c>
      <c r="G490" s="3">
        <v>1010</v>
      </c>
      <c r="H490">
        <v>1010</v>
      </c>
      <c r="I490">
        <v>1010</v>
      </c>
      <c r="J490">
        <v>30</v>
      </c>
      <c r="K490">
        <v>30300</v>
      </c>
      <c r="L490" s="1">
        <v>45240</v>
      </c>
      <c r="M490">
        <v>1</v>
      </c>
      <c r="N490" t="s">
        <v>6774</v>
      </c>
      <c r="O490" s="5">
        <v>45240</v>
      </c>
      <c r="P490" s="5">
        <v>43777</v>
      </c>
    </row>
    <row r="491" spans="1:16" x14ac:dyDescent="0.25">
      <c r="A491" t="s">
        <v>1106</v>
      </c>
      <c r="B491" t="str">
        <v>Crest Ventures Limited</v>
      </c>
      <c r="C491" t="s">
        <v>14</v>
      </c>
      <c r="D491">
        <v>252</v>
      </c>
      <c r="E491">
        <v>269.95</v>
      </c>
      <c r="F491">
        <v>242.05</v>
      </c>
      <c r="G491" s="3">
        <v>259.5</v>
      </c>
      <c r="H491">
        <v>258.25</v>
      </c>
      <c r="I491">
        <v>246.9</v>
      </c>
      <c r="J491">
        <v>182443</v>
      </c>
      <c r="K491">
        <v>47783399.649999999</v>
      </c>
      <c r="L491" s="1">
        <v>45240</v>
      </c>
      <c r="M491">
        <v>3272</v>
      </c>
      <c r="N491" t="s">
        <v>1108</v>
      </c>
      <c r="O491" s="5">
        <v>45240</v>
      </c>
      <c r="P491" s="5">
        <v>43777</v>
      </c>
    </row>
    <row r="492" spans="1:16" x14ac:dyDescent="0.25">
      <c r="A492" t="s">
        <v>1109</v>
      </c>
      <c r="B492" t="str">
        <v>CRISIL Limited</v>
      </c>
      <c r="C492" t="s">
        <v>14</v>
      </c>
      <c r="D492">
        <v>4203</v>
      </c>
      <c r="E492">
        <v>4235.1000000000004</v>
      </c>
      <c r="F492">
        <v>4065.05</v>
      </c>
      <c r="G492" s="3">
        <v>4099.8500000000004</v>
      </c>
      <c r="H492">
        <v>4100</v>
      </c>
      <c r="I492">
        <v>4182.05</v>
      </c>
      <c r="J492">
        <v>91446</v>
      </c>
      <c r="K492">
        <v>383202784.35000002</v>
      </c>
      <c r="L492" s="1">
        <v>45240</v>
      </c>
      <c r="M492">
        <v>11518</v>
      </c>
      <c r="N492" t="s">
        <v>1111</v>
      </c>
      <c r="O492" s="5">
        <v>45240</v>
      </c>
      <c r="P492" s="5">
        <v>43777</v>
      </c>
    </row>
    <row r="493" spans="1:16" x14ac:dyDescent="0.25">
      <c r="A493" t="s">
        <v>1112</v>
      </c>
      <c r="B493" t="str">
        <v>Crompton Greaves Consumer Electricals Limited</v>
      </c>
      <c r="C493" t="s">
        <v>14</v>
      </c>
      <c r="D493">
        <v>281.89999999999998</v>
      </c>
      <c r="E493">
        <v>283.60000000000002</v>
      </c>
      <c r="F493">
        <v>279.14999999999998</v>
      </c>
      <c r="G493" s="3">
        <v>282.25</v>
      </c>
      <c r="H493">
        <v>283.45</v>
      </c>
      <c r="I493">
        <v>281.45</v>
      </c>
      <c r="J493">
        <v>717289</v>
      </c>
      <c r="K493">
        <v>202157973.84999999</v>
      </c>
      <c r="L493" s="1">
        <v>45240</v>
      </c>
      <c r="M493">
        <v>15509</v>
      </c>
      <c r="N493" t="s">
        <v>1114</v>
      </c>
      <c r="O493" s="5">
        <v>45240</v>
      </c>
      <c r="P493" s="5">
        <v>43777</v>
      </c>
    </row>
    <row r="494" spans="1:16" x14ac:dyDescent="0.25">
      <c r="A494" t="s">
        <v>1115</v>
      </c>
      <c r="B494" t="str">
        <v>Crown Lifters Limited</v>
      </c>
      <c r="C494" t="s">
        <v>14</v>
      </c>
      <c r="D494">
        <v>68.599999999999994</v>
      </c>
      <c r="E494">
        <v>70</v>
      </c>
      <c r="F494">
        <v>65.650000000000006</v>
      </c>
      <c r="G494" s="3">
        <v>69.400000000000006</v>
      </c>
      <c r="H494">
        <v>69.099999999999994</v>
      </c>
      <c r="I494">
        <v>67.849999999999994</v>
      </c>
      <c r="J494">
        <v>13144</v>
      </c>
      <c r="K494">
        <v>892519.75</v>
      </c>
      <c r="L494" s="1">
        <v>45240</v>
      </c>
      <c r="M494">
        <v>235</v>
      </c>
      <c r="N494" t="s">
        <v>1117</v>
      </c>
      <c r="O494" s="5">
        <v>45240</v>
      </c>
      <c r="P494" s="5">
        <v>43777</v>
      </c>
    </row>
    <row r="495" spans="1:16" x14ac:dyDescent="0.25">
      <c r="A495" t="s">
        <v>1118</v>
      </c>
      <c r="B495" t="str">
        <v>CSB Bank Limited</v>
      </c>
      <c r="C495" t="s">
        <v>14</v>
      </c>
      <c r="D495">
        <v>339.25</v>
      </c>
      <c r="E495">
        <v>349.55</v>
      </c>
      <c r="F495">
        <v>338</v>
      </c>
      <c r="G495" s="3">
        <v>347.9</v>
      </c>
      <c r="H495">
        <v>346.85</v>
      </c>
      <c r="I495">
        <v>342.3</v>
      </c>
      <c r="J495">
        <v>242306</v>
      </c>
      <c r="K495">
        <v>83485277.549999997</v>
      </c>
      <c r="L495" s="1">
        <v>45240</v>
      </c>
      <c r="M495">
        <v>8531</v>
      </c>
      <c r="N495" t="s">
        <v>1120</v>
      </c>
      <c r="O495" s="5">
        <v>45240</v>
      </c>
      <c r="P495" s="5">
        <v>43777</v>
      </c>
    </row>
    <row r="496" spans="1:16" x14ac:dyDescent="0.25">
      <c r="A496" t="s">
        <v>1121</v>
      </c>
      <c r="B496" t="str">
        <v>CSL Finance Limited</v>
      </c>
      <c r="C496" t="s">
        <v>14</v>
      </c>
      <c r="D496">
        <v>360</v>
      </c>
      <c r="E496">
        <v>380.1</v>
      </c>
      <c r="F496">
        <v>353</v>
      </c>
      <c r="G496" s="3">
        <v>375.55</v>
      </c>
      <c r="H496">
        <v>378</v>
      </c>
      <c r="I496">
        <v>356.15</v>
      </c>
      <c r="J496">
        <v>188094</v>
      </c>
      <c r="K496">
        <v>69276194.799999997</v>
      </c>
      <c r="L496" s="1">
        <v>45240</v>
      </c>
      <c r="M496">
        <v>8936</v>
      </c>
      <c r="N496" t="s">
        <v>1123</v>
      </c>
      <c r="O496" s="5">
        <v>45240</v>
      </c>
      <c r="P496" s="5">
        <v>43777</v>
      </c>
    </row>
    <row r="497" spans="1:16" x14ac:dyDescent="0.25">
      <c r="A497" t="s">
        <v>1124</v>
      </c>
      <c r="B497" t="str">
        <v>Cambridge Technology Enterprises Limited</v>
      </c>
      <c r="C497" t="s">
        <v>14</v>
      </c>
      <c r="D497">
        <v>71.400000000000006</v>
      </c>
      <c r="E497">
        <v>73</v>
      </c>
      <c r="F497">
        <v>70.5</v>
      </c>
      <c r="G497" s="3">
        <v>71.3</v>
      </c>
      <c r="H497">
        <v>71.2</v>
      </c>
      <c r="I497">
        <v>71.25</v>
      </c>
      <c r="J497">
        <v>57337</v>
      </c>
      <c r="K497">
        <v>4112014.5</v>
      </c>
      <c r="L497" s="1">
        <v>45240</v>
      </c>
      <c r="M497">
        <v>809</v>
      </c>
      <c r="N497" t="s">
        <v>1126</v>
      </c>
      <c r="O497" s="5">
        <v>45240</v>
      </c>
      <c r="P497" s="5">
        <v>43777</v>
      </c>
    </row>
    <row r="498" spans="1:16" x14ac:dyDescent="0.25">
      <c r="A498" t="s">
        <v>1127</v>
      </c>
      <c r="B498" t="str">
        <v>City Union Bank Limited</v>
      </c>
      <c r="C498" t="s">
        <v>14</v>
      </c>
      <c r="D498">
        <v>144.25</v>
      </c>
      <c r="E498">
        <v>144.80000000000001</v>
      </c>
      <c r="F498">
        <v>141.35</v>
      </c>
      <c r="G498" s="3">
        <v>142.25</v>
      </c>
      <c r="H498">
        <v>142.1</v>
      </c>
      <c r="I498">
        <v>143.85</v>
      </c>
      <c r="J498">
        <v>3323006</v>
      </c>
      <c r="K498">
        <v>475000499.80000001</v>
      </c>
      <c r="L498" s="1">
        <v>45240</v>
      </c>
      <c r="M498">
        <v>20564</v>
      </c>
      <c r="N498" t="s">
        <v>1129</v>
      </c>
      <c r="O498" s="5">
        <v>45240</v>
      </c>
      <c r="P498" s="5">
        <v>43777</v>
      </c>
    </row>
    <row r="499" spans="1:16" x14ac:dyDescent="0.25">
      <c r="A499" t="s">
        <v>1130</v>
      </c>
      <c r="B499" t="str">
        <v>Cubex Tubings Limited</v>
      </c>
      <c r="C499" t="s">
        <v>14</v>
      </c>
      <c r="D499">
        <v>57.35</v>
      </c>
      <c r="E499">
        <v>59.05</v>
      </c>
      <c r="F499">
        <v>56.25</v>
      </c>
      <c r="G499" s="3">
        <v>59.05</v>
      </c>
      <c r="H499">
        <v>59.05</v>
      </c>
      <c r="I499">
        <v>56.25</v>
      </c>
      <c r="J499">
        <v>110994</v>
      </c>
      <c r="K499">
        <v>6530564.8499999996</v>
      </c>
      <c r="L499" s="1">
        <v>45240</v>
      </c>
      <c r="M499">
        <v>652</v>
      </c>
      <c r="N499" t="s">
        <v>1132</v>
      </c>
      <c r="O499" s="5">
        <v>45240</v>
      </c>
      <c r="P499" s="5">
        <v>43777</v>
      </c>
    </row>
    <row r="500" spans="1:16" x14ac:dyDescent="0.25">
      <c r="A500" t="s">
        <v>1133</v>
      </c>
      <c r="B500" t="str">
        <v>Cummins India Limited</v>
      </c>
      <c r="C500" t="s">
        <v>14</v>
      </c>
      <c r="D500">
        <v>1750.5</v>
      </c>
      <c r="E500">
        <v>1773</v>
      </c>
      <c r="F500">
        <v>1731.45</v>
      </c>
      <c r="G500" s="3">
        <v>1768.45</v>
      </c>
      <c r="H500">
        <v>1772.7</v>
      </c>
      <c r="I500">
        <v>1750.5</v>
      </c>
      <c r="J500">
        <v>189259</v>
      </c>
      <c r="K500">
        <v>332085549.80000001</v>
      </c>
      <c r="L500" s="1">
        <v>45240</v>
      </c>
      <c r="M500">
        <v>13637</v>
      </c>
      <c r="N500" t="s">
        <v>1135</v>
      </c>
      <c r="O500" s="5">
        <v>45240</v>
      </c>
      <c r="P500" s="5">
        <v>43777</v>
      </c>
    </row>
    <row r="501" spans="1:16" x14ac:dyDescent="0.25">
      <c r="A501" t="s">
        <v>1136</v>
      </c>
      <c r="B501" t="str">
        <v>Cupid Limited</v>
      </c>
      <c r="C501" t="s">
        <v>14</v>
      </c>
      <c r="D501">
        <v>739.9</v>
      </c>
      <c r="E501">
        <v>817.15</v>
      </c>
      <c r="F501">
        <v>738.35</v>
      </c>
      <c r="G501" s="3">
        <v>817.15</v>
      </c>
      <c r="H501">
        <v>817.15</v>
      </c>
      <c r="I501">
        <v>742.9</v>
      </c>
      <c r="J501">
        <v>482136</v>
      </c>
      <c r="K501">
        <v>383113397.30000001</v>
      </c>
      <c r="L501" s="1">
        <v>45240</v>
      </c>
      <c r="M501">
        <v>9649</v>
      </c>
      <c r="N501" t="s">
        <v>1138</v>
      </c>
      <c r="O501" s="5">
        <v>45240</v>
      </c>
      <c r="P501" s="5">
        <v>43777</v>
      </c>
    </row>
    <row r="502" spans="1:16" x14ac:dyDescent="0.25">
      <c r="A502" t="s">
        <v>1139</v>
      </c>
      <c r="B502" t="str">
        <v>Cyber Media (India) Limited</v>
      </c>
      <c r="C502" t="s">
        <v>10</v>
      </c>
      <c r="D502">
        <v>17.100000000000001</v>
      </c>
      <c r="E502">
        <v>17.399999999999999</v>
      </c>
      <c r="F502">
        <v>17.100000000000001</v>
      </c>
      <c r="G502" s="3">
        <v>17.2</v>
      </c>
      <c r="H502">
        <v>17.149999999999999</v>
      </c>
      <c r="I502">
        <v>17.399999999999999</v>
      </c>
      <c r="J502">
        <v>5384</v>
      </c>
      <c r="K502">
        <v>92744.6</v>
      </c>
      <c r="L502" s="1">
        <v>45240</v>
      </c>
      <c r="M502">
        <v>58</v>
      </c>
      <c r="N502" t="s">
        <v>1141</v>
      </c>
      <c r="O502" s="5">
        <v>45240</v>
      </c>
      <c r="P502" s="5">
        <v>43777</v>
      </c>
    </row>
    <row r="503" spans="1:16" x14ac:dyDescent="0.25">
      <c r="A503" t="s">
        <v>1142</v>
      </c>
      <c r="B503" t="str">
        <v>Cybertech Systems And Software Limited</v>
      </c>
      <c r="C503" t="s">
        <v>14</v>
      </c>
      <c r="D503">
        <v>143.6</v>
      </c>
      <c r="E503">
        <v>144.19999999999999</v>
      </c>
      <c r="F503">
        <v>141.85</v>
      </c>
      <c r="G503" s="3">
        <v>142.69999999999999</v>
      </c>
      <c r="H503">
        <v>142.1</v>
      </c>
      <c r="I503">
        <v>143.6</v>
      </c>
      <c r="J503">
        <v>27557</v>
      </c>
      <c r="K503">
        <v>3936511.55</v>
      </c>
      <c r="L503" s="1">
        <v>45240</v>
      </c>
      <c r="M503">
        <v>814</v>
      </c>
      <c r="N503" t="s">
        <v>1144</v>
      </c>
      <c r="O503" s="5">
        <v>45240</v>
      </c>
      <c r="P503" s="5">
        <v>43777</v>
      </c>
    </row>
    <row r="504" spans="1:16" x14ac:dyDescent="0.25">
      <c r="A504" t="s">
        <v>1145</v>
      </c>
      <c r="B504" t="str">
        <v>Cyient Limited</v>
      </c>
      <c r="C504" t="s">
        <v>14</v>
      </c>
      <c r="D504">
        <v>1660</v>
      </c>
      <c r="E504">
        <v>1677.5</v>
      </c>
      <c r="F504">
        <v>1646.6</v>
      </c>
      <c r="G504" s="3">
        <v>1660.7</v>
      </c>
      <c r="H504">
        <v>1657.95</v>
      </c>
      <c r="I504">
        <v>1666.45</v>
      </c>
      <c r="J504">
        <v>241625</v>
      </c>
      <c r="K504">
        <v>401944402.94999999</v>
      </c>
      <c r="L504" s="1">
        <v>45240</v>
      </c>
      <c r="M504">
        <v>25556</v>
      </c>
      <c r="N504" t="s">
        <v>1147</v>
      </c>
      <c r="O504" s="5">
        <v>45240</v>
      </c>
      <c r="P504" s="5">
        <v>43777</v>
      </c>
    </row>
    <row r="505" spans="1:16" x14ac:dyDescent="0.25">
      <c r="A505" t="s">
        <v>1148</v>
      </c>
      <c r="B505" t="str">
        <v>Cyient DLM Limited</v>
      </c>
      <c r="C505" t="s">
        <v>14</v>
      </c>
      <c r="D505">
        <v>640</v>
      </c>
      <c r="E505">
        <v>640.85</v>
      </c>
      <c r="F505">
        <v>632</v>
      </c>
      <c r="G505" s="3">
        <v>633.75</v>
      </c>
      <c r="H505">
        <v>633.70000000000005</v>
      </c>
      <c r="I505">
        <v>640.65</v>
      </c>
      <c r="J505">
        <v>76995</v>
      </c>
      <c r="K505">
        <v>48910081.149999999</v>
      </c>
      <c r="L505" s="1">
        <v>45240</v>
      </c>
      <c r="M505">
        <v>6433</v>
      </c>
      <c r="N505" t="s">
        <v>1150</v>
      </c>
      <c r="O505" s="5">
        <v>45240</v>
      </c>
      <c r="P505" s="5">
        <v>43777</v>
      </c>
    </row>
    <row r="506" spans="1:16" x14ac:dyDescent="0.25">
      <c r="A506" t="s">
        <v>1151</v>
      </c>
      <c r="B506" t="str">
        <v>Dabur India Limited</v>
      </c>
      <c r="C506" t="s">
        <v>14</v>
      </c>
      <c r="D506">
        <v>532.65</v>
      </c>
      <c r="E506">
        <v>535</v>
      </c>
      <c r="F506">
        <v>526.70000000000005</v>
      </c>
      <c r="G506" s="3">
        <v>533.35</v>
      </c>
      <c r="H506">
        <v>533.5</v>
      </c>
      <c r="I506">
        <v>534.85</v>
      </c>
      <c r="J506">
        <v>1361649</v>
      </c>
      <c r="K506">
        <v>724100929.89999998</v>
      </c>
      <c r="L506" s="1">
        <v>45240</v>
      </c>
      <c r="M506">
        <v>21412</v>
      </c>
      <c r="N506" t="s">
        <v>1153</v>
      </c>
      <c r="O506" s="5">
        <v>45240</v>
      </c>
      <c r="P506" s="5">
        <v>43777</v>
      </c>
    </row>
    <row r="507" spans="1:16" x14ac:dyDescent="0.25">
      <c r="A507" t="s">
        <v>1154</v>
      </c>
      <c r="B507" t="str">
        <v>Dalmia Bharat Limited</v>
      </c>
      <c r="C507" t="s">
        <v>14</v>
      </c>
      <c r="D507">
        <v>2081.25</v>
      </c>
      <c r="E507">
        <v>2105</v>
      </c>
      <c r="F507">
        <v>2066.1</v>
      </c>
      <c r="G507" s="3">
        <v>2089.5</v>
      </c>
      <c r="H507">
        <v>2097</v>
      </c>
      <c r="I507">
        <v>2094.4499999999998</v>
      </c>
      <c r="J507">
        <v>153274</v>
      </c>
      <c r="K507">
        <v>320438530.30000001</v>
      </c>
      <c r="L507" s="1">
        <v>45240</v>
      </c>
      <c r="M507">
        <v>10263</v>
      </c>
      <c r="N507" t="s">
        <v>1156</v>
      </c>
      <c r="O507" s="5">
        <v>45240</v>
      </c>
      <c r="P507" s="5">
        <v>43777</v>
      </c>
    </row>
    <row r="508" spans="1:16" x14ac:dyDescent="0.25">
      <c r="A508" t="s">
        <v>1157</v>
      </c>
      <c r="B508" t="str">
        <v>Dalmia Bharat Sugar and Industries Limited</v>
      </c>
      <c r="C508" t="s">
        <v>14</v>
      </c>
      <c r="D508">
        <v>460.55</v>
      </c>
      <c r="E508">
        <v>463.5</v>
      </c>
      <c r="F508">
        <v>445.95</v>
      </c>
      <c r="G508" s="3">
        <v>448.05</v>
      </c>
      <c r="H508">
        <v>448.95</v>
      </c>
      <c r="I508">
        <v>460.9</v>
      </c>
      <c r="J508">
        <v>83011</v>
      </c>
      <c r="K508">
        <v>37662931</v>
      </c>
      <c r="L508" s="1">
        <v>45240</v>
      </c>
      <c r="M508">
        <v>5905</v>
      </c>
      <c r="N508" t="s">
        <v>1159</v>
      </c>
      <c r="O508" s="5">
        <v>45240</v>
      </c>
      <c r="P508" s="5">
        <v>43777</v>
      </c>
    </row>
    <row r="509" spans="1:16" x14ac:dyDescent="0.25">
      <c r="A509" t="s">
        <v>1160</v>
      </c>
      <c r="B509" t="str">
        <v>Damodar Industries Limited</v>
      </c>
      <c r="C509" t="s">
        <v>14</v>
      </c>
      <c r="D509">
        <v>50.2</v>
      </c>
      <c r="E509">
        <v>51.45</v>
      </c>
      <c r="F509">
        <v>49</v>
      </c>
      <c r="G509" s="3">
        <v>50.1</v>
      </c>
      <c r="H509">
        <v>50.5</v>
      </c>
      <c r="I509">
        <v>50.85</v>
      </c>
      <c r="J509">
        <v>23974</v>
      </c>
      <c r="K509">
        <v>1210926.75</v>
      </c>
      <c r="L509" s="1">
        <v>45240</v>
      </c>
      <c r="M509">
        <v>494</v>
      </c>
      <c r="N509" t="s">
        <v>1162</v>
      </c>
      <c r="O509" s="5">
        <v>45240</v>
      </c>
      <c r="P509" s="5">
        <v>43777</v>
      </c>
    </row>
    <row r="510" spans="1:16" x14ac:dyDescent="0.25">
      <c r="A510" t="s">
        <v>1163</v>
      </c>
      <c r="B510" t="str">
        <v>Dangee Dums Limited</v>
      </c>
      <c r="C510" t="s">
        <v>10</v>
      </c>
      <c r="D510">
        <v>10.5</v>
      </c>
      <c r="E510">
        <v>10.85</v>
      </c>
      <c r="F510">
        <v>10.199999999999999</v>
      </c>
      <c r="G510" s="3">
        <v>10.8</v>
      </c>
      <c r="H510">
        <v>10.75</v>
      </c>
      <c r="I510">
        <v>10.35</v>
      </c>
      <c r="J510">
        <v>352547</v>
      </c>
      <c r="K510">
        <v>3758575.4</v>
      </c>
      <c r="L510" s="1">
        <v>45240</v>
      </c>
      <c r="M510">
        <v>489</v>
      </c>
      <c r="N510" t="s">
        <v>1165</v>
      </c>
      <c r="O510" s="5">
        <v>45240</v>
      </c>
      <c r="P510" s="5">
        <v>43777</v>
      </c>
    </row>
    <row r="511" spans="1:16" x14ac:dyDescent="0.25">
      <c r="A511" t="s">
        <v>1166</v>
      </c>
      <c r="B511" t="str">
        <v>Datamatics Global Services Limited</v>
      </c>
      <c r="C511" t="s">
        <v>14</v>
      </c>
      <c r="D511">
        <v>568.04999999999995</v>
      </c>
      <c r="E511">
        <v>578.45000000000005</v>
      </c>
      <c r="F511">
        <v>564.79999999999995</v>
      </c>
      <c r="G511" s="3">
        <v>570.35</v>
      </c>
      <c r="H511">
        <v>571.15</v>
      </c>
      <c r="I511">
        <v>572.75</v>
      </c>
      <c r="J511">
        <v>119979</v>
      </c>
      <c r="K511">
        <v>68645869.549999997</v>
      </c>
      <c r="L511" s="1">
        <v>45240</v>
      </c>
      <c r="M511">
        <v>8736</v>
      </c>
      <c r="N511" t="s">
        <v>1168</v>
      </c>
      <c r="O511" s="5">
        <v>45240</v>
      </c>
      <c r="P511" s="5">
        <v>43777</v>
      </c>
    </row>
    <row r="512" spans="1:16" x14ac:dyDescent="0.25">
      <c r="A512" t="s">
        <v>1169</v>
      </c>
      <c r="B512" t="str">
        <v>Data Patterns (India) Limited</v>
      </c>
      <c r="C512" t="s">
        <v>14</v>
      </c>
      <c r="D512">
        <v>1883</v>
      </c>
      <c r="E512">
        <v>1890.9</v>
      </c>
      <c r="F512">
        <v>1815</v>
      </c>
      <c r="G512" s="3">
        <v>1832.6</v>
      </c>
      <c r="H512">
        <v>1835</v>
      </c>
      <c r="I512">
        <v>1883.55</v>
      </c>
      <c r="J512">
        <v>198305</v>
      </c>
      <c r="K512">
        <v>363409881.25</v>
      </c>
      <c r="L512" s="1">
        <v>45240</v>
      </c>
      <c r="M512">
        <v>20866</v>
      </c>
      <c r="N512" t="s">
        <v>1171</v>
      </c>
      <c r="O512" s="5">
        <v>45240</v>
      </c>
      <c r="P512" s="5">
        <v>43777</v>
      </c>
    </row>
    <row r="513" spans="1:16" x14ac:dyDescent="0.25">
      <c r="A513" t="s">
        <v>1172</v>
      </c>
      <c r="B513" t="str">
        <v>D.B.Corp Limited</v>
      </c>
      <c r="C513" t="s">
        <v>14</v>
      </c>
      <c r="D513">
        <v>292.10000000000002</v>
      </c>
      <c r="E513">
        <v>299.7</v>
      </c>
      <c r="F513">
        <v>292.10000000000002</v>
      </c>
      <c r="G513" s="3">
        <v>298.35000000000002</v>
      </c>
      <c r="H513">
        <v>298.60000000000002</v>
      </c>
      <c r="I513">
        <v>295.64999999999998</v>
      </c>
      <c r="J513">
        <v>64626</v>
      </c>
      <c r="K513">
        <v>19219683.050000001</v>
      </c>
      <c r="L513" s="1">
        <v>45240</v>
      </c>
      <c r="M513">
        <v>2483</v>
      </c>
      <c r="N513" t="s">
        <v>1174</v>
      </c>
      <c r="O513" s="5">
        <v>45240</v>
      </c>
      <c r="P513" s="5">
        <v>43777</v>
      </c>
    </row>
    <row r="514" spans="1:16" x14ac:dyDescent="0.25">
      <c r="A514" t="s">
        <v>1175</v>
      </c>
      <c r="B514" t="str">
        <v>Dilip Buildcon Limited</v>
      </c>
      <c r="C514" t="s">
        <v>14</v>
      </c>
      <c r="D514">
        <v>347.25</v>
      </c>
      <c r="E514">
        <v>367.45</v>
      </c>
      <c r="F514">
        <v>340.05</v>
      </c>
      <c r="G514" s="3">
        <v>361.8</v>
      </c>
      <c r="H514">
        <v>360.8</v>
      </c>
      <c r="I514">
        <v>347.25</v>
      </c>
      <c r="J514">
        <v>3186921</v>
      </c>
      <c r="K514">
        <v>1140259855.3</v>
      </c>
      <c r="L514" s="1">
        <v>45240</v>
      </c>
      <c r="M514">
        <v>41281</v>
      </c>
      <c r="N514" t="s">
        <v>1177</v>
      </c>
      <c r="O514" s="5">
        <v>45240</v>
      </c>
      <c r="P514" s="5">
        <v>43777</v>
      </c>
    </row>
    <row r="515" spans="1:16" x14ac:dyDescent="0.25">
      <c r="A515" t="s">
        <v>1178</v>
      </c>
      <c r="B515" t="str">
        <v>Dhampur Bio Organics Limited</v>
      </c>
      <c r="C515" t="s">
        <v>14</v>
      </c>
      <c r="D515">
        <v>159.15</v>
      </c>
      <c r="E515">
        <v>160.30000000000001</v>
      </c>
      <c r="F515">
        <v>156.94999999999999</v>
      </c>
      <c r="G515" s="3">
        <v>157.5</v>
      </c>
      <c r="H515">
        <v>157.9</v>
      </c>
      <c r="I515">
        <v>159.1</v>
      </c>
      <c r="J515">
        <v>91840</v>
      </c>
      <c r="K515">
        <v>14559139.4</v>
      </c>
      <c r="L515" s="1">
        <v>45240</v>
      </c>
      <c r="M515">
        <v>2427</v>
      </c>
      <c r="N515" t="s">
        <v>1180</v>
      </c>
      <c r="O515" s="5">
        <v>45240</v>
      </c>
      <c r="P515" s="5">
        <v>43777</v>
      </c>
    </row>
    <row r="516" spans="1:16" x14ac:dyDescent="0.25">
      <c r="A516" t="s">
        <v>1181</v>
      </c>
      <c r="B516" t="str">
        <v>D B Realty Limited</v>
      </c>
      <c r="C516" t="s">
        <v>14</v>
      </c>
      <c r="D516">
        <v>179.5</v>
      </c>
      <c r="E516">
        <v>192.7</v>
      </c>
      <c r="F516">
        <v>177.55</v>
      </c>
      <c r="G516" s="3">
        <v>187</v>
      </c>
      <c r="H516">
        <v>187.5</v>
      </c>
      <c r="I516">
        <v>179.5</v>
      </c>
      <c r="J516">
        <v>2693312</v>
      </c>
      <c r="K516">
        <v>505352772.55000001</v>
      </c>
      <c r="L516" s="1">
        <v>45240</v>
      </c>
      <c r="M516">
        <v>13608</v>
      </c>
      <c r="N516" t="s">
        <v>1183</v>
      </c>
      <c r="O516" s="5">
        <v>45240</v>
      </c>
      <c r="P516" s="5">
        <v>43777</v>
      </c>
    </row>
    <row r="517" spans="1:16" x14ac:dyDescent="0.25">
      <c r="A517" t="s">
        <v>1184</v>
      </c>
      <c r="B517" t="str">
        <v>DB (International) Stock Brokers Limited</v>
      </c>
      <c r="C517" t="s">
        <v>10</v>
      </c>
      <c r="D517">
        <v>42.35</v>
      </c>
      <c r="E517">
        <v>42.5</v>
      </c>
      <c r="F517">
        <v>41</v>
      </c>
      <c r="G517" s="3">
        <v>42.5</v>
      </c>
      <c r="H517">
        <v>42.5</v>
      </c>
      <c r="I517">
        <v>40.5</v>
      </c>
      <c r="J517">
        <v>47340</v>
      </c>
      <c r="K517">
        <v>2008756.55</v>
      </c>
      <c r="L517" s="1">
        <v>45240</v>
      </c>
      <c r="M517">
        <v>257</v>
      </c>
      <c r="N517" t="s">
        <v>1186</v>
      </c>
      <c r="O517" s="5">
        <v>45240</v>
      </c>
      <c r="P517" s="5">
        <v>43777</v>
      </c>
    </row>
    <row r="518" spans="1:16" x14ac:dyDescent="0.25">
      <c r="A518" t="s">
        <v>1187</v>
      </c>
      <c r="B518" t="str">
        <v>Dishman Carbogen Amcis Limited</v>
      </c>
      <c r="C518" t="s">
        <v>14</v>
      </c>
      <c r="D518">
        <v>163.65</v>
      </c>
      <c r="E518">
        <v>163.65</v>
      </c>
      <c r="F518">
        <v>156.1</v>
      </c>
      <c r="G518" s="3">
        <v>159.65</v>
      </c>
      <c r="H518">
        <v>160</v>
      </c>
      <c r="I518">
        <v>164.7</v>
      </c>
      <c r="J518">
        <v>933687</v>
      </c>
      <c r="K518">
        <v>148161039.55000001</v>
      </c>
      <c r="L518" s="1">
        <v>45240</v>
      </c>
      <c r="M518">
        <v>13276</v>
      </c>
      <c r="N518" t="s">
        <v>1189</v>
      </c>
      <c r="O518" s="5">
        <v>45240</v>
      </c>
      <c r="P518" s="5">
        <v>43777</v>
      </c>
    </row>
    <row r="519" spans="1:16" x14ac:dyDescent="0.25">
      <c r="A519" t="s">
        <v>1190</v>
      </c>
      <c r="B519" t="str">
        <v>DCB Bank Limited</v>
      </c>
      <c r="C519" t="s">
        <v>14</v>
      </c>
      <c r="D519">
        <v>113.05</v>
      </c>
      <c r="E519">
        <v>113.9</v>
      </c>
      <c r="F519">
        <v>111.55</v>
      </c>
      <c r="G519" s="3">
        <v>111.9</v>
      </c>
      <c r="H519">
        <v>112</v>
      </c>
      <c r="I519">
        <v>112.85</v>
      </c>
      <c r="J519">
        <v>1605642</v>
      </c>
      <c r="K519">
        <v>180669941.30000001</v>
      </c>
      <c r="L519" s="1">
        <v>45240</v>
      </c>
      <c r="M519">
        <v>11839</v>
      </c>
      <c r="N519" t="s">
        <v>1192</v>
      </c>
      <c r="O519" s="5">
        <v>45240</v>
      </c>
      <c r="P519" s="5">
        <v>43777</v>
      </c>
    </row>
    <row r="520" spans="1:16" x14ac:dyDescent="0.25">
      <c r="A520" t="s">
        <v>1193</v>
      </c>
      <c r="B520" t="str">
        <v>Dc Infotech And Communication Limited</v>
      </c>
      <c r="C520" t="s">
        <v>10</v>
      </c>
      <c r="D520">
        <v>166.5</v>
      </c>
      <c r="E520">
        <v>166.5</v>
      </c>
      <c r="F520">
        <v>166.5</v>
      </c>
      <c r="G520" s="3">
        <v>166.5</v>
      </c>
      <c r="H520">
        <v>166.5</v>
      </c>
      <c r="I520">
        <v>163.25</v>
      </c>
      <c r="J520">
        <v>170</v>
      </c>
      <c r="K520">
        <v>28305</v>
      </c>
      <c r="L520" s="1">
        <v>45240</v>
      </c>
      <c r="M520">
        <v>6</v>
      </c>
      <c r="N520" t="s">
        <v>1195</v>
      </c>
      <c r="O520" s="5">
        <v>45240</v>
      </c>
      <c r="P520" s="5">
        <v>43777</v>
      </c>
    </row>
    <row r="521" spans="1:16" x14ac:dyDescent="0.25">
      <c r="A521" t="s">
        <v>1196</v>
      </c>
      <c r="B521" t="str">
        <v>DCM  Limited</v>
      </c>
      <c r="C521" t="s">
        <v>14</v>
      </c>
      <c r="D521">
        <v>74.8</v>
      </c>
      <c r="E521">
        <v>74.8</v>
      </c>
      <c r="F521">
        <v>71.650000000000006</v>
      </c>
      <c r="G521" s="3">
        <v>72.650000000000006</v>
      </c>
      <c r="H521">
        <v>72.650000000000006</v>
      </c>
      <c r="I521">
        <v>73.55</v>
      </c>
      <c r="J521">
        <v>39274</v>
      </c>
      <c r="K521">
        <v>2863076.65</v>
      </c>
      <c r="L521" s="1">
        <v>45240</v>
      </c>
      <c r="M521">
        <v>388</v>
      </c>
      <c r="N521" t="s">
        <v>1198</v>
      </c>
      <c r="O521" s="5">
        <v>45240</v>
      </c>
      <c r="P521" s="5">
        <v>43777</v>
      </c>
    </row>
    <row r="522" spans="1:16" x14ac:dyDescent="0.25">
      <c r="A522" t="s">
        <v>1199</v>
      </c>
      <c r="B522" t="str">
        <v>DCM Financial Services Limited</v>
      </c>
      <c r="C522" t="s">
        <v>10</v>
      </c>
      <c r="D522">
        <v>4.45</v>
      </c>
      <c r="E522">
        <v>4.6500000000000004</v>
      </c>
      <c r="F522">
        <v>4.45</v>
      </c>
      <c r="G522" s="3">
        <v>4.5999999999999996</v>
      </c>
      <c r="H522">
        <v>4.5999999999999996</v>
      </c>
      <c r="I522">
        <v>4.45</v>
      </c>
      <c r="J522">
        <v>12686</v>
      </c>
      <c r="K522">
        <v>58723.25</v>
      </c>
      <c r="L522" s="1">
        <v>45240</v>
      </c>
      <c r="M522">
        <v>21</v>
      </c>
      <c r="N522" t="s">
        <v>1201</v>
      </c>
      <c r="O522" s="5">
        <v>45240</v>
      </c>
      <c r="P522" s="5">
        <v>43777</v>
      </c>
    </row>
    <row r="523" spans="1:16" x14ac:dyDescent="0.25">
      <c r="A523" t="s">
        <v>1202</v>
      </c>
      <c r="B523" t="str">
        <v>DCM Nouvelle Limited</v>
      </c>
      <c r="C523" t="s">
        <v>14</v>
      </c>
      <c r="D523">
        <v>160</v>
      </c>
      <c r="E523">
        <v>165.85</v>
      </c>
      <c r="F523">
        <v>158.80000000000001</v>
      </c>
      <c r="G523" s="3">
        <v>164.7</v>
      </c>
      <c r="H523">
        <v>165.85</v>
      </c>
      <c r="I523">
        <v>161.65</v>
      </c>
      <c r="J523">
        <v>15048</v>
      </c>
      <c r="K523">
        <v>2453251.75</v>
      </c>
      <c r="L523" s="1">
        <v>45240</v>
      </c>
      <c r="M523">
        <v>235</v>
      </c>
      <c r="N523" t="s">
        <v>1204</v>
      </c>
      <c r="O523" s="5">
        <v>45240</v>
      </c>
      <c r="P523" s="5">
        <v>43777</v>
      </c>
    </row>
    <row r="524" spans="1:16" x14ac:dyDescent="0.25">
      <c r="A524" t="s">
        <v>1205</v>
      </c>
      <c r="B524" t="str">
        <v>DCM Shriram Limited</v>
      </c>
      <c r="C524" t="s">
        <v>14</v>
      </c>
      <c r="D524">
        <v>877</v>
      </c>
      <c r="E524">
        <v>894.4</v>
      </c>
      <c r="F524">
        <v>877</v>
      </c>
      <c r="G524" s="3">
        <v>883.8</v>
      </c>
      <c r="H524">
        <v>886</v>
      </c>
      <c r="I524">
        <v>881.7</v>
      </c>
      <c r="J524">
        <v>30786</v>
      </c>
      <c r="K524">
        <v>27264932.350000001</v>
      </c>
      <c r="L524" s="1">
        <v>45240</v>
      </c>
      <c r="M524">
        <v>3045</v>
      </c>
      <c r="N524" t="s">
        <v>1207</v>
      </c>
      <c r="O524" s="5">
        <v>45240</v>
      </c>
      <c r="P524" s="5">
        <v>43777</v>
      </c>
    </row>
    <row r="525" spans="1:16" x14ac:dyDescent="0.25">
      <c r="A525" t="s">
        <v>1208</v>
      </c>
      <c r="B525" t="str">
        <v>DCM Shriram Industries Limited</v>
      </c>
      <c r="C525" t="s">
        <v>14</v>
      </c>
      <c r="D525">
        <v>125.8</v>
      </c>
      <c r="E525">
        <v>125.95</v>
      </c>
      <c r="F525">
        <v>123</v>
      </c>
      <c r="G525" s="3">
        <v>123.95</v>
      </c>
      <c r="H525">
        <v>125</v>
      </c>
      <c r="I525">
        <v>125.3</v>
      </c>
      <c r="J525">
        <v>62104</v>
      </c>
      <c r="K525">
        <v>7731193.7000000002</v>
      </c>
      <c r="L525" s="1">
        <v>45240</v>
      </c>
      <c r="M525">
        <v>930</v>
      </c>
      <c r="N525" t="s">
        <v>1210</v>
      </c>
      <c r="O525" s="5">
        <v>45240</v>
      </c>
      <c r="P525" s="5">
        <v>43777</v>
      </c>
    </row>
    <row r="526" spans="1:16" x14ac:dyDescent="0.25">
      <c r="A526" t="s">
        <v>1211</v>
      </c>
      <c r="B526" t="str">
        <v>DCW Limited</v>
      </c>
      <c r="C526" t="s">
        <v>14</v>
      </c>
      <c r="D526">
        <v>51.45</v>
      </c>
      <c r="E526">
        <v>54</v>
      </c>
      <c r="F526">
        <v>51.2</v>
      </c>
      <c r="G526" s="3">
        <v>52.9</v>
      </c>
      <c r="H526">
        <v>53.1</v>
      </c>
      <c r="I526">
        <v>51.6</v>
      </c>
      <c r="J526">
        <v>3696706</v>
      </c>
      <c r="K526">
        <v>195620606.59999999</v>
      </c>
      <c r="L526" s="1">
        <v>45240</v>
      </c>
      <c r="M526">
        <v>10198</v>
      </c>
      <c r="N526" t="s">
        <v>1213</v>
      </c>
      <c r="O526" s="5">
        <v>45240</v>
      </c>
      <c r="P526" s="5">
        <v>43777</v>
      </c>
    </row>
    <row r="527" spans="1:16" x14ac:dyDescent="0.25">
      <c r="A527" t="s">
        <v>1214</v>
      </c>
      <c r="B527" t="str">
        <v>DCX Systems Limited</v>
      </c>
      <c r="C527" t="s">
        <v>14</v>
      </c>
      <c r="D527">
        <v>281.89999999999998</v>
      </c>
      <c r="E527">
        <v>284.10000000000002</v>
      </c>
      <c r="F527">
        <v>275.39999999999998</v>
      </c>
      <c r="G527" s="3">
        <v>277.10000000000002</v>
      </c>
      <c r="H527">
        <v>279</v>
      </c>
      <c r="I527">
        <v>281.7</v>
      </c>
      <c r="J527">
        <v>331629</v>
      </c>
      <c r="K527">
        <v>92580293.349999994</v>
      </c>
      <c r="L527" s="1">
        <v>45240</v>
      </c>
      <c r="M527">
        <v>12183</v>
      </c>
      <c r="N527" t="s">
        <v>1216</v>
      </c>
      <c r="O527" s="5">
        <v>45240</v>
      </c>
      <c r="P527" s="5">
        <v>43777</v>
      </c>
    </row>
    <row r="528" spans="1:16" x14ac:dyDescent="0.25">
      <c r="A528" t="s">
        <v>1217</v>
      </c>
      <c r="B528" t="str">
        <v>Deccan Cements Limited</v>
      </c>
      <c r="C528" t="s">
        <v>14</v>
      </c>
      <c r="D528">
        <v>500.7</v>
      </c>
      <c r="E528">
        <v>508.65</v>
      </c>
      <c r="F528">
        <v>497</v>
      </c>
      <c r="G528" s="3">
        <v>500.75</v>
      </c>
      <c r="H528">
        <v>497</v>
      </c>
      <c r="I528">
        <v>501.75</v>
      </c>
      <c r="J528">
        <v>8160</v>
      </c>
      <c r="K528">
        <v>4092804.45</v>
      </c>
      <c r="L528" s="1">
        <v>45240</v>
      </c>
      <c r="M528">
        <v>728</v>
      </c>
      <c r="N528" t="s">
        <v>1219</v>
      </c>
      <c r="O528" s="5">
        <v>45240</v>
      </c>
      <c r="P528" s="5">
        <v>43777</v>
      </c>
    </row>
    <row r="529" spans="1:16" x14ac:dyDescent="0.25">
      <c r="A529" t="s">
        <v>1220</v>
      </c>
      <c r="B529" t="str">
        <v>Deepak Fertilizers and Petrochemicals Corporation Limited</v>
      </c>
      <c r="C529" t="s">
        <v>14</v>
      </c>
      <c r="D529">
        <v>628</v>
      </c>
      <c r="E529">
        <v>628.29999999999995</v>
      </c>
      <c r="F529">
        <v>613.95000000000005</v>
      </c>
      <c r="G529" s="3">
        <v>615.79999999999995</v>
      </c>
      <c r="H529">
        <v>616.9</v>
      </c>
      <c r="I529">
        <v>628.35</v>
      </c>
      <c r="J529">
        <v>313403</v>
      </c>
      <c r="K529">
        <v>194054393.15000001</v>
      </c>
      <c r="L529" s="1">
        <v>45240</v>
      </c>
      <c r="M529">
        <v>10254</v>
      </c>
      <c r="N529" t="s">
        <v>1222</v>
      </c>
      <c r="O529" s="5">
        <v>45240</v>
      </c>
      <c r="P529" s="5">
        <v>43777</v>
      </c>
    </row>
    <row r="530" spans="1:16" x14ac:dyDescent="0.25">
      <c r="A530" t="s">
        <v>1223</v>
      </c>
      <c r="B530" t="str">
        <v>Deepak Nitrite Limited</v>
      </c>
      <c r="C530" t="s">
        <v>14</v>
      </c>
      <c r="D530">
        <v>2079.85</v>
      </c>
      <c r="E530">
        <v>2117</v>
      </c>
      <c r="F530">
        <v>2055.0500000000002</v>
      </c>
      <c r="G530" s="3">
        <v>2112</v>
      </c>
      <c r="H530">
        <v>2113</v>
      </c>
      <c r="I530">
        <v>2076.4</v>
      </c>
      <c r="J530">
        <v>279373</v>
      </c>
      <c r="K530">
        <v>585959382.64999998</v>
      </c>
      <c r="L530" s="1">
        <v>45240</v>
      </c>
      <c r="M530">
        <v>16325</v>
      </c>
      <c r="N530" t="s">
        <v>1225</v>
      </c>
      <c r="O530" s="5">
        <v>45240</v>
      </c>
      <c r="P530" s="5">
        <v>43777</v>
      </c>
    </row>
    <row r="531" spans="1:16" x14ac:dyDescent="0.25">
      <c r="A531" t="s">
        <v>1226</v>
      </c>
      <c r="B531" t="str">
        <v>DEEP ENERGY RESOURCES LIMITED</v>
      </c>
      <c r="C531" t="s">
        <v>14</v>
      </c>
      <c r="D531">
        <v>141.75</v>
      </c>
      <c r="E531">
        <v>142.94999999999999</v>
      </c>
      <c r="F531">
        <v>135.30000000000001</v>
      </c>
      <c r="G531" s="3">
        <v>138.44999999999999</v>
      </c>
      <c r="H531">
        <v>140.55000000000001</v>
      </c>
      <c r="I531">
        <v>140.55000000000001</v>
      </c>
      <c r="J531">
        <v>10445</v>
      </c>
      <c r="K531">
        <v>1457929.85</v>
      </c>
      <c r="L531" s="1">
        <v>45240</v>
      </c>
      <c r="M531">
        <v>336</v>
      </c>
      <c r="N531" t="s">
        <v>1228</v>
      </c>
      <c r="O531" s="5">
        <v>45240</v>
      </c>
      <c r="P531" s="5">
        <v>43777</v>
      </c>
    </row>
    <row r="532" spans="1:16" x14ac:dyDescent="0.25">
      <c r="A532" t="s">
        <v>1229</v>
      </c>
      <c r="B532" t="str">
        <v>Deep Industries Limited</v>
      </c>
      <c r="C532" t="s">
        <v>14</v>
      </c>
      <c r="D532">
        <v>248.75</v>
      </c>
      <c r="E532">
        <v>251.7</v>
      </c>
      <c r="F532">
        <v>240.15</v>
      </c>
      <c r="G532" s="3">
        <v>244.05</v>
      </c>
      <c r="H532">
        <v>244.85</v>
      </c>
      <c r="I532">
        <v>248.1</v>
      </c>
      <c r="J532">
        <v>189483</v>
      </c>
      <c r="K532">
        <v>46491509.200000003</v>
      </c>
      <c r="L532" s="1">
        <v>45240</v>
      </c>
      <c r="M532">
        <v>6652</v>
      </c>
      <c r="N532" t="s">
        <v>1231</v>
      </c>
      <c r="O532" s="5">
        <v>45240</v>
      </c>
      <c r="P532" s="5">
        <v>43777</v>
      </c>
    </row>
    <row r="533" spans="1:16" x14ac:dyDescent="0.25">
      <c r="A533" t="s">
        <v>1232</v>
      </c>
      <c r="B533" t="str">
        <v>Delhivery Limited</v>
      </c>
      <c r="C533" t="s">
        <v>14</v>
      </c>
      <c r="D533">
        <v>406.95</v>
      </c>
      <c r="E533">
        <v>410.9</v>
      </c>
      <c r="F533">
        <v>405.7</v>
      </c>
      <c r="G533" s="3">
        <v>408.15</v>
      </c>
      <c r="H533">
        <v>409.15</v>
      </c>
      <c r="I533">
        <v>407.05</v>
      </c>
      <c r="J533">
        <v>214966</v>
      </c>
      <c r="K533">
        <v>87708198.700000003</v>
      </c>
      <c r="L533" s="1">
        <v>45240</v>
      </c>
      <c r="M533">
        <v>15933</v>
      </c>
      <c r="N533" t="s">
        <v>1234</v>
      </c>
      <c r="O533" s="5">
        <v>45240</v>
      </c>
      <c r="P533" s="5">
        <v>43777</v>
      </c>
    </row>
    <row r="534" spans="1:16" x14ac:dyDescent="0.25">
      <c r="A534" t="s">
        <v>1235</v>
      </c>
      <c r="B534" t="str">
        <v>DELPHI WORLD MONEY LIMITED</v>
      </c>
      <c r="C534" t="s">
        <v>14</v>
      </c>
      <c r="D534">
        <v>350.05</v>
      </c>
      <c r="E534">
        <v>362.45</v>
      </c>
      <c r="F534">
        <v>346.95</v>
      </c>
      <c r="G534" s="3">
        <v>354.95</v>
      </c>
      <c r="H534">
        <v>355</v>
      </c>
      <c r="I534">
        <v>343.7</v>
      </c>
      <c r="J534">
        <v>2220</v>
      </c>
      <c r="K534">
        <v>789978.3</v>
      </c>
      <c r="L534" s="1">
        <v>45240</v>
      </c>
      <c r="M534">
        <v>162</v>
      </c>
      <c r="N534" t="s">
        <v>1237</v>
      </c>
      <c r="O534" s="5">
        <v>45240</v>
      </c>
      <c r="P534" s="5">
        <v>43777</v>
      </c>
    </row>
    <row r="535" spans="1:16" x14ac:dyDescent="0.25">
      <c r="A535" t="s">
        <v>1238</v>
      </c>
      <c r="B535" t="str">
        <v>Delta Corp Limited</v>
      </c>
      <c r="C535" t="s">
        <v>14</v>
      </c>
      <c r="D535">
        <v>138.69999999999999</v>
      </c>
      <c r="E535">
        <v>140.65</v>
      </c>
      <c r="F535">
        <v>137.65</v>
      </c>
      <c r="G535" s="3">
        <v>140.1</v>
      </c>
      <c r="H535">
        <v>140.15</v>
      </c>
      <c r="I535">
        <v>139.35</v>
      </c>
      <c r="J535">
        <v>1677082</v>
      </c>
      <c r="K535">
        <v>233975721.05000001</v>
      </c>
      <c r="L535" s="1">
        <v>45240</v>
      </c>
      <c r="M535">
        <v>14600</v>
      </c>
      <c r="N535" t="s">
        <v>1240</v>
      </c>
      <c r="O535" s="5">
        <v>45240</v>
      </c>
      <c r="P535" s="5">
        <v>43777</v>
      </c>
    </row>
    <row r="536" spans="1:16" x14ac:dyDescent="0.25">
      <c r="A536" t="s">
        <v>1241</v>
      </c>
      <c r="B536" t="str">
        <v>Delta Manufacturing Limited</v>
      </c>
      <c r="C536" t="s">
        <v>10</v>
      </c>
      <c r="D536">
        <v>83.95</v>
      </c>
      <c r="E536">
        <v>83.95</v>
      </c>
      <c r="F536">
        <v>81</v>
      </c>
      <c r="G536" s="3">
        <v>82</v>
      </c>
      <c r="H536">
        <v>82</v>
      </c>
      <c r="I536">
        <v>81.599999999999994</v>
      </c>
      <c r="J536">
        <v>5316</v>
      </c>
      <c r="K536">
        <v>436572</v>
      </c>
      <c r="L536" s="1">
        <v>45240</v>
      </c>
      <c r="M536">
        <v>34</v>
      </c>
      <c r="N536" t="s">
        <v>1243</v>
      </c>
      <c r="O536" s="5">
        <v>45240</v>
      </c>
      <c r="P536" s="5">
        <v>43777</v>
      </c>
    </row>
    <row r="537" spans="1:16" x14ac:dyDescent="0.25">
      <c r="A537" t="s">
        <v>1244</v>
      </c>
      <c r="B537" t="str">
        <v>Den Networks Limited</v>
      </c>
      <c r="C537" t="s">
        <v>14</v>
      </c>
      <c r="D537">
        <v>53.45</v>
      </c>
      <c r="E537">
        <v>55.6</v>
      </c>
      <c r="F537">
        <v>52.5</v>
      </c>
      <c r="G537" s="3">
        <v>54.7</v>
      </c>
      <c r="H537">
        <v>54.6</v>
      </c>
      <c r="I537">
        <v>53.8</v>
      </c>
      <c r="J537">
        <v>3539116</v>
      </c>
      <c r="K537">
        <v>192315014.09999999</v>
      </c>
      <c r="L537" s="1">
        <v>45240</v>
      </c>
      <c r="M537">
        <v>10168</v>
      </c>
      <c r="N537" t="s">
        <v>1246</v>
      </c>
      <c r="O537" s="5">
        <v>45240</v>
      </c>
      <c r="P537" s="5">
        <v>43777</v>
      </c>
    </row>
    <row r="538" spans="1:16" x14ac:dyDescent="0.25">
      <c r="A538" t="s">
        <v>6773</v>
      </c>
      <c r="B538" t="str">
        <v>Not Found</v>
      </c>
      <c r="C538" t="s">
        <v>5788</v>
      </c>
      <c r="D538">
        <v>239</v>
      </c>
      <c r="E538">
        <v>248</v>
      </c>
      <c r="F538">
        <v>238.5</v>
      </c>
      <c r="G538" s="3">
        <v>241</v>
      </c>
      <c r="H538">
        <v>241</v>
      </c>
      <c r="I538">
        <v>236.85</v>
      </c>
      <c r="J538">
        <v>27000</v>
      </c>
      <c r="K538">
        <v>6570570</v>
      </c>
      <c r="L538" s="1">
        <v>45240</v>
      </c>
      <c r="M538">
        <v>40</v>
      </c>
      <c r="N538" t="s">
        <v>6772</v>
      </c>
      <c r="O538" s="5">
        <v>45240</v>
      </c>
      <c r="P538" s="5">
        <v>43777</v>
      </c>
    </row>
    <row r="539" spans="1:16" x14ac:dyDescent="0.25">
      <c r="A539" t="s">
        <v>1247</v>
      </c>
      <c r="B539" t="str">
        <v>De Nora India Limited</v>
      </c>
      <c r="C539" t="s">
        <v>14</v>
      </c>
      <c r="D539">
        <v>1771.05</v>
      </c>
      <c r="E539">
        <v>1815</v>
      </c>
      <c r="F539">
        <v>1763.15</v>
      </c>
      <c r="G539" s="3">
        <v>1782.85</v>
      </c>
      <c r="H539">
        <v>1780</v>
      </c>
      <c r="I539">
        <v>1788.45</v>
      </c>
      <c r="J539">
        <v>34834</v>
      </c>
      <c r="K539">
        <v>62285417.549999997</v>
      </c>
      <c r="L539" s="1">
        <v>45240</v>
      </c>
      <c r="M539">
        <v>6042</v>
      </c>
      <c r="N539" t="s">
        <v>1249</v>
      </c>
      <c r="O539" s="5">
        <v>45240</v>
      </c>
      <c r="P539" s="5">
        <v>43777</v>
      </c>
    </row>
    <row r="540" spans="1:16" x14ac:dyDescent="0.25">
      <c r="A540" t="s">
        <v>6771</v>
      </c>
      <c r="B540" t="str">
        <v>Not Found</v>
      </c>
      <c r="C540" t="s">
        <v>5788</v>
      </c>
      <c r="D540">
        <v>560</v>
      </c>
      <c r="E540">
        <v>617.95000000000005</v>
      </c>
      <c r="F540">
        <v>560</v>
      </c>
      <c r="G540" s="3">
        <v>591.54999999999995</v>
      </c>
      <c r="H540">
        <v>610</v>
      </c>
      <c r="I540">
        <v>558.85</v>
      </c>
      <c r="J540">
        <v>57500</v>
      </c>
      <c r="K540">
        <v>33834725</v>
      </c>
      <c r="L540" s="1">
        <v>45240</v>
      </c>
      <c r="M540">
        <v>194</v>
      </c>
      <c r="N540" t="s">
        <v>6770</v>
      </c>
      <c r="O540" s="5">
        <v>45240</v>
      </c>
      <c r="P540" s="5">
        <v>43777</v>
      </c>
    </row>
    <row r="541" spans="1:16" x14ac:dyDescent="0.25">
      <c r="A541" t="s">
        <v>6769</v>
      </c>
      <c r="B541" t="str">
        <v>Not Found</v>
      </c>
      <c r="C541" t="s">
        <v>5788</v>
      </c>
      <c r="D541">
        <v>37.15</v>
      </c>
      <c r="E541">
        <v>37.15</v>
      </c>
      <c r="F541">
        <v>37.15</v>
      </c>
      <c r="G541" s="3">
        <v>37.15</v>
      </c>
      <c r="H541">
        <v>37.15</v>
      </c>
      <c r="I541">
        <v>38.950000000000003</v>
      </c>
      <c r="J541">
        <v>3000</v>
      </c>
      <c r="K541">
        <v>111450</v>
      </c>
      <c r="L541" s="1">
        <v>45240</v>
      </c>
      <c r="M541">
        <v>1</v>
      </c>
      <c r="N541" t="s">
        <v>6768</v>
      </c>
      <c r="O541" s="5">
        <v>45240</v>
      </c>
      <c r="P541" s="5">
        <v>43777</v>
      </c>
    </row>
    <row r="542" spans="1:16" x14ac:dyDescent="0.25">
      <c r="A542" t="s">
        <v>1250</v>
      </c>
      <c r="B542" t="str">
        <v>Dev Information Technology Limited</v>
      </c>
      <c r="C542" t="s">
        <v>14</v>
      </c>
      <c r="D542">
        <v>135.4</v>
      </c>
      <c r="E542">
        <v>135.4</v>
      </c>
      <c r="F542">
        <v>133.19999999999999</v>
      </c>
      <c r="G542" s="3">
        <v>134.69999999999999</v>
      </c>
      <c r="H542">
        <v>133.9</v>
      </c>
      <c r="I542">
        <v>134.05000000000001</v>
      </c>
      <c r="J542">
        <v>29316</v>
      </c>
      <c r="K542">
        <v>3941941.1</v>
      </c>
      <c r="L542" s="1">
        <v>45240</v>
      </c>
      <c r="M542">
        <v>415</v>
      </c>
      <c r="N542" t="s">
        <v>1252</v>
      </c>
      <c r="O542" s="5">
        <v>45240</v>
      </c>
      <c r="P542" s="5">
        <v>43777</v>
      </c>
    </row>
    <row r="543" spans="1:16" x14ac:dyDescent="0.25">
      <c r="A543" t="s">
        <v>1253</v>
      </c>
      <c r="B543" t="str">
        <v>Devyani International Limited</v>
      </c>
      <c r="C543" t="s">
        <v>14</v>
      </c>
      <c r="D543">
        <v>180.2</v>
      </c>
      <c r="E543">
        <v>183.2</v>
      </c>
      <c r="F543">
        <v>178.5</v>
      </c>
      <c r="G543" s="3">
        <v>182.75</v>
      </c>
      <c r="H543">
        <v>183.1</v>
      </c>
      <c r="I543">
        <v>180.1</v>
      </c>
      <c r="J543">
        <v>1300625</v>
      </c>
      <c r="K543">
        <v>235865984.5</v>
      </c>
      <c r="L543" s="1">
        <v>45240</v>
      </c>
      <c r="M543">
        <v>16251</v>
      </c>
      <c r="N543" t="s">
        <v>1255</v>
      </c>
      <c r="O543" s="5">
        <v>45240</v>
      </c>
      <c r="P543" s="5">
        <v>43777</v>
      </c>
    </row>
    <row r="544" spans="1:16" x14ac:dyDescent="0.25">
      <c r="A544" t="s">
        <v>1256</v>
      </c>
      <c r="B544" t="str">
        <v>Digicontent Limited</v>
      </c>
      <c r="C544" t="s">
        <v>14</v>
      </c>
      <c r="D544">
        <v>19.25</v>
      </c>
      <c r="E544">
        <v>19.399999999999999</v>
      </c>
      <c r="F544">
        <v>18.149999999999999</v>
      </c>
      <c r="G544" s="3">
        <v>18.399999999999999</v>
      </c>
      <c r="H544">
        <v>18.899999999999999</v>
      </c>
      <c r="I544">
        <v>18.899999999999999</v>
      </c>
      <c r="J544">
        <v>11317</v>
      </c>
      <c r="K544">
        <v>211475.95</v>
      </c>
      <c r="L544" s="1">
        <v>45240</v>
      </c>
      <c r="M544">
        <v>92</v>
      </c>
      <c r="N544" t="s">
        <v>1258</v>
      </c>
      <c r="O544" s="5">
        <v>45240</v>
      </c>
      <c r="P544" s="5">
        <v>43777</v>
      </c>
    </row>
    <row r="545" spans="1:16" x14ac:dyDescent="0.25">
      <c r="A545" t="s">
        <v>1259</v>
      </c>
      <c r="B545" t="str">
        <v>Dhampur Sugar Mills Limited</v>
      </c>
      <c r="C545" t="s">
        <v>14</v>
      </c>
      <c r="D545">
        <v>261.55</v>
      </c>
      <c r="E545">
        <v>265.05</v>
      </c>
      <c r="F545">
        <v>260</v>
      </c>
      <c r="G545" s="3">
        <v>261.45</v>
      </c>
      <c r="H545">
        <v>262</v>
      </c>
      <c r="I545">
        <v>261.55</v>
      </c>
      <c r="J545">
        <v>218066</v>
      </c>
      <c r="K545">
        <v>57161804.5</v>
      </c>
      <c r="L545" s="1">
        <v>45240</v>
      </c>
      <c r="M545">
        <v>6413</v>
      </c>
      <c r="N545" t="s">
        <v>1261</v>
      </c>
      <c r="O545" s="5">
        <v>45240</v>
      </c>
      <c r="P545" s="5">
        <v>43777</v>
      </c>
    </row>
    <row r="546" spans="1:16" x14ac:dyDescent="0.25">
      <c r="A546" t="s">
        <v>1262</v>
      </c>
      <c r="B546" t="str">
        <v>Dhanlaxmi Bank Limited</v>
      </c>
      <c r="C546" t="s">
        <v>14</v>
      </c>
      <c r="D546">
        <v>28</v>
      </c>
      <c r="E546">
        <v>28.7</v>
      </c>
      <c r="F546">
        <v>27.8</v>
      </c>
      <c r="G546" s="3">
        <v>28.15</v>
      </c>
      <c r="H546">
        <v>28.2</v>
      </c>
      <c r="I546">
        <v>29.1</v>
      </c>
      <c r="J546">
        <v>4720257</v>
      </c>
      <c r="K546">
        <v>132750407.8</v>
      </c>
      <c r="L546" s="1">
        <v>45240</v>
      </c>
      <c r="M546">
        <v>7918</v>
      </c>
      <c r="N546" t="s">
        <v>1264</v>
      </c>
      <c r="O546" s="5">
        <v>45240</v>
      </c>
      <c r="P546" s="5">
        <v>43777</v>
      </c>
    </row>
    <row r="547" spans="1:16" x14ac:dyDescent="0.25">
      <c r="A547" t="s">
        <v>1265</v>
      </c>
      <c r="B547" t="str">
        <v>Dhani Services Limited</v>
      </c>
      <c r="C547" t="s">
        <v>14</v>
      </c>
      <c r="D547">
        <v>39.950000000000003</v>
      </c>
      <c r="E547">
        <v>40.9</v>
      </c>
      <c r="F547">
        <v>39</v>
      </c>
      <c r="G547" s="3">
        <v>39.549999999999997</v>
      </c>
      <c r="H547">
        <v>39.700000000000003</v>
      </c>
      <c r="I547">
        <v>39.4</v>
      </c>
      <c r="J547">
        <v>545655</v>
      </c>
      <c r="K547">
        <v>21669306.75</v>
      </c>
      <c r="L547" s="1">
        <v>45240</v>
      </c>
      <c r="M547">
        <v>2438</v>
      </c>
      <c r="N547" t="s">
        <v>1267</v>
      </c>
      <c r="O547" s="5">
        <v>45240</v>
      </c>
      <c r="P547" s="5">
        <v>43777</v>
      </c>
    </row>
    <row r="548" spans="1:16" x14ac:dyDescent="0.25">
      <c r="A548" t="s">
        <v>6765</v>
      </c>
      <c r="B548" t="str">
        <v>Not Found</v>
      </c>
      <c r="C548" t="s">
        <v>6207</v>
      </c>
      <c r="D548">
        <v>1049.8</v>
      </c>
      <c r="E548">
        <v>1049.8</v>
      </c>
      <c r="F548">
        <v>1049</v>
      </c>
      <c r="G548" s="3">
        <v>1049</v>
      </c>
      <c r="H548">
        <v>1049</v>
      </c>
      <c r="I548">
        <v>1049</v>
      </c>
      <c r="J548">
        <v>6</v>
      </c>
      <c r="K548">
        <v>6294.8</v>
      </c>
      <c r="L548" s="1">
        <v>45240</v>
      </c>
      <c r="M548">
        <v>2</v>
      </c>
      <c r="N548" t="s">
        <v>6767</v>
      </c>
      <c r="O548" s="5">
        <v>45240</v>
      </c>
      <c r="P548" s="5">
        <v>43777</v>
      </c>
    </row>
    <row r="549" spans="1:16" x14ac:dyDescent="0.25">
      <c r="A549" t="s">
        <v>6765</v>
      </c>
      <c r="B549" t="str">
        <v>Not Found</v>
      </c>
      <c r="C549" t="s">
        <v>5874</v>
      </c>
      <c r="D549">
        <v>1563.01</v>
      </c>
      <c r="E549">
        <v>1565</v>
      </c>
      <c r="F549">
        <v>1563</v>
      </c>
      <c r="G549" s="3">
        <v>1563</v>
      </c>
      <c r="H549">
        <v>1563</v>
      </c>
      <c r="I549">
        <v>1575</v>
      </c>
      <c r="J549">
        <v>51</v>
      </c>
      <c r="K549">
        <v>79719.45</v>
      </c>
      <c r="L549" s="1">
        <v>45240</v>
      </c>
      <c r="M549">
        <v>4</v>
      </c>
      <c r="N549" t="s">
        <v>6766</v>
      </c>
      <c r="O549" s="5">
        <v>45240</v>
      </c>
      <c r="P549" s="5">
        <v>43777</v>
      </c>
    </row>
    <row r="550" spans="1:16" x14ac:dyDescent="0.25">
      <c r="A550" t="s">
        <v>6765</v>
      </c>
      <c r="B550" t="str">
        <v>Not Found</v>
      </c>
      <c r="C550" t="s">
        <v>6764</v>
      </c>
      <c r="D550">
        <v>1125</v>
      </c>
      <c r="E550">
        <v>1125</v>
      </c>
      <c r="F550">
        <v>1125</v>
      </c>
      <c r="G550" s="3">
        <v>1125</v>
      </c>
      <c r="H550">
        <v>1125</v>
      </c>
      <c r="I550">
        <v>1125</v>
      </c>
      <c r="J550">
        <v>1</v>
      </c>
      <c r="K550">
        <v>1125</v>
      </c>
      <c r="L550" s="1">
        <v>45240</v>
      </c>
      <c r="M550">
        <v>1</v>
      </c>
      <c r="N550" t="s">
        <v>6763</v>
      </c>
      <c r="O550" s="5">
        <v>45240</v>
      </c>
      <c r="P550" s="5">
        <v>43777</v>
      </c>
    </row>
    <row r="551" spans="1:16" x14ac:dyDescent="0.25">
      <c r="A551" t="s">
        <v>1268</v>
      </c>
      <c r="B551" t="str">
        <v>Dhanuka Agritech Limited</v>
      </c>
      <c r="C551" t="s">
        <v>14</v>
      </c>
      <c r="D551">
        <v>835</v>
      </c>
      <c r="E551">
        <v>849.95</v>
      </c>
      <c r="F551">
        <v>825</v>
      </c>
      <c r="G551" s="3">
        <v>829.85</v>
      </c>
      <c r="H551">
        <v>832</v>
      </c>
      <c r="I551">
        <v>832.6</v>
      </c>
      <c r="J551">
        <v>112141</v>
      </c>
      <c r="K551">
        <v>94168361.150000006</v>
      </c>
      <c r="L551" s="1">
        <v>45240</v>
      </c>
      <c r="M551">
        <v>11691</v>
      </c>
      <c r="N551" t="s">
        <v>1270</v>
      </c>
      <c r="O551" s="5">
        <v>45240</v>
      </c>
      <c r="P551" s="5">
        <v>43777</v>
      </c>
    </row>
    <row r="552" spans="1:16" x14ac:dyDescent="0.25">
      <c r="A552" t="s">
        <v>1271</v>
      </c>
      <c r="B552" t="str">
        <v>Dharmaj Crop Guard Limited</v>
      </c>
      <c r="C552" t="s">
        <v>14</v>
      </c>
      <c r="D552">
        <v>243.65</v>
      </c>
      <c r="E552">
        <v>248.5</v>
      </c>
      <c r="F552">
        <v>242.75</v>
      </c>
      <c r="G552" s="3">
        <v>245.1</v>
      </c>
      <c r="H552">
        <v>245.35</v>
      </c>
      <c r="I552">
        <v>244.3</v>
      </c>
      <c r="J552">
        <v>100846</v>
      </c>
      <c r="K552">
        <v>24741059.300000001</v>
      </c>
      <c r="L552" s="1">
        <v>45240</v>
      </c>
      <c r="M552">
        <v>3957</v>
      </c>
      <c r="N552" t="s">
        <v>1273</v>
      </c>
      <c r="O552" s="5">
        <v>45240</v>
      </c>
      <c r="P552" s="5">
        <v>43777</v>
      </c>
    </row>
    <row r="553" spans="1:16" x14ac:dyDescent="0.25">
      <c r="A553" t="s">
        <v>1274</v>
      </c>
      <c r="B553" t="str">
        <v>Dhruv Consultancy Services Limited</v>
      </c>
      <c r="C553" t="s">
        <v>14</v>
      </c>
      <c r="D553">
        <v>60.95</v>
      </c>
      <c r="E553">
        <v>61.8</v>
      </c>
      <c r="F553">
        <v>58.3</v>
      </c>
      <c r="G553" s="3">
        <v>59.2</v>
      </c>
      <c r="H553">
        <v>58.85</v>
      </c>
      <c r="I553">
        <v>60.3</v>
      </c>
      <c r="J553">
        <v>17025</v>
      </c>
      <c r="K553">
        <v>1015077.7</v>
      </c>
      <c r="L553" s="1">
        <v>45240</v>
      </c>
      <c r="M553">
        <v>435</v>
      </c>
      <c r="N553" t="s">
        <v>1276</v>
      </c>
      <c r="O553" s="5">
        <v>45240</v>
      </c>
      <c r="P553" s="5">
        <v>43777</v>
      </c>
    </row>
    <row r="554" spans="1:16" x14ac:dyDescent="0.25">
      <c r="A554" t="s">
        <v>1277</v>
      </c>
      <c r="B554" t="str">
        <v>Dhunseri Investments Limited</v>
      </c>
      <c r="C554" t="s">
        <v>14</v>
      </c>
      <c r="D554">
        <v>930</v>
      </c>
      <c r="E554">
        <v>954</v>
      </c>
      <c r="F554">
        <v>929</v>
      </c>
      <c r="G554" s="3">
        <v>933.6</v>
      </c>
      <c r="H554">
        <v>930.05</v>
      </c>
      <c r="I554">
        <v>919.75</v>
      </c>
      <c r="J554">
        <v>2918</v>
      </c>
      <c r="K554">
        <v>2739810.85</v>
      </c>
      <c r="L554" s="1">
        <v>45240</v>
      </c>
      <c r="M554">
        <v>308</v>
      </c>
      <c r="N554" t="s">
        <v>1279</v>
      </c>
      <c r="O554" s="5">
        <v>45240</v>
      </c>
      <c r="P554" s="5">
        <v>43777</v>
      </c>
    </row>
    <row r="555" spans="1:16" x14ac:dyDescent="0.25">
      <c r="A555" t="s">
        <v>1280</v>
      </c>
      <c r="B555" t="str">
        <v>Diamond Power Infrastructure Limited</v>
      </c>
      <c r="C555" t="s">
        <v>10</v>
      </c>
      <c r="D555">
        <v>83.95</v>
      </c>
      <c r="E555">
        <v>83.95</v>
      </c>
      <c r="F555">
        <v>83.95</v>
      </c>
      <c r="G555" s="3">
        <v>83.95</v>
      </c>
      <c r="H555">
        <v>83.95</v>
      </c>
      <c r="I555">
        <v>82.35</v>
      </c>
      <c r="J555">
        <v>10</v>
      </c>
      <c r="K555">
        <v>839.5</v>
      </c>
      <c r="L555" s="1">
        <v>45240</v>
      </c>
      <c r="M555">
        <v>4</v>
      </c>
      <c r="N555" t="s">
        <v>1282</v>
      </c>
      <c r="O555" s="5">
        <v>45240</v>
      </c>
      <c r="P555" s="5">
        <v>43777</v>
      </c>
    </row>
    <row r="556" spans="1:16" x14ac:dyDescent="0.25">
      <c r="A556" t="s">
        <v>1283</v>
      </c>
      <c r="B556" t="str">
        <v>Diamines &amp; Chemicals Limited</v>
      </c>
      <c r="C556" t="s">
        <v>14</v>
      </c>
      <c r="D556">
        <v>466.25</v>
      </c>
      <c r="E556">
        <v>497.95</v>
      </c>
      <c r="F556">
        <v>458.7</v>
      </c>
      <c r="G556" s="3">
        <v>474.55</v>
      </c>
      <c r="H556">
        <v>468.35</v>
      </c>
      <c r="I556">
        <v>466.1</v>
      </c>
      <c r="J556">
        <v>11328</v>
      </c>
      <c r="K556">
        <v>5426190.7000000002</v>
      </c>
      <c r="L556" s="1">
        <v>45240</v>
      </c>
      <c r="M556">
        <v>1807</v>
      </c>
      <c r="N556" t="s">
        <v>1285</v>
      </c>
      <c r="O556" s="5">
        <v>45240</v>
      </c>
      <c r="P556" s="5">
        <v>43777</v>
      </c>
    </row>
    <row r="557" spans="1:16" x14ac:dyDescent="0.25">
      <c r="A557" t="s">
        <v>1286</v>
      </c>
      <c r="B557" t="str">
        <v>Prataap Snacks Limited</v>
      </c>
      <c r="C557" t="s">
        <v>14</v>
      </c>
      <c r="D557">
        <v>807.35</v>
      </c>
      <c r="E557">
        <v>810</v>
      </c>
      <c r="F557">
        <v>795.95</v>
      </c>
      <c r="G557" s="3">
        <v>805.1</v>
      </c>
      <c r="H557">
        <v>802</v>
      </c>
      <c r="I557">
        <v>799.75</v>
      </c>
      <c r="J557">
        <v>8035</v>
      </c>
      <c r="K557">
        <v>6468742.75</v>
      </c>
      <c r="L557" s="1">
        <v>45240</v>
      </c>
      <c r="M557">
        <v>978</v>
      </c>
      <c r="N557" t="s">
        <v>1288</v>
      </c>
      <c r="O557" s="5">
        <v>45240</v>
      </c>
      <c r="P557" s="5">
        <v>43777</v>
      </c>
    </row>
    <row r="558" spans="1:16" x14ac:dyDescent="0.25">
      <c r="A558" t="s">
        <v>1289</v>
      </c>
      <c r="B558" t="str">
        <v>DIC India Limited</v>
      </c>
      <c r="C558" t="s">
        <v>14</v>
      </c>
      <c r="D558">
        <v>431</v>
      </c>
      <c r="E558">
        <v>445</v>
      </c>
      <c r="F558">
        <v>417.25</v>
      </c>
      <c r="G558" s="3">
        <v>434.9</v>
      </c>
      <c r="H558">
        <v>432</v>
      </c>
      <c r="I558">
        <v>422.85</v>
      </c>
      <c r="J558">
        <v>9139</v>
      </c>
      <c r="K558">
        <v>3977548.95</v>
      </c>
      <c r="L558" s="1">
        <v>45240</v>
      </c>
      <c r="M558">
        <v>749</v>
      </c>
      <c r="N558" t="s">
        <v>1291</v>
      </c>
      <c r="O558" s="5">
        <v>45240</v>
      </c>
      <c r="P558" s="5">
        <v>43777</v>
      </c>
    </row>
    <row r="559" spans="1:16" x14ac:dyDescent="0.25">
      <c r="A559" t="s">
        <v>6762</v>
      </c>
      <c r="B559" t="str">
        <v>Not Found</v>
      </c>
      <c r="C559" t="s">
        <v>5788</v>
      </c>
      <c r="D559">
        <v>309.25</v>
      </c>
      <c r="E559">
        <v>313.95</v>
      </c>
      <c r="F559">
        <v>300</v>
      </c>
      <c r="G559" s="3">
        <v>304.5</v>
      </c>
      <c r="H559">
        <v>303.10000000000002</v>
      </c>
      <c r="I559">
        <v>308.64999999999998</v>
      </c>
      <c r="J559">
        <v>75200</v>
      </c>
      <c r="K559">
        <v>23013600</v>
      </c>
      <c r="L559" s="1">
        <v>45240</v>
      </c>
      <c r="M559">
        <v>74</v>
      </c>
      <c r="N559" t="s">
        <v>6761</v>
      </c>
      <c r="O559" s="5">
        <v>45240</v>
      </c>
      <c r="P559" s="5">
        <v>43777</v>
      </c>
    </row>
    <row r="560" spans="1:16" x14ac:dyDescent="0.25">
      <c r="A560" t="s">
        <v>1292</v>
      </c>
      <c r="B560" t="str">
        <v>DiGiSPICE Technologies Limited</v>
      </c>
      <c r="C560" t="s">
        <v>14</v>
      </c>
      <c r="D560">
        <v>30.5</v>
      </c>
      <c r="E560">
        <v>31.7</v>
      </c>
      <c r="F560">
        <v>30.05</v>
      </c>
      <c r="G560" s="3">
        <v>30.2</v>
      </c>
      <c r="H560">
        <v>30.25</v>
      </c>
      <c r="I560">
        <v>31.6</v>
      </c>
      <c r="J560">
        <v>211768</v>
      </c>
      <c r="K560">
        <v>6526673.1500000004</v>
      </c>
      <c r="L560" s="1">
        <v>45240</v>
      </c>
      <c r="M560">
        <v>786</v>
      </c>
      <c r="N560" t="s">
        <v>1294</v>
      </c>
      <c r="O560" s="5">
        <v>45240</v>
      </c>
      <c r="P560" s="5">
        <v>43777</v>
      </c>
    </row>
    <row r="561" spans="1:16" x14ac:dyDescent="0.25">
      <c r="A561" t="s">
        <v>1295</v>
      </c>
      <c r="B561" t="str">
        <v>Digjam Limited</v>
      </c>
      <c r="C561" t="s">
        <v>10</v>
      </c>
      <c r="D561">
        <v>83</v>
      </c>
      <c r="E561">
        <v>85</v>
      </c>
      <c r="F561">
        <v>80.95</v>
      </c>
      <c r="G561" s="3">
        <v>83.55</v>
      </c>
      <c r="H561">
        <v>85</v>
      </c>
      <c r="I561">
        <v>83.2</v>
      </c>
      <c r="J561">
        <v>2543</v>
      </c>
      <c r="K561">
        <v>210642.05</v>
      </c>
      <c r="L561" s="1">
        <v>45240</v>
      </c>
      <c r="M561">
        <v>35</v>
      </c>
      <c r="N561" t="s">
        <v>1297</v>
      </c>
      <c r="O561" s="5">
        <v>45240</v>
      </c>
      <c r="P561" s="5">
        <v>43777</v>
      </c>
    </row>
    <row r="562" spans="1:16" x14ac:dyDescent="0.25">
      <c r="A562" t="s">
        <v>1298</v>
      </c>
      <c r="B562" t="str">
        <v>Debock Industries Limited</v>
      </c>
      <c r="C562" t="s">
        <v>10</v>
      </c>
      <c r="D562">
        <v>9.5</v>
      </c>
      <c r="E562">
        <v>9.5500000000000007</v>
      </c>
      <c r="F562">
        <v>9.4</v>
      </c>
      <c r="G562" s="3">
        <v>9.5</v>
      </c>
      <c r="H562">
        <v>9.5</v>
      </c>
      <c r="I562">
        <v>9.5500000000000007</v>
      </c>
      <c r="J562">
        <v>193027</v>
      </c>
      <c r="K562">
        <v>1831191.75</v>
      </c>
      <c r="L562" s="1">
        <v>45240</v>
      </c>
      <c r="M562">
        <v>301</v>
      </c>
      <c r="N562" t="s">
        <v>1300</v>
      </c>
      <c r="O562" s="5">
        <v>45240</v>
      </c>
      <c r="P562" s="5">
        <v>43777</v>
      </c>
    </row>
    <row r="563" spans="1:16" x14ac:dyDescent="0.25">
      <c r="A563" t="s">
        <v>1301</v>
      </c>
      <c r="B563" t="str">
        <v>Dish TV India Limited</v>
      </c>
      <c r="C563" t="s">
        <v>14</v>
      </c>
      <c r="D563">
        <v>17.8</v>
      </c>
      <c r="E563">
        <v>18.2</v>
      </c>
      <c r="F563">
        <v>17.5</v>
      </c>
      <c r="G563" s="3">
        <v>17.850000000000001</v>
      </c>
      <c r="H563">
        <v>17.850000000000001</v>
      </c>
      <c r="I563">
        <v>17.8</v>
      </c>
      <c r="J563">
        <v>11194741</v>
      </c>
      <c r="K563">
        <v>199694193.25</v>
      </c>
      <c r="L563" s="1">
        <v>45240</v>
      </c>
      <c r="M563">
        <v>9455</v>
      </c>
      <c r="N563" t="s">
        <v>1303</v>
      </c>
      <c r="O563" s="5">
        <v>45240</v>
      </c>
      <c r="P563" s="5">
        <v>43777</v>
      </c>
    </row>
    <row r="564" spans="1:16" x14ac:dyDescent="0.25">
      <c r="A564" t="s">
        <v>1304</v>
      </c>
      <c r="B564" t="str">
        <v>Divgi Torqtransfer Systems Limited</v>
      </c>
      <c r="C564" t="s">
        <v>14</v>
      </c>
      <c r="D564">
        <v>1067</v>
      </c>
      <c r="E564">
        <v>1067</v>
      </c>
      <c r="F564">
        <v>1047.2</v>
      </c>
      <c r="G564" s="3">
        <v>1057.0999999999999</v>
      </c>
      <c r="H564">
        <v>1059.95</v>
      </c>
      <c r="I564">
        <v>1057</v>
      </c>
      <c r="J564">
        <v>16589</v>
      </c>
      <c r="K564">
        <v>17517540.25</v>
      </c>
      <c r="L564" s="1">
        <v>45240</v>
      </c>
      <c r="M564">
        <v>3100</v>
      </c>
      <c r="N564" t="s">
        <v>1306</v>
      </c>
      <c r="O564" s="5">
        <v>45240</v>
      </c>
      <c r="P564" s="5">
        <v>43777</v>
      </c>
    </row>
    <row r="565" spans="1:16" x14ac:dyDescent="0.25">
      <c r="A565" t="s">
        <v>1307</v>
      </c>
      <c r="B565" t="str">
        <v>Divi's Laboratories Limited</v>
      </c>
      <c r="C565" t="s">
        <v>14</v>
      </c>
      <c r="D565">
        <v>3491.05</v>
      </c>
      <c r="E565">
        <v>3499</v>
      </c>
      <c r="F565">
        <v>3472.25</v>
      </c>
      <c r="G565" s="3">
        <v>3493.2</v>
      </c>
      <c r="H565">
        <v>3493.75</v>
      </c>
      <c r="I565">
        <v>3498.5</v>
      </c>
      <c r="J565">
        <v>121439</v>
      </c>
      <c r="K565">
        <v>423584698.10000002</v>
      </c>
      <c r="L565" s="1">
        <v>45240</v>
      </c>
      <c r="M565">
        <v>16604</v>
      </c>
      <c r="N565" t="s">
        <v>1309</v>
      </c>
      <c r="O565" s="5">
        <v>45240</v>
      </c>
      <c r="P565" s="5">
        <v>43777</v>
      </c>
    </row>
    <row r="566" spans="1:16" x14ac:dyDescent="0.25">
      <c r="A566" t="s">
        <v>6760</v>
      </c>
      <c r="B566" t="str">
        <v>Not Found</v>
      </c>
      <c r="C566" t="s">
        <v>14</v>
      </c>
      <c r="D566">
        <v>60.1</v>
      </c>
      <c r="E566">
        <v>60.1</v>
      </c>
      <c r="F566">
        <v>57.52</v>
      </c>
      <c r="G566" s="3">
        <v>58.55</v>
      </c>
      <c r="H566">
        <v>58.47</v>
      </c>
      <c r="I566">
        <v>58.36</v>
      </c>
      <c r="J566">
        <v>16921</v>
      </c>
      <c r="K566">
        <v>987566.05</v>
      </c>
      <c r="L566" s="1">
        <v>45240</v>
      </c>
      <c r="M566">
        <v>574</v>
      </c>
      <c r="N566" t="s">
        <v>6759</v>
      </c>
      <c r="O566" s="5">
        <v>45240</v>
      </c>
      <c r="P566" s="5">
        <v>43777</v>
      </c>
    </row>
    <row r="567" spans="1:16" x14ac:dyDescent="0.25">
      <c r="A567" t="s">
        <v>1310</v>
      </c>
      <c r="B567" t="str">
        <v>Dixon Technologies (India) Limited</v>
      </c>
      <c r="C567" t="s">
        <v>14</v>
      </c>
      <c r="D567">
        <v>5282.05</v>
      </c>
      <c r="E567">
        <v>5309.35</v>
      </c>
      <c r="F567">
        <v>5223.25</v>
      </c>
      <c r="G567" s="3">
        <v>5274.9</v>
      </c>
      <c r="H567">
        <v>5272</v>
      </c>
      <c r="I567">
        <v>5305.85</v>
      </c>
      <c r="J567">
        <v>269973</v>
      </c>
      <c r="K567">
        <v>1417634983.25</v>
      </c>
      <c r="L567" s="1">
        <v>45240</v>
      </c>
      <c r="M567">
        <v>30762</v>
      </c>
      <c r="N567" t="s">
        <v>1312</v>
      </c>
      <c r="O567" s="5">
        <v>45240</v>
      </c>
      <c r="P567" s="5">
        <v>43777</v>
      </c>
    </row>
    <row r="568" spans="1:16" x14ac:dyDescent="0.25">
      <c r="A568" t="s">
        <v>1313</v>
      </c>
      <c r="B568" t="str">
        <v>DJ Mediaprint &amp; Logistics Limited</v>
      </c>
      <c r="C568" t="s">
        <v>14</v>
      </c>
      <c r="D568">
        <v>159.15</v>
      </c>
      <c r="E568">
        <v>165.35</v>
      </c>
      <c r="F568">
        <v>157.25</v>
      </c>
      <c r="G568" s="3">
        <v>161.05000000000001</v>
      </c>
      <c r="H568">
        <v>161.1</v>
      </c>
      <c r="I568">
        <v>158.85</v>
      </c>
      <c r="J568">
        <v>10088</v>
      </c>
      <c r="K568">
        <v>1626893</v>
      </c>
      <c r="L568" s="1">
        <v>45240</v>
      </c>
      <c r="M568">
        <v>392</v>
      </c>
      <c r="N568" t="s">
        <v>1315</v>
      </c>
      <c r="O568" s="5">
        <v>45240</v>
      </c>
      <c r="P568" s="5">
        <v>43777</v>
      </c>
    </row>
    <row r="569" spans="1:16" x14ac:dyDescent="0.25">
      <c r="A569" t="s">
        <v>6758</v>
      </c>
      <c r="B569" t="str">
        <v>Not Found</v>
      </c>
      <c r="C569" t="s">
        <v>5788</v>
      </c>
      <c r="D569">
        <v>98</v>
      </c>
      <c r="E569">
        <v>98</v>
      </c>
      <c r="F569">
        <v>98</v>
      </c>
      <c r="G569" s="3">
        <v>98</v>
      </c>
      <c r="H569">
        <v>98</v>
      </c>
      <c r="I569">
        <v>85</v>
      </c>
      <c r="J569">
        <v>1500</v>
      </c>
      <c r="K569">
        <v>147000</v>
      </c>
      <c r="L569" s="1">
        <v>45240</v>
      </c>
      <c r="M569">
        <v>1</v>
      </c>
      <c r="N569" t="s">
        <v>6757</v>
      </c>
      <c r="O569" s="5">
        <v>45240</v>
      </c>
      <c r="P569" s="5">
        <v>43777</v>
      </c>
    </row>
    <row r="570" spans="1:16" x14ac:dyDescent="0.25">
      <c r="A570" t="s">
        <v>1316</v>
      </c>
      <c r="B570" t="str">
        <v>DLF Limited</v>
      </c>
      <c r="C570" t="s">
        <v>14</v>
      </c>
      <c r="D570">
        <v>598.9</v>
      </c>
      <c r="E570">
        <v>607.9</v>
      </c>
      <c r="F570">
        <v>595.1</v>
      </c>
      <c r="G570" s="3">
        <v>606.04999999999995</v>
      </c>
      <c r="H570">
        <v>605</v>
      </c>
      <c r="I570">
        <v>600.70000000000005</v>
      </c>
      <c r="J570">
        <v>3378490</v>
      </c>
      <c r="K570">
        <v>2038171222.95</v>
      </c>
      <c r="L570" s="1">
        <v>45240</v>
      </c>
      <c r="M570">
        <v>48127</v>
      </c>
      <c r="N570" t="s">
        <v>1318</v>
      </c>
      <c r="O570" s="5">
        <v>45240</v>
      </c>
      <c r="P570" s="5">
        <v>43777</v>
      </c>
    </row>
    <row r="571" spans="1:16" x14ac:dyDescent="0.25">
      <c r="A571" t="s">
        <v>1319</v>
      </c>
      <c r="B571" t="str">
        <v>D-Link (India) Limited</v>
      </c>
      <c r="C571" t="s">
        <v>14</v>
      </c>
      <c r="D571">
        <v>298</v>
      </c>
      <c r="E571">
        <v>303.8</v>
      </c>
      <c r="F571">
        <v>298</v>
      </c>
      <c r="G571" s="3">
        <v>301.89999999999998</v>
      </c>
      <c r="H571">
        <v>303.8</v>
      </c>
      <c r="I571">
        <v>299.89999999999998</v>
      </c>
      <c r="J571">
        <v>56870</v>
      </c>
      <c r="K571">
        <v>17123244.199999999</v>
      </c>
      <c r="L571" s="1">
        <v>45240</v>
      </c>
      <c r="M571">
        <v>2191</v>
      </c>
      <c r="N571" t="s">
        <v>1321</v>
      </c>
      <c r="O571" s="5">
        <v>45240</v>
      </c>
      <c r="P571" s="5">
        <v>43777</v>
      </c>
    </row>
    <row r="572" spans="1:16" x14ac:dyDescent="0.25">
      <c r="A572" t="s">
        <v>1322</v>
      </c>
      <c r="B572" t="str">
        <v>Avenue Supermarts Limited</v>
      </c>
      <c r="C572" t="s">
        <v>14</v>
      </c>
      <c r="D572">
        <v>3750</v>
      </c>
      <c r="E572">
        <v>3800</v>
      </c>
      <c r="F572">
        <v>3738.55</v>
      </c>
      <c r="G572" s="3">
        <v>3798.4</v>
      </c>
      <c r="H572">
        <v>3798.8</v>
      </c>
      <c r="I572">
        <v>3747.6</v>
      </c>
      <c r="J572">
        <v>205429</v>
      </c>
      <c r="K572">
        <v>776620677.25</v>
      </c>
      <c r="L572" s="1">
        <v>45240</v>
      </c>
      <c r="M572">
        <v>24159</v>
      </c>
      <c r="N572" t="s">
        <v>1324</v>
      </c>
      <c r="O572" s="5">
        <v>45240</v>
      </c>
      <c r="P572" s="5">
        <v>43777</v>
      </c>
    </row>
    <row r="573" spans="1:16" x14ac:dyDescent="0.25">
      <c r="A573" t="s">
        <v>1325</v>
      </c>
      <c r="B573" t="str">
        <v>DMCC SPECIALITY CHEMICALS LIMITED</v>
      </c>
      <c r="C573" t="s">
        <v>14</v>
      </c>
      <c r="D573">
        <v>301.95</v>
      </c>
      <c r="E573">
        <v>303.35000000000002</v>
      </c>
      <c r="F573">
        <v>291.5</v>
      </c>
      <c r="G573" s="3">
        <v>293.05</v>
      </c>
      <c r="H573">
        <v>293.05</v>
      </c>
      <c r="I573">
        <v>300.75</v>
      </c>
      <c r="J573">
        <v>11972</v>
      </c>
      <c r="K573">
        <v>3560683.05</v>
      </c>
      <c r="L573" s="1">
        <v>45240</v>
      </c>
      <c r="M573">
        <v>1084</v>
      </c>
      <c r="N573" t="s">
        <v>1327</v>
      </c>
      <c r="O573" s="5">
        <v>45240</v>
      </c>
      <c r="P573" s="5">
        <v>43777</v>
      </c>
    </row>
    <row r="574" spans="1:16" x14ac:dyDescent="0.25">
      <c r="A574" t="s">
        <v>1328</v>
      </c>
      <c r="B574" t="str">
        <v>Diligent Media Corporation Limited</v>
      </c>
      <c r="C574" t="s">
        <v>10</v>
      </c>
      <c r="D574">
        <v>4.55</v>
      </c>
      <c r="E574">
        <v>4.7</v>
      </c>
      <c r="F574">
        <v>4.55</v>
      </c>
      <c r="G574" s="3">
        <v>4.7</v>
      </c>
      <c r="H574">
        <v>4.7</v>
      </c>
      <c r="I574">
        <v>4.6500000000000004</v>
      </c>
      <c r="J574">
        <v>78506</v>
      </c>
      <c r="K574">
        <v>361217.2</v>
      </c>
      <c r="L574" s="1">
        <v>45240</v>
      </c>
      <c r="M574">
        <v>69</v>
      </c>
      <c r="N574" t="s">
        <v>1330</v>
      </c>
      <c r="O574" s="5">
        <v>45240</v>
      </c>
      <c r="P574" s="5">
        <v>43777</v>
      </c>
    </row>
    <row r="575" spans="1:16" x14ac:dyDescent="0.25">
      <c r="A575" t="s">
        <v>1331</v>
      </c>
      <c r="B575" t="str">
        <v>Dodla Dairy Limited</v>
      </c>
      <c r="C575" t="s">
        <v>14</v>
      </c>
      <c r="D575">
        <v>735</v>
      </c>
      <c r="E575">
        <v>749.95</v>
      </c>
      <c r="F575">
        <v>724.8</v>
      </c>
      <c r="G575" s="3">
        <v>745.85</v>
      </c>
      <c r="H575">
        <v>746.9</v>
      </c>
      <c r="I575">
        <v>735.7</v>
      </c>
      <c r="J575">
        <v>72367</v>
      </c>
      <c r="K575">
        <v>53549520.350000001</v>
      </c>
      <c r="L575" s="1">
        <v>45240</v>
      </c>
      <c r="M575">
        <v>6885</v>
      </c>
      <c r="N575" t="s">
        <v>1333</v>
      </c>
      <c r="O575" s="5">
        <v>45240</v>
      </c>
      <c r="P575" s="5">
        <v>43777</v>
      </c>
    </row>
    <row r="576" spans="1:16" x14ac:dyDescent="0.25">
      <c r="A576" t="s">
        <v>1334</v>
      </c>
      <c r="B576" t="str">
        <v>Dolat Algotech Limited</v>
      </c>
      <c r="C576" t="s">
        <v>14</v>
      </c>
      <c r="D576">
        <v>59.05</v>
      </c>
      <c r="E576">
        <v>62</v>
      </c>
      <c r="F576">
        <v>58.4</v>
      </c>
      <c r="G576" s="3">
        <v>60.85</v>
      </c>
      <c r="H576">
        <v>61.3</v>
      </c>
      <c r="I576">
        <v>58.45</v>
      </c>
      <c r="J576">
        <v>597771</v>
      </c>
      <c r="K576">
        <v>35973508.799999997</v>
      </c>
      <c r="L576" s="1">
        <v>45240</v>
      </c>
      <c r="M576">
        <v>2669</v>
      </c>
      <c r="N576" t="s">
        <v>1336</v>
      </c>
      <c r="O576" s="5">
        <v>45240</v>
      </c>
      <c r="P576" s="5">
        <v>43777</v>
      </c>
    </row>
    <row r="577" spans="1:16" x14ac:dyDescent="0.25">
      <c r="A577" t="s">
        <v>1337</v>
      </c>
      <c r="B577" t="str">
        <v>Dollar Industries Limited</v>
      </c>
      <c r="C577" t="s">
        <v>14</v>
      </c>
      <c r="D577">
        <v>454.9</v>
      </c>
      <c r="E577">
        <v>455.95</v>
      </c>
      <c r="F577">
        <v>428.95</v>
      </c>
      <c r="G577" s="3">
        <v>438.4</v>
      </c>
      <c r="H577">
        <v>441.95</v>
      </c>
      <c r="I577">
        <v>454.5</v>
      </c>
      <c r="J577">
        <v>160327</v>
      </c>
      <c r="K577">
        <v>71130914.75</v>
      </c>
      <c r="L577" s="1">
        <v>45240</v>
      </c>
      <c r="M577">
        <v>6836</v>
      </c>
      <c r="N577" t="s">
        <v>1339</v>
      </c>
      <c r="O577" s="5">
        <v>45240</v>
      </c>
      <c r="P577" s="5">
        <v>43777</v>
      </c>
    </row>
    <row r="578" spans="1:16" x14ac:dyDescent="0.25">
      <c r="A578" t="s">
        <v>6756</v>
      </c>
      <c r="B578" t="str">
        <v>Not Found</v>
      </c>
      <c r="C578" t="s">
        <v>5788</v>
      </c>
      <c r="D578">
        <v>44</v>
      </c>
      <c r="E578">
        <v>44</v>
      </c>
      <c r="F578">
        <v>41.25</v>
      </c>
      <c r="G578" s="3">
        <v>43.85</v>
      </c>
      <c r="H578">
        <v>43.85</v>
      </c>
      <c r="I578">
        <v>43.35</v>
      </c>
      <c r="J578">
        <v>32000</v>
      </c>
      <c r="K578">
        <v>1387200</v>
      </c>
      <c r="L578" s="1">
        <v>45240</v>
      </c>
      <c r="M578">
        <v>8</v>
      </c>
      <c r="N578" t="s">
        <v>6755</v>
      </c>
      <c r="O578" s="5">
        <v>45240</v>
      </c>
      <c r="P578" s="5">
        <v>43777</v>
      </c>
    </row>
    <row r="579" spans="1:16" x14ac:dyDescent="0.25">
      <c r="A579" t="s">
        <v>1340</v>
      </c>
      <c r="B579" t="str">
        <v>Dolphin Offshore Enterprises (India) Limited</v>
      </c>
      <c r="C579" t="s">
        <v>10</v>
      </c>
      <c r="D579">
        <v>668.45</v>
      </c>
      <c r="E579">
        <v>668.45</v>
      </c>
      <c r="F579">
        <v>668.45</v>
      </c>
      <c r="G579" s="3">
        <v>668.45</v>
      </c>
      <c r="H579">
        <v>668.45</v>
      </c>
      <c r="I579">
        <v>655.35</v>
      </c>
      <c r="J579">
        <v>32</v>
      </c>
      <c r="K579">
        <v>21390.400000000001</v>
      </c>
      <c r="L579" s="1">
        <v>45240</v>
      </c>
      <c r="M579">
        <v>2</v>
      </c>
      <c r="N579" t="s">
        <v>1342</v>
      </c>
      <c r="O579" s="5">
        <v>45240</v>
      </c>
      <c r="P579" s="5">
        <v>43777</v>
      </c>
    </row>
    <row r="580" spans="1:16" x14ac:dyDescent="0.25">
      <c r="A580" t="s">
        <v>1343</v>
      </c>
      <c r="B580" t="str">
        <v>Donear Industries Limited</v>
      </c>
      <c r="C580" t="s">
        <v>14</v>
      </c>
      <c r="D580">
        <v>93.9</v>
      </c>
      <c r="E580">
        <v>95.9</v>
      </c>
      <c r="F580">
        <v>93</v>
      </c>
      <c r="G580" s="3">
        <v>93.85</v>
      </c>
      <c r="H580">
        <v>94.05</v>
      </c>
      <c r="I580">
        <v>93.35</v>
      </c>
      <c r="J580">
        <v>212081</v>
      </c>
      <c r="K580">
        <v>19976681.949999999</v>
      </c>
      <c r="L580" s="1">
        <v>45240</v>
      </c>
      <c r="M580">
        <v>2169</v>
      </c>
      <c r="N580" t="s">
        <v>1345</v>
      </c>
      <c r="O580" s="5">
        <v>45240</v>
      </c>
      <c r="P580" s="5">
        <v>43777</v>
      </c>
    </row>
    <row r="581" spans="1:16" x14ac:dyDescent="0.25">
      <c r="A581" t="s">
        <v>1346</v>
      </c>
      <c r="B581" t="str">
        <v>D. P. Abhushan Limited</v>
      </c>
      <c r="C581" t="s">
        <v>14</v>
      </c>
      <c r="D581">
        <v>634</v>
      </c>
      <c r="E581">
        <v>652.95000000000005</v>
      </c>
      <c r="F581">
        <v>620.04999999999995</v>
      </c>
      <c r="G581" s="3">
        <v>628.79999999999995</v>
      </c>
      <c r="H581">
        <v>630.70000000000005</v>
      </c>
      <c r="I581">
        <v>622.45000000000005</v>
      </c>
      <c r="J581">
        <v>16262</v>
      </c>
      <c r="K581">
        <v>10349833.050000001</v>
      </c>
      <c r="L581" s="1">
        <v>45240</v>
      </c>
      <c r="M581">
        <v>1035</v>
      </c>
      <c r="N581" t="s">
        <v>1348</v>
      </c>
      <c r="O581" s="5">
        <v>45240</v>
      </c>
      <c r="P581" s="5">
        <v>43777</v>
      </c>
    </row>
    <row r="582" spans="1:16" x14ac:dyDescent="0.25">
      <c r="A582" t="s">
        <v>1349</v>
      </c>
      <c r="B582" t="str">
        <v>DPSC Limited</v>
      </c>
      <c r="C582" t="s">
        <v>14</v>
      </c>
      <c r="D582">
        <v>22.05</v>
      </c>
      <c r="E582">
        <v>24</v>
      </c>
      <c r="F582">
        <v>21</v>
      </c>
      <c r="G582" s="3">
        <v>22.55</v>
      </c>
      <c r="H582">
        <v>22.55</v>
      </c>
      <c r="I582">
        <v>20.5</v>
      </c>
      <c r="J582">
        <v>15216519</v>
      </c>
      <c r="K582">
        <v>341142435.69999999</v>
      </c>
      <c r="L582" s="1">
        <v>45240</v>
      </c>
      <c r="M582">
        <v>20203</v>
      </c>
      <c r="N582" t="s">
        <v>1351</v>
      </c>
      <c r="O582" s="5">
        <v>45240</v>
      </c>
      <c r="P582" s="5">
        <v>43777</v>
      </c>
    </row>
    <row r="583" spans="1:16" x14ac:dyDescent="0.25">
      <c r="A583" t="s">
        <v>1352</v>
      </c>
      <c r="B583" t="str">
        <v>D P Wires Limited</v>
      </c>
      <c r="C583" t="s">
        <v>14</v>
      </c>
      <c r="D583">
        <v>595.29999999999995</v>
      </c>
      <c r="E583">
        <v>617.85</v>
      </c>
      <c r="F583">
        <v>591</v>
      </c>
      <c r="G583" s="3">
        <v>599</v>
      </c>
      <c r="H583">
        <v>599.5</v>
      </c>
      <c r="I583">
        <v>625.4</v>
      </c>
      <c r="J583">
        <v>143479</v>
      </c>
      <c r="K583">
        <v>86881666.049999997</v>
      </c>
      <c r="L583" s="1">
        <v>45240</v>
      </c>
      <c r="M583">
        <v>14681</v>
      </c>
      <c r="N583" t="s">
        <v>1354</v>
      </c>
      <c r="O583" s="5">
        <v>45240</v>
      </c>
      <c r="P583" s="5">
        <v>43777</v>
      </c>
    </row>
    <row r="584" spans="1:16" x14ac:dyDescent="0.25">
      <c r="A584" t="s">
        <v>1355</v>
      </c>
      <c r="B584" t="str">
        <v>DRC Systems India Limited</v>
      </c>
      <c r="C584" t="s">
        <v>14</v>
      </c>
      <c r="D584">
        <v>41.4</v>
      </c>
      <c r="E584">
        <v>41.95</v>
      </c>
      <c r="F584">
        <v>40.6</v>
      </c>
      <c r="G584" s="3">
        <v>40.950000000000003</v>
      </c>
      <c r="H584">
        <v>41</v>
      </c>
      <c r="I584">
        <v>41.4</v>
      </c>
      <c r="J584">
        <v>15933</v>
      </c>
      <c r="K584">
        <v>652670.94999999995</v>
      </c>
      <c r="L584" s="1">
        <v>45240</v>
      </c>
      <c r="M584">
        <v>206</v>
      </c>
      <c r="N584" t="s">
        <v>1357</v>
      </c>
      <c r="O584" s="5">
        <v>45240</v>
      </c>
      <c r="P584" s="5">
        <v>43777</v>
      </c>
    </row>
    <row r="585" spans="1:16" x14ac:dyDescent="0.25">
      <c r="A585" t="s">
        <v>1358</v>
      </c>
      <c r="B585" t="str">
        <v>Dreamfolks Services Limited</v>
      </c>
      <c r="C585" t="s">
        <v>14</v>
      </c>
      <c r="D585">
        <v>509.7</v>
      </c>
      <c r="E585">
        <v>509.7</v>
      </c>
      <c r="F585">
        <v>501.85</v>
      </c>
      <c r="G585" s="3">
        <v>503.8</v>
      </c>
      <c r="H585">
        <v>503.5</v>
      </c>
      <c r="I585">
        <v>510.1</v>
      </c>
      <c r="J585">
        <v>122134</v>
      </c>
      <c r="K585">
        <v>61726450.100000001</v>
      </c>
      <c r="L585" s="1">
        <v>45240</v>
      </c>
      <c r="M585">
        <v>7882</v>
      </c>
      <c r="N585" t="s">
        <v>1360</v>
      </c>
      <c r="O585" s="5">
        <v>45240</v>
      </c>
      <c r="P585" s="5">
        <v>43777</v>
      </c>
    </row>
    <row r="586" spans="1:16" x14ac:dyDescent="0.25">
      <c r="A586" t="s">
        <v>1361</v>
      </c>
      <c r="B586" t="str">
        <v>Dredging Corporation of India Limited</v>
      </c>
      <c r="C586" t="s">
        <v>14</v>
      </c>
      <c r="D586">
        <v>474.05</v>
      </c>
      <c r="E586">
        <v>485.3</v>
      </c>
      <c r="F586">
        <v>474.05</v>
      </c>
      <c r="G586" s="3">
        <v>483.9</v>
      </c>
      <c r="H586">
        <v>482.85</v>
      </c>
      <c r="I586">
        <v>477.7</v>
      </c>
      <c r="J586">
        <v>70702</v>
      </c>
      <c r="K586">
        <v>34045532.600000001</v>
      </c>
      <c r="L586" s="1">
        <v>45240</v>
      </c>
      <c r="M586">
        <v>4544</v>
      </c>
      <c r="N586" t="s">
        <v>1363</v>
      </c>
      <c r="O586" s="5">
        <v>45240</v>
      </c>
      <c r="P586" s="5">
        <v>43777</v>
      </c>
    </row>
    <row r="587" spans="1:16" x14ac:dyDescent="0.25">
      <c r="A587" t="s">
        <v>6754</v>
      </c>
      <c r="B587" t="str">
        <v>Not Found</v>
      </c>
      <c r="C587" t="s">
        <v>5788</v>
      </c>
      <c r="D587">
        <v>148.05000000000001</v>
      </c>
      <c r="E587">
        <v>153</v>
      </c>
      <c r="F587">
        <v>146.05000000000001</v>
      </c>
      <c r="G587" s="3">
        <v>149.1</v>
      </c>
      <c r="H587">
        <v>151.65</v>
      </c>
      <c r="I587">
        <v>148.75</v>
      </c>
      <c r="J587">
        <v>106000</v>
      </c>
      <c r="K587">
        <v>15945650</v>
      </c>
      <c r="L587" s="1">
        <v>45240</v>
      </c>
      <c r="M587">
        <v>104</v>
      </c>
      <c r="N587" t="s">
        <v>6753</v>
      </c>
      <c r="O587" s="5">
        <v>45240</v>
      </c>
      <c r="P587" s="5">
        <v>43777</v>
      </c>
    </row>
    <row r="588" spans="1:16" x14ac:dyDescent="0.25">
      <c r="A588" t="s">
        <v>1364</v>
      </c>
      <c r="B588" t="str">
        <v>Dr. Reddy's Laboratories Limited</v>
      </c>
      <c r="C588" t="s">
        <v>14</v>
      </c>
      <c r="D588">
        <v>5439.95</v>
      </c>
      <c r="E588">
        <v>5450.7</v>
      </c>
      <c r="F588">
        <v>5372</v>
      </c>
      <c r="G588" s="3">
        <v>5424.9</v>
      </c>
      <c r="H588">
        <v>5423.8</v>
      </c>
      <c r="I588">
        <v>5457.95</v>
      </c>
      <c r="J588">
        <v>228984</v>
      </c>
      <c r="K588">
        <v>1240259187.5999999</v>
      </c>
      <c r="L588" s="1">
        <v>45240</v>
      </c>
      <c r="M588">
        <v>27559</v>
      </c>
      <c r="N588" t="s">
        <v>1366</v>
      </c>
      <c r="O588" s="5">
        <v>45240</v>
      </c>
      <c r="P588" s="5">
        <v>43777</v>
      </c>
    </row>
    <row r="589" spans="1:16" x14ac:dyDescent="0.25">
      <c r="A589" t="s">
        <v>6752</v>
      </c>
      <c r="B589" t="str">
        <v>Not Found</v>
      </c>
      <c r="C589" t="s">
        <v>14</v>
      </c>
      <c r="D589">
        <v>45.93</v>
      </c>
      <c r="E589">
        <v>45.93</v>
      </c>
      <c r="F589">
        <v>43.8</v>
      </c>
      <c r="G589" s="3">
        <v>44.19</v>
      </c>
      <c r="H589">
        <v>44.22</v>
      </c>
      <c r="I589">
        <v>43.94</v>
      </c>
      <c r="J589">
        <v>556</v>
      </c>
      <c r="K589">
        <v>24460.1</v>
      </c>
      <c r="L589" s="1">
        <v>45240</v>
      </c>
      <c r="M589">
        <v>70</v>
      </c>
      <c r="N589" t="s">
        <v>6751</v>
      </c>
      <c r="O589" s="5">
        <v>45240</v>
      </c>
      <c r="P589" s="5">
        <v>43777</v>
      </c>
    </row>
    <row r="590" spans="1:16" x14ac:dyDescent="0.25">
      <c r="A590" t="s">
        <v>6750</v>
      </c>
      <c r="B590" t="str">
        <v>Not Found</v>
      </c>
      <c r="C590" t="s">
        <v>14</v>
      </c>
      <c r="D590">
        <v>60.2</v>
      </c>
      <c r="E590">
        <v>60.2</v>
      </c>
      <c r="F590">
        <v>59.9</v>
      </c>
      <c r="G590" s="3">
        <v>59.95</v>
      </c>
      <c r="H590">
        <v>60.15</v>
      </c>
      <c r="I590">
        <v>59.9</v>
      </c>
      <c r="J590">
        <v>24990</v>
      </c>
      <c r="K590">
        <v>1501682.65</v>
      </c>
      <c r="L590" s="1">
        <v>45240</v>
      </c>
      <c r="M590">
        <v>87</v>
      </c>
      <c r="N590" t="s">
        <v>6749</v>
      </c>
      <c r="O590" s="5">
        <v>45240</v>
      </c>
      <c r="P590" s="5">
        <v>43777</v>
      </c>
    </row>
    <row r="591" spans="1:16" x14ac:dyDescent="0.25">
      <c r="A591" t="s">
        <v>6748</v>
      </c>
      <c r="B591" t="str">
        <v>Not Found</v>
      </c>
      <c r="C591" t="s">
        <v>14</v>
      </c>
      <c r="D591">
        <v>30.8</v>
      </c>
      <c r="E591">
        <v>30.92</v>
      </c>
      <c r="F591">
        <v>30.68</v>
      </c>
      <c r="G591" s="3">
        <v>30.87</v>
      </c>
      <c r="H591">
        <v>30.85</v>
      </c>
      <c r="I591">
        <v>31.02</v>
      </c>
      <c r="J591">
        <v>4671</v>
      </c>
      <c r="K591">
        <v>143900.48000000001</v>
      </c>
      <c r="L591" s="1">
        <v>45240</v>
      </c>
      <c r="M591">
        <v>64</v>
      </c>
      <c r="N591" t="s">
        <v>6747</v>
      </c>
      <c r="O591" s="5">
        <v>45240</v>
      </c>
      <c r="P591" s="5">
        <v>43777</v>
      </c>
    </row>
    <row r="592" spans="1:16" x14ac:dyDescent="0.25">
      <c r="A592" t="s">
        <v>6746</v>
      </c>
      <c r="B592" t="str">
        <v>Not Found</v>
      </c>
      <c r="C592" t="s">
        <v>14</v>
      </c>
      <c r="D592">
        <v>197.56</v>
      </c>
      <c r="E592">
        <v>198.32</v>
      </c>
      <c r="F592">
        <v>197.31</v>
      </c>
      <c r="G592" s="3">
        <v>198.32</v>
      </c>
      <c r="H592">
        <v>198.32</v>
      </c>
      <c r="I592">
        <v>197.96</v>
      </c>
      <c r="J592">
        <v>202</v>
      </c>
      <c r="K592">
        <v>39967.54</v>
      </c>
      <c r="L592" s="1">
        <v>45240</v>
      </c>
      <c r="M592">
        <v>22</v>
      </c>
      <c r="N592" t="s">
        <v>6745</v>
      </c>
      <c r="O592" s="5">
        <v>45240</v>
      </c>
      <c r="P592" s="5">
        <v>43777</v>
      </c>
    </row>
    <row r="593" spans="1:16" x14ac:dyDescent="0.25">
      <c r="A593" t="s">
        <v>6744</v>
      </c>
      <c r="B593" t="str">
        <v>Not Found</v>
      </c>
      <c r="C593" t="s">
        <v>14</v>
      </c>
      <c r="D593">
        <v>240.36</v>
      </c>
      <c r="E593">
        <v>245</v>
      </c>
      <c r="F593">
        <v>239.81</v>
      </c>
      <c r="G593" s="3">
        <v>240.51</v>
      </c>
      <c r="H593">
        <v>242</v>
      </c>
      <c r="I593">
        <v>245</v>
      </c>
      <c r="J593">
        <v>15486</v>
      </c>
      <c r="K593">
        <v>3724125.96</v>
      </c>
      <c r="L593" s="1">
        <v>45240</v>
      </c>
      <c r="M593">
        <v>132</v>
      </c>
      <c r="N593" t="s">
        <v>6743</v>
      </c>
      <c r="O593" s="5">
        <v>45240</v>
      </c>
      <c r="P593" s="5">
        <v>43777</v>
      </c>
    </row>
    <row r="594" spans="1:16" x14ac:dyDescent="0.25">
      <c r="A594" t="s">
        <v>6742</v>
      </c>
      <c r="B594" t="str">
        <v>Not Found</v>
      </c>
      <c r="C594" t="s">
        <v>14</v>
      </c>
      <c r="D594">
        <v>49.8</v>
      </c>
      <c r="E594">
        <v>50.01</v>
      </c>
      <c r="F594">
        <v>49.8</v>
      </c>
      <c r="G594" s="3">
        <v>50.01</v>
      </c>
      <c r="H594">
        <v>50.01</v>
      </c>
      <c r="I594">
        <v>49.41</v>
      </c>
      <c r="J594">
        <v>4047</v>
      </c>
      <c r="K594">
        <v>202388.71</v>
      </c>
      <c r="L594" s="1">
        <v>45240</v>
      </c>
      <c r="M594">
        <v>16</v>
      </c>
      <c r="N594" t="s">
        <v>6741</v>
      </c>
      <c r="O594" s="5">
        <v>45240</v>
      </c>
      <c r="P594" s="5">
        <v>43777</v>
      </c>
    </row>
    <row r="595" spans="1:16" x14ac:dyDescent="0.25">
      <c r="A595" t="s">
        <v>6740</v>
      </c>
      <c r="B595" t="str">
        <v>Not Found</v>
      </c>
      <c r="C595" t="s">
        <v>14</v>
      </c>
      <c r="D595">
        <v>22.79</v>
      </c>
      <c r="E595">
        <v>22.88</v>
      </c>
      <c r="F595">
        <v>22.69</v>
      </c>
      <c r="G595" s="3">
        <v>22.88</v>
      </c>
      <c r="H595">
        <v>22.88</v>
      </c>
      <c r="I595">
        <v>22.84</v>
      </c>
      <c r="J595">
        <v>8559</v>
      </c>
      <c r="K595">
        <v>194395.26</v>
      </c>
      <c r="L595" s="1">
        <v>45240</v>
      </c>
      <c r="M595">
        <v>32</v>
      </c>
      <c r="N595" t="s">
        <v>6739</v>
      </c>
      <c r="O595" s="5">
        <v>45240</v>
      </c>
      <c r="P595" s="5">
        <v>43777</v>
      </c>
    </row>
    <row r="596" spans="1:16" x14ac:dyDescent="0.25">
      <c r="A596" t="s">
        <v>6738</v>
      </c>
      <c r="B596" t="str">
        <v>Not Found</v>
      </c>
      <c r="C596" t="s">
        <v>14</v>
      </c>
      <c r="D596">
        <v>191.32</v>
      </c>
      <c r="E596">
        <v>191.4</v>
      </c>
      <c r="F596">
        <v>189.9</v>
      </c>
      <c r="G596" s="3">
        <v>190.32</v>
      </c>
      <c r="H596">
        <v>191.13</v>
      </c>
      <c r="I596">
        <v>191.7</v>
      </c>
      <c r="J596">
        <v>4454</v>
      </c>
      <c r="K596">
        <v>848105.88</v>
      </c>
      <c r="L596" s="1">
        <v>45240</v>
      </c>
      <c r="M596">
        <v>71</v>
      </c>
      <c r="N596" t="s">
        <v>6737</v>
      </c>
      <c r="O596" s="5">
        <v>45240</v>
      </c>
      <c r="P596" s="5">
        <v>43777</v>
      </c>
    </row>
    <row r="597" spans="1:16" x14ac:dyDescent="0.25">
      <c r="A597" t="s">
        <v>6736</v>
      </c>
      <c r="B597" t="str">
        <v>Not Found</v>
      </c>
      <c r="C597" t="s">
        <v>14</v>
      </c>
      <c r="D597">
        <v>66.13</v>
      </c>
      <c r="E597">
        <v>66.13</v>
      </c>
      <c r="F597">
        <v>64.599999999999994</v>
      </c>
      <c r="G597" s="3">
        <v>64.95</v>
      </c>
      <c r="H597">
        <v>64.95</v>
      </c>
      <c r="I597">
        <v>64.83</v>
      </c>
      <c r="J597">
        <v>54</v>
      </c>
      <c r="K597">
        <v>3514.24</v>
      </c>
      <c r="L597" s="1">
        <v>45240</v>
      </c>
      <c r="M597">
        <v>13</v>
      </c>
      <c r="N597" t="s">
        <v>6735</v>
      </c>
      <c r="O597" s="5">
        <v>45240</v>
      </c>
      <c r="P597" s="5">
        <v>43777</v>
      </c>
    </row>
    <row r="598" spans="1:16" x14ac:dyDescent="0.25">
      <c r="A598" t="s">
        <v>6734</v>
      </c>
      <c r="B598" t="str">
        <v>Not Found</v>
      </c>
      <c r="C598" t="s">
        <v>14</v>
      </c>
      <c r="D598">
        <v>69.8</v>
      </c>
      <c r="E598">
        <v>70.39</v>
      </c>
      <c r="F598">
        <v>69.8</v>
      </c>
      <c r="G598" s="3">
        <v>70.11</v>
      </c>
      <c r="H598">
        <v>70.099999999999994</v>
      </c>
      <c r="I598">
        <v>69.569999999999993</v>
      </c>
      <c r="J598">
        <v>318041</v>
      </c>
      <c r="K598">
        <v>22321174.670000002</v>
      </c>
      <c r="L598" s="1">
        <v>45240</v>
      </c>
      <c r="M598">
        <v>89</v>
      </c>
      <c r="N598" t="s">
        <v>6733</v>
      </c>
      <c r="O598" s="5">
        <v>45240</v>
      </c>
      <c r="P598" s="5">
        <v>43777</v>
      </c>
    </row>
    <row r="599" spans="1:16" x14ac:dyDescent="0.25">
      <c r="A599" t="s">
        <v>1367</v>
      </c>
      <c r="B599" t="str">
        <v>Dynacons Systems &amp; Solutions Limited</v>
      </c>
      <c r="C599" t="s">
        <v>14</v>
      </c>
      <c r="D599">
        <v>656.95</v>
      </c>
      <c r="E599">
        <v>675</v>
      </c>
      <c r="F599">
        <v>656.95</v>
      </c>
      <c r="G599" s="3">
        <v>666.5</v>
      </c>
      <c r="H599">
        <v>670</v>
      </c>
      <c r="I599">
        <v>656.95</v>
      </c>
      <c r="J599">
        <v>20017</v>
      </c>
      <c r="K599">
        <v>13347172.800000001</v>
      </c>
      <c r="L599" s="1">
        <v>45240</v>
      </c>
      <c r="M599">
        <v>2162</v>
      </c>
      <c r="N599" t="s">
        <v>1369</v>
      </c>
      <c r="O599" s="5">
        <v>45240</v>
      </c>
      <c r="P599" s="5">
        <v>43777</v>
      </c>
    </row>
    <row r="600" spans="1:16" x14ac:dyDescent="0.25">
      <c r="A600" t="s">
        <v>1370</v>
      </c>
      <c r="B600" t="str">
        <v>Dhunseri Tea &amp; Industries Limited</v>
      </c>
      <c r="C600" t="s">
        <v>14</v>
      </c>
      <c r="D600">
        <v>217.2</v>
      </c>
      <c r="E600">
        <v>221.8</v>
      </c>
      <c r="F600">
        <v>216.05</v>
      </c>
      <c r="G600" s="3">
        <v>218.2</v>
      </c>
      <c r="H600">
        <v>218.25</v>
      </c>
      <c r="I600">
        <v>224.05</v>
      </c>
      <c r="J600">
        <v>11056</v>
      </c>
      <c r="K600">
        <v>2420445.7000000002</v>
      </c>
      <c r="L600" s="1">
        <v>45240</v>
      </c>
      <c r="M600">
        <v>439</v>
      </c>
      <c r="N600" t="s">
        <v>1372</v>
      </c>
      <c r="O600" s="5">
        <v>45240</v>
      </c>
      <c r="P600" s="5">
        <v>43777</v>
      </c>
    </row>
    <row r="601" spans="1:16" x14ac:dyDescent="0.25">
      <c r="A601" t="s">
        <v>6732</v>
      </c>
      <c r="B601" t="str">
        <v>Not Found</v>
      </c>
      <c r="C601" t="s">
        <v>5788</v>
      </c>
      <c r="D601">
        <v>135</v>
      </c>
      <c r="E601">
        <v>146</v>
      </c>
      <c r="F601">
        <v>134</v>
      </c>
      <c r="G601" s="3">
        <v>142</v>
      </c>
      <c r="H601">
        <v>142</v>
      </c>
      <c r="I601">
        <v>134.5</v>
      </c>
      <c r="J601">
        <v>88000</v>
      </c>
      <c r="K601">
        <v>11914680</v>
      </c>
      <c r="L601" s="1">
        <v>45240</v>
      </c>
      <c r="M601">
        <v>70</v>
      </c>
      <c r="N601" t="s">
        <v>6731</v>
      </c>
      <c r="O601" s="5">
        <v>45240</v>
      </c>
      <c r="P601" s="5">
        <v>43777</v>
      </c>
    </row>
    <row r="602" spans="1:16" x14ac:dyDescent="0.25">
      <c r="A602" t="s">
        <v>1373</v>
      </c>
      <c r="B602" t="str">
        <v>Ducon Infratechnologies Limited</v>
      </c>
      <c r="C602" t="s">
        <v>14</v>
      </c>
      <c r="D602">
        <v>8.1999999999999993</v>
      </c>
      <c r="E602">
        <v>8.3000000000000007</v>
      </c>
      <c r="F602">
        <v>7.6</v>
      </c>
      <c r="G602" s="3">
        <v>8.3000000000000007</v>
      </c>
      <c r="H602">
        <v>8.3000000000000007</v>
      </c>
      <c r="I602">
        <v>7.95</v>
      </c>
      <c r="J602">
        <v>1247062</v>
      </c>
      <c r="K602">
        <v>10160851.4</v>
      </c>
      <c r="L602" s="1">
        <v>45240</v>
      </c>
      <c r="M602">
        <v>1673</v>
      </c>
      <c r="N602" t="s">
        <v>1375</v>
      </c>
      <c r="O602" s="5">
        <v>45240</v>
      </c>
      <c r="P602" s="5">
        <v>43777</v>
      </c>
    </row>
    <row r="603" spans="1:16" x14ac:dyDescent="0.25">
      <c r="A603" t="s">
        <v>6730</v>
      </c>
      <c r="B603" t="str">
        <v>Not Found</v>
      </c>
      <c r="C603" t="s">
        <v>5788</v>
      </c>
      <c r="D603">
        <v>50</v>
      </c>
      <c r="E603">
        <v>50</v>
      </c>
      <c r="F603">
        <v>48.1</v>
      </c>
      <c r="G603" s="3">
        <v>48.1</v>
      </c>
      <c r="H603">
        <v>48.1</v>
      </c>
      <c r="I603">
        <v>51</v>
      </c>
      <c r="J603">
        <v>12500</v>
      </c>
      <c r="K603">
        <v>608375</v>
      </c>
      <c r="L603" s="1">
        <v>45240</v>
      </c>
      <c r="M603">
        <v>5</v>
      </c>
      <c r="N603" t="s">
        <v>6729</v>
      </c>
      <c r="O603" s="5">
        <v>45240</v>
      </c>
      <c r="P603" s="5">
        <v>43777</v>
      </c>
    </row>
    <row r="604" spans="1:16" x14ac:dyDescent="0.25">
      <c r="A604" t="s">
        <v>1376</v>
      </c>
      <c r="B604" t="str">
        <v>Dhunseri Ventures Limited</v>
      </c>
      <c r="C604" t="s">
        <v>14</v>
      </c>
      <c r="D604">
        <v>321.25</v>
      </c>
      <c r="E604">
        <v>327</v>
      </c>
      <c r="F604">
        <v>315.3</v>
      </c>
      <c r="G604" s="3">
        <v>322.7</v>
      </c>
      <c r="H604">
        <v>323.60000000000002</v>
      </c>
      <c r="I604">
        <v>321.25</v>
      </c>
      <c r="J604">
        <v>220597</v>
      </c>
      <c r="K604">
        <v>71032007.25</v>
      </c>
      <c r="L604" s="1">
        <v>45240</v>
      </c>
      <c r="M604">
        <v>7443</v>
      </c>
      <c r="N604" t="s">
        <v>1378</v>
      </c>
      <c r="O604" s="5">
        <v>45240</v>
      </c>
      <c r="P604" s="5">
        <v>43777</v>
      </c>
    </row>
    <row r="605" spans="1:16" x14ac:dyDescent="0.25">
      <c r="A605" t="s">
        <v>1379</v>
      </c>
      <c r="B605" t="str">
        <v>Dwarikesh Sugar Industries Limited</v>
      </c>
      <c r="C605" t="s">
        <v>14</v>
      </c>
      <c r="D605">
        <v>89.95</v>
      </c>
      <c r="E605">
        <v>91.05</v>
      </c>
      <c r="F605">
        <v>89.75</v>
      </c>
      <c r="G605" s="3">
        <v>90.05</v>
      </c>
      <c r="H605">
        <v>90.1</v>
      </c>
      <c r="I605">
        <v>90.25</v>
      </c>
      <c r="J605">
        <v>1031491</v>
      </c>
      <c r="K605">
        <v>93171819.700000003</v>
      </c>
      <c r="L605" s="1">
        <v>45240</v>
      </c>
      <c r="M605">
        <v>6891</v>
      </c>
      <c r="N605" t="s">
        <v>1381</v>
      </c>
      <c r="O605" s="5">
        <v>45240</v>
      </c>
      <c r="P605" s="5">
        <v>43777</v>
      </c>
    </row>
    <row r="606" spans="1:16" x14ac:dyDescent="0.25">
      <c r="A606" t="s">
        <v>1382</v>
      </c>
      <c r="B606" t="str">
        <v>Dynamic Cables Limited</v>
      </c>
      <c r="C606" t="s">
        <v>10</v>
      </c>
      <c r="D606">
        <v>424.9</v>
      </c>
      <c r="E606">
        <v>424.9</v>
      </c>
      <c r="F606">
        <v>424.9</v>
      </c>
      <c r="G606" s="3">
        <v>424.9</v>
      </c>
      <c r="H606">
        <v>424.9</v>
      </c>
      <c r="I606">
        <v>447.25</v>
      </c>
      <c r="J606">
        <v>17488</v>
      </c>
      <c r="K606">
        <v>7430651.2000000002</v>
      </c>
      <c r="L606" s="1">
        <v>45240</v>
      </c>
      <c r="M606">
        <v>1269</v>
      </c>
      <c r="N606" t="s">
        <v>1384</v>
      </c>
      <c r="O606" s="5">
        <v>45240</v>
      </c>
      <c r="P606" s="5">
        <v>43777</v>
      </c>
    </row>
    <row r="607" spans="1:16" x14ac:dyDescent="0.25">
      <c r="A607" t="s">
        <v>1385</v>
      </c>
      <c r="B607" t="str">
        <v>Dynamatic Technologies Limited</v>
      </c>
      <c r="C607" t="s">
        <v>14</v>
      </c>
      <c r="D607">
        <v>4230.05</v>
      </c>
      <c r="E607">
        <v>4248.6000000000004</v>
      </c>
      <c r="F607">
        <v>4128</v>
      </c>
      <c r="G607" s="3">
        <v>4169.25</v>
      </c>
      <c r="H607">
        <v>4137.05</v>
      </c>
      <c r="I607">
        <v>4234.75</v>
      </c>
      <c r="J607">
        <v>5765</v>
      </c>
      <c r="K607">
        <v>24231377.449999999</v>
      </c>
      <c r="L607" s="1">
        <v>45240</v>
      </c>
      <c r="M607">
        <v>1651</v>
      </c>
      <c r="N607" t="s">
        <v>1387</v>
      </c>
      <c r="O607" s="5">
        <v>45240</v>
      </c>
      <c r="P607" s="5">
        <v>43777</v>
      </c>
    </row>
    <row r="608" spans="1:16" x14ac:dyDescent="0.25">
      <c r="A608" t="s">
        <v>6728</v>
      </c>
      <c r="B608" t="str">
        <v>Not Found</v>
      </c>
      <c r="C608" t="s">
        <v>5788</v>
      </c>
      <c r="D608">
        <v>125.5</v>
      </c>
      <c r="E608">
        <v>125.95</v>
      </c>
      <c r="F608">
        <v>120</v>
      </c>
      <c r="G608" s="3">
        <v>123.5</v>
      </c>
      <c r="H608">
        <v>123</v>
      </c>
      <c r="I608">
        <v>120.75</v>
      </c>
      <c r="J608">
        <v>21000</v>
      </c>
      <c r="K608">
        <v>2603700</v>
      </c>
      <c r="L608" s="1">
        <v>45240</v>
      </c>
      <c r="M608">
        <v>19</v>
      </c>
      <c r="N608" t="s">
        <v>6727</v>
      </c>
      <c r="O608" s="5">
        <v>45240</v>
      </c>
      <c r="P608" s="5">
        <v>43777</v>
      </c>
    </row>
    <row r="609" spans="1:16" x14ac:dyDescent="0.25">
      <c r="A609" t="s">
        <v>1388</v>
      </c>
      <c r="B609" t="str">
        <v>Dynemic Products Limited</v>
      </c>
      <c r="C609" t="s">
        <v>14</v>
      </c>
      <c r="D609">
        <v>308.85000000000002</v>
      </c>
      <c r="E609">
        <v>315.45</v>
      </c>
      <c r="F609">
        <v>266.55</v>
      </c>
      <c r="G609" s="3">
        <v>272.45</v>
      </c>
      <c r="H609">
        <v>271</v>
      </c>
      <c r="I609">
        <v>309.14999999999998</v>
      </c>
      <c r="J609">
        <v>208680</v>
      </c>
      <c r="K609">
        <v>58072208.950000003</v>
      </c>
      <c r="L609" s="1">
        <v>45240</v>
      </c>
      <c r="M609">
        <v>6816</v>
      </c>
      <c r="N609" t="s">
        <v>1390</v>
      </c>
      <c r="O609" s="5">
        <v>45240</v>
      </c>
      <c r="P609" s="5">
        <v>43777</v>
      </c>
    </row>
    <row r="610" spans="1:16" x14ac:dyDescent="0.25">
      <c r="A610" t="s">
        <v>1391</v>
      </c>
      <c r="B610" t="str">
        <v>E2E Networks Limited</v>
      </c>
      <c r="C610" t="s">
        <v>10</v>
      </c>
      <c r="D610">
        <v>503.3</v>
      </c>
      <c r="E610">
        <v>503.3</v>
      </c>
      <c r="F610">
        <v>494</v>
      </c>
      <c r="G610" s="3">
        <v>494.05</v>
      </c>
      <c r="H610">
        <v>494.05</v>
      </c>
      <c r="I610">
        <v>493.45</v>
      </c>
      <c r="J610">
        <v>11130</v>
      </c>
      <c r="K610">
        <v>5534323.75</v>
      </c>
      <c r="L610" s="1">
        <v>45240</v>
      </c>
      <c r="M610">
        <v>200</v>
      </c>
      <c r="N610" t="s">
        <v>1393</v>
      </c>
      <c r="O610" s="5">
        <v>45240</v>
      </c>
      <c r="P610" s="5">
        <v>43777</v>
      </c>
    </row>
    <row r="611" spans="1:16" x14ac:dyDescent="0.25">
      <c r="A611" t="s">
        <v>1394</v>
      </c>
      <c r="B611" t="str">
        <v>Easy Trip Planners Limited</v>
      </c>
      <c r="C611" t="s">
        <v>14</v>
      </c>
      <c r="D611">
        <v>41.85</v>
      </c>
      <c r="E611">
        <v>42.6</v>
      </c>
      <c r="F611">
        <v>41.4</v>
      </c>
      <c r="G611" s="3">
        <v>42.05</v>
      </c>
      <c r="H611">
        <v>42.1</v>
      </c>
      <c r="I611">
        <v>41.7</v>
      </c>
      <c r="J611">
        <v>10372353</v>
      </c>
      <c r="K611">
        <v>435626815.05000001</v>
      </c>
      <c r="L611" s="1">
        <v>45240</v>
      </c>
      <c r="M611">
        <v>41408</v>
      </c>
      <c r="N611" t="s">
        <v>1396</v>
      </c>
      <c r="O611" s="5">
        <v>45240</v>
      </c>
      <c r="P611" s="5">
        <v>43777</v>
      </c>
    </row>
    <row r="612" spans="1:16" x14ac:dyDescent="0.25">
      <c r="A612" t="s">
        <v>1397</v>
      </c>
      <c r="B612" t="str">
        <v>Eastern Silk Industries Limited</v>
      </c>
      <c r="C612" t="s">
        <v>10</v>
      </c>
      <c r="D612">
        <v>2.2000000000000002</v>
      </c>
      <c r="E612">
        <v>2.2000000000000002</v>
      </c>
      <c r="F612">
        <v>2.1</v>
      </c>
      <c r="G612" s="3">
        <v>2.1</v>
      </c>
      <c r="H612">
        <v>2.1</v>
      </c>
      <c r="I612">
        <v>2.1</v>
      </c>
      <c r="J612">
        <v>45573</v>
      </c>
      <c r="K612">
        <v>98443.9</v>
      </c>
      <c r="L612" s="1">
        <v>45240</v>
      </c>
      <c r="M612">
        <v>52</v>
      </c>
      <c r="N612" t="s">
        <v>1399</v>
      </c>
      <c r="O612" s="5">
        <v>45240</v>
      </c>
      <c r="P612" s="5">
        <v>43777</v>
      </c>
    </row>
    <row r="613" spans="1:16" x14ac:dyDescent="0.25">
      <c r="A613" t="s">
        <v>6726</v>
      </c>
      <c r="B613" t="str">
        <v>Not Found</v>
      </c>
      <c r="C613" t="s">
        <v>14</v>
      </c>
      <c r="D613">
        <v>1162.57</v>
      </c>
      <c r="E613">
        <v>1164.47</v>
      </c>
      <c r="F613">
        <v>1162.5</v>
      </c>
      <c r="G613" s="3">
        <v>1163.67</v>
      </c>
      <c r="H613">
        <v>1163.1099999999999</v>
      </c>
      <c r="I613">
        <v>1162.33</v>
      </c>
      <c r="J613">
        <v>13186</v>
      </c>
      <c r="K613">
        <v>15331278.6</v>
      </c>
      <c r="L613" s="1">
        <v>45240</v>
      </c>
      <c r="M613">
        <v>80</v>
      </c>
      <c r="N613" t="s">
        <v>6725</v>
      </c>
      <c r="O613" s="5">
        <v>45240</v>
      </c>
      <c r="P613" s="5">
        <v>43777</v>
      </c>
    </row>
    <row r="614" spans="1:16" x14ac:dyDescent="0.25">
      <c r="A614" t="s">
        <v>6724</v>
      </c>
      <c r="B614" t="str">
        <v>Not Found</v>
      </c>
      <c r="C614" t="s">
        <v>14</v>
      </c>
      <c r="D614">
        <v>1309.4000000000001</v>
      </c>
      <c r="E614">
        <v>1309.4000000000001</v>
      </c>
      <c r="F614">
        <v>1304.0999999999999</v>
      </c>
      <c r="G614" s="3">
        <v>1307.3499999999999</v>
      </c>
      <c r="H614">
        <v>1304.51</v>
      </c>
      <c r="I614">
        <v>1303.83</v>
      </c>
      <c r="J614">
        <v>8613</v>
      </c>
      <c r="K614">
        <v>11239573.01</v>
      </c>
      <c r="L614" s="1">
        <v>45240</v>
      </c>
      <c r="M614">
        <v>227</v>
      </c>
      <c r="N614" t="s">
        <v>6723</v>
      </c>
      <c r="O614" s="5">
        <v>45240</v>
      </c>
      <c r="P614" s="5">
        <v>43777</v>
      </c>
    </row>
    <row r="615" spans="1:16" x14ac:dyDescent="0.25">
      <c r="A615" t="s">
        <v>6722</v>
      </c>
      <c r="B615" t="str">
        <v>Not Found</v>
      </c>
      <c r="C615" t="s">
        <v>14</v>
      </c>
      <c r="D615">
        <v>1163.9000000000001</v>
      </c>
      <c r="E615">
        <v>1166</v>
      </c>
      <c r="F615">
        <v>1163.56</v>
      </c>
      <c r="G615" s="3">
        <v>1164.04</v>
      </c>
      <c r="H615">
        <v>1165</v>
      </c>
      <c r="I615">
        <v>1162.5999999999999</v>
      </c>
      <c r="J615">
        <v>5492</v>
      </c>
      <c r="K615">
        <v>6392865.0300000003</v>
      </c>
      <c r="L615" s="1">
        <v>45240</v>
      </c>
      <c r="M615">
        <v>84</v>
      </c>
      <c r="N615" t="s">
        <v>6721</v>
      </c>
      <c r="O615" s="5">
        <v>45240</v>
      </c>
      <c r="P615" s="5">
        <v>43777</v>
      </c>
    </row>
    <row r="616" spans="1:16" x14ac:dyDescent="0.25">
      <c r="A616" t="s">
        <v>6720</v>
      </c>
      <c r="B616" t="str">
        <v>Not Found</v>
      </c>
      <c r="C616" t="s">
        <v>14</v>
      </c>
      <c r="D616">
        <v>1059.9000000000001</v>
      </c>
      <c r="E616">
        <v>1059.9000000000001</v>
      </c>
      <c r="F616">
        <v>1058.1099999999999</v>
      </c>
      <c r="G616" s="3">
        <v>1058.82</v>
      </c>
      <c r="H616">
        <v>1058.23</v>
      </c>
      <c r="I616">
        <v>1058.01</v>
      </c>
      <c r="J616">
        <v>1414</v>
      </c>
      <c r="K616">
        <v>1496509.66</v>
      </c>
      <c r="L616" s="1">
        <v>45240</v>
      </c>
      <c r="M616">
        <v>37</v>
      </c>
      <c r="N616" t="s">
        <v>6719</v>
      </c>
      <c r="O616" s="5">
        <v>45240</v>
      </c>
      <c r="P616" s="5">
        <v>43777</v>
      </c>
    </row>
    <row r="617" spans="1:16" x14ac:dyDescent="0.25">
      <c r="A617" t="s">
        <v>1400</v>
      </c>
      <c r="B617" t="str">
        <v>eClerx Services Limited</v>
      </c>
      <c r="C617" t="s">
        <v>14</v>
      </c>
      <c r="D617">
        <v>2167.9</v>
      </c>
      <c r="E617">
        <v>2195</v>
      </c>
      <c r="F617">
        <v>2110</v>
      </c>
      <c r="G617" s="3">
        <v>2151.9</v>
      </c>
      <c r="H617">
        <v>2131.0500000000002</v>
      </c>
      <c r="I617">
        <v>2056.15</v>
      </c>
      <c r="J617">
        <v>383952</v>
      </c>
      <c r="K617">
        <v>825491480.54999995</v>
      </c>
      <c r="L617" s="1">
        <v>45240</v>
      </c>
      <c r="M617">
        <v>31752</v>
      </c>
      <c r="N617" t="s">
        <v>1402</v>
      </c>
      <c r="O617" s="5">
        <v>45240</v>
      </c>
      <c r="P617" s="5">
        <v>43777</v>
      </c>
    </row>
    <row r="618" spans="1:16" x14ac:dyDescent="0.25">
      <c r="A618" t="s">
        <v>6711</v>
      </c>
      <c r="B618" t="str">
        <v>Not Found</v>
      </c>
      <c r="C618" t="s">
        <v>5870</v>
      </c>
      <c r="D618">
        <v>971</v>
      </c>
      <c r="E618">
        <v>978.5</v>
      </c>
      <c r="F618">
        <v>971</v>
      </c>
      <c r="G618" s="3">
        <v>978.5</v>
      </c>
      <c r="H618">
        <v>978.5</v>
      </c>
      <c r="I618">
        <v>970.01</v>
      </c>
      <c r="J618">
        <v>130</v>
      </c>
      <c r="K618">
        <v>126954.7</v>
      </c>
      <c r="L618" s="1">
        <v>45240</v>
      </c>
      <c r="M618">
        <v>3</v>
      </c>
      <c r="N618" t="s">
        <v>6718</v>
      </c>
      <c r="O618" s="5">
        <v>45240</v>
      </c>
      <c r="P618" s="5">
        <v>43777</v>
      </c>
    </row>
    <row r="619" spans="1:16" x14ac:dyDescent="0.25">
      <c r="A619" t="s">
        <v>6711</v>
      </c>
      <c r="B619" t="str">
        <v>Not Found</v>
      </c>
      <c r="C619" t="s">
        <v>6461</v>
      </c>
      <c r="D619">
        <v>1048</v>
      </c>
      <c r="E619">
        <v>1048</v>
      </c>
      <c r="F619">
        <v>984.9</v>
      </c>
      <c r="G619" s="3">
        <v>985</v>
      </c>
      <c r="H619">
        <v>985</v>
      </c>
      <c r="I619">
        <v>982</v>
      </c>
      <c r="J619">
        <v>129</v>
      </c>
      <c r="K619">
        <v>133364.29999999999</v>
      </c>
      <c r="L619" s="1">
        <v>45240</v>
      </c>
      <c r="M619">
        <v>5</v>
      </c>
      <c r="N619" t="s">
        <v>6717</v>
      </c>
      <c r="O619" s="5">
        <v>45240</v>
      </c>
      <c r="P619" s="5">
        <v>43777</v>
      </c>
    </row>
    <row r="620" spans="1:16" x14ac:dyDescent="0.25">
      <c r="A620" t="s">
        <v>6711</v>
      </c>
      <c r="B620" t="str">
        <v>Not Found</v>
      </c>
      <c r="C620" t="s">
        <v>6459</v>
      </c>
      <c r="D620">
        <v>996.5</v>
      </c>
      <c r="E620">
        <v>996.5</v>
      </c>
      <c r="F620">
        <v>993.5</v>
      </c>
      <c r="G620" s="3">
        <v>996</v>
      </c>
      <c r="H620">
        <v>996</v>
      </c>
      <c r="I620">
        <v>993.68</v>
      </c>
      <c r="J620">
        <v>259</v>
      </c>
      <c r="K620">
        <v>257657</v>
      </c>
      <c r="L620" s="1">
        <v>45240</v>
      </c>
      <c r="M620">
        <v>7</v>
      </c>
      <c r="N620" t="s">
        <v>6716</v>
      </c>
      <c r="O620" s="5">
        <v>45240</v>
      </c>
      <c r="P620" s="5">
        <v>43777</v>
      </c>
    </row>
    <row r="621" spans="1:16" x14ac:dyDescent="0.25">
      <c r="A621" t="s">
        <v>6711</v>
      </c>
      <c r="B621" t="str">
        <v>Not Found</v>
      </c>
      <c r="C621" t="s">
        <v>6509</v>
      </c>
      <c r="D621">
        <v>1081</v>
      </c>
      <c r="E621">
        <v>1081.01</v>
      </c>
      <c r="F621">
        <v>1078.5</v>
      </c>
      <c r="G621" s="3">
        <v>1078.5</v>
      </c>
      <c r="H621">
        <v>1078.5</v>
      </c>
      <c r="I621">
        <v>1081</v>
      </c>
      <c r="J621">
        <v>454</v>
      </c>
      <c r="K621">
        <v>490763.49</v>
      </c>
      <c r="L621" s="1">
        <v>45240</v>
      </c>
      <c r="M621">
        <v>4</v>
      </c>
      <c r="N621" t="s">
        <v>6715</v>
      </c>
      <c r="O621" s="5">
        <v>45240</v>
      </c>
      <c r="P621" s="5">
        <v>43777</v>
      </c>
    </row>
    <row r="622" spans="1:16" x14ac:dyDescent="0.25">
      <c r="A622" t="s">
        <v>6711</v>
      </c>
      <c r="B622" t="str">
        <v>Not Found</v>
      </c>
      <c r="C622" t="s">
        <v>6381</v>
      </c>
      <c r="D622">
        <v>1604</v>
      </c>
      <c r="E622">
        <v>1604</v>
      </c>
      <c r="F622">
        <v>1591</v>
      </c>
      <c r="G622" s="3">
        <v>1598</v>
      </c>
      <c r="H622">
        <v>1598</v>
      </c>
      <c r="I622">
        <v>1599</v>
      </c>
      <c r="J622">
        <v>436</v>
      </c>
      <c r="K622">
        <v>696602.77</v>
      </c>
      <c r="L622" s="1">
        <v>45240</v>
      </c>
      <c r="M622">
        <v>22</v>
      </c>
      <c r="N622" t="s">
        <v>6714</v>
      </c>
      <c r="O622" s="5">
        <v>45240</v>
      </c>
      <c r="P622" s="5">
        <v>43777</v>
      </c>
    </row>
    <row r="623" spans="1:16" x14ac:dyDescent="0.25">
      <c r="A623" t="s">
        <v>6711</v>
      </c>
      <c r="B623" t="str">
        <v>Not Found</v>
      </c>
      <c r="C623" t="s">
        <v>6713</v>
      </c>
      <c r="D623">
        <v>1011</v>
      </c>
      <c r="E623">
        <v>1011</v>
      </c>
      <c r="F623">
        <v>1002</v>
      </c>
      <c r="G623" s="3">
        <v>1002</v>
      </c>
      <c r="H623">
        <v>1002</v>
      </c>
      <c r="I623">
        <v>1006.85</v>
      </c>
      <c r="J623">
        <v>38</v>
      </c>
      <c r="K623">
        <v>38116.9</v>
      </c>
      <c r="L623" s="1">
        <v>45240</v>
      </c>
      <c r="M623">
        <v>5</v>
      </c>
      <c r="N623" t="s">
        <v>6712</v>
      </c>
      <c r="O623" s="5">
        <v>45240</v>
      </c>
      <c r="P623" s="5">
        <v>43777</v>
      </c>
    </row>
    <row r="624" spans="1:16" x14ac:dyDescent="0.25">
      <c r="A624" t="s">
        <v>6711</v>
      </c>
      <c r="B624" t="str">
        <v>Not Found</v>
      </c>
      <c r="C624" t="s">
        <v>6507</v>
      </c>
      <c r="D624">
        <v>1030</v>
      </c>
      <c r="E624">
        <v>1030</v>
      </c>
      <c r="F624">
        <v>1030</v>
      </c>
      <c r="G624" s="3">
        <v>1030</v>
      </c>
      <c r="H624">
        <v>1030</v>
      </c>
      <c r="I624">
        <v>1050</v>
      </c>
      <c r="J624">
        <v>75</v>
      </c>
      <c r="K624">
        <v>77250</v>
      </c>
      <c r="L624" s="1">
        <v>45240</v>
      </c>
      <c r="M624">
        <v>1</v>
      </c>
      <c r="N624" t="s">
        <v>6710</v>
      </c>
      <c r="O624" s="5">
        <v>45240</v>
      </c>
      <c r="P624" s="5">
        <v>43777</v>
      </c>
    </row>
    <row r="625" spans="1:16" x14ac:dyDescent="0.25">
      <c r="A625" t="s">
        <v>1403</v>
      </c>
      <c r="B625" t="str">
        <v>Edelweiss Financial Services Limited</v>
      </c>
      <c r="C625" t="s">
        <v>14</v>
      </c>
      <c r="D625">
        <v>59.9</v>
      </c>
      <c r="E625">
        <v>61.35</v>
      </c>
      <c r="F625">
        <v>59.45</v>
      </c>
      <c r="G625" s="3">
        <v>60.35</v>
      </c>
      <c r="H625">
        <v>61.15</v>
      </c>
      <c r="I625">
        <v>59.95</v>
      </c>
      <c r="J625">
        <v>5815104</v>
      </c>
      <c r="K625">
        <v>351141439.25</v>
      </c>
      <c r="L625" s="1">
        <v>45240</v>
      </c>
      <c r="M625">
        <v>38942</v>
      </c>
      <c r="N625" t="s">
        <v>1405</v>
      </c>
      <c r="O625" s="5">
        <v>45240</v>
      </c>
      <c r="P625" s="5">
        <v>43777</v>
      </c>
    </row>
    <row r="626" spans="1:16" x14ac:dyDescent="0.25">
      <c r="A626" t="s">
        <v>1406</v>
      </c>
      <c r="B626" t="str">
        <v>Educomp Solutions Limited</v>
      </c>
      <c r="C626" t="s">
        <v>786</v>
      </c>
      <c r="D626">
        <v>1.85</v>
      </c>
      <c r="E626">
        <v>1.9</v>
      </c>
      <c r="F626">
        <v>1.85</v>
      </c>
      <c r="G626" s="3">
        <v>1.9</v>
      </c>
      <c r="H626">
        <v>1.9</v>
      </c>
      <c r="I626">
        <v>1.85</v>
      </c>
      <c r="J626">
        <v>39015</v>
      </c>
      <c r="K626">
        <v>73859.850000000006</v>
      </c>
      <c r="L626" s="1">
        <v>45240</v>
      </c>
      <c r="M626">
        <v>37</v>
      </c>
      <c r="N626" t="s">
        <v>1408</v>
      </c>
      <c r="O626" s="5">
        <v>45240</v>
      </c>
      <c r="P626" s="5">
        <v>43777</v>
      </c>
    </row>
    <row r="627" spans="1:16" x14ac:dyDescent="0.25">
      <c r="A627" t="s">
        <v>6709</v>
      </c>
      <c r="B627" t="str">
        <v>Not Found</v>
      </c>
      <c r="C627" t="s">
        <v>5788</v>
      </c>
      <c r="D627">
        <v>160</v>
      </c>
      <c r="E627">
        <v>172.6</v>
      </c>
      <c r="F627">
        <v>160</v>
      </c>
      <c r="G627" s="3">
        <v>170.35</v>
      </c>
      <c r="H627">
        <v>171.1</v>
      </c>
      <c r="I627">
        <v>158.9</v>
      </c>
      <c r="J627">
        <v>105600</v>
      </c>
      <c r="K627">
        <v>17895120</v>
      </c>
      <c r="L627" s="1">
        <v>45240</v>
      </c>
      <c r="M627">
        <v>65</v>
      </c>
      <c r="N627" t="s">
        <v>6708</v>
      </c>
      <c r="O627" s="5">
        <v>45240</v>
      </c>
      <c r="P627" s="5">
        <v>43777</v>
      </c>
    </row>
    <row r="628" spans="1:16" x14ac:dyDescent="0.25">
      <c r="A628" t="s">
        <v>6707</v>
      </c>
      <c r="B628" t="str">
        <v>Not Found</v>
      </c>
      <c r="C628" t="s">
        <v>14</v>
      </c>
      <c r="D628">
        <v>64.5</v>
      </c>
      <c r="E628">
        <v>66</v>
      </c>
      <c r="F628">
        <v>61.95</v>
      </c>
      <c r="G628" s="3">
        <v>65</v>
      </c>
      <c r="H628">
        <v>65</v>
      </c>
      <c r="I628">
        <v>62.05</v>
      </c>
      <c r="J628">
        <v>240800</v>
      </c>
      <c r="K628">
        <v>14930571.75</v>
      </c>
      <c r="L628" s="1">
        <v>45240</v>
      </c>
      <c r="M628">
        <v>169</v>
      </c>
      <c r="N628" t="s">
        <v>6706</v>
      </c>
      <c r="O628" s="5">
        <v>45240</v>
      </c>
      <c r="P628" s="5">
        <v>43777</v>
      </c>
    </row>
    <row r="629" spans="1:16" x14ac:dyDescent="0.25">
      <c r="A629" t="s">
        <v>1409</v>
      </c>
      <c r="B629" t="str">
        <v>Eicher Motors Limited</v>
      </c>
      <c r="C629" t="s">
        <v>14</v>
      </c>
      <c r="D629">
        <v>3540</v>
      </c>
      <c r="E629">
        <v>3565</v>
      </c>
      <c r="F629">
        <v>3502.1</v>
      </c>
      <c r="G629" s="3">
        <v>3540.75</v>
      </c>
      <c r="H629">
        <v>3547</v>
      </c>
      <c r="I629">
        <v>3541.9</v>
      </c>
      <c r="J629">
        <v>259237</v>
      </c>
      <c r="K629">
        <v>915107367.45000005</v>
      </c>
      <c r="L629" s="1">
        <v>45240</v>
      </c>
      <c r="M629">
        <v>29667</v>
      </c>
      <c r="N629" t="s">
        <v>1411</v>
      </c>
      <c r="O629" s="5">
        <v>45240</v>
      </c>
      <c r="P629" s="5">
        <v>43777</v>
      </c>
    </row>
    <row r="630" spans="1:16" x14ac:dyDescent="0.25">
      <c r="A630" t="s">
        <v>1412</v>
      </c>
      <c r="B630" t="str">
        <v>EID Parry India Limited</v>
      </c>
      <c r="C630" t="s">
        <v>14</v>
      </c>
      <c r="D630">
        <v>492.4</v>
      </c>
      <c r="E630">
        <v>518.79999999999995</v>
      </c>
      <c r="F630">
        <v>492.4</v>
      </c>
      <c r="G630" s="3">
        <v>503.35</v>
      </c>
      <c r="H630">
        <v>505.1</v>
      </c>
      <c r="I630">
        <v>491.75</v>
      </c>
      <c r="J630">
        <v>2480121</v>
      </c>
      <c r="K630">
        <v>1265488615.5999999</v>
      </c>
      <c r="L630" s="1">
        <v>45240</v>
      </c>
      <c r="M630">
        <v>50560</v>
      </c>
      <c r="N630" t="s">
        <v>1414</v>
      </c>
      <c r="O630" s="5">
        <v>45240</v>
      </c>
      <c r="P630" s="5">
        <v>43777</v>
      </c>
    </row>
    <row r="631" spans="1:16" x14ac:dyDescent="0.25">
      <c r="A631" t="s">
        <v>1415</v>
      </c>
      <c r="B631" t="str">
        <v>Euro India Fresh Foods Limited</v>
      </c>
      <c r="C631" t="s">
        <v>14</v>
      </c>
      <c r="D631">
        <v>139.44999999999999</v>
      </c>
      <c r="E631">
        <v>140</v>
      </c>
      <c r="F631">
        <v>139</v>
      </c>
      <c r="G631" s="3">
        <v>139.05000000000001</v>
      </c>
      <c r="H631">
        <v>139</v>
      </c>
      <c r="I631">
        <v>139.35</v>
      </c>
      <c r="J631">
        <v>16780</v>
      </c>
      <c r="K631">
        <v>2340534.7999999998</v>
      </c>
      <c r="L631" s="1">
        <v>45240</v>
      </c>
      <c r="M631">
        <v>156</v>
      </c>
      <c r="N631" t="s">
        <v>1417</v>
      </c>
      <c r="O631" s="5">
        <v>45240</v>
      </c>
      <c r="P631" s="5">
        <v>43777</v>
      </c>
    </row>
    <row r="632" spans="1:16" x14ac:dyDescent="0.25">
      <c r="A632" t="s">
        <v>1418</v>
      </c>
      <c r="B632" t="str">
        <v>EIH Associated Hotels Limited</v>
      </c>
      <c r="C632" t="s">
        <v>14</v>
      </c>
      <c r="D632">
        <v>438.7</v>
      </c>
      <c r="E632">
        <v>438.7</v>
      </c>
      <c r="F632">
        <v>430</v>
      </c>
      <c r="G632" s="3">
        <v>431.8</v>
      </c>
      <c r="H632">
        <v>432.6</v>
      </c>
      <c r="I632">
        <v>436.55</v>
      </c>
      <c r="J632">
        <v>22601</v>
      </c>
      <c r="K632">
        <v>9760695.1999999993</v>
      </c>
      <c r="L632" s="1">
        <v>45240</v>
      </c>
      <c r="M632">
        <v>1186</v>
      </c>
      <c r="N632" t="s">
        <v>1420</v>
      </c>
      <c r="O632" s="5">
        <v>45240</v>
      </c>
      <c r="P632" s="5">
        <v>43777</v>
      </c>
    </row>
    <row r="633" spans="1:16" x14ac:dyDescent="0.25">
      <c r="A633" t="s">
        <v>1421</v>
      </c>
      <c r="B633" t="str">
        <v>EIH Limited</v>
      </c>
      <c r="C633" t="s">
        <v>14</v>
      </c>
      <c r="D633">
        <v>232.2</v>
      </c>
      <c r="E633">
        <v>235.3</v>
      </c>
      <c r="F633">
        <v>229.1</v>
      </c>
      <c r="G633" s="3">
        <v>230.85</v>
      </c>
      <c r="H633">
        <v>231.8</v>
      </c>
      <c r="I633">
        <v>233.1</v>
      </c>
      <c r="J633">
        <v>552814</v>
      </c>
      <c r="K633">
        <v>128432836</v>
      </c>
      <c r="L633" s="1">
        <v>45240</v>
      </c>
      <c r="M633">
        <v>7688</v>
      </c>
      <c r="N633" t="s">
        <v>1423</v>
      </c>
      <c r="O633" s="5">
        <v>45240</v>
      </c>
      <c r="P633" s="5">
        <v>43777</v>
      </c>
    </row>
    <row r="634" spans="1:16" x14ac:dyDescent="0.25">
      <c r="A634" t="s">
        <v>1424</v>
      </c>
      <c r="B634" t="str">
        <v>Eimco Elecon (India) Limited</v>
      </c>
      <c r="C634" t="s">
        <v>14</v>
      </c>
      <c r="D634">
        <v>1459.9</v>
      </c>
      <c r="E634">
        <v>1477.85</v>
      </c>
      <c r="F634">
        <v>1415</v>
      </c>
      <c r="G634" s="3">
        <v>1427.9</v>
      </c>
      <c r="H634">
        <v>1429</v>
      </c>
      <c r="I634">
        <v>1420.6</v>
      </c>
      <c r="J634">
        <v>8462</v>
      </c>
      <c r="K634">
        <v>12244843.1</v>
      </c>
      <c r="L634" s="1">
        <v>45240</v>
      </c>
      <c r="M634">
        <v>1069</v>
      </c>
      <c r="N634" t="s">
        <v>1426</v>
      </c>
      <c r="O634" s="5">
        <v>45240</v>
      </c>
      <c r="P634" s="5">
        <v>43777</v>
      </c>
    </row>
    <row r="635" spans="1:16" x14ac:dyDescent="0.25">
      <c r="A635" t="s">
        <v>1427</v>
      </c>
      <c r="B635" t="str">
        <v>Everest Kanto Cylinder Limited</v>
      </c>
      <c r="C635" t="s">
        <v>14</v>
      </c>
      <c r="D635">
        <v>121</v>
      </c>
      <c r="E635">
        <v>122.3</v>
      </c>
      <c r="F635">
        <v>119.4</v>
      </c>
      <c r="G635" s="3">
        <v>120.85</v>
      </c>
      <c r="H635">
        <v>120.8</v>
      </c>
      <c r="I635">
        <v>120.5</v>
      </c>
      <c r="J635">
        <v>240407</v>
      </c>
      <c r="K635">
        <v>29099175.649999999</v>
      </c>
      <c r="L635" s="1">
        <v>45240</v>
      </c>
      <c r="M635">
        <v>2642</v>
      </c>
      <c r="N635" t="s">
        <v>1429</v>
      </c>
      <c r="O635" s="5">
        <v>45240</v>
      </c>
      <c r="P635" s="5">
        <v>43777</v>
      </c>
    </row>
    <row r="636" spans="1:16" x14ac:dyDescent="0.25">
      <c r="A636" t="s">
        <v>1430</v>
      </c>
      <c r="B636" t="str">
        <v>Eldeco Housing And Industries Limited</v>
      </c>
      <c r="C636" t="s">
        <v>14</v>
      </c>
      <c r="D636">
        <v>763.2</v>
      </c>
      <c r="E636">
        <v>763.2</v>
      </c>
      <c r="F636">
        <v>711.05</v>
      </c>
      <c r="G636" s="3">
        <v>721.3</v>
      </c>
      <c r="H636">
        <v>719.9</v>
      </c>
      <c r="I636">
        <v>758.85</v>
      </c>
      <c r="J636">
        <v>6366</v>
      </c>
      <c r="K636">
        <v>4603956.8</v>
      </c>
      <c r="L636" s="1">
        <v>45240</v>
      </c>
      <c r="M636">
        <v>787</v>
      </c>
      <c r="N636" t="s">
        <v>1432</v>
      </c>
      <c r="O636" s="5">
        <v>45240</v>
      </c>
      <c r="P636" s="5">
        <v>43777</v>
      </c>
    </row>
    <row r="637" spans="1:16" x14ac:dyDescent="0.25">
      <c r="A637" t="s">
        <v>1433</v>
      </c>
      <c r="B637" t="str">
        <v>Elecon Engineering Company Limited</v>
      </c>
      <c r="C637" t="s">
        <v>14</v>
      </c>
      <c r="D637">
        <v>902.35</v>
      </c>
      <c r="E637">
        <v>923.45</v>
      </c>
      <c r="F637">
        <v>901.65</v>
      </c>
      <c r="G637" s="3">
        <v>905.25</v>
      </c>
      <c r="H637">
        <v>904</v>
      </c>
      <c r="I637">
        <v>901.15</v>
      </c>
      <c r="J637">
        <v>239075</v>
      </c>
      <c r="K637">
        <v>217666034.05000001</v>
      </c>
      <c r="L637" s="1">
        <v>45240</v>
      </c>
      <c r="M637">
        <v>12178</v>
      </c>
      <c r="N637" t="s">
        <v>1435</v>
      </c>
      <c r="O637" s="5">
        <v>45240</v>
      </c>
      <c r="P637" s="5">
        <v>43777</v>
      </c>
    </row>
    <row r="638" spans="1:16" x14ac:dyDescent="0.25">
      <c r="A638" t="s">
        <v>1436</v>
      </c>
      <c r="B638" t="str">
        <v>Electrosteel Castings Limited</v>
      </c>
      <c r="C638" t="s">
        <v>14</v>
      </c>
      <c r="D638">
        <v>95.35</v>
      </c>
      <c r="E638">
        <v>99.15</v>
      </c>
      <c r="F638">
        <v>94.1</v>
      </c>
      <c r="G638" s="3">
        <v>96.15</v>
      </c>
      <c r="H638">
        <v>96.95</v>
      </c>
      <c r="I638">
        <v>93.85</v>
      </c>
      <c r="J638">
        <v>19801156</v>
      </c>
      <c r="K638">
        <v>1918733178.95</v>
      </c>
      <c r="L638" s="1">
        <v>45240</v>
      </c>
      <c r="M638">
        <v>39987</v>
      </c>
      <c r="N638" t="s">
        <v>1438</v>
      </c>
      <c r="O638" s="5">
        <v>45240</v>
      </c>
      <c r="P638" s="5">
        <v>43777</v>
      </c>
    </row>
    <row r="639" spans="1:16" x14ac:dyDescent="0.25">
      <c r="A639" t="s">
        <v>1439</v>
      </c>
      <c r="B639" t="str">
        <v>Electrotherm (India) Limited</v>
      </c>
      <c r="C639" t="s">
        <v>10</v>
      </c>
      <c r="D639">
        <v>137.15</v>
      </c>
      <c r="E639">
        <v>137.15</v>
      </c>
      <c r="F639">
        <v>137.15</v>
      </c>
      <c r="G639" s="3">
        <v>137.15</v>
      </c>
      <c r="H639">
        <v>137.15</v>
      </c>
      <c r="I639">
        <v>134.5</v>
      </c>
      <c r="J639">
        <v>317</v>
      </c>
      <c r="K639">
        <v>43476.55</v>
      </c>
      <c r="L639" s="1">
        <v>45240</v>
      </c>
      <c r="M639">
        <v>7</v>
      </c>
      <c r="N639" t="s">
        <v>1441</v>
      </c>
      <c r="O639" s="5">
        <v>45240</v>
      </c>
      <c r="P639" s="5">
        <v>43777</v>
      </c>
    </row>
    <row r="640" spans="1:16" x14ac:dyDescent="0.25">
      <c r="A640" t="s">
        <v>1442</v>
      </c>
      <c r="B640" t="str">
        <v>Elgi Equipments Limited</v>
      </c>
      <c r="C640" t="s">
        <v>14</v>
      </c>
      <c r="D640">
        <v>534.54999999999995</v>
      </c>
      <c r="E640">
        <v>537.04999999999995</v>
      </c>
      <c r="F640">
        <v>524</v>
      </c>
      <c r="G640" s="3">
        <v>529.75</v>
      </c>
      <c r="H640">
        <v>527.5</v>
      </c>
      <c r="I640">
        <v>534.70000000000005</v>
      </c>
      <c r="J640">
        <v>233577</v>
      </c>
      <c r="K640">
        <v>123660415.59999999</v>
      </c>
      <c r="L640" s="1">
        <v>45240</v>
      </c>
      <c r="M640">
        <v>9557</v>
      </c>
      <c r="N640" t="s">
        <v>1444</v>
      </c>
      <c r="O640" s="5">
        <v>45240</v>
      </c>
      <c r="P640" s="5">
        <v>43777</v>
      </c>
    </row>
    <row r="641" spans="1:16" x14ac:dyDescent="0.25">
      <c r="A641" t="s">
        <v>1445</v>
      </c>
      <c r="B641" t="str">
        <v>Elgi Rubber Company Limited</v>
      </c>
      <c r="C641" t="s">
        <v>10</v>
      </c>
      <c r="D641">
        <v>50</v>
      </c>
      <c r="E641">
        <v>51.9</v>
      </c>
      <c r="F641">
        <v>50</v>
      </c>
      <c r="G641" s="3">
        <v>50.7</v>
      </c>
      <c r="H641">
        <v>51.4</v>
      </c>
      <c r="I641">
        <v>50.75</v>
      </c>
      <c r="J641">
        <v>14507</v>
      </c>
      <c r="K641">
        <v>738490.25</v>
      </c>
      <c r="L641" s="1">
        <v>45240</v>
      </c>
      <c r="M641">
        <v>114</v>
      </c>
      <c r="N641" t="s">
        <v>1447</v>
      </c>
      <c r="O641" s="5">
        <v>45240</v>
      </c>
      <c r="P641" s="5">
        <v>43777</v>
      </c>
    </row>
    <row r="642" spans="1:16" x14ac:dyDescent="0.25">
      <c r="A642" t="s">
        <v>1448</v>
      </c>
      <c r="B642" t="str">
        <v>Elin Electronics Limited</v>
      </c>
      <c r="C642" t="s">
        <v>14</v>
      </c>
      <c r="D642">
        <v>154.9</v>
      </c>
      <c r="E642">
        <v>157.44999999999999</v>
      </c>
      <c r="F642">
        <v>150.35</v>
      </c>
      <c r="G642" s="3">
        <v>152.80000000000001</v>
      </c>
      <c r="H642">
        <v>152.94999999999999</v>
      </c>
      <c r="I642">
        <v>154.9</v>
      </c>
      <c r="J642">
        <v>340294</v>
      </c>
      <c r="K642">
        <v>51995533.75</v>
      </c>
      <c r="L642" s="1">
        <v>45240</v>
      </c>
      <c r="M642">
        <v>10666</v>
      </c>
      <c r="N642" t="s">
        <v>1450</v>
      </c>
      <c r="O642" s="5">
        <v>45240</v>
      </c>
      <c r="P642" s="5">
        <v>43777</v>
      </c>
    </row>
    <row r="643" spans="1:16" x14ac:dyDescent="0.25">
      <c r="A643" t="s">
        <v>1451</v>
      </c>
      <c r="B643" t="str">
        <v>Emami Limited</v>
      </c>
      <c r="C643" t="s">
        <v>14</v>
      </c>
      <c r="D643">
        <v>518.9</v>
      </c>
      <c r="E643">
        <v>520.20000000000005</v>
      </c>
      <c r="F643">
        <v>510.5</v>
      </c>
      <c r="G643" s="3">
        <v>513.04999999999995</v>
      </c>
      <c r="H643">
        <v>512.95000000000005</v>
      </c>
      <c r="I643">
        <v>518.85</v>
      </c>
      <c r="J643">
        <v>136261</v>
      </c>
      <c r="K643">
        <v>70105036.400000006</v>
      </c>
      <c r="L643" s="1">
        <v>45240</v>
      </c>
      <c r="M643">
        <v>8771</v>
      </c>
      <c r="N643" t="s">
        <v>1453</v>
      </c>
      <c r="O643" s="5">
        <v>45240</v>
      </c>
      <c r="P643" s="5">
        <v>43777</v>
      </c>
    </row>
    <row r="644" spans="1:16" x14ac:dyDescent="0.25">
      <c r="A644" t="s">
        <v>1454</v>
      </c>
      <c r="B644" t="str">
        <v>Emami Paper Mills Limited</v>
      </c>
      <c r="C644" t="s">
        <v>14</v>
      </c>
      <c r="D644">
        <v>129.25</v>
      </c>
      <c r="E644">
        <v>133</v>
      </c>
      <c r="F644">
        <v>128.44999999999999</v>
      </c>
      <c r="G644" s="3">
        <v>130.25</v>
      </c>
      <c r="H644">
        <v>130.30000000000001</v>
      </c>
      <c r="I644">
        <v>129.80000000000001</v>
      </c>
      <c r="J644">
        <v>21917</v>
      </c>
      <c r="K644">
        <v>2866064.1</v>
      </c>
      <c r="L644" s="1">
        <v>45240</v>
      </c>
      <c r="M644">
        <v>398</v>
      </c>
      <c r="N644" t="s">
        <v>1456</v>
      </c>
      <c r="O644" s="5">
        <v>45240</v>
      </c>
      <c r="P644" s="5">
        <v>43777</v>
      </c>
    </row>
    <row r="645" spans="1:16" x14ac:dyDescent="0.25">
      <c r="A645" t="s">
        <v>1457</v>
      </c>
      <c r="B645" t="str">
        <v>Emami Realty Limited</v>
      </c>
      <c r="C645" t="s">
        <v>14</v>
      </c>
      <c r="D645">
        <v>86.1</v>
      </c>
      <c r="E645">
        <v>89</v>
      </c>
      <c r="F645">
        <v>86.1</v>
      </c>
      <c r="G645" s="3">
        <v>86.7</v>
      </c>
      <c r="H645">
        <v>86.2</v>
      </c>
      <c r="I645">
        <v>89.6</v>
      </c>
      <c r="J645">
        <v>49193</v>
      </c>
      <c r="K645">
        <v>4295157.3499999996</v>
      </c>
      <c r="L645" s="1">
        <v>45240</v>
      </c>
      <c r="M645">
        <v>979</v>
      </c>
      <c r="N645" t="s">
        <v>1459</v>
      </c>
      <c r="O645" s="5">
        <v>45240</v>
      </c>
      <c r="P645" s="5">
        <v>43777</v>
      </c>
    </row>
    <row r="646" spans="1:16" x14ac:dyDescent="0.25">
      <c r="A646" t="s">
        <v>6705</v>
      </c>
      <c r="B646" t="str">
        <v>Not Found</v>
      </c>
      <c r="C646" t="s">
        <v>6202</v>
      </c>
      <c r="D646">
        <v>314.64999999999998</v>
      </c>
      <c r="E646">
        <v>316</v>
      </c>
      <c r="F646">
        <v>308</v>
      </c>
      <c r="G646" s="3">
        <v>311.8</v>
      </c>
      <c r="H646">
        <v>311.75</v>
      </c>
      <c r="I646">
        <v>313.92</v>
      </c>
      <c r="J646">
        <v>246806</v>
      </c>
      <c r="K646">
        <v>76878089.019999996</v>
      </c>
      <c r="L646" s="1">
        <v>45240</v>
      </c>
      <c r="M646">
        <v>13357</v>
      </c>
      <c r="N646" t="s">
        <v>6704</v>
      </c>
      <c r="O646" s="5">
        <v>45240</v>
      </c>
      <c r="P646" s="5">
        <v>43777</v>
      </c>
    </row>
    <row r="647" spans="1:16" x14ac:dyDescent="0.25">
      <c r="A647" t="s">
        <v>1460</v>
      </c>
      <c r="B647" t="str">
        <v>Electronics Mart India Limited</v>
      </c>
      <c r="C647" t="s">
        <v>14</v>
      </c>
      <c r="D647">
        <v>187.9</v>
      </c>
      <c r="E647">
        <v>193.15</v>
      </c>
      <c r="F647">
        <v>184.35</v>
      </c>
      <c r="G647" s="3">
        <v>189.55</v>
      </c>
      <c r="H647">
        <v>187.9</v>
      </c>
      <c r="I647">
        <v>187.3</v>
      </c>
      <c r="J647">
        <v>753552</v>
      </c>
      <c r="K647">
        <v>142937854.90000001</v>
      </c>
      <c r="L647" s="1">
        <v>45240</v>
      </c>
      <c r="M647">
        <v>10248</v>
      </c>
      <c r="N647" t="s">
        <v>1462</v>
      </c>
      <c r="O647" s="5">
        <v>45240</v>
      </c>
      <c r="P647" s="5">
        <v>43777</v>
      </c>
    </row>
    <row r="648" spans="1:16" x14ac:dyDescent="0.25">
      <c r="A648" t="s">
        <v>1463</v>
      </c>
      <c r="B648" t="str">
        <v>Emkay Global Financial Services Limited</v>
      </c>
      <c r="C648" t="s">
        <v>14</v>
      </c>
      <c r="D648">
        <v>98.15</v>
      </c>
      <c r="E648">
        <v>99.7</v>
      </c>
      <c r="F648">
        <v>96.75</v>
      </c>
      <c r="G648" s="3">
        <v>97.8</v>
      </c>
      <c r="H648">
        <v>97.55</v>
      </c>
      <c r="I648">
        <v>97.2</v>
      </c>
      <c r="J648">
        <v>84494</v>
      </c>
      <c r="K648">
        <v>8289934.4000000004</v>
      </c>
      <c r="L648" s="1">
        <v>45240</v>
      </c>
      <c r="M648">
        <v>2863</v>
      </c>
      <c r="N648" t="s">
        <v>1465</v>
      </c>
      <c r="O648" s="5">
        <v>45240</v>
      </c>
      <c r="P648" s="5">
        <v>43777</v>
      </c>
    </row>
    <row r="649" spans="1:16" x14ac:dyDescent="0.25">
      <c r="A649" t="s">
        <v>6703</v>
      </c>
      <c r="B649" t="str">
        <v>Not Found</v>
      </c>
      <c r="C649" t="s">
        <v>5788</v>
      </c>
      <c r="D649">
        <v>708</v>
      </c>
      <c r="E649">
        <v>708</v>
      </c>
      <c r="F649">
        <v>688</v>
      </c>
      <c r="G649" s="3">
        <v>695</v>
      </c>
      <c r="H649">
        <v>695</v>
      </c>
      <c r="I649">
        <v>685</v>
      </c>
      <c r="J649">
        <v>8100</v>
      </c>
      <c r="K649">
        <v>5632260</v>
      </c>
      <c r="L649" s="1">
        <v>45240</v>
      </c>
      <c r="M649">
        <v>20</v>
      </c>
      <c r="N649" t="s">
        <v>6702</v>
      </c>
      <c r="O649" s="5">
        <v>45240</v>
      </c>
      <c r="P649" s="5">
        <v>43777</v>
      </c>
    </row>
    <row r="650" spans="1:16" x14ac:dyDescent="0.25">
      <c r="A650" t="s">
        <v>1466</v>
      </c>
      <c r="B650" t="str">
        <v>Emmbi Industries Limited</v>
      </c>
      <c r="C650" t="s">
        <v>14</v>
      </c>
      <c r="D650">
        <v>106.7</v>
      </c>
      <c r="E650">
        <v>108.6</v>
      </c>
      <c r="F650">
        <v>103.05</v>
      </c>
      <c r="G650" s="3">
        <v>106.8</v>
      </c>
      <c r="H650">
        <v>106.9</v>
      </c>
      <c r="I650">
        <v>106.55</v>
      </c>
      <c r="J650">
        <v>22600</v>
      </c>
      <c r="K650">
        <v>2416343.5499999998</v>
      </c>
      <c r="L650" s="1">
        <v>45240</v>
      </c>
      <c r="M650">
        <v>385</v>
      </c>
      <c r="N650" t="s">
        <v>1468</v>
      </c>
      <c r="O650" s="5">
        <v>45240</v>
      </c>
      <c r="P650" s="5">
        <v>43777</v>
      </c>
    </row>
    <row r="651" spans="1:16" x14ac:dyDescent="0.25">
      <c r="A651" t="s">
        <v>1469</v>
      </c>
      <c r="B651" t="str">
        <v>EMS Limited</v>
      </c>
      <c r="C651" t="s">
        <v>14</v>
      </c>
      <c r="D651">
        <v>352.05</v>
      </c>
      <c r="E651">
        <v>363.1</v>
      </c>
      <c r="F651">
        <v>344.3</v>
      </c>
      <c r="G651" s="3">
        <v>361.15</v>
      </c>
      <c r="H651">
        <v>360.1</v>
      </c>
      <c r="I651">
        <v>351.05</v>
      </c>
      <c r="J651">
        <v>811042</v>
      </c>
      <c r="K651">
        <v>287760753.25</v>
      </c>
      <c r="L651" s="1">
        <v>45240</v>
      </c>
      <c r="M651">
        <v>10732</v>
      </c>
      <c r="N651" t="s">
        <v>1471</v>
      </c>
      <c r="O651" s="5">
        <v>45240</v>
      </c>
      <c r="P651" s="5">
        <v>43777</v>
      </c>
    </row>
    <row r="652" spans="1:16" x14ac:dyDescent="0.25">
      <c r="A652" t="s">
        <v>1472</v>
      </c>
      <c r="B652" t="str">
        <v>eMudhra Limited</v>
      </c>
      <c r="C652" t="s">
        <v>14</v>
      </c>
      <c r="D652">
        <v>449.1</v>
      </c>
      <c r="E652">
        <v>474.9</v>
      </c>
      <c r="F652">
        <v>449.05</v>
      </c>
      <c r="G652" s="3">
        <v>466.3</v>
      </c>
      <c r="H652">
        <v>465</v>
      </c>
      <c r="I652">
        <v>452.8</v>
      </c>
      <c r="J652">
        <v>241233</v>
      </c>
      <c r="K652">
        <v>112618517.3</v>
      </c>
      <c r="L652" s="1">
        <v>45240</v>
      </c>
      <c r="M652">
        <v>16392</v>
      </c>
      <c r="N652" t="s">
        <v>1474</v>
      </c>
      <c r="O652" s="5">
        <v>45240</v>
      </c>
      <c r="P652" s="5">
        <v>43777</v>
      </c>
    </row>
    <row r="653" spans="1:16" x14ac:dyDescent="0.25">
      <c r="A653" t="s">
        <v>1475</v>
      </c>
      <c r="B653" t="str">
        <v>Endurance Technologies Limited</v>
      </c>
      <c r="C653" t="s">
        <v>14</v>
      </c>
      <c r="D653">
        <v>1635.25</v>
      </c>
      <c r="E653">
        <v>1643.9</v>
      </c>
      <c r="F653">
        <v>1580.1</v>
      </c>
      <c r="G653" s="3">
        <v>1635.45</v>
      </c>
      <c r="H653">
        <v>1630</v>
      </c>
      <c r="I653">
        <v>1623.9</v>
      </c>
      <c r="J653">
        <v>153155</v>
      </c>
      <c r="K653">
        <v>247515989.94999999</v>
      </c>
      <c r="L653" s="1">
        <v>45240</v>
      </c>
      <c r="M653">
        <v>16567</v>
      </c>
      <c r="N653" t="s">
        <v>1477</v>
      </c>
      <c r="O653" s="5">
        <v>45240</v>
      </c>
      <c r="P653" s="5">
        <v>43777</v>
      </c>
    </row>
    <row r="654" spans="1:16" x14ac:dyDescent="0.25">
      <c r="A654" t="s">
        <v>1478</v>
      </c>
      <c r="B654" t="str">
        <v>Energy Development Company Limited</v>
      </c>
      <c r="C654" t="s">
        <v>14</v>
      </c>
      <c r="D654">
        <v>19.899999999999999</v>
      </c>
      <c r="E654">
        <v>20.05</v>
      </c>
      <c r="F654">
        <v>19.399999999999999</v>
      </c>
      <c r="G654" s="3">
        <v>19.55</v>
      </c>
      <c r="H654">
        <v>19.45</v>
      </c>
      <c r="I654">
        <v>19.55</v>
      </c>
      <c r="J654">
        <v>116681</v>
      </c>
      <c r="K654">
        <v>2305551.5</v>
      </c>
      <c r="L654" s="1">
        <v>45240</v>
      </c>
      <c r="M654">
        <v>594</v>
      </c>
      <c r="N654" t="s">
        <v>1480</v>
      </c>
      <c r="O654" s="5">
        <v>45240</v>
      </c>
      <c r="P654" s="5">
        <v>43777</v>
      </c>
    </row>
    <row r="655" spans="1:16" x14ac:dyDescent="0.25">
      <c r="A655" t="s">
        <v>1481</v>
      </c>
      <c r="B655" t="str">
        <v>Engineers India Limited</v>
      </c>
      <c r="C655" t="s">
        <v>14</v>
      </c>
      <c r="D655">
        <v>130.6</v>
      </c>
      <c r="E655">
        <v>141.25</v>
      </c>
      <c r="F655">
        <v>130.5</v>
      </c>
      <c r="G655" s="3">
        <v>137.69999999999999</v>
      </c>
      <c r="H655">
        <v>137.35</v>
      </c>
      <c r="I655">
        <v>129.25</v>
      </c>
      <c r="J655">
        <v>32583425</v>
      </c>
      <c r="K655">
        <v>4474122227.1499996</v>
      </c>
      <c r="L655" s="1">
        <v>45240</v>
      </c>
      <c r="M655">
        <v>125933</v>
      </c>
      <c r="N655" t="s">
        <v>1483</v>
      </c>
      <c r="O655" s="5">
        <v>45240</v>
      </c>
      <c r="P655" s="5">
        <v>43777</v>
      </c>
    </row>
    <row r="656" spans="1:16" x14ac:dyDescent="0.25">
      <c r="A656" t="s">
        <v>1484</v>
      </c>
      <c r="B656" t="str">
        <v>Entertainment Network (India) Limited</v>
      </c>
      <c r="C656" t="s">
        <v>14</v>
      </c>
      <c r="D656">
        <v>185</v>
      </c>
      <c r="E656">
        <v>189</v>
      </c>
      <c r="F656">
        <v>183.1</v>
      </c>
      <c r="G656" s="3">
        <v>186.3</v>
      </c>
      <c r="H656">
        <v>186</v>
      </c>
      <c r="I656">
        <v>184.3</v>
      </c>
      <c r="J656">
        <v>66702</v>
      </c>
      <c r="K656">
        <v>12436264.35</v>
      </c>
      <c r="L656" s="1">
        <v>45240</v>
      </c>
      <c r="M656">
        <v>1984</v>
      </c>
      <c r="N656" t="s">
        <v>1486</v>
      </c>
      <c r="O656" s="5">
        <v>45240</v>
      </c>
      <c r="P656" s="5">
        <v>43777</v>
      </c>
    </row>
    <row r="657" spans="1:16" x14ac:dyDescent="0.25">
      <c r="A657" t="s">
        <v>1487</v>
      </c>
      <c r="B657" t="str">
        <v>Epigral Limited</v>
      </c>
      <c r="C657" t="s">
        <v>14</v>
      </c>
      <c r="D657">
        <v>898</v>
      </c>
      <c r="E657">
        <v>909.5</v>
      </c>
      <c r="F657">
        <v>898</v>
      </c>
      <c r="G657" s="3">
        <v>906.7</v>
      </c>
      <c r="H657">
        <v>907.95</v>
      </c>
      <c r="I657">
        <v>901.4</v>
      </c>
      <c r="J657">
        <v>14974</v>
      </c>
      <c r="K657">
        <v>13531593.75</v>
      </c>
      <c r="L657" s="1">
        <v>45240</v>
      </c>
      <c r="M657">
        <v>1735</v>
      </c>
      <c r="N657" t="s">
        <v>1489</v>
      </c>
      <c r="O657" s="5">
        <v>45240</v>
      </c>
      <c r="P657" s="5">
        <v>43777</v>
      </c>
    </row>
    <row r="658" spans="1:16" x14ac:dyDescent="0.25">
      <c r="A658" t="s">
        <v>1490</v>
      </c>
      <c r="B658" t="str">
        <v>EPL Limited</v>
      </c>
      <c r="C658" t="s">
        <v>14</v>
      </c>
      <c r="D658">
        <v>194</v>
      </c>
      <c r="E658">
        <v>196.2</v>
      </c>
      <c r="F658">
        <v>191.95</v>
      </c>
      <c r="G658" s="3">
        <v>192.75</v>
      </c>
      <c r="H658">
        <v>193.5</v>
      </c>
      <c r="I658">
        <v>194.05</v>
      </c>
      <c r="J658">
        <v>397454</v>
      </c>
      <c r="K658">
        <v>77139414.150000006</v>
      </c>
      <c r="L658" s="1">
        <v>45240</v>
      </c>
      <c r="M658">
        <v>6655</v>
      </c>
      <c r="N658" t="s">
        <v>1492</v>
      </c>
      <c r="O658" s="5">
        <v>45240</v>
      </c>
      <c r="P658" s="5">
        <v>43777</v>
      </c>
    </row>
    <row r="659" spans="1:16" x14ac:dyDescent="0.25">
      <c r="A659" t="s">
        <v>1493</v>
      </c>
      <c r="B659" t="str">
        <v>Equippp Social Impact Technologies Limited</v>
      </c>
      <c r="C659" t="s">
        <v>10</v>
      </c>
      <c r="D659">
        <v>26.5</v>
      </c>
      <c r="E659">
        <v>26.5</v>
      </c>
      <c r="F659">
        <v>25.1</v>
      </c>
      <c r="G659" s="3">
        <v>25.55</v>
      </c>
      <c r="H659">
        <v>25.5</v>
      </c>
      <c r="I659">
        <v>25.45</v>
      </c>
      <c r="J659">
        <v>5894</v>
      </c>
      <c r="K659">
        <v>152297.9</v>
      </c>
      <c r="L659" s="1">
        <v>45240</v>
      </c>
      <c r="M659">
        <v>35</v>
      </c>
      <c r="N659" t="s">
        <v>1495</v>
      </c>
      <c r="O659" s="5">
        <v>45240</v>
      </c>
      <c r="P659" s="5">
        <v>43777</v>
      </c>
    </row>
    <row r="660" spans="1:16" x14ac:dyDescent="0.25">
      <c r="A660" t="s">
        <v>1496</v>
      </c>
      <c r="B660" t="str">
        <v>Equitas Small Finance Bank Limited</v>
      </c>
      <c r="C660" t="s">
        <v>14</v>
      </c>
      <c r="D660">
        <v>93.8</v>
      </c>
      <c r="E660">
        <v>96</v>
      </c>
      <c r="F660">
        <v>93.15</v>
      </c>
      <c r="G660" s="3">
        <v>95.4</v>
      </c>
      <c r="H660">
        <v>95.5</v>
      </c>
      <c r="I660">
        <v>93.8</v>
      </c>
      <c r="J660">
        <v>1932922</v>
      </c>
      <c r="K660">
        <v>183701481.94999999</v>
      </c>
      <c r="L660" s="1">
        <v>45240</v>
      </c>
      <c r="M660">
        <v>14487</v>
      </c>
      <c r="N660" t="s">
        <v>1498</v>
      </c>
      <c r="O660" s="5">
        <v>45240</v>
      </c>
      <c r="P660" s="5">
        <v>43777</v>
      </c>
    </row>
    <row r="661" spans="1:16" x14ac:dyDescent="0.25">
      <c r="A661" t="s">
        <v>1499</v>
      </c>
      <c r="B661" t="str">
        <v>Eris Lifesciences Limited</v>
      </c>
      <c r="C661" t="s">
        <v>14</v>
      </c>
      <c r="D661">
        <v>909.05</v>
      </c>
      <c r="E661">
        <v>924.2</v>
      </c>
      <c r="F661">
        <v>906</v>
      </c>
      <c r="G661" s="3">
        <v>908.5</v>
      </c>
      <c r="H661">
        <v>907.05</v>
      </c>
      <c r="I661">
        <v>912.25</v>
      </c>
      <c r="J661">
        <v>142205</v>
      </c>
      <c r="K661">
        <v>130001510.65000001</v>
      </c>
      <c r="L661" s="1">
        <v>45240</v>
      </c>
      <c r="M661">
        <v>9711</v>
      </c>
      <c r="N661" t="s">
        <v>1501</v>
      </c>
      <c r="O661" s="5">
        <v>45240</v>
      </c>
      <c r="P661" s="5">
        <v>43777</v>
      </c>
    </row>
    <row r="662" spans="1:16" x14ac:dyDescent="0.25">
      <c r="A662" t="s">
        <v>1502</v>
      </c>
      <c r="B662" t="str">
        <v>Eros International Media Limited</v>
      </c>
      <c r="C662" t="s">
        <v>14</v>
      </c>
      <c r="D662">
        <v>18.899999999999999</v>
      </c>
      <c r="E662">
        <v>20.399999999999999</v>
      </c>
      <c r="F662">
        <v>18.850000000000001</v>
      </c>
      <c r="G662" s="3">
        <v>19.399999999999999</v>
      </c>
      <c r="H662">
        <v>19.5</v>
      </c>
      <c r="I662">
        <v>18.899999999999999</v>
      </c>
      <c r="J662">
        <v>1365547</v>
      </c>
      <c r="K662">
        <v>26817789.699999999</v>
      </c>
      <c r="L662" s="1">
        <v>45240</v>
      </c>
      <c r="M662">
        <v>4068</v>
      </c>
      <c r="N662" t="s">
        <v>1504</v>
      </c>
      <c r="O662" s="5">
        <v>45240</v>
      </c>
      <c r="P662" s="5">
        <v>43777</v>
      </c>
    </row>
    <row r="663" spans="1:16" x14ac:dyDescent="0.25">
      <c r="A663" t="s">
        <v>1505</v>
      </c>
      <c r="B663" t="str">
        <v>Esab India Limited</v>
      </c>
      <c r="C663" t="s">
        <v>14</v>
      </c>
      <c r="D663">
        <v>6415.1</v>
      </c>
      <c r="E663">
        <v>6433.05</v>
      </c>
      <c r="F663">
        <v>6363</v>
      </c>
      <c r="G663" s="3">
        <v>6405.05</v>
      </c>
      <c r="H663">
        <v>6400</v>
      </c>
      <c r="I663">
        <v>6398.9</v>
      </c>
      <c r="J663">
        <v>4086</v>
      </c>
      <c r="K663">
        <v>26167132.199999999</v>
      </c>
      <c r="L663" s="1">
        <v>45240</v>
      </c>
      <c r="M663">
        <v>1010</v>
      </c>
      <c r="N663" t="s">
        <v>1507</v>
      </c>
      <c r="O663" s="5">
        <v>45240</v>
      </c>
      <c r="P663" s="5">
        <v>43777</v>
      </c>
    </row>
    <row r="664" spans="1:16" x14ac:dyDescent="0.25">
      <c r="A664" t="s">
        <v>1508</v>
      </c>
      <c r="B664" t="str">
        <v>ESAF Small Finance Bank Limited</v>
      </c>
      <c r="C664" t="s">
        <v>14</v>
      </c>
      <c r="D664">
        <v>71</v>
      </c>
      <c r="E664">
        <v>74.8</v>
      </c>
      <c r="F664">
        <v>68.55</v>
      </c>
      <c r="G664" s="3">
        <v>69.05</v>
      </c>
      <c r="H664">
        <v>68.8</v>
      </c>
      <c r="I664">
        <v>60</v>
      </c>
      <c r="J664">
        <v>68973900</v>
      </c>
      <c r="K664">
        <v>4935092184.8000002</v>
      </c>
      <c r="L664" s="1">
        <v>45240</v>
      </c>
      <c r="M664">
        <v>209413</v>
      </c>
      <c r="N664" t="s">
        <v>1510</v>
      </c>
      <c r="O664" s="5">
        <v>45240</v>
      </c>
      <c r="P664" s="5">
        <v>43777</v>
      </c>
    </row>
    <row r="665" spans="1:16" x14ac:dyDescent="0.25">
      <c r="A665" t="s">
        <v>1511</v>
      </c>
      <c r="B665" t="str">
        <v>Escorts Kubota Limited</v>
      </c>
      <c r="C665" t="s">
        <v>14</v>
      </c>
      <c r="D665">
        <v>3083.8</v>
      </c>
      <c r="E665">
        <v>3174.35</v>
      </c>
      <c r="F665">
        <v>3062.5</v>
      </c>
      <c r="G665" s="3">
        <v>3166.9</v>
      </c>
      <c r="H665">
        <v>3155.1</v>
      </c>
      <c r="I665">
        <v>3093.05</v>
      </c>
      <c r="J665">
        <v>535506</v>
      </c>
      <c r="K665">
        <v>1682607274.95</v>
      </c>
      <c r="L665" s="1">
        <v>45240</v>
      </c>
      <c r="M665">
        <v>26228</v>
      </c>
      <c r="N665" t="s">
        <v>1513</v>
      </c>
      <c r="O665" s="5">
        <v>45240</v>
      </c>
      <c r="P665" s="5">
        <v>43777</v>
      </c>
    </row>
    <row r="666" spans="1:16" x14ac:dyDescent="0.25">
      <c r="A666" t="s">
        <v>6701</v>
      </c>
      <c r="B666" t="str">
        <v>Not Found</v>
      </c>
      <c r="C666" t="s">
        <v>5788</v>
      </c>
      <c r="D666">
        <v>173.5</v>
      </c>
      <c r="E666">
        <v>173.85</v>
      </c>
      <c r="F666">
        <v>171.5</v>
      </c>
      <c r="G666" s="3">
        <v>171.65</v>
      </c>
      <c r="H666">
        <v>171.5</v>
      </c>
      <c r="I666">
        <v>173</v>
      </c>
      <c r="J666">
        <v>36000</v>
      </c>
      <c r="K666">
        <v>6209280</v>
      </c>
      <c r="L666" s="1">
        <v>45240</v>
      </c>
      <c r="M666">
        <v>28</v>
      </c>
      <c r="N666" t="s">
        <v>6700</v>
      </c>
      <c r="O666" s="5">
        <v>45240</v>
      </c>
      <c r="P666" s="5">
        <v>43777</v>
      </c>
    </row>
    <row r="667" spans="1:16" x14ac:dyDescent="0.25">
      <c r="A667" t="s">
        <v>6699</v>
      </c>
      <c r="B667" t="str">
        <v>Not Found</v>
      </c>
      <c r="C667" t="s">
        <v>14</v>
      </c>
      <c r="D667">
        <v>31.9</v>
      </c>
      <c r="E667">
        <v>32.03</v>
      </c>
      <c r="F667">
        <v>31.83</v>
      </c>
      <c r="G667" s="3">
        <v>31.93</v>
      </c>
      <c r="H667">
        <v>31.96</v>
      </c>
      <c r="I667">
        <v>31.92</v>
      </c>
      <c r="J667">
        <v>13505</v>
      </c>
      <c r="K667">
        <v>431209.26</v>
      </c>
      <c r="L667" s="1">
        <v>45240</v>
      </c>
      <c r="M667">
        <v>107</v>
      </c>
      <c r="N667" t="s">
        <v>6698</v>
      </c>
      <c r="O667" s="5">
        <v>45240</v>
      </c>
      <c r="P667" s="5">
        <v>43777</v>
      </c>
    </row>
    <row r="668" spans="1:16" x14ac:dyDescent="0.25">
      <c r="A668" t="s">
        <v>1514</v>
      </c>
      <c r="B668" t="str">
        <v>Essar Shipping Limited</v>
      </c>
      <c r="C668" t="s">
        <v>10</v>
      </c>
      <c r="D668">
        <v>16.149999999999999</v>
      </c>
      <c r="E668">
        <v>16.149999999999999</v>
      </c>
      <c r="F668">
        <v>16</v>
      </c>
      <c r="G668" s="3">
        <v>16.149999999999999</v>
      </c>
      <c r="H668">
        <v>16.149999999999999</v>
      </c>
      <c r="I668">
        <v>15.85</v>
      </c>
      <c r="J668">
        <v>536270</v>
      </c>
      <c r="K668">
        <v>8656412.75</v>
      </c>
      <c r="L668" s="1">
        <v>45240</v>
      </c>
      <c r="M668">
        <v>225</v>
      </c>
      <c r="N668" t="s">
        <v>1516</v>
      </c>
      <c r="O668" s="5">
        <v>45240</v>
      </c>
      <c r="P668" s="5">
        <v>43777</v>
      </c>
    </row>
    <row r="669" spans="1:16" x14ac:dyDescent="0.25">
      <c r="A669" t="s">
        <v>1517</v>
      </c>
      <c r="B669" t="str">
        <v>Integra Essentia Limited</v>
      </c>
      <c r="C669" t="s">
        <v>10</v>
      </c>
      <c r="D669">
        <v>6.6</v>
      </c>
      <c r="E669">
        <v>6.6</v>
      </c>
      <c r="F669">
        <v>6.15</v>
      </c>
      <c r="G669" s="3">
        <v>6.25</v>
      </c>
      <c r="H669">
        <v>6.35</v>
      </c>
      <c r="I669">
        <v>6.45</v>
      </c>
      <c r="J669">
        <v>624814</v>
      </c>
      <c r="K669">
        <v>3920288.9</v>
      </c>
      <c r="L669" s="1">
        <v>45240</v>
      </c>
      <c r="M669">
        <v>1119</v>
      </c>
      <c r="N669" t="s">
        <v>1519</v>
      </c>
      <c r="O669" s="5">
        <v>45240</v>
      </c>
      <c r="P669" s="5">
        <v>43777</v>
      </c>
    </row>
    <row r="670" spans="1:16" x14ac:dyDescent="0.25">
      <c r="A670" t="s">
        <v>1520</v>
      </c>
      <c r="B670" t="str">
        <v>Ester Industries Limited</v>
      </c>
      <c r="C670" t="s">
        <v>14</v>
      </c>
      <c r="D670">
        <v>87.65</v>
      </c>
      <c r="E670">
        <v>88</v>
      </c>
      <c r="F670">
        <v>86.4</v>
      </c>
      <c r="G670" s="3">
        <v>86.6</v>
      </c>
      <c r="H670">
        <v>86.5</v>
      </c>
      <c r="I670">
        <v>86.9</v>
      </c>
      <c r="J670">
        <v>57933</v>
      </c>
      <c r="K670">
        <v>5045085.6500000004</v>
      </c>
      <c r="L670" s="1">
        <v>45240</v>
      </c>
      <c r="M670">
        <v>965</v>
      </c>
      <c r="N670" t="s">
        <v>1522</v>
      </c>
      <c r="O670" s="5">
        <v>45240</v>
      </c>
      <c r="P670" s="5">
        <v>43777</v>
      </c>
    </row>
    <row r="671" spans="1:16" x14ac:dyDescent="0.25">
      <c r="A671" t="s">
        <v>1523</v>
      </c>
      <c r="B671" t="str">
        <v>Ethos Limited</v>
      </c>
      <c r="C671" t="s">
        <v>14</v>
      </c>
      <c r="D671">
        <v>1838.95</v>
      </c>
      <c r="E671">
        <v>1850</v>
      </c>
      <c r="F671">
        <v>1794.2</v>
      </c>
      <c r="G671" s="3">
        <v>1837.4</v>
      </c>
      <c r="H671">
        <v>1840</v>
      </c>
      <c r="I671">
        <v>1825.4</v>
      </c>
      <c r="J671">
        <v>50443</v>
      </c>
      <c r="K671">
        <v>92275906.650000006</v>
      </c>
      <c r="L671" s="1">
        <v>45240</v>
      </c>
      <c r="M671">
        <v>8064</v>
      </c>
      <c r="N671" t="s">
        <v>1525</v>
      </c>
      <c r="O671" s="5">
        <v>45240</v>
      </c>
      <c r="P671" s="5">
        <v>43777</v>
      </c>
    </row>
    <row r="672" spans="1:16" x14ac:dyDescent="0.25">
      <c r="A672" t="s">
        <v>6697</v>
      </c>
      <c r="B672" t="str">
        <v>Not Found</v>
      </c>
      <c r="C672" t="s">
        <v>5788</v>
      </c>
      <c r="D672">
        <v>164</v>
      </c>
      <c r="E672">
        <v>164.9</v>
      </c>
      <c r="F672">
        <v>160</v>
      </c>
      <c r="G672" s="3">
        <v>164.4</v>
      </c>
      <c r="H672">
        <v>164.7</v>
      </c>
      <c r="I672">
        <v>164</v>
      </c>
      <c r="J672">
        <v>18000</v>
      </c>
      <c r="K672">
        <v>2917700</v>
      </c>
      <c r="L672" s="1">
        <v>45240</v>
      </c>
      <c r="M672">
        <v>17</v>
      </c>
      <c r="N672" t="s">
        <v>6696</v>
      </c>
      <c r="O672" s="5">
        <v>45240</v>
      </c>
      <c r="P672" s="5">
        <v>43777</v>
      </c>
    </row>
    <row r="673" spans="1:16" x14ac:dyDescent="0.25">
      <c r="A673" t="s">
        <v>1529</v>
      </c>
      <c r="B673" t="str">
        <v>Eveready Industries India Limited</v>
      </c>
      <c r="C673" t="s">
        <v>14</v>
      </c>
      <c r="D673">
        <v>352.85</v>
      </c>
      <c r="E673">
        <v>353.8</v>
      </c>
      <c r="F673">
        <v>346.1</v>
      </c>
      <c r="G673" s="3">
        <v>348.15</v>
      </c>
      <c r="H673">
        <v>349.05</v>
      </c>
      <c r="I673">
        <v>352.85</v>
      </c>
      <c r="J673">
        <v>92285</v>
      </c>
      <c r="K673">
        <v>32218292.699999999</v>
      </c>
      <c r="L673" s="1">
        <v>45240</v>
      </c>
      <c r="M673">
        <v>5032</v>
      </c>
      <c r="N673" t="s">
        <v>1531</v>
      </c>
      <c r="O673" s="5">
        <v>45240</v>
      </c>
      <c r="P673" s="5">
        <v>43777</v>
      </c>
    </row>
    <row r="674" spans="1:16" x14ac:dyDescent="0.25">
      <c r="A674" t="s">
        <v>1532</v>
      </c>
      <c r="B674" t="str">
        <v>Everest Industries Limited</v>
      </c>
      <c r="C674" t="s">
        <v>14</v>
      </c>
      <c r="D674">
        <v>1212</v>
      </c>
      <c r="E674">
        <v>1212</v>
      </c>
      <c r="F674">
        <v>1191.3</v>
      </c>
      <c r="G674" s="3">
        <v>1195.7</v>
      </c>
      <c r="H674">
        <v>1191.75</v>
      </c>
      <c r="I674">
        <v>1202.6500000000001</v>
      </c>
      <c r="J674">
        <v>7883</v>
      </c>
      <c r="K674">
        <v>9443548.4000000004</v>
      </c>
      <c r="L674" s="1">
        <v>45240</v>
      </c>
      <c r="M674">
        <v>824</v>
      </c>
      <c r="N674" t="s">
        <v>1534</v>
      </c>
      <c r="O674" s="5">
        <v>45240</v>
      </c>
      <c r="P674" s="5">
        <v>43777</v>
      </c>
    </row>
    <row r="675" spans="1:16" x14ac:dyDescent="0.25">
      <c r="A675" t="s">
        <v>1535</v>
      </c>
      <c r="B675" t="str">
        <v>Excel Realty N Infra Limited</v>
      </c>
      <c r="C675" t="s">
        <v>10</v>
      </c>
      <c r="D675">
        <v>0.35</v>
      </c>
      <c r="E675">
        <v>0.35</v>
      </c>
      <c r="F675">
        <v>0.35</v>
      </c>
      <c r="G675" s="3">
        <v>0.35</v>
      </c>
      <c r="H675">
        <v>0.35</v>
      </c>
      <c r="I675">
        <v>0.35</v>
      </c>
      <c r="J675">
        <v>1507946</v>
      </c>
      <c r="K675">
        <v>527781.1</v>
      </c>
      <c r="L675" s="1">
        <v>45240</v>
      </c>
      <c r="M675">
        <v>318</v>
      </c>
      <c r="N675" t="s">
        <v>1537</v>
      </c>
      <c r="O675" s="5">
        <v>45240</v>
      </c>
      <c r="P675" s="5">
        <v>43777</v>
      </c>
    </row>
    <row r="676" spans="1:16" x14ac:dyDescent="0.25">
      <c r="A676" t="s">
        <v>1538</v>
      </c>
      <c r="B676" t="str">
        <v>Excel Industries Limited</v>
      </c>
      <c r="C676" t="s">
        <v>14</v>
      </c>
      <c r="D676">
        <v>836.2</v>
      </c>
      <c r="E676">
        <v>849</v>
      </c>
      <c r="F676">
        <v>831</v>
      </c>
      <c r="G676" s="3">
        <v>844.1</v>
      </c>
      <c r="H676">
        <v>844.75</v>
      </c>
      <c r="I676">
        <v>832</v>
      </c>
      <c r="J676">
        <v>8432</v>
      </c>
      <c r="K676">
        <v>7117416.2000000002</v>
      </c>
      <c r="L676" s="1">
        <v>45240</v>
      </c>
      <c r="M676">
        <v>835</v>
      </c>
      <c r="N676" t="s">
        <v>1540</v>
      </c>
      <c r="O676" s="5">
        <v>45240</v>
      </c>
      <c r="P676" s="5">
        <v>43777</v>
      </c>
    </row>
    <row r="677" spans="1:16" x14ac:dyDescent="0.25">
      <c r="A677" t="s">
        <v>1541</v>
      </c>
      <c r="B677" t="str">
        <v>Exide Industries Limited</v>
      </c>
      <c r="C677" t="s">
        <v>14</v>
      </c>
      <c r="D677">
        <v>268.39999999999998</v>
      </c>
      <c r="E677">
        <v>269.60000000000002</v>
      </c>
      <c r="F677">
        <v>266.05</v>
      </c>
      <c r="G677" s="3">
        <v>268.14999999999998</v>
      </c>
      <c r="H677">
        <v>268.85000000000002</v>
      </c>
      <c r="I677">
        <v>268.7</v>
      </c>
      <c r="J677">
        <v>1986224</v>
      </c>
      <c r="K677">
        <v>531914511.75</v>
      </c>
      <c r="L677" s="1">
        <v>45240</v>
      </c>
      <c r="M677">
        <v>23969</v>
      </c>
      <c r="N677" t="s">
        <v>1543</v>
      </c>
      <c r="O677" s="5">
        <v>45240</v>
      </c>
      <c r="P677" s="5">
        <v>43777</v>
      </c>
    </row>
    <row r="678" spans="1:16" x14ac:dyDescent="0.25">
      <c r="A678" t="s">
        <v>1544</v>
      </c>
      <c r="B678" t="str">
        <v>Expleo Solutions Limited</v>
      </c>
      <c r="C678" t="s">
        <v>14</v>
      </c>
      <c r="D678">
        <v>1291.05</v>
      </c>
      <c r="E678">
        <v>1324.95</v>
      </c>
      <c r="F678">
        <v>1283.95</v>
      </c>
      <c r="G678" s="3">
        <v>1306.0999999999999</v>
      </c>
      <c r="H678">
        <v>1288</v>
      </c>
      <c r="I678">
        <v>1327.85</v>
      </c>
      <c r="J678">
        <v>61921</v>
      </c>
      <c r="K678">
        <v>80548784.349999994</v>
      </c>
      <c r="L678" s="1">
        <v>45240</v>
      </c>
      <c r="M678">
        <v>6058</v>
      </c>
      <c r="N678" t="s">
        <v>1546</v>
      </c>
      <c r="O678" s="5">
        <v>45240</v>
      </c>
      <c r="P678" s="5">
        <v>43777</v>
      </c>
    </row>
    <row r="679" spans="1:16" x14ac:dyDescent="0.25">
      <c r="A679" t="s">
        <v>1547</v>
      </c>
      <c r="B679" t="str">
        <v>Exxaro Tiles Limited</v>
      </c>
      <c r="C679" t="s">
        <v>14</v>
      </c>
      <c r="D679">
        <v>127.8</v>
      </c>
      <c r="E679">
        <v>129.44999999999999</v>
      </c>
      <c r="F679">
        <v>126.85</v>
      </c>
      <c r="G679" s="3">
        <v>128.30000000000001</v>
      </c>
      <c r="H679">
        <v>128</v>
      </c>
      <c r="I679">
        <v>128.44999999999999</v>
      </c>
      <c r="J679">
        <v>85283</v>
      </c>
      <c r="K679">
        <v>10966976.199999999</v>
      </c>
      <c r="L679" s="1">
        <v>45240</v>
      </c>
      <c r="M679">
        <v>1475</v>
      </c>
      <c r="N679" t="s">
        <v>1549</v>
      </c>
      <c r="O679" s="5">
        <v>45240</v>
      </c>
      <c r="P679" s="5">
        <v>43777</v>
      </c>
    </row>
    <row r="680" spans="1:16" x14ac:dyDescent="0.25">
      <c r="A680" t="s">
        <v>1550</v>
      </c>
      <c r="B680" t="str">
        <v>Fertilizers and Chemicals Travancore Limited</v>
      </c>
      <c r="C680" t="s">
        <v>14</v>
      </c>
      <c r="D680">
        <v>725.55</v>
      </c>
      <c r="E680">
        <v>731.25</v>
      </c>
      <c r="F680">
        <v>713</v>
      </c>
      <c r="G680" s="3">
        <v>721.65</v>
      </c>
      <c r="H680">
        <v>720</v>
      </c>
      <c r="I680">
        <v>725.95</v>
      </c>
      <c r="J680">
        <v>440598</v>
      </c>
      <c r="K680">
        <v>318246994.05000001</v>
      </c>
      <c r="L680" s="1">
        <v>45240</v>
      </c>
      <c r="M680">
        <v>10738</v>
      </c>
      <c r="N680" t="s">
        <v>1552</v>
      </c>
      <c r="O680" s="5">
        <v>45240</v>
      </c>
      <c r="P680" s="5">
        <v>43777</v>
      </c>
    </row>
    <row r="681" spans="1:16" x14ac:dyDescent="0.25">
      <c r="A681" t="s">
        <v>1553</v>
      </c>
      <c r="B681" t="str">
        <v>Fairchem Organics Limited</v>
      </c>
      <c r="C681" t="s">
        <v>14</v>
      </c>
      <c r="D681">
        <v>1168</v>
      </c>
      <c r="E681">
        <v>1175.5999999999999</v>
      </c>
      <c r="F681">
        <v>1147.05</v>
      </c>
      <c r="G681" s="3">
        <v>1154</v>
      </c>
      <c r="H681">
        <v>1163.8</v>
      </c>
      <c r="I681">
        <v>1165.1500000000001</v>
      </c>
      <c r="J681">
        <v>13078</v>
      </c>
      <c r="K681">
        <v>15179954.1</v>
      </c>
      <c r="L681" s="1">
        <v>45240</v>
      </c>
      <c r="M681">
        <v>2516</v>
      </c>
      <c r="N681" t="s">
        <v>1555</v>
      </c>
      <c r="O681" s="5">
        <v>45240</v>
      </c>
      <c r="P681" s="5">
        <v>43777</v>
      </c>
    </row>
    <row r="682" spans="1:16" x14ac:dyDescent="0.25">
      <c r="A682" t="s">
        <v>1556</v>
      </c>
      <c r="B682" t="str">
        <v>Faze Three Limited</v>
      </c>
      <c r="C682" t="s">
        <v>14</v>
      </c>
      <c r="D682">
        <v>440.1</v>
      </c>
      <c r="E682">
        <v>448.95</v>
      </c>
      <c r="F682">
        <v>436.5</v>
      </c>
      <c r="G682" s="3">
        <v>444.15</v>
      </c>
      <c r="H682">
        <v>444.05</v>
      </c>
      <c r="I682">
        <v>442.1</v>
      </c>
      <c r="J682">
        <v>30502</v>
      </c>
      <c r="K682">
        <v>13441527.550000001</v>
      </c>
      <c r="L682" s="1">
        <v>45240</v>
      </c>
      <c r="M682">
        <v>2686</v>
      </c>
      <c r="N682" t="s">
        <v>1558</v>
      </c>
      <c r="O682" s="5">
        <v>45240</v>
      </c>
      <c r="P682" s="5">
        <v>43777</v>
      </c>
    </row>
    <row r="683" spans="1:16" x14ac:dyDescent="0.25">
      <c r="A683" t="s">
        <v>1559</v>
      </c>
      <c r="B683" t="str">
        <v>Fineotex Chemical Limited</v>
      </c>
      <c r="C683" t="s">
        <v>14</v>
      </c>
      <c r="D683">
        <v>330</v>
      </c>
      <c r="E683">
        <v>330</v>
      </c>
      <c r="F683">
        <v>318</v>
      </c>
      <c r="G683" s="3">
        <v>319.60000000000002</v>
      </c>
      <c r="H683">
        <v>320.05</v>
      </c>
      <c r="I683">
        <v>317</v>
      </c>
      <c r="J683">
        <v>716338</v>
      </c>
      <c r="K683">
        <v>231841860.44999999</v>
      </c>
      <c r="L683" s="1">
        <v>45240</v>
      </c>
      <c r="M683">
        <v>15356</v>
      </c>
      <c r="N683" t="s">
        <v>1561</v>
      </c>
      <c r="O683" s="5">
        <v>45240</v>
      </c>
      <c r="P683" s="5">
        <v>43777</v>
      </c>
    </row>
    <row r="684" spans="1:16" x14ac:dyDescent="0.25">
      <c r="A684" t="s">
        <v>1562</v>
      </c>
      <c r="B684" t="str">
        <v>Future Consumer Limited</v>
      </c>
      <c r="C684" t="s">
        <v>10</v>
      </c>
      <c r="D684">
        <v>0.8</v>
      </c>
      <c r="E684">
        <v>0.85</v>
      </c>
      <c r="F684">
        <v>0.8</v>
      </c>
      <c r="G684" s="3">
        <v>0.85</v>
      </c>
      <c r="H684">
        <v>0.85</v>
      </c>
      <c r="I684">
        <v>0.8</v>
      </c>
      <c r="J684">
        <v>1795634</v>
      </c>
      <c r="K684">
        <v>1500658.85</v>
      </c>
      <c r="L684" s="1">
        <v>45240</v>
      </c>
      <c r="M684">
        <v>1069</v>
      </c>
      <c r="N684" t="s">
        <v>1564</v>
      </c>
      <c r="O684" s="5">
        <v>45240</v>
      </c>
      <c r="P684" s="5">
        <v>43777</v>
      </c>
    </row>
    <row r="685" spans="1:16" x14ac:dyDescent="0.25">
      <c r="A685" t="s">
        <v>1565</v>
      </c>
      <c r="B685" t="str">
        <v>FCS Software Solutions Limited</v>
      </c>
      <c r="C685" t="s">
        <v>14</v>
      </c>
      <c r="D685">
        <v>2.95</v>
      </c>
      <c r="E685">
        <v>2.95</v>
      </c>
      <c r="F685">
        <v>2.85</v>
      </c>
      <c r="G685" s="3">
        <v>2.9</v>
      </c>
      <c r="H685">
        <v>2.95</v>
      </c>
      <c r="I685">
        <v>2.9</v>
      </c>
      <c r="J685">
        <v>10661216</v>
      </c>
      <c r="K685">
        <v>30878608.600000001</v>
      </c>
      <c r="L685" s="1">
        <v>45240</v>
      </c>
      <c r="M685">
        <v>4235</v>
      </c>
      <c r="N685" t="s">
        <v>1567</v>
      </c>
      <c r="O685" s="5">
        <v>45240</v>
      </c>
      <c r="P685" s="5">
        <v>43777</v>
      </c>
    </row>
    <row r="686" spans="1:16" x14ac:dyDescent="0.25">
      <c r="A686" t="s">
        <v>1568</v>
      </c>
      <c r="B686" t="str">
        <v>FDC Limited</v>
      </c>
      <c r="C686" t="s">
        <v>14</v>
      </c>
      <c r="D686">
        <v>385.9</v>
      </c>
      <c r="E686">
        <v>391.2</v>
      </c>
      <c r="F686">
        <v>375.6</v>
      </c>
      <c r="G686" s="3">
        <v>385.95</v>
      </c>
      <c r="H686">
        <v>385</v>
      </c>
      <c r="I686">
        <v>386.05</v>
      </c>
      <c r="J686">
        <v>486973</v>
      </c>
      <c r="K686">
        <v>187022354.15000001</v>
      </c>
      <c r="L686" s="1">
        <v>45240</v>
      </c>
      <c r="M686">
        <v>16320</v>
      </c>
      <c r="N686" t="s">
        <v>1570</v>
      </c>
      <c r="O686" s="5">
        <v>45240</v>
      </c>
      <c r="P686" s="5">
        <v>43777</v>
      </c>
    </row>
    <row r="687" spans="1:16" x14ac:dyDescent="0.25">
      <c r="A687" t="s">
        <v>1571</v>
      </c>
      <c r="B687" t="str">
        <v>The Federal Bank  Limited</v>
      </c>
      <c r="C687" t="s">
        <v>14</v>
      </c>
      <c r="D687">
        <v>147.5</v>
      </c>
      <c r="E687">
        <v>150</v>
      </c>
      <c r="F687">
        <v>147.30000000000001</v>
      </c>
      <c r="G687" s="3">
        <v>149.85</v>
      </c>
      <c r="H687">
        <v>149.75</v>
      </c>
      <c r="I687">
        <v>147.55000000000001</v>
      </c>
      <c r="J687">
        <v>8015794</v>
      </c>
      <c r="K687">
        <v>1192698270.4000001</v>
      </c>
      <c r="L687" s="1">
        <v>45240</v>
      </c>
      <c r="M687">
        <v>39603</v>
      </c>
      <c r="N687" t="s">
        <v>1573</v>
      </c>
      <c r="O687" s="5">
        <v>45240</v>
      </c>
      <c r="P687" s="5">
        <v>43777</v>
      </c>
    </row>
    <row r="688" spans="1:16" x14ac:dyDescent="0.25">
      <c r="A688" t="s">
        <v>1574</v>
      </c>
      <c r="B688" t="str">
        <v>Future Enterprises Limited</v>
      </c>
      <c r="C688" t="s">
        <v>786</v>
      </c>
      <c r="D688">
        <v>0.8</v>
      </c>
      <c r="E688">
        <v>0.8</v>
      </c>
      <c r="F688">
        <v>0.75</v>
      </c>
      <c r="G688" s="3">
        <v>0.8</v>
      </c>
      <c r="H688">
        <v>0.8</v>
      </c>
      <c r="I688">
        <v>0.75</v>
      </c>
      <c r="J688">
        <v>194815</v>
      </c>
      <c r="K688">
        <v>151294.25</v>
      </c>
      <c r="L688" s="1">
        <v>45240</v>
      </c>
      <c r="M688">
        <v>103</v>
      </c>
      <c r="N688" t="s">
        <v>1576</v>
      </c>
      <c r="O688" s="5">
        <v>45240</v>
      </c>
      <c r="P688" s="5">
        <v>43777</v>
      </c>
    </row>
    <row r="689" spans="1:16" x14ac:dyDescent="0.25">
      <c r="A689" t="s">
        <v>6695</v>
      </c>
      <c r="B689" t="str">
        <v>Not Found</v>
      </c>
      <c r="C689" t="s">
        <v>10</v>
      </c>
      <c r="D689">
        <v>5.25</v>
      </c>
      <c r="E689">
        <v>5.25</v>
      </c>
      <c r="F689">
        <v>5</v>
      </c>
      <c r="G689" s="3">
        <v>5.15</v>
      </c>
      <c r="H689">
        <v>5.15</v>
      </c>
      <c r="I689">
        <v>5</v>
      </c>
      <c r="J689">
        <v>9599</v>
      </c>
      <c r="K689">
        <v>49341.2</v>
      </c>
      <c r="L689" s="1">
        <v>45240</v>
      </c>
      <c r="M689">
        <v>52</v>
      </c>
      <c r="N689" t="s">
        <v>6694</v>
      </c>
      <c r="O689" s="5">
        <v>45240</v>
      </c>
      <c r="P689" s="5">
        <v>43777</v>
      </c>
    </row>
    <row r="690" spans="1:16" x14ac:dyDescent="0.25">
      <c r="A690" t="s">
        <v>6693</v>
      </c>
      <c r="B690" t="str">
        <v>Not Found</v>
      </c>
      <c r="C690" t="s">
        <v>5788</v>
      </c>
      <c r="D690">
        <v>115</v>
      </c>
      <c r="E690">
        <v>115</v>
      </c>
      <c r="F690">
        <v>108</v>
      </c>
      <c r="G690" s="3">
        <v>109.95</v>
      </c>
      <c r="H690">
        <v>108.8</v>
      </c>
      <c r="I690">
        <v>120</v>
      </c>
      <c r="J690">
        <v>28000</v>
      </c>
      <c r="K690">
        <v>3071900</v>
      </c>
      <c r="L690" s="1">
        <v>45240</v>
      </c>
      <c r="M690">
        <v>28</v>
      </c>
      <c r="N690" t="s">
        <v>6692</v>
      </c>
      <c r="O690" s="5">
        <v>45240</v>
      </c>
      <c r="P690" s="5">
        <v>43777</v>
      </c>
    </row>
    <row r="691" spans="1:16" x14ac:dyDescent="0.25">
      <c r="A691" t="s">
        <v>1577</v>
      </c>
      <c r="B691" t="str">
        <v>Fiberweb (India) Limited</v>
      </c>
      <c r="C691" t="s">
        <v>14</v>
      </c>
      <c r="D691">
        <v>31.6</v>
      </c>
      <c r="E691">
        <v>32.15</v>
      </c>
      <c r="F691">
        <v>31.6</v>
      </c>
      <c r="G691" s="3">
        <v>31.75</v>
      </c>
      <c r="H691">
        <v>31.65</v>
      </c>
      <c r="I691">
        <v>31.8</v>
      </c>
      <c r="J691">
        <v>30208</v>
      </c>
      <c r="K691">
        <v>961394.55</v>
      </c>
      <c r="L691" s="1">
        <v>45240</v>
      </c>
      <c r="M691">
        <v>270</v>
      </c>
      <c r="N691" t="s">
        <v>1579</v>
      </c>
      <c r="O691" s="5">
        <v>45240</v>
      </c>
      <c r="P691" s="5">
        <v>43777</v>
      </c>
    </row>
    <row r="692" spans="1:16" x14ac:dyDescent="0.25">
      <c r="A692" t="s">
        <v>6691</v>
      </c>
      <c r="B692" t="str">
        <v>Not Found</v>
      </c>
      <c r="C692" t="s">
        <v>5788</v>
      </c>
      <c r="D692">
        <v>118</v>
      </c>
      <c r="E692">
        <v>120</v>
      </c>
      <c r="F692">
        <v>116</v>
      </c>
      <c r="G692" s="3">
        <v>116</v>
      </c>
      <c r="H692">
        <v>116</v>
      </c>
      <c r="I692">
        <v>118</v>
      </c>
      <c r="J692">
        <v>7000</v>
      </c>
      <c r="K692">
        <v>822600</v>
      </c>
      <c r="L692" s="1">
        <v>45240</v>
      </c>
      <c r="M692">
        <v>7</v>
      </c>
      <c r="N692" t="s">
        <v>6690</v>
      </c>
      <c r="O692" s="5">
        <v>45240</v>
      </c>
      <c r="P692" s="5">
        <v>43777</v>
      </c>
    </row>
    <row r="693" spans="1:16" x14ac:dyDescent="0.25">
      <c r="A693" t="s">
        <v>1580</v>
      </c>
      <c r="B693" t="str">
        <v>Fiem Industries Limited</v>
      </c>
      <c r="C693" t="s">
        <v>14</v>
      </c>
      <c r="D693">
        <v>1753.4</v>
      </c>
      <c r="E693">
        <v>1806</v>
      </c>
      <c r="F693">
        <v>1753.4</v>
      </c>
      <c r="G693" s="3">
        <v>1778.85</v>
      </c>
      <c r="H693">
        <v>1787.6</v>
      </c>
      <c r="I693">
        <v>1753.4</v>
      </c>
      <c r="J693">
        <v>24155</v>
      </c>
      <c r="K693">
        <v>43111347.5</v>
      </c>
      <c r="L693" s="1">
        <v>45240</v>
      </c>
      <c r="M693">
        <v>4953</v>
      </c>
      <c r="N693" t="s">
        <v>1582</v>
      </c>
      <c r="O693" s="5">
        <v>45240</v>
      </c>
      <c r="P693" s="5">
        <v>43777</v>
      </c>
    </row>
    <row r="694" spans="1:16" x14ac:dyDescent="0.25">
      <c r="A694" t="s">
        <v>1583</v>
      </c>
      <c r="B694" t="str">
        <v>Filatex India Limited</v>
      </c>
      <c r="C694" t="s">
        <v>14</v>
      </c>
      <c r="D694">
        <v>47</v>
      </c>
      <c r="E694">
        <v>48.2</v>
      </c>
      <c r="F694">
        <v>47</v>
      </c>
      <c r="G694" s="3">
        <v>47.7</v>
      </c>
      <c r="H694">
        <v>47.5</v>
      </c>
      <c r="I694">
        <v>47.4</v>
      </c>
      <c r="J694">
        <v>444427</v>
      </c>
      <c r="K694">
        <v>21221528.100000001</v>
      </c>
      <c r="L694" s="1">
        <v>45240</v>
      </c>
      <c r="M694">
        <v>2036</v>
      </c>
      <c r="N694" t="s">
        <v>1585</v>
      </c>
      <c r="O694" s="5">
        <v>45240</v>
      </c>
      <c r="P694" s="5">
        <v>43777</v>
      </c>
    </row>
    <row r="695" spans="1:16" x14ac:dyDescent="0.25">
      <c r="A695" t="s">
        <v>1586</v>
      </c>
      <c r="B695" t="str">
        <v>Finolex Cables Limited</v>
      </c>
      <c r="C695" t="s">
        <v>14</v>
      </c>
      <c r="D695">
        <v>938</v>
      </c>
      <c r="E695">
        <v>940.1</v>
      </c>
      <c r="F695">
        <v>917.55</v>
      </c>
      <c r="G695" s="3">
        <v>933.9</v>
      </c>
      <c r="H695">
        <v>931.95</v>
      </c>
      <c r="I695">
        <v>940.1</v>
      </c>
      <c r="J695">
        <v>550951</v>
      </c>
      <c r="K695">
        <v>511791917.94999999</v>
      </c>
      <c r="L695" s="1">
        <v>45240</v>
      </c>
      <c r="M695">
        <v>24244</v>
      </c>
      <c r="N695" t="s">
        <v>1588</v>
      </c>
      <c r="O695" s="5">
        <v>45240</v>
      </c>
      <c r="P695" s="5">
        <v>43777</v>
      </c>
    </row>
    <row r="696" spans="1:16" x14ac:dyDescent="0.25">
      <c r="A696" t="s">
        <v>1589</v>
      </c>
      <c r="B696" t="str">
        <v>Fine Organic Industries Limited</v>
      </c>
      <c r="C696" t="s">
        <v>14</v>
      </c>
      <c r="D696">
        <v>4238.1000000000004</v>
      </c>
      <c r="E696">
        <v>4254.95</v>
      </c>
      <c r="F696">
        <v>4218.25</v>
      </c>
      <c r="G696" s="3">
        <v>4224.45</v>
      </c>
      <c r="H696">
        <v>4236</v>
      </c>
      <c r="I696">
        <v>4238.05</v>
      </c>
      <c r="J696">
        <v>15292</v>
      </c>
      <c r="K696">
        <v>64685123.649999999</v>
      </c>
      <c r="L696" s="1">
        <v>45240</v>
      </c>
      <c r="M696">
        <v>4630</v>
      </c>
      <c r="N696" t="s">
        <v>1591</v>
      </c>
      <c r="O696" s="5">
        <v>45240</v>
      </c>
      <c r="P696" s="5">
        <v>43777</v>
      </c>
    </row>
    <row r="697" spans="1:16" x14ac:dyDescent="0.25">
      <c r="A697" t="s">
        <v>1592</v>
      </c>
      <c r="B697" t="str">
        <v>Fino Payments Bank Limited</v>
      </c>
      <c r="C697" t="s">
        <v>14</v>
      </c>
      <c r="D697">
        <v>282.95</v>
      </c>
      <c r="E697">
        <v>285</v>
      </c>
      <c r="F697">
        <v>276.8</v>
      </c>
      <c r="G697" s="3">
        <v>277.8</v>
      </c>
      <c r="H697">
        <v>277</v>
      </c>
      <c r="I697">
        <v>281.39999999999998</v>
      </c>
      <c r="J697">
        <v>60370</v>
      </c>
      <c r="K697">
        <v>16845385.050000001</v>
      </c>
      <c r="L697" s="1">
        <v>45240</v>
      </c>
      <c r="M697">
        <v>2794</v>
      </c>
      <c r="N697" t="s">
        <v>1594</v>
      </c>
      <c r="O697" s="5">
        <v>45240</v>
      </c>
      <c r="P697" s="5">
        <v>43777</v>
      </c>
    </row>
    <row r="698" spans="1:16" x14ac:dyDescent="0.25">
      <c r="A698" t="s">
        <v>1595</v>
      </c>
      <c r="B698" t="str">
        <v>Finolex Industries Limited</v>
      </c>
      <c r="C698" t="s">
        <v>14</v>
      </c>
      <c r="D698">
        <v>191</v>
      </c>
      <c r="E698">
        <v>191.1</v>
      </c>
      <c r="F698">
        <v>188.8</v>
      </c>
      <c r="G698" s="3">
        <v>189.8</v>
      </c>
      <c r="H698">
        <v>191</v>
      </c>
      <c r="I698">
        <v>191.05</v>
      </c>
      <c r="J698">
        <v>260087</v>
      </c>
      <c r="K698">
        <v>49383556.25</v>
      </c>
      <c r="L698" s="1">
        <v>45240</v>
      </c>
      <c r="M698">
        <v>8538</v>
      </c>
      <c r="N698" t="s">
        <v>1597</v>
      </c>
      <c r="O698" s="5">
        <v>45240</v>
      </c>
      <c r="P698" s="5">
        <v>43777</v>
      </c>
    </row>
    <row r="699" spans="1:16" x14ac:dyDescent="0.25">
      <c r="A699" t="s">
        <v>1598</v>
      </c>
      <c r="B699" t="str">
        <v>Five-Star Business Finance Limited</v>
      </c>
      <c r="C699" t="s">
        <v>14</v>
      </c>
      <c r="D699">
        <v>784.65</v>
      </c>
      <c r="E699">
        <v>793.95</v>
      </c>
      <c r="F699">
        <v>770.15</v>
      </c>
      <c r="G699" s="3">
        <v>789.2</v>
      </c>
      <c r="H699">
        <v>787</v>
      </c>
      <c r="I699">
        <v>782.2</v>
      </c>
      <c r="J699">
        <v>173197</v>
      </c>
      <c r="K699">
        <v>135517904.69999999</v>
      </c>
      <c r="L699" s="1">
        <v>45240</v>
      </c>
      <c r="M699">
        <v>18088</v>
      </c>
      <c r="N699" t="s">
        <v>1600</v>
      </c>
      <c r="O699" s="5">
        <v>45240</v>
      </c>
      <c r="P699" s="5">
        <v>43777</v>
      </c>
    </row>
    <row r="700" spans="1:16" x14ac:dyDescent="0.25">
      <c r="A700" t="s">
        <v>1601</v>
      </c>
      <c r="B700" t="str">
        <v>Flexituff Ventures International Limited</v>
      </c>
      <c r="C700" t="s">
        <v>10</v>
      </c>
      <c r="D700">
        <v>40.5</v>
      </c>
      <c r="E700">
        <v>41.6</v>
      </c>
      <c r="F700">
        <v>40.5</v>
      </c>
      <c r="G700" s="3">
        <v>41.6</v>
      </c>
      <c r="H700">
        <v>41.6</v>
      </c>
      <c r="I700">
        <v>40.799999999999997</v>
      </c>
      <c r="J700">
        <v>674</v>
      </c>
      <c r="K700">
        <v>27301.4</v>
      </c>
      <c r="L700" s="1">
        <v>45240</v>
      </c>
      <c r="M700">
        <v>7</v>
      </c>
      <c r="N700" t="s">
        <v>1603</v>
      </c>
      <c r="O700" s="5">
        <v>45240</v>
      </c>
      <c r="P700" s="5">
        <v>43777</v>
      </c>
    </row>
    <row r="701" spans="1:16" x14ac:dyDescent="0.25">
      <c r="A701" t="s">
        <v>1604</v>
      </c>
      <c r="B701" t="str">
        <v>Future Lifestyle Fashions Limited</v>
      </c>
      <c r="C701" t="s">
        <v>786</v>
      </c>
      <c r="D701">
        <v>3.05</v>
      </c>
      <c r="E701">
        <v>3.1</v>
      </c>
      <c r="F701">
        <v>3</v>
      </c>
      <c r="G701" s="3">
        <v>3.1</v>
      </c>
      <c r="H701">
        <v>3.1</v>
      </c>
      <c r="I701">
        <v>3.05</v>
      </c>
      <c r="J701">
        <v>19716</v>
      </c>
      <c r="K701">
        <v>60099.75</v>
      </c>
      <c r="L701" s="1">
        <v>45240</v>
      </c>
      <c r="M701">
        <v>58</v>
      </c>
      <c r="N701" t="s">
        <v>1606</v>
      </c>
      <c r="O701" s="5">
        <v>45240</v>
      </c>
      <c r="P701" s="5">
        <v>43777</v>
      </c>
    </row>
    <row r="702" spans="1:16" x14ac:dyDescent="0.25">
      <c r="A702" t="s">
        <v>1607</v>
      </c>
      <c r="B702" t="str">
        <v>Gujarat Fluorochemicals Limited</v>
      </c>
      <c r="C702" t="s">
        <v>14</v>
      </c>
      <c r="D702">
        <v>2750.25</v>
      </c>
      <c r="E702">
        <v>2785</v>
      </c>
      <c r="F702">
        <v>2715.05</v>
      </c>
      <c r="G702" s="3">
        <v>2775.05</v>
      </c>
      <c r="H702">
        <v>2762.05</v>
      </c>
      <c r="I702">
        <v>2750.25</v>
      </c>
      <c r="J702">
        <v>79603</v>
      </c>
      <c r="K702">
        <v>219086201.34999999</v>
      </c>
      <c r="L702" s="1">
        <v>45240</v>
      </c>
      <c r="M702">
        <v>9150</v>
      </c>
      <c r="N702" t="s">
        <v>1609</v>
      </c>
      <c r="O702" s="5">
        <v>45240</v>
      </c>
      <c r="P702" s="5">
        <v>43777</v>
      </c>
    </row>
    <row r="703" spans="1:16" x14ac:dyDescent="0.25">
      <c r="A703" t="s">
        <v>1610</v>
      </c>
      <c r="B703" t="str">
        <v>Federal-Mogul Goetze (India) Limited.</v>
      </c>
      <c r="C703" t="s">
        <v>14</v>
      </c>
      <c r="D703">
        <v>360</v>
      </c>
      <c r="E703">
        <v>361.1</v>
      </c>
      <c r="F703">
        <v>353.25</v>
      </c>
      <c r="G703" s="3">
        <v>357.1</v>
      </c>
      <c r="H703">
        <v>358.6</v>
      </c>
      <c r="I703">
        <v>357.55</v>
      </c>
      <c r="J703">
        <v>64007</v>
      </c>
      <c r="K703">
        <v>22837167.899999999</v>
      </c>
      <c r="L703" s="1">
        <v>45240</v>
      </c>
      <c r="M703">
        <v>2840</v>
      </c>
      <c r="N703" t="s">
        <v>1612</v>
      </c>
      <c r="O703" s="5">
        <v>45240</v>
      </c>
      <c r="P703" s="5">
        <v>43777</v>
      </c>
    </row>
    <row r="704" spans="1:16" x14ac:dyDescent="0.25">
      <c r="A704" t="s">
        <v>1613</v>
      </c>
      <c r="B704" t="str">
        <v>Future Market Networks Limited</v>
      </c>
      <c r="C704" t="s">
        <v>10</v>
      </c>
      <c r="D704">
        <v>5.4</v>
      </c>
      <c r="E704">
        <v>5.75</v>
      </c>
      <c r="F704">
        <v>5.4</v>
      </c>
      <c r="G704" s="3">
        <v>5.6</v>
      </c>
      <c r="H704">
        <v>5.6</v>
      </c>
      <c r="I704">
        <v>5.55</v>
      </c>
      <c r="J704">
        <v>28965</v>
      </c>
      <c r="K704">
        <v>158732.65</v>
      </c>
      <c r="L704" s="1">
        <v>45240</v>
      </c>
      <c r="M704">
        <v>87</v>
      </c>
      <c r="N704" t="s">
        <v>1615</v>
      </c>
      <c r="O704" s="5">
        <v>45240</v>
      </c>
      <c r="P704" s="5">
        <v>43777</v>
      </c>
    </row>
    <row r="705" spans="1:16" x14ac:dyDescent="0.25">
      <c r="A705" t="s">
        <v>6689</v>
      </c>
      <c r="B705" t="str">
        <v>Not Found</v>
      </c>
      <c r="C705" t="s">
        <v>5788</v>
      </c>
      <c r="D705">
        <v>778</v>
      </c>
      <c r="E705">
        <v>778</v>
      </c>
      <c r="F705">
        <v>778</v>
      </c>
      <c r="G705" s="3">
        <v>778</v>
      </c>
      <c r="H705">
        <v>778</v>
      </c>
      <c r="I705">
        <v>775</v>
      </c>
      <c r="J705">
        <v>200</v>
      </c>
      <c r="K705">
        <v>155600</v>
      </c>
      <c r="L705" s="1">
        <v>45240</v>
      </c>
      <c r="M705">
        <v>1</v>
      </c>
      <c r="N705" t="s">
        <v>6688</v>
      </c>
      <c r="O705" s="5">
        <v>45240</v>
      </c>
      <c r="P705" s="5">
        <v>43777</v>
      </c>
    </row>
    <row r="706" spans="1:16" x14ac:dyDescent="0.25">
      <c r="A706" t="s">
        <v>1616</v>
      </c>
      <c r="B706" t="str">
        <v>Focus Lighting and Fixtures Limited</v>
      </c>
      <c r="C706" t="s">
        <v>14</v>
      </c>
      <c r="D706">
        <v>174</v>
      </c>
      <c r="E706">
        <v>189.25</v>
      </c>
      <c r="F706">
        <v>173.1</v>
      </c>
      <c r="G706" s="3">
        <v>187.45</v>
      </c>
      <c r="H706">
        <v>186.4</v>
      </c>
      <c r="I706">
        <v>173.1</v>
      </c>
      <c r="J706">
        <v>465067</v>
      </c>
      <c r="K706">
        <v>85509529.400000006</v>
      </c>
      <c r="L706" s="1">
        <v>45240</v>
      </c>
      <c r="M706">
        <v>4940</v>
      </c>
      <c r="N706" t="s">
        <v>1618</v>
      </c>
      <c r="O706" s="5">
        <v>45240</v>
      </c>
      <c r="P706" s="5">
        <v>43777</v>
      </c>
    </row>
    <row r="707" spans="1:16" x14ac:dyDescent="0.25">
      <c r="A707" t="s">
        <v>1619</v>
      </c>
      <c r="B707" t="str">
        <v>Foods &amp; Inns Limited</v>
      </c>
      <c r="C707" t="s">
        <v>14</v>
      </c>
      <c r="D707">
        <v>174.85</v>
      </c>
      <c r="E707">
        <v>181.95</v>
      </c>
      <c r="F707">
        <v>168.2</v>
      </c>
      <c r="G707" s="3">
        <v>178.9</v>
      </c>
      <c r="H707">
        <v>180</v>
      </c>
      <c r="I707">
        <v>184.25</v>
      </c>
      <c r="J707">
        <v>1846352</v>
      </c>
      <c r="K707">
        <v>320821445.85000002</v>
      </c>
      <c r="L707" s="1">
        <v>45240</v>
      </c>
      <c r="M707">
        <v>19716</v>
      </c>
      <c r="N707" t="s">
        <v>1621</v>
      </c>
      <c r="O707" s="5">
        <v>45240</v>
      </c>
      <c r="P707" s="5">
        <v>43777</v>
      </c>
    </row>
    <row r="708" spans="1:16" x14ac:dyDescent="0.25">
      <c r="A708" t="s">
        <v>1622</v>
      </c>
      <c r="B708" t="str">
        <v>Fortis Healthcare Limited</v>
      </c>
      <c r="C708" t="s">
        <v>14</v>
      </c>
      <c r="D708">
        <v>343.5</v>
      </c>
      <c r="E708">
        <v>366</v>
      </c>
      <c r="F708">
        <v>341.05</v>
      </c>
      <c r="G708" s="3">
        <v>359.4</v>
      </c>
      <c r="H708">
        <v>361.9</v>
      </c>
      <c r="I708">
        <v>342.2</v>
      </c>
      <c r="J708">
        <v>3712746</v>
      </c>
      <c r="K708">
        <v>1313493550</v>
      </c>
      <c r="L708" s="1">
        <v>45240</v>
      </c>
      <c r="M708">
        <v>41078</v>
      </c>
      <c r="N708" t="s">
        <v>1624</v>
      </c>
      <c r="O708" s="5">
        <v>45240</v>
      </c>
      <c r="P708" s="5">
        <v>43777</v>
      </c>
    </row>
    <row r="709" spans="1:16" x14ac:dyDescent="0.25">
      <c r="A709" t="s">
        <v>1625</v>
      </c>
      <c r="B709" t="str">
        <v>Foseco India Limited</v>
      </c>
      <c r="C709" t="s">
        <v>14</v>
      </c>
      <c r="D709">
        <v>3525.15</v>
      </c>
      <c r="E709">
        <v>3700</v>
      </c>
      <c r="F709">
        <v>3525.15</v>
      </c>
      <c r="G709" s="3">
        <v>3663.35</v>
      </c>
      <c r="H709">
        <v>3650</v>
      </c>
      <c r="I709">
        <v>3572.9</v>
      </c>
      <c r="J709">
        <v>8381</v>
      </c>
      <c r="K709">
        <v>30562155.25</v>
      </c>
      <c r="L709" s="1">
        <v>45240</v>
      </c>
      <c r="M709">
        <v>1921</v>
      </c>
      <c r="N709" t="s">
        <v>1627</v>
      </c>
      <c r="O709" s="5">
        <v>45240</v>
      </c>
      <c r="P709" s="5">
        <v>43777</v>
      </c>
    </row>
    <row r="710" spans="1:16" x14ac:dyDescent="0.25">
      <c r="A710" t="s">
        <v>1628</v>
      </c>
      <c r="B710" t="str">
        <v>Future Retail Limited</v>
      </c>
      <c r="C710" t="s">
        <v>786</v>
      </c>
      <c r="D710">
        <v>3.05</v>
      </c>
      <c r="E710">
        <v>3.1</v>
      </c>
      <c r="F710">
        <v>3</v>
      </c>
      <c r="G710" s="3">
        <v>3</v>
      </c>
      <c r="H710">
        <v>3.05</v>
      </c>
      <c r="I710">
        <v>3</v>
      </c>
      <c r="J710">
        <v>228862</v>
      </c>
      <c r="K710">
        <v>689985.45</v>
      </c>
      <c r="L710" s="1">
        <v>45240</v>
      </c>
      <c r="M710">
        <v>224</v>
      </c>
      <c r="N710" t="s">
        <v>1630</v>
      </c>
      <c r="O710" s="5">
        <v>45240</v>
      </c>
      <c r="P710" s="5">
        <v>43777</v>
      </c>
    </row>
    <row r="711" spans="1:16" x14ac:dyDescent="0.25">
      <c r="A711" t="s">
        <v>6687</v>
      </c>
      <c r="B711" t="str">
        <v>Not Found</v>
      </c>
      <c r="C711" t="s">
        <v>5788</v>
      </c>
      <c r="D711">
        <v>223</v>
      </c>
      <c r="E711">
        <v>232</v>
      </c>
      <c r="F711">
        <v>221.15</v>
      </c>
      <c r="G711" s="3">
        <v>223.5</v>
      </c>
      <c r="H711">
        <v>222.5</v>
      </c>
      <c r="I711">
        <v>227.5</v>
      </c>
      <c r="J711">
        <v>19600</v>
      </c>
      <c r="K711">
        <v>4449740</v>
      </c>
      <c r="L711" s="1">
        <v>45240</v>
      </c>
      <c r="M711">
        <v>41</v>
      </c>
      <c r="N711" t="s">
        <v>6686</v>
      </c>
      <c r="O711" s="5">
        <v>45240</v>
      </c>
      <c r="P711" s="5">
        <v>43777</v>
      </c>
    </row>
    <row r="712" spans="1:16" x14ac:dyDescent="0.25">
      <c r="A712" t="s">
        <v>1631</v>
      </c>
      <c r="B712" t="str">
        <v>Future Supply Chain Solutions Limited</v>
      </c>
      <c r="C712" t="s">
        <v>786</v>
      </c>
      <c r="D712">
        <v>9.9</v>
      </c>
      <c r="E712">
        <v>10.35</v>
      </c>
      <c r="F712">
        <v>9.75</v>
      </c>
      <c r="G712" s="3">
        <v>10.199999999999999</v>
      </c>
      <c r="H712">
        <v>10.35</v>
      </c>
      <c r="I712">
        <v>9.9</v>
      </c>
      <c r="J712">
        <v>16299</v>
      </c>
      <c r="K712">
        <v>164388.85</v>
      </c>
      <c r="L712" s="1">
        <v>45240</v>
      </c>
      <c r="M712">
        <v>74</v>
      </c>
      <c r="N712" t="s">
        <v>1633</v>
      </c>
      <c r="O712" s="5">
        <v>45240</v>
      </c>
      <c r="P712" s="5">
        <v>43777</v>
      </c>
    </row>
    <row r="713" spans="1:16" x14ac:dyDescent="0.25">
      <c r="A713" t="s">
        <v>1634</v>
      </c>
      <c r="B713" t="str">
        <v>Firstsource Solutions Limited</v>
      </c>
      <c r="C713" t="s">
        <v>14</v>
      </c>
      <c r="D713">
        <v>161</v>
      </c>
      <c r="E713">
        <v>161.25</v>
      </c>
      <c r="F713">
        <v>157</v>
      </c>
      <c r="G713" s="3">
        <v>158</v>
      </c>
      <c r="H713">
        <v>157.65</v>
      </c>
      <c r="I713">
        <v>161.15</v>
      </c>
      <c r="J713">
        <v>1776915</v>
      </c>
      <c r="K713">
        <v>284026170.5</v>
      </c>
      <c r="L713" s="1">
        <v>45240</v>
      </c>
      <c r="M713">
        <v>12251</v>
      </c>
      <c r="N713" t="s">
        <v>1636</v>
      </c>
      <c r="O713" s="5">
        <v>45240</v>
      </c>
      <c r="P713" s="5">
        <v>43777</v>
      </c>
    </row>
    <row r="714" spans="1:16" x14ac:dyDescent="0.25">
      <c r="A714" t="s">
        <v>1637</v>
      </c>
      <c r="B714" t="str">
        <v>Fusion Micro Finance Limited</v>
      </c>
      <c r="C714" t="s">
        <v>14</v>
      </c>
      <c r="D714">
        <v>568</v>
      </c>
      <c r="E714">
        <v>583.70000000000005</v>
      </c>
      <c r="F714">
        <v>561</v>
      </c>
      <c r="G714" s="3">
        <v>576.9</v>
      </c>
      <c r="H714">
        <v>578</v>
      </c>
      <c r="I714">
        <v>566.15</v>
      </c>
      <c r="J714">
        <v>133271</v>
      </c>
      <c r="K714">
        <v>76786748.5</v>
      </c>
      <c r="L714" s="1">
        <v>45240</v>
      </c>
      <c r="M714">
        <v>9550</v>
      </c>
      <c r="N714" t="s">
        <v>1639</v>
      </c>
      <c r="O714" s="5">
        <v>45240</v>
      </c>
      <c r="P714" s="5">
        <v>43777</v>
      </c>
    </row>
    <row r="715" spans="1:16" x14ac:dyDescent="0.25">
      <c r="A715" t="s">
        <v>1640</v>
      </c>
      <c r="B715" t="str">
        <v>Gabriel India Limited</v>
      </c>
      <c r="C715" t="s">
        <v>14</v>
      </c>
      <c r="D715">
        <v>367.7</v>
      </c>
      <c r="E715">
        <v>369.95</v>
      </c>
      <c r="F715">
        <v>357.05</v>
      </c>
      <c r="G715" s="3">
        <v>361.85</v>
      </c>
      <c r="H715">
        <v>363.4</v>
      </c>
      <c r="I715">
        <v>365.55</v>
      </c>
      <c r="J715">
        <v>614155</v>
      </c>
      <c r="K715">
        <v>222283083.59999999</v>
      </c>
      <c r="L715" s="1">
        <v>45240</v>
      </c>
      <c r="M715">
        <v>17247</v>
      </c>
      <c r="N715" t="s">
        <v>1642</v>
      </c>
      <c r="O715" s="5">
        <v>45240</v>
      </c>
      <c r="P715" s="5">
        <v>43777</v>
      </c>
    </row>
    <row r="716" spans="1:16" x14ac:dyDescent="0.25">
      <c r="A716" t="s">
        <v>1643</v>
      </c>
      <c r="B716" t="str">
        <v>Gujarat Ambuja Exports Limited</v>
      </c>
      <c r="C716" t="s">
        <v>14</v>
      </c>
      <c r="D716">
        <v>338.85</v>
      </c>
      <c r="E716">
        <v>346.45</v>
      </c>
      <c r="F716">
        <v>335.5</v>
      </c>
      <c r="G716" s="3">
        <v>339.7</v>
      </c>
      <c r="H716">
        <v>338.4</v>
      </c>
      <c r="I716">
        <v>339.45</v>
      </c>
      <c r="J716">
        <v>242990</v>
      </c>
      <c r="K716">
        <v>83035423.200000003</v>
      </c>
      <c r="L716" s="1">
        <v>45240</v>
      </c>
      <c r="M716">
        <v>12453</v>
      </c>
      <c r="N716" t="s">
        <v>1645</v>
      </c>
      <c r="O716" s="5">
        <v>45240</v>
      </c>
      <c r="P716" s="5">
        <v>43777</v>
      </c>
    </row>
    <row r="717" spans="1:16" x14ac:dyDescent="0.25">
      <c r="A717" t="s">
        <v>1646</v>
      </c>
      <c r="B717" t="str">
        <v>GAIL (India) Limited</v>
      </c>
      <c r="C717" t="s">
        <v>14</v>
      </c>
      <c r="D717">
        <v>123.9</v>
      </c>
      <c r="E717">
        <v>125.9</v>
      </c>
      <c r="F717">
        <v>123.2</v>
      </c>
      <c r="G717" s="3">
        <v>125.6</v>
      </c>
      <c r="H717">
        <v>125.6</v>
      </c>
      <c r="I717">
        <v>124.15</v>
      </c>
      <c r="J717">
        <v>6880677</v>
      </c>
      <c r="K717">
        <v>861523820.14999998</v>
      </c>
      <c r="L717" s="1">
        <v>45240</v>
      </c>
      <c r="M717">
        <v>29065</v>
      </c>
      <c r="N717" t="s">
        <v>1648</v>
      </c>
      <c r="O717" s="5">
        <v>45240</v>
      </c>
      <c r="P717" s="5">
        <v>43777</v>
      </c>
    </row>
    <row r="718" spans="1:16" x14ac:dyDescent="0.25">
      <c r="A718" t="s">
        <v>1649</v>
      </c>
      <c r="B718" t="str">
        <v>Galaxy Surfactants Limited</v>
      </c>
      <c r="C718" t="s">
        <v>14</v>
      </c>
      <c r="D718">
        <v>2849.35</v>
      </c>
      <c r="E718">
        <v>2974</v>
      </c>
      <c r="F718">
        <v>2845.05</v>
      </c>
      <c r="G718" s="3">
        <v>2952.5</v>
      </c>
      <c r="H718">
        <v>2935</v>
      </c>
      <c r="I718">
        <v>2844.7</v>
      </c>
      <c r="J718">
        <v>43480</v>
      </c>
      <c r="K718">
        <v>127383169.59999999</v>
      </c>
      <c r="L718" s="1">
        <v>45240</v>
      </c>
      <c r="M718">
        <v>6192</v>
      </c>
      <c r="N718" t="s">
        <v>1651</v>
      </c>
      <c r="O718" s="5">
        <v>45240</v>
      </c>
      <c r="P718" s="5">
        <v>43777</v>
      </c>
    </row>
    <row r="719" spans="1:16" x14ac:dyDescent="0.25">
      <c r="A719" t="s">
        <v>1652</v>
      </c>
      <c r="B719" t="str">
        <v>Gallantt Ispat Limited</v>
      </c>
      <c r="C719" t="s">
        <v>14</v>
      </c>
      <c r="D719">
        <v>95.25</v>
      </c>
      <c r="E719">
        <v>96.8</v>
      </c>
      <c r="F719">
        <v>93.7</v>
      </c>
      <c r="G719" s="3">
        <v>95.1</v>
      </c>
      <c r="H719">
        <v>95</v>
      </c>
      <c r="I719">
        <v>95.25</v>
      </c>
      <c r="J719">
        <v>171556</v>
      </c>
      <c r="K719">
        <v>16326402.25</v>
      </c>
      <c r="L719" s="1">
        <v>45240</v>
      </c>
      <c r="M719">
        <v>1603</v>
      </c>
      <c r="N719" t="s">
        <v>1654</v>
      </c>
      <c r="O719" s="5">
        <v>45240</v>
      </c>
      <c r="P719" s="5">
        <v>43777</v>
      </c>
    </row>
    <row r="720" spans="1:16" x14ac:dyDescent="0.25">
      <c r="A720" t="s">
        <v>1655</v>
      </c>
      <c r="B720" t="str">
        <v>Gandhi Special Tubes Limited</v>
      </c>
      <c r="C720" t="s">
        <v>14</v>
      </c>
      <c r="D720">
        <v>682.8</v>
      </c>
      <c r="E720">
        <v>700.1</v>
      </c>
      <c r="F720">
        <v>680</v>
      </c>
      <c r="G720" s="3">
        <v>690.9</v>
      </c>
      <c r="H720">
        <v>686</v>
      </c>
      <c r="I720">
        <v>681.85</v>
      </c>
      <c r="J720">
        <v>9957</v>
      </c>
      <c r="K720">
        <v>6893143.5499999998</v>
      </c>
      <c r="L720" s="1">
        <v>45240</v>
      </c>
      <c r="M720">
        <v>994</v>
      </c>
      <c r="N720" t="s">
        <v>1657</v>
      </c>
      <c r="O720" s="5">
        <v>45240</v>
      </c>
      <c r="P720" s="5">
        <v>43777</v>
      </c>
    </row>
    <row r="721" spans="1:16" x14ac:dyDescent="0.25">
      <c r="A721" t="s">
        <v>1658</v>
      </c>
      <c r="B721" t="str">
        <v>Ganesha Ecosphere Limited</v>
      </c>
      <c r="C721" t="s">
        <v>14</v>
      </c>
      <c r="D721">
        <v>832.45</v>
      </c>
      <c r="E721">
        <v>863.3</v>
      </c>
      <c r="F721">
        <v>823.45</v>
      </c>
      <c r="G721" s="3">
        <v>852.65</v>
      </c>
      <c r="H721">
        <v>850</v>
      </c>
      <c r="I721">
        <v>828.35</v>
      </c>
      <c r="J721">
        <v>56570</v>
      </c>
      <c r="K721">
        <v>48054623.75</v>
      </c>
      <c r="L721" s="1">
        <v>45240</v>
      </c>
      <c r="M721">
        <v>7577</v>
      </c>
      <c r="N721" t="s">
        <v>1660</v>
      </c>
      <c r="O721" s="5">
        <v>45240</v>
      </c>
      <c r="P721" s="5">
        <v>43777</v>
      </c>
    </row>
    <row r="722" spans="1:16" x14ac:dyDescent="0.25">
      <c r="A722" t="s">
        <v>1661</v>
      </c>
      <c r="B722" t="str">
        <v>Ganesh Benzoplast Limited</v>
      </c>
      <c r="C722" t="s">
        <v>14</v>
      </c>
      <c r="D722">
        <v>143.4</v>
      </c>
      <c r="E722">
        <v>148</v>
      </c>
      <c r="F722">
        <v>142.30000000000001</v>
      </c>
      <c r="G722" s="3">
        <v>147.4</v>
      </c>
      <c r="H722">
        <v>147.75</v>
      </c>
      <c r="I722">
        <v>142.30000000000001</v>
      </c>
      <c r="J722">
        <v>182855</v>
      </c>
      <c r="K722">
        <v>26688389.399999999</v>
      </c>
      <c r="L722" s="1">
        <v>45240</v>
      </c>
      <c r="M722">
        <v>2991</v>
      </c>
      <c r="N722" t="s">
        <v>1663</v>
      </c>
      <c r="O722" s="5">
        <v>45240</v>
      </c>
      <c r="P722" s="5">
        <v>43777</v>
      </c>
    </row>
    <row r="723" spans="1:16" x14ac:dyDescent="0.25">
      <c r="A723" t="s">
        <v>1664</v>
      </c>
      <c r="B723" t="str">
        <v>Ganesh Housing Corporation Limited</v>
      </c>
      <c r="C723" t="s">
        <v>14</v>
      </c>
      <c r="D723">
        <v>369.55</v>
      </c>
      <c r="E723">
        <v>376.55</v>
      </c>
      <c r="F723">
        <v>362.6</v>
      </c>
      <c r="G723" s="3">
        <v>364.15</v>
      </c>
      <c r="H723">
        <v>365.9</v>
      </c>
      <c r="I723">
        <v>372.8</v>
      </c>
      <c r="J723">
        <v>77869</v>
      </c>
      <c r="K723">
        <v>28659320.449999999</v>
      </c>
      <c r="L723" s="1">
        <v>45240</v>
      </c>
      <c r="M723">
        <v>2848</v>
      </c>
      <c r="N723" t="s">
        <v>1666</v>
      </c>
      <c r="O723" s="5">
        <v>45240</v>
      </c>
      <c r="P723" s="5">
        <v>43777</v>
      </c>
    </row>
    <row r="724" spans="1:16" x14ac:dyDescent="0.25">
      <c r="A724" t="s">
        <v>1667</v>
      </c>
      <c r="B724" t="str">
        <v>Ganga Forging Limited</v>
      </c>
      <c r="C724" t="s">
        <v>10</v>
      </c>
      <c r="D724">
        <v>7.15</v>
      </c>
      <c r="E724">
        <v>7.2</v>
      </c>
      <c r="F724">
        <v>7.15</v>
      </c>
      <c r="G724" s="3">
        <v>7.2</v>
      </c>
      <c r="H724">
        <v>7.2</v>
      </c>
      <c r="I724">
        <v>7.15</v>
      </c>
      <c r="J724">
        <v>70036</v>
      </c>
      <c r="K724">
        <v>502857.1</v>
      </c>
      <c r="L724" s="1">
        <v>45240</v>
      </c>
      <c r="M724">
        <v>99</v>
      </c>
      <c r="N724" t="s">
        <v>1669</v>
      </c>
      <c r="O724" s="5">
        <v>45240</v>
      </c>
      <c r="P724" s="5">
        <v>43777</v>
      </c>
    </row>
    <row r="725" spans="1:16" x14ac:dyDescent="0.25">
      <c r="A725" t="s">
        <v>1670</v>
      </c>
      <c r="B725" t="str">
        <v>Ganges Securities Limited</v>
      </c>
      <c r="C725" t="s">
        <v>14</v>
      </c>
      <c r="D725">
        <v>119.55</v>
      </c>
      <c r="E725">
        <v>121.8</v>
      </c>
      <c r="F725">
        <v>119.5</v>
      </c>
      <c r="G725" s="3">
        <v>120.45</v>
      </c>
      <c r="H725">
        <v>120.5</v>
      </c>
      <c r="I725">
        <v>121.3</v>
      </c>
      <c r="J725">
        <v>16258</v>
      </c>
      <c r="K725">
        <v>1952324.2</v>
      </c>
      <c r="L725" s="1">
        <v>45240</v>
      </c>
      <c r="M725">
        <v>100</v>
      </c>
      <c r="N725" t="s">
        <v>1672</v>
      </c>
      <c r="O725" s="5">
        <v>45240</v>
      </c>
      <c r="P725" s="5">
        <v>43777</v>
      </c>
    </row>
    <row r="726" spans="1:16" x14ac:dyDescent="0.25">
      <c r="A726" t="s">
        <v>1673</v>
      </c>
      <c r="B726" t="str">
        <v>Garware Technical Fibres Limited</v>
      </c>
      <c r="C726" t="s">
        <v>14</v>
      </c>
      <c r="D726">
        <v>3139.25</v>
      </c>
      <c r="E726">
        <v>3162.2</v>
      </c>
      <c r="F726">
        <v>3105.9</v>
      </c>
      <c r="G726" s="3">
        <v>3121.2</v>
      </c>
      <c r="H726">
        <v>3106</v>
      </c>
      <c r="I726">
        <v>3139.25</v>
      </c>
      <c r="J726">
        <v>7246</v>
      </c>
      <c r="K726">
        <v>22742259.75</v>
      </c>
      <c r="L726" s="1">
        <v>45240</v>
      </c>
      <c r="M726">
        <v>1662</v>
      </c>
      <c r="N726" t="s">
        <v>1675</v>
      </c>
      <c r="O726" s="5">
        <v>45240</v>
      </c>
      <c r="P726" s="5">
        <v>43777</v>
      </c>
    </row>
    <row r="727" spans="1:16" x14ac:dyDescent="0.25">
      <c r="A727" t="s">
        <v>1676</v>
      </c>
      <c r="B727" t="str">
        <v>GACM Technologies Limited</v>
      </c>
      <c r="C727" t="s">
        <v>10</v>
      </c>
      <c r="D727">
        <v>11.2</v>
      </c>
      <c r="E727">
        <v>11.2</v>
      </c>
      <c r="F727">
        <v>11.05</v>
      </c>
      <c r="G727" s="3">
        <v>11.2</v>
      </c>
      <c r="H727">
        <v>11.2</v>
      </c>
      <c r="I727">
        <v>11.25</v>
      </c>
      <c r="J727">
        <v>32489</v>
      </c>
      <c r="K727">
        <v>363189.65</v>
      </c>
      <c r="L727" s="1">
        <v>45240</v>
      </c>
      <c r="M727">
        <v>29</v>
      </c>
      <c r="N727" t="s">
        <v>1678</v>
      </c>
      <c r="O727" s="5">
        <v>45240</v>
      </c>
      <c r="P727" s="5">
        <v>43777</v>
      </c>
    </row>
    <row r="728" spans="1:16" x14ac:dyDescent="0.25">
      <c r="A728" t="s">
        <v>1679</v>
      </c>
      <c r="B728" t="str">
        <v>Gateway Distriparks Limited</v>
      </c>
      <c r="C728" t="s">
        <v>14</v>
      </c>
      <c r="D728">
        <v>90.2</v>
      </c>
      <c r="E728">
        <v>92.4</v>
      </c>
      <c r="F728">
        <v>90</v>
      </c>
      <c r="G728" s="3">
        <v>91.3</v>
      </c>
      <c r="H728">
        <v>91.5</v>
      </c>
      <c r="I728">
        <v>89.9</v>
      </c>
      <c r="J728">
        <v>1067667</v>
      </c>
      <c r="K728">
        <v>97541741.650000006</v>
      </c>
      <c r="L728" s="1">
        <v>45240</v>
      </c>
      <c r="M728">
        <v>11835</v>
      </c>
      <c r="N728" t="s">
        <v>1681</v>
      </c>
      <c r="O728" s="5">
        <v>45240</v>
      </c>
      <c r="P728" s="5">
        <v>43777</v>
      </c>
    </row>
    <row r="729" spans="1:16" x14ac:dyDescent="0.25">
      <c r="A729" t="s">
        <v>1682</v>
      </c>
      <c r="B729" t="str">
        <v>GATI Limited</v>
      </c>
      <c r="C729" t="s">
        <v>14</v>
      </c>
      <c r="D729">
        <v>136.05000000000001</v>
      </c>
      <c r="E729">
        <v>136.1</v>
      </c>
      <c r="F729">
        <v>133.19999999999999</v>
      </c>
      <c r="G729" s="3">
        <v>134.94999999999999</v>
      </c>
      <c r="H729">
        <v>135</v>
      </c>
      <c r="I729">
        <v>136</v>
      </c>
      <c r="J729">
        <v>256576</v>
      </c>
      <c r="K729">
        <v>34611750</v>
      </c>
      <c r="L729" s="1">
        <v>45240</v>
      </c>
      <c r="M729">
        <v>3431</v>
      </c>
      <c r="N729" t="s">
        <v>1684</v>
      </c>
      <c r="O729" s="5">
        <v>45240</v>
      </c>
      <c r="P729" s="5">
        <v>43777</v>
      </c>
    </row>
    <row r="730" spans="1:16" x14ac:dyDescent="0.25">
      <c r="A730" t="s">
        <v>1685</v>
      </c>
      <c r="B730" t="str">
        <v>Gayatri Highways Limited</v>
      </c>
      <c r="C730" t="s">
        <v>14</v>
      </c>
      <c r="D730">
        <v>0.95</v>
      </c>
      <c r="E730">
        <v>0.95</v>
      </c>
      <c r="F730">
        <v>0.9</v>
      </c>
      <c r="G730" s="3">
        <v>0.95</v>
      </c>
      <c r="H730">
        <v>0.95</v>
      </c>
      <c r="I730">
        <v>0.95</v>
      </c>
      <c r="J730">
        <v>600874</v>
      </c>
      <c r="K730">
        <v>549318.25</v>
      </c>
      <c r="L730" s="1">
        <v>45240</v>
      </c>
      <c r="M730">
        <v>412</v>
      </c>
      <c r="N730" t="s">
        <v>1687</v>
      </c>
      <c r="O730" s="5">
        <v>45240</v>
      </c>
      <c r="P730" s="5">
        <v>43777</v>
      </c>
    </row>
    <row r="731" spans="1:16" x14ac:dyDescent="0.25">
      <c r="A731" t="s">
        <v>1688</v>
      </c>
      <c r="B731" t="str">
        <v>Gayatri Projects Limited</v>
      </c>
      <c r="C731" t="s">
        <v>786</v>
      </c>
      <c r="D731">
        <v>6.4</v>
      </c>
      <c r="E731">
        <v>6.75</v>
      </c>
      <c r="F731">
        <v>6.4</v>
      </c>
      <c r="G731" s="3">
        <v>6.6</v>
      </c>
      <c r="H731">
        <v>6.5</v>
      </c>
      <c r="I731">
        <v>6.65</v>
      </c>
      <c r="J731">
        <v>35227</v>
      </c>
      <c r="K731">
        <v>231809.75</v>
      </c>
      <c r="L731" s="1">
        <v>45240</v>
      </c>
      <c r="M731">
        <v>69</v>
      </c>
      <c r="N731" t="s">
        <v>1690</v>
      </c>
      <c r="O731" s="5">
        <v>45240</v>
      </c>
      <c r="P731" s="5">
        <v>43777</v>
      </c>
    </row>
    <row r="732" spans="1:16" x14ac:dyDescent="0.25">
      <c r="A732" t="s">
        <v>1691</v>
      </c>
      <c r="B732" t="str">
        <v>GeeCee Ventures Limited</v>
      </c>
      <c r="C732" t="s">
        <v>14</v>
      </c>
      <c r="D732">
        <v>218</v>
      </c>
      <c r="E732">
        <v>228</v>
      </c>
      <c r="F732">
        <v>211.2</v>
      </c>
      <c r="G732" s="3">
        <v>214.05</v>
      </c>
      <c r="H732">
        <v>214.5</v>
      </c>
      <c r="I732">
        <v>222.6</v>
      </c>
      <c r="J732">
        <v>459847</v>
      </c>
      <c r="K732">
        <v>101706597.40000001</v>
      </c>
      <c r="L732" s="1">
        <v>45240</v>
      </c>
      <c r="M732">
        <v>12905</v>
      </c>
      <c r="N732" t="s">
        <v>1693</v>
      </c>
      <c r="O732" s="5">
        <v>45240</v>
      </c>
      <c r="P732" s="5">
        <v>43777</v>
      </c>
    </row>
    <row r="733" spans="1:16" x14ac:dyDescent="0.25">
      <c r="A733" t="s">
        <v>1694</v>
      </c>
      <c r="B733" t="str">
        <v>Geekay Wires Limited</v>
      </c>
      <c r="C733" t="s">
        <v>10</v>
      </c>
      <c r="D733">
        <v>79.599999999999994</v>
      </c>
      <c r="E733">
        <v>79.7</v>
      </c>
      <c r="F733">
        <v>78.5</v>
      </c>
      <c r="G733" s="3">
        <v>79.7</v>
      </c>
      <c r="H733">
        <v>79.7</v>
      </c>
      <c r="I733">
        <v>79.599999999999994</v>
      </c>
      <c r="J733">
        <v>49459</v>
      </c>
      <c r="K733">
        <v>3912845.4</v>
      </c>
      <c r="L733" s="1">
        <v>45240</v>
      </c>
      <c r="M733">
        <v>223</v>
      </c>
      <c r="N733" t="s">
        <v>1696</v>
      </c>
      <c r="O733" s="5">
        <v>45240</v>
      </c>
      <c r="P733" s="5">
        <v>43777</v>
      </c>
    </row>
    <row r="734" spans="1:16" x14ac:dyDescent="0.25">
      <c r="A734" t="s">
        <v>1697</v>
      </c>
      <c r="B734" t="str">
        <v>Generic Engineering Construction and Projects Limited</v>
      </c>
      <c r="C734" t="s">
        <v>10</v>
      </c>
      <c r="D734">
        <v>50.35</v>
      </c>
      <c r="E734">
        <v>50.35</v>
      </c>
      <c r="F734">
        <v>46.9</v>
      </c>
      <c r="G734" s="3">
        <v>47.15</v>
      </c>
      <c r="H734">
        <v>48.8</v>
      </c>
      <c r="I734">
        <v>49.35</v>
      </c>
      <c r="J734">
        <v>74201</v>
      </c>
      <c r="K734">
        <v>3530447.65</v>
      </c>
      <c r="L734" s="1">
        <v>45240</v>
      </c>
      <c r="M734">
        <v>750</v>
      </c>
      <c r="N734" t="s">
        <v>1699</v>
      </c>
      <c r="O734" s="5">
        <v>45240</v>
      </c>
      <c r="P734" s="5">
        <v>43777</v>
      </c>
    </row>
    <row r="735" spans="1:16" x14ac:dyDescent="0.25">
      <c r="A735" t="s">
        <v>1700</v>
      </c>
      <c r="B735" t="str">
        <v>Genesys International Corporation Limited</v>
      </c>
      <c r="C735" t="s">
        <v>14</v>
      </c>
      <c r="D735">
        <v>305.25</v>
      </c>
      <c r="E735">
        <v>316.7</v>
      </c>
      <c r="F735">
        <v>304.85000000000002</v>
      </c>
      <c r="G735" s="3">
        <v>312.5</v>
      </c>
      <c r="H735">
        <v>307.10000000000002</v>
      </c>
      <c r="I735">
        <v>304.60000000000002</v>
      </c>
      <c r="J735">
        <v>42995</v>
      </c>
      <c r="K735">
        <v>13402356.5</v>
      </c>
      <c r="L735" s="1">
        <v>45240</v>
      </c>
      <c r="M735">
        <v>2485</v>
      </c>
      <c r="N735" t="s">
        <v>1702</v>
      </c>
      <c r="O735" s="5">
        <v>45240</v>
      </c>
      <c r="P735" s="5">
        <v>43777</v>
      </c>
    </row>
    <row r="736" spans="1:16" x14ac:dyDescent="0.25">
      <c r="A736" t="s">
        <v>1703</v>
      </c>
      <c r="B736" t="str">
        <v>Gensol Engineering Limited</v>
      </c>
      <c r="C736" t="s">
        <v>10</v>
      </c>
      <c r="D736">
        <v>804.95</v>
      </c>
      <c r="E736">
        <v>820</v>
      </c>
      <c r="F736">
        <v>790</v>
      </c>
      <c r="G736" s="3">
        <v>802.5</v>
      </c>
      <c r="H736">
        <v>814</v>
      </c>
      <c r="I736">
        <v>815.05</v>
      </c>
      <c r="J736">
        <v>44691</v>
      </c>
      <c r="K736">
        <v>36014615.5</v>
      </c>
      <c r="L736" s="1">
        <v>45240</v>
      </c>
      <c r="M736">
        <v>1348</v>
      </c>
      <c r="N736" t="s">
        <v>1705</v>
      </c>
      <c r="O736" s="5">
        <v>45240</v>
      </c>
      <c r="P736" s="5">
        <v>43777</v>
      </c>
    </row>
    <row r="737" spans="1:16" x14ac:dyDescent="0.25">
      <c r="A737" t="s">
        <v>1706</v>
      </c>
      <c r="B737" t="str">
        <v>Genus Paper &amp; Boards Limited</v>
      </c>
      <c r="C737" t="s">
        <v>14</v>
      </c>
      <c r="D737">
        <v>21.45</v>
      </c>
      <c r="E737">
        <v>21.65</v>
      </c>
      <c r="F737">
        <v>20.9</v>
      </c>
      <c r="G737" s="3">
        <v>21.2</v>
      </c>
      <c r="H737">
        <v>21.3</v>
      </c>
      <c r="I737">
        <v>21.2</v>
      </c>
      <c r="J737">
        <v>1700102</v>
      </c>
      <c r="K737">
        <v>36103694.850000001</v>
      </c>
      <c r="L737" s="1">
        <v>45240</v>
      </c>
      <c r="M737">
        <v>4128</v>
      </c>
      <c r="N737" t="s">
        <v>1708</v>
      </c>
      <c r="O737" s="5">
        <v>45240</v>
      </c>
      <c r="P737" s="5">
        <v>43777</v>
      </c>
    </row>
    <row r="738" spans="1:16" x14ac:dyDescent="0.25">
      <c r="A738" t="s">
        <v>1709</v>
      </c>
      <c r="B738" t="str">
        <v>Genus Power Infrastructures Limited</v>
      </c>
      <c r="C738" t="s">
        <v>14</v>
      </c>
      <c r="D738">
        <v>250.3</v>
      </c>
      <c r="E738">
        <v>252.8</v>
      </c>
      <c r="F738">
        <v>237.8</v>
      </c>
      <c r="G738" s="3">
        <v>238.15</v>
      </c>
      <c r="H738">
        <v>237.95</v>
      </c>
      <c r="I738">
        <v>250.3</v>
      </c>
      <c r="J738">
        <v>1412154</v>
      </c>
      <c r="K738">
        <v>343143754.75</v>
      </c>
      <c r="L738" s="1">
        <v>45240</v>
      </c>
      <c r="M738">
        <v>18105</v>
      </c>
      <c r="N738" t="s">
        <v>1711</v>
      </c>
      <c r="O738" s="5">
        <v>45240</v>
      </c>
      <c r="P738" s="5">
        <v>43777</v>
      </c>
    </row>
    <row r="739" spans="1:16" x14ac:dyDescent="0.25">
      <c r="A739" t="s">
        <v>1712</v>
      </c>
      <c r="B739" t="str">
        <v>Geojit Financial Services Limited</v>
      </c>
      <c r="C739" t="s">
        <v>14</v>
      </c>
      <c r="D739">
        <v>64.45</v>
      </c>
      <c r="E739">
        <v>67.8</v>
      </c>
      <c r="F739">
        <v>64.45</v>
      </c>
      <c r="G739" s="3">
        <v>65.95</v>
      </c>
      <c r="H739">
        <v>66</v>
      </c>
      <c r="I739">
        <v>64.55</v>
      </c>
      <c r="J739">
        <v>2139900</v>
      </c>
      <c r="K739">
        <v>141322875.15000001</v>
      </c>
      <c r="L739" s="1">
        <v>45240</v>
      </c>
      <c r="M739">
        <v>6654</v>
      </c>
      <c r="N739" t="s">
        <v>1714</v>
      </c>
      <c r="O739" s="5">
        <v>45240</v>
      </c>
      <c r="P739" s="5">
        <v>43777</v>
      </c>
    </row>
    <row r="740" spans="1:16" x14ac:dyDescent="0.25">
      <c r="A740" t="s">
        <v>1715</v>
      </c>
      <c r="B740" t="str">
        <v>GE Power India Limited</v>
      </c>
      <c r="C740" t="s">
        <v>14</v>
      </c>
      <c r="D740">
        <v>171.45</v>
      </c>
      <c r="E740">
        <v>171.75</v>
      </c>
      <c r="F740">
        <v>159.9</v>
      </c>
      <c r="G740" s="3">
        <v>168.1</v>
      </c>
      <c r="H740">
        <v>170</v>
      </c>
      <c r="I740">
        <v>174.45</v>
      </c>
      <c r="J740">
        <v>423247</v>
      </c>
      <c r="K740">
        <v>70974599.950000003</v>
      </c>
      <c r="L740" s="1">
        <v>45240</v>
      </c>
      <c r="M740">
        <v>6904</v>
      </c>
      <c r="N740" t="s">
        <v>1717</v>
      </c>
      <c r="O740" s="5">
        <v>45240</v>
      </c>
      <c r="P740" s="5">
        <v>43777</v>
      </c>
    </row>
    <row r="741" spans="1:16" x14ac:dyDescent="0.25">
      <c r="A741" t="s">
        <v>1718</v>
      </c>
      <c r="B741" t="str">
        <v>The Great Eastern Shipping Company Limited</v>
      </c>
      <c r="C741" t="s">
        <v>14</v>
      </c>
      <c r="D741">
        <v>737.05</v>
      </c>
      <c r="E741">
        <v>762.3</v>
      </c>
      <c r="F741">
        <v>731</v>
      </c>
      <c r="G741" s="3">
        <v>757.65</v>
      </c>
      <c r="H741">
        <v>758.5</v>
      </c>
      <c r="I741">
        <v>733.3</v>
      </c>
      <c r="J741">
        <v>538888</v>
      </c>
      <c r="K741">
        <v>405164483.44999999</v>
      </c>
      <c r="L741" s="1">
        <v>45240</v>
      </c>
      <c r="M741">
        <v>29652</v>
      </c>
      <c r="N741" t="s">
        <v>1720</v>
      </c>
      <c r="O741" s="5">
        <v>45240</v>
      </c>
      <c r="P741" s="5">
        <v>43777</v>
      </c>
    </row>
    <row r="742" spans="1:16" x14ac:dyDescent="0.25">
      <c r="A742" t="s">
        <v>1721</v>
      </c>
      <c r="B742" t="str">
        <v>GE T&amp;D India Limited</v>
      </c>
      <c r="C742" t="s">
        <v>10</v>
      </c>
      <c r="D742">
        <v>383.9</v>
      </c>
      <c r="E742">
        <v>392.45</v>
      </c>
      <c r="F742">
        <v>380</v>
      </c>
      <c r="G742" s="3">
        <v>390.05</v>
      </c>
      <c r="H742">
        <v>392</v>
      </c>
      <c r="I742">
        <v>388.25</v>
      </c>
      <c r="J742">
        <v>30435</v>
      </c>
      <c r="K742">
        <v>11731825.5</v>
      </c>
      <c r="L742" s="1">
        <v>45240</v>
      </c>
      <c r="M742">
        <v>810</v>
      </c>
      <c r="N742" t="s">
        <v>1723</v>
      </c>
      <c r="O742" s="5">
        <v>45240</v>
      </c>
      <c r="P742" s="5">
        <v>43777</v>
      </c>
    </row>
    <row r="743" spans="1:16" x14ac:dyDescent="0.25">
      <c r="A743" t="s">
        <v>1724</v>
      </c>
      <c r="B743" t="str">
        <v>GFL Limited</v>
      </c>
      <c r="C743" t="s">
        <v>14</v>
      </c>
      <c r="D743">
        <v>100.35</v>
      </c>
      <c r="E743">
        <v>101.15</v>
      </c>
      <c r="F743">
        <v>96</v>
      </c>
      <c r="G743" s="3">
        <v>97.65</v>
      </c>
      <c r="H743">
        <v>97.3</v>
      </c>
      <c r="I743">
        <v>99.65</v>
      </c>
      <c r="J743">
        <v>156491</v>
      </c>
      <c r="K743">
        <v>15474432.6</v>
      </c>
      <c r="L743" s="1">
        <v>45240</v>
      </c>
      <c r="M743">
        <v>2116</v>
      </c>
      <c r="N743" t="s">
        <v>1726</v>
      </c>
      <c r="O743" s="5">
        <v>45240</v>
      </c>
      <c r="P743" s="5">
        <v>43777</v>
      </c>
    </row>
    <row r="744" spans="1:16" x14ac:dyDescent="0.25">
      <c r="A744" t="s">
        <v>1727</v>
      </c>
      <c r="B744" t="str">
        <v>GHCL Limited</v>
      </c>
      <c r="C744" t="s">
        <v>14</v>
      </c>
      <c r="D744">
        <v>528.5</v>
      </c>
      <c r="E744">
        <v>537.79999999999995</v>
      </c>
      <c r="F744">
        <v>527</v>
      </c>
      <c r="G744" s="3">
        <v>532.25</v>
      </c>
      <c r="H744">
        <v>533.29999999999995</v>
      </c>
      <c r="I744">
        <v>526.4</v>
      </c>
      <c r="J744">
        <v>461142</v>
      </c>
      <c r="K744">
        <v>245396799.25</v>
      </c>
      <c r="L744" s="1">
        <v>45240</v>
      </c>
      <c r="M744">
        <v>17081</v>
      </c>
      <c r="N744" t="s">
        <v>1729</v>
      </c>
      <c r="O744" s="5">
        <v>45240</v>
      </c>
      <c r="P744" s="5">
        <v>43777</v>
      </c>
    </row>
    <row r="745" spans="1:16" x14ac:dyDescent="0.25">
      <c r="A745" t="s">
        <v>1730</v>
      </c>
      <c r="B745" t="str">
        <v>GHCL Textiles Limited</v>
      </c>
      <c r="C745" t="s">
        <v>14</v>
      </c>
      <c r="D745">
        <v>69.099999999999994</v>
      </c>
      <c r="E745">
        <v>71.3</v>
      </c>
      <c r="F745">
        <v>69.099999999999994</v>
      </c>
      <c r="G745" s="3">
        <v>69.95</v>
      </c>
      <c r="H745">
        <v>70.099999999999994</v>
      </c>
      <c r="I745">
        <v>69.7</v>
      </c>
      <c r="J745">
        <v>235024</v>
      </c>
      <c r="K745">
        <v>16511482.300000001</v>
      </c>
      <c r="L745" s="1">
        <v>45240</v>
      </c>
      <c r="M745">
        <v>2801</v>
      </c>
      <c r="N745" t="s">
        <v>1732</v>
      </c>
      <c r="O745" s="5">
        <v>45240</v>
      </c>
      <c r="P745" s="5">
        <v>43777</v>
      </c>
    </row>
    <row r="746" spans="1:16" x14ac:dyDescent="0.25">
      <c r="A746" t="s">
        <v>1733</v>
      </c>
      <c r="B746" t="str">
        <v>GIC Housing Finance Limited</v>
      </c>
      <c r="C746" t="s">
        <v>14</v>
      </c>
      <c r="D746">
        <v>189.8</v>
      </c>
      <c r="E746">
        <v>189.8</v>
      </c>
      <c r="F746">
        <v>181</v>
      </c>
      <c r="G746" s="3">
        <v>184.65</v>
      </c>
      <c r="H746">
        <v>184.95</v>
      </c>
      <c r="I746">
        <v>184.55</v>
      </c>
      <c r="J746">
        <v>109918</v>
      </c>
      <c r="K746">
        <v>20337011.649999999</v>
      </c>
      <c r="L746" s="1">
        <v>45240</v>
      </c>
      <c r="M746">
        <v>2098</v>
      </c>
      <c r="N746" t="s">
        <v>1735</v>
      </c>
      <c r="O746" s="5">
        <v>45240</v>
      </c>
      <c r="P746" s="5">
        <v>43777</v>
      </c>
    </row>
    <row r="747" spans="1:16" x14ac:dyDescent="0.25">
      <c r="A747" t="s">
        <v>6685</v>
      </c>
      <c r="B747" t="str">
        <v>Not Found</v>
      </c>
      <c r="C747" t="s">
        <v>5788</v>
      </c>
      <c r="D747">
        <v>38</v>
      </c>
      <c r="E747">
        <v>38</v>
      </c>
      <c r="F747">
        <v>37.200000000000003</v>
      </c>
      <c r="G747" s="3">
        <v>38</v>
      </c>
      <c r="H747">
        <v>38</v>
      </c>
      <c r="I747">
        <v>38.450000000000003</v>
      </c>
      <c r="J747">
        <v>33000</v>
      </c>
      <c r="K747">
        <v>1247100</v>
      </c>
      <c r="L747" s="1">
        <v>45240</v>
      </c>
      <c r="M747">
        <v>11</v>
      </c>
      <c r="N747" t="s">
        <v>6684</v>
      </c>
      <c r="O747" s="5">
        <v>45240</v>
      </c>
      <c r="P747" s="5">
        <v>43777</v>
      </c>
    </row>
    <row r="748" spans="1:16" x14ac:dyDescent="0.25">
      <c r="A748" t="s">
        <v>1736</v>
      </c>
      <c r="B748" t="str">
        <v>General Insurance Corporation of India</v>
      </c>
      <c r="C748" t="s">
        <v>14</v>
      </c>
      <c r="D748">
        <v>223</v>
      </c>
      <c r="E748">
        <v>227.65</v>
      </c>
      <c r="F748">
        <v>221.45</v>
      </c>
      <c r="G748" s="3">
        <v>226.5</v>
      </c>
      <c r="H748">
        <v>227.2</v>
      </c>
      <c r="I748">
        <v>224.4</v>
      </c>
      <c r="J748">
        <v>341129</v>
      </c>
      <c r="K748">
        <v>76755879.049999997</v>
      </c>
      <c r="L748" s="1">
        <v>45240</v>
      </c>
      <c r="M748">
        <v>6830</v>
      </c>
      <c r="N748" t="s">
        <v>1738</v>
      </c>
      <c r="O748" s="5">
        <v>45240</v>
      </c>
      <c r="P748" s="5">
        <v>43777</v>
      </c>
    </row>
    <row r="749" spans="1:16" x14ac:dyDescent="0.25">
      <c r="A749" t="s">
        <v>1739</v>
      </c>
      <c r="B749" t="str">
        <v>Gillanders Arbuthnot &amp; Company Limited</v>
      </c>
      <c r="C749" t="s">
        <v>14</v>
      </c>
      <c r="D749">
        <v>95.25</v>
      </c>
      <c r="E749">
        <v>97</v>
      </c>
      <c r="F749">
        <v>93.3</v>
      </c>
      <c r="G749" s="3">
        <v>95.35</v>
      </c>
      <c r="H749">
        <v>96.45</v>
      </c>
      <c r="I749">
        <v>97</v>
      </c>
      <c r="J749">
        <v>21582</v>
      </c>
      <c r="K749">
        <v>2055831.8</v>
      </c>
      <c r="L749" s="1">
        <v>45240</v>
      </c>
      <c r="M749">
        <v>232</v>
      </c>
      <c r="N749" t="s">
        <v>1741</v>
      </c>
      <c r="O749" s="5">
        <v>45240</v>
      </c>
      <c r="P749" s="5">
        <v>43777</v>
      </c>
    </row>
    <row r="750" spans="1:16" x14ac:dyDescent="0.25">
      <c r="A750" t="s">
        <v>1742</v>
      </c>
      <c r="B750" t="str">
        <v>Gillette India Limited</v>
      </c>
      <c r="C750" t="s">
        <v>14</v>
      </c>
      <c r="D750">
        <v>6395</v>
      </c>
      <c r="E750">
        <v>6395</v>
      </c>
      <c r="F750">
        <v>6350</v>
      </c>
      <c r="G750" s="3">
        <v>6373.35</v>
      </c>
      <c r="H750">
        <v>6370.1</v>
      </c>
      <c r="I750">
        <v>6372.3</v>
      </c>
      <c r="J750">
        <v>6632</v>
      </c>
      <c r="K750">
        <v>42246994.600000001</v>
      </c>
      <c r="L750" s="1">
        <v>45240</v>
      </c>
      <c r="M750">
        <v>2309</v>
      </c>
      <c r="N750" t="s">
        <v>1744</v>
      </c>
      <c r="O750" s="5">
        <v>45240</v>
      </c>
      <c r="P750" s="5">
        <v>43777</v>
      </c>
    </row>
    <row r="751" spans="1:16" x14ac:dyDescent="0.25">
      <c r="A751" t="s">
        <v>6683</v>
      </c>
      <c r="B751" t="str">
        <v>Not Found</v>
      </c>
      <c r="C751" t="s">
        <v>14</v>
      </c>
      <c r="D751">
        <v>53.43</v>
      </c>
      <c r="E751">
        <v>53.44</v>
      </c>
      <c r="F751">
        <v>53.38</v>
      </c>
      <c r="G751" s="3">
        <v>53.41</v>
      </c>
      <c r="H751">
        <v>53.41</v>
      </c>
      <c r="I751">
        <v>53.44</v>
      </c>
      <c r="J751">
        <v>320747</v>
      </c>
      <c r="K751">
        <v>17127237.370000001</v>
      </c>
      <c r="L751" s="1">
        <v>45240</v>
      </c>
      <c r="M751">
        <v>983</v>
      </c>
      <c r="N751" t="s">
        <v>6682</v>
      </c>
      <c r="O751" s="5">
        <v>45240</v>
      </c>
      <c r="P751" s="5">
        <v>43777</v>
      </c>
    </row>
    <row r="752" spans="1:16" x14ac:dyDescent="0.25">
      <c r="A752" t="s">
        <v>1745</v>
      </c>
      <c r="B752" t="str">
        <v>Ginni Filaments Limited</v>
      </c>
      <c r="C752" t="s">
        <v>14</v>
      </c>
      <c r="D752">
        <v>25.05</v>
      </c>
      <c r="E752">
        <v>25.7</v>
      </c>
      <c r="F752">
        <v>24.45</v>
      </c>
      <c r="G752" s="3">
        <v>24.85</v>
      </c>
      <c r="H752">
        <v>24.95</v>
      </c>
      <c r="I752">
        <v>25.75</v>
      </c>
      <c r="J752">
        <v>67394</v>
      </c>
      <c r="K752">
        <v>1690452.8</v>
      </c>
      <c r="L752" s="1">
        <v>45240</v>
      </c>
      <c r="M752">
        <v>445</v>
      </c>
      <c r="N752" t="s">
        <v>1747</v>
      </c>
      <c r="O752" s="5">
        <v>45240</v>
      </c>
      <c r="P752" s="5">
        <v>43777</v>
      </c>
    </row>
    <row r="753" spans="1:16" x14ac:dyDescent="0.25">
      <c r="A753" t="s">
        <v>1748</v>
      </c>
      <c r="B753" t="str">
        <v>Gujarat Industries Power Company Limited</v>
      </c>
      <c r="C753" t="s">
        <v>14</v>
      </c>
      <c r="D753">
        <v>146</v>
      </c>
      <c r="E753">
        <v>146.80000000000001</v>
      </c>
      <c r="F753">
        <v>143.5</v>
      </c>
      <c r="G753" s="3">
        <v>144.6</v>
      </c>
      <c r="H753">
        <v>144.5</v>
      </c>
      <c r="I753">
        <v>145.69999999999999</v>
      </c>
      <c r="J753">
        <v>412427</v>
      </c>
      <c r="K753">
        <v>59924184.649999999</v>
      </c>
      <c r="L753" s="1">
        <v>45240</v>
      </c>
      <c r="M753">
        <v>6215</v>
      </c>
      <c r="N753" t="s">
        <v>1750</v>
      </c>
      <c r="O753" s="5">
        <v>45240</v>
      </c>
      <c r="P753" s="5">
        <v>43777</v>
      </c>
    </row>
    <row r="754" spans="1:16" x14ac:dyDescent="0.25">
      <c r="A754" t="s">
        <v>6681</v>
      </c>
      <c r="B754" t="str">
        <v>Not Found</v>
      </c>
      <c r="C754" t="s">
        <v>5853</v>
      </c>
      <c r="D754">
        <v>519.75</v>
      </c>
      <c r="E754">
        <v>519.75</v>
      </c>
      <c r="F754">
        <v>500</v>
      </c>
      <c r="G754" s="3">
        <v>500</v>
      </c>
      <c r="H754">
        <v>500</v>
      </c>
      <c r="I754">
        <v>495</v>
      </c>
      <c r="J754">
        <v>2500</v>
      </c>
      <c r="K754">
        <v>1277750</v>
      </c>
      <c r="L754" s="1">
        <v>45240</v>
      </c>
      <c r="M754">
        <v>4</v>
      </c>
      <c r="N754" t="s">
        <v>6680</v>
      </c>
      <c r="O754" s="5">
        <v>45240</v>
      </c>
      <c r="P754" s="5">
        <v>43777</v>
      </c>
    </row>
    <row r="755" spans="1:16" x14ac:dyDescent="0.25">
      <c r="A755" t="s">
        <v>1751</v>
      </c>
      <c r="B755" t="str">
        <v>GKW Limited</v>
      </c>
      <c r="C755" t="s">
        <v>10</v>
      </c>
      <c r="D755">
        <v>1671.05</v>
      </c>
      <c r="E755">
        <v>1724.95</v>
      </c>
      <c r="F755">
        <v>1669.55</v>
      </c>
      <c r="G755" s="3">
        <v>1669.55</v>
      </c>
      <c r="H755">
        <v>1669.55</v>
      </c>
      <c r="I755">
        <v>1757.4</v>
      </c>
      <c r="J755">
        <v>4425</v>
      </c>
      <c r="K755">
        <v>7394996.2999999998</v>
      </c>
      <c r="L755" s="1">
        <v>45240</v>
      </c>
      <c r="M755">
        <v>172</v>
      </c>
      <c r="N755" t="s">
        <v>1753</v>
      </c>
      <c r="O755" s="5">
        <v>45240</v>
      </c>
      <c r="P755" s="5">
        <v>43777</v>
      </c>
    </row>
    <row r="756" spans="1:16" x14ac:dyDescent="0.25">
      <c r="A756" t="s">
        <v>1754</v>
      </c>
      <c r="B756" t="str">
        <v>Gland Pharma Limited</v>
      </c>
      <c r="C756" t="s">
        <v>14</v>
      </c>
      <c r="D756">
        <v>1615</v>
      </c>
      <c r="E756">
        <v>1632</v>
      </c>
      <c r="F756">
        <v>1596.4</v>
      </c>
      <c r="G756" s="3">
        <v>1627.05</v>
      </c>
      <c r="H756">
        <v>1628</v>
      </c>
      <c r="I756">
        <v>1612.65</v>
      </c>
      <c r="J756">
        <v>95050</v>
      </c>
      <c r="K756">
        <v>153481045.65000001</v>
      </c>
      <c r="L756" s="1">
        <v>45240</v>
      </c>
      <c r="M756">
        <v>8993</v>
      </c>
      <c r="N756" t="s">
        <v>1756</v>
      </c>
      <c r="O756" s="5">
        <v>45240</v>
      </c>
      <c r="P756" s="5">
        <v>43777</v>
      </c>
    </row>
    <row r="757" spans="1:16" x14ac:dyDescent="0.25">
      <c r="A757" t="s">
        <v>1757</v>
      </c>
      <c r="B757" t="str">
        <v>GlaxoSmithKline Pharmaceuticals Limited</v>
      </c>
      <c r="C757" t="s">
        <v>14</v>
      </c>
      <c r="D757">
        <v>1472</v>
      </c>
      <c r="E757">
        <v>1496.95</v>
      </c>
      <c r="F757">
        <v>1449.05</v>
      </c>
      <c r="G757" s="3">
        <v>1471.8</v>
      </c>
      <c r="H757">
        <v>1465</v>
      </c>
      <c r="I757">
        <v>1449.4</v>
      </c>
      <c r="J757">
        <v>282109</v>
      </c>
      <c r="K757">
        <v>419016514.30000001</v>
      </c>
      <c r="L757" s="1">
        <v>45240</v>
      </c>
      <c r="M757">
        <v>13479</v>
      </c>
      <c r="N757" t="s">
        <v>1759</v>
      </c>
      <c r="O757" s="5">
        <v>45240</v>
      </c>
      <c r="P757" s="5">
        <v>43777</v>
      </c>
    </row>
    <row r="758" spans="1:16" x14ac:dyDescent="0.25">
      <c r="A758" t="s">
        <v>1760</v>
      </c>
      <c r="B758" t="str">
        <v>Glenmark Pharmaceuticals Limited</v>
      </c>
      <c r="C758" t="s">
        <v>14</v>
      </c>
      <c r="D758">
        <v>786</v>
      </c>
      <c r="E758">
        <v>786</v>
      </c>
      <c r="F758">
        <v>767</v>
      </c>
      <c r="G758" s="3">
        <v>777.85</v>
      </c>
      <c r="H758">
        <v>776.2</v>
      </c>
      <c r="I758">
        <v>784.1</v>
      </c>
      <c r="J758">
        <v>605913</v>
      </c>
      <c r="K758">
        <v>471128903.55000001</v>
      </c>
      <c r="L758" s="1">
        <v>45240</v>
      </c>
      <c r="M758">
        <v>18861</v>
      </c>
      <c r="N758" t="s">
        <v>1762</v>
      </c>
      <c r="O758" s="5">
        <v>45240</v>
      </c>
      <c r="P758" s="5">
        <v>43777</v>
      </c>
    </row>
    <row r="759" spans="1:16" x14ac:dyDescent="0.25">
      <c r="A759" t="s">
        <v>1763</v>
      </c>
      <c r="B759" t="str">
        <v>Gujarat Lease Financing Limited</v>
      </c>
      <c r="C759" t="s">
        <v>14</v>
      </c>
      <c r="D759">
        <v>3.85</v>
      </c>
      <c r="E759">
        <v>4</v>
      </c>
      <c r="F759">
        <v>3.85</v>
      </c>
      <c r="G759" s="3">
        <v>4</v>
      </c>
      <c r="H759">
        <v>4</v>
      </c>
      <c r="I759">
        <v>3.85</v>
      </c>
      <c r="J759">
        <v>901</v>
      </c>
      <c r="K759">
        <v>3589</v>
      </c>
      <c r="L759" s="1">
        <v>45240</v>
      </c>
      <c r="M759">
        <v>9</v>
      </c>
      <c r="N759" t="s">
        <v>1765</v>
      </c>
      <c r="O759" s="5">
        <v>45240</v>
      </c>
      <c r="P759" s="5">
        <v>43777</v>
      </c>
    </row>
    <row r="760" spans="1:16" x14ac:dyDescent="0.25">
      <c r="A760" t="s">
        <v>1766</v>
      </c>
      <c r="B760" t="str">
        <v>Global Education Limited</v>
      </c>
      <c r="C760" t="s">
        <v>14</v>
      </c>
      <c r="D760">
        <v>262</v>
      </c>
      <c r="E760">
        <v>262</v>
      </c>
      <c r="F760">
        <v>248</v>
      </c>
      <c r="G760" s="3">
        <v>251.9</v>
      </c>
      <c r="H760">
        <v>252.9</v>
      </c>
      <c r="I760">
        <v>262.55</v>
      </c>
      <c r="J760">
        <v>129506</v>
      </c>
      <c r="K760">
        <v>32779207.399999999</v>
      </c>
      <c r="L760" s="1">
        <v>45240</v>
      </c>
      <c r="M760">
        <v>2336</v>
      </c>
      <c r="N760" t="s">
        <v>1768</v>
      </c>
      <c r="O760" s="5">
        <v>45240</v>
      </c>
      <c r="P760" s="5">
        <v>43777</v>
      </c>
    </row>
    <row r="761" spans="1:16" x14ac:dyDescent="0.25">
      <c r="A761" t="s">
        <v>6679</v>
      </c>
      <c r="B761" t="str">
        <v>Not Found</v>
      </c>
      <c r="C761" t="s">
        <v>5788</v>
      </c>
      <c r="D761">
        <v>85.85</v>
      </c>
      <c r="E761">
        <v>87.3</v>
      </c>
      <c r="F761">
        <v>85.1</v>
      </c>
      <c r="G761" s="3">
        <v>87.3</v>
      </c>
      <c r="H761">
        <v>87.3</v>
      </c>
      <c r="I761">
        <v>88.95</v>
      </c>
      <c r="J761">
        <v>18000</v>
      </c>
      <c r="K761">
        <v>1539300</v>
      </c>
      <c r="L761" s="1">
        <v>45240</v>
      </c>
      <c r="M761">
        <v>8</v>
      </c>
      <c r="N761" t="s">
        <v>6678</v>
      </c>
      <c r="O761" s="5">
        <v>45240</v>
      </c>
      <c r="P761" s="5">
        <v>43777</v>
      </c>
    </row>
    <row r="762" spans="1:16" x14ac:dyDescent="0.25">
      <c r="A762" t="s">
        <v>1769</v>
      </c>
      <c r="B762" t="str">
        <v>Global Vectra Helicorp Limited</v>
      </c>
      <c r="C762" t="s">
        <v>14</v>
      </c>
      <c r="D762">
        <v>94.35</v>
      </c>
      <c r="E762">
        <v>96.5</v>
      </c>
      <c r="F762">
        <v>93.25</v>
      </c>
      <c r="G762" s="3">
        <v>93.65</v>
      </c>
      <c r="H762">
        <v>93.5</v>
      </c>
      <c r="I762">
        <v>94.25</v>
      </c>
      <c r="J762">
        <v>14082</v>
      </c>
      <c r="K762">
        <v>1330538.05</v>
      </c>
      <c r="L762" s="1">
        <v>45240</v>
      </c>
      <c r="M762">
        <v>227</v>
      </c>
      <c r="N762" t="s">
        <v>1771</v>
      </c>
      <c r="O762" s="5">
        <v>45240</v>
      </c>
      <c r="P762" s="5">
        <v>43777</v>
      </c>
    </row>
    <row r="763" spans="1:16" x14ac:dyDescent="0.25">
      <c r="A763" t="s">
        <v>1772</v>
      </c>
      <c r="B763" t="str">
        <v>Globe Textiles (India) Limited</v>
      </c>
      <c r="C763" t="s">
        <v>10</v>
      </c>
      <c r="D763">
        <v>4.0999999999999996</v>
      </c>
      <c r="E763">
        <v>4.1500000000000004</v>
      </c>
      <c r="F763">
        <v>4.05</v>
      </c>
      <c r="G763" s="3">
        <v>4.05</v>
      </c>
      <c r="H763">
        <v>4.0999999999999996</v>
      </c>
      <c r="I763">
        <v>4.1500000000000004</v>
      </c>
      <c r="J763">
        <v>255834</v>
      </c>
      <c r="K763">
        <v>1047383.3</v>
      </c>
      <c r="L763" s="1">
        <v>45240</v>
      </c>
      <c r="M763">
        <v>342</v>
      </c>
      <c r="N763" t="s">
        <v>1774</v>
      </c>
      <c r="O763" s="5">
        <v>45240</v>
      </c>
      <c r="P763" s="5">
        <v>43777</v>
      </c>
    </row>
    <row r="764" spans="1:16" x14ac:dyDescent="0.25">
      <c r="A764" t="s">
        <v>1775</v>
      </c>
      <c r="B764" t="str">
        <v>Globus Spirits Limited</v>
      </c>
      <c r="C764" t="s">
        <v>14</v>
      </c>
      <c r="D764">
        <v>816</v>
      </c>
      <c r="E764">
        <v>820</v>
      </c>
      <c r="F764">
        <v>800</v>
      </c>
      <c r="G764" s="3">
        <v>809.85</v>
      </c>
      <c r="H764">
        <v>813</v>
      </c>
      <c r="I764">
        <v>814.25</v>
      </c>
      <c r="J764">
        <v>235832</v>
      </c>
      <c r="K764">
        <v>189805349.25</v>
      </c>
      <c r="L764" s="1">
        <v>45240</v>
      </c>
      <c r="M764">
        <v>12412</v>
      </c>
      <c r="N764" t="s">
        <v>1777</v>
      </c>
      <c r="O764" s="5">
        <v>45240</v>
      </c>
      <c r="P764" s="5">
        <v>43777</v>
      </c>
    </row>
    <row r="765" spans="1:16" x14ac:dyDescent="0.25">
      <c r="A765" t="s">
        <v>1778</v>
      </c>
      <c r="B765" t="str">
        <v>Glenmark Life Sciences Limited</v>
      </c>
      <c r="C765" t="s">
        <v>14</v>
      </c>
      <c r="D765">
        <v>626.1</v>
      </c>
      <c r="E765">
        <v>633.65</v>
      </c>
      <c r="F765">
        <v>626.1</v>
      </c>
      <c r="G765" s="3">
        <v>630.1</v>
      </c>
      <c r="H765">
        <v>630</v>
      </c>
      <c r="I765">
        <v>630.4</v>
      </c>
      <c r="J765">
        <v>159831</v>
      </c>
      <c r="K765">
        <v>100797618.8</v>
      </c>
      <c r="L765" s="1">
        <v>45240</v>
      </c>
      <c r="M765">
        <v>3978</v>
      </c>
      <c r="N765" t="s">
        <v>1780</v>
      </c>
      <c r="O765" s="5">
        <v>45240</v>
      </c>
      <c r="P765" s="5">
        <v>43777</v>
      </c>
    </row>
    <row r="766" spans="1:16" x14ac:dyDescent="0.25">
      <c r="A766" t="s">
        <v>1781</v>
      </c>
      <c r="B766" t="str">
        <v>GM Breweries Limited</v>
      </c>
      <c r="C766" t="s">
        <v>14</v>
      </c>
      <c r="D766">
        <v>670</v>
      </c>
      <c r="E766">
        <v>673</v>
      </c>
      <c r="F766">
        <v>658.05</v>
      </c>
      <c r="G766" s="3">
        <v>659.9</v>
      </c>
      <c r="H766">
        <v>659.6</v>
      </c>
      <c r="I766">
        <v>670.65</v>
      </c>
      <c r="J766">
        <v>23823</v>
      </c>
      <c r="K766">
        <v>15840781.75</v>
      </c>
      <c r="L766" s="1">
        <v>45240</v>
      </c>
      <c r="M766">
        <v>1675</v>
      </c>
      <c r="N766" t="s">
        <v>1783</v>
      </c>
      <c r="O766" s="5">
        <v>45240</v>
      </c>
      <c r="P766" s="5">
        <v>43777</v>
      </c>
    </row>
    <row r="767" spans="1:16" x14ac:dyDescent="0.25">
      <c r="A767" t="s">
        <v>1784</v>
      </c>
      <c r="B767" t="str">
        <v>Gujarat Mineral Development Corporation Limited</v>
      </c>
      <c r="C767" t="s">
        <v>14</v>
      </c>
      <c r="D767">
        <v>362</v>
      </c>
      <c r="E767">
        <v>382.5</v>
      </c>
      <c r="F767">
        <v>358.9</v>
      </c>
      <c r="G767" s="3">
        <v>379.2</v>
      </c>
      <c r="H767">
        <v>380.25</v>
      </c>
      <c r="I767">
        <v>365.7</v>
      </c>
      <c r="J767">
        <v>7760438</v>
      </c>
      <c r="K767">
        <v>2894211927.5500002</v>
      </c>
      <c r="L767" s="1">
        <v>45240</v>
      </c>
      <c r="M767">
        <v>71273</v>
      </c>
      <c r="N767" t="s">
        <v>1786</v>
      </c>
      <c r="O767" s="5">
        <v>45240</v>
      </c>
      <c r="P767" s="5">
        <v>43777</v>
      </c>
    </row>
    <row r="768" spans="1:16" x14ac:dyDescent="0.25">
      <c r="A768" t="s">
        <v>1787</v>
      </c>
      <c r="B768" t="str">
        <v>GMM Pfaudler Limited</v>
      </c>
      <c r="C768" t="s">
        <v>14</v>
      </c>
      <c r="D768">
        <v>1760</v>
      </c>
      <c r="E768">
        <v>1766.85</v>
      </c>
      <c r="F768">
        <v>1681</v>
      </c>
      <c r="G768" s="3">
        <v>1686.05</v>
      </c>
      <c r="H768">
        <v>1690</v>
      </c>
      <c r="I768">
        <v>1750.25</v>
      </c>
      <c r="J768">
        <v>96799</v>
      </c>
      <c r="K768">
        <v>165064379.09999999</v>
      </c>
      <c r="L768" s="1">
        <v>45240</v>
      </c>
      <c r="M768">
        <v>11964</v>
      </c>
      <c r="N768" t="s">
        <v>1789</v>
      </c>
      <c r="O768" s="5">
        <v>45240</v>
      </c>
      <c r="P768" s="5">
        <v>43777</v>
      </c>
    </row>
    <row r="769" spans="1:16" x14ac:dyDescent="0.25">
      <c r="A769" t="s">
        <v>1790</v>
      </c>
      <c r="B769" t="str">
        <v>GMR Airports Infrastructure Limited</v>
      </c>
      <c r="C769" t="s">
        <v>14</v>
      </c>
      <c r="D769">
        <v>56.5</v>
      </c>
      <c r="E769">
        <v>58.4</v>
      </c>
      <c r="F769">
        <v>55.7</v>
      </c>
      <c r="G769" s="3">
        <v>57.65</v>
      </c>
      <c r="H769">
        <v>57.5</v>
      </c>
      <c r="I769">
        <v>56.2</v>
      </c>
      <c r="J769">
        <v>15351937</v>
      </c>
      <c r="K769">
        <v>879645581.29999995</v>
      </c>
      <c r="L769" s="1">
        <v>45240</v>
      </c>
      <c r="M769">
        <v>36191</v>
      </c>
      <c r="N769" t="s">
        <v>1792</v>
      </c>
      <c r="O769" s="5">
        <v>45240</v>
      </c>
      <c r="P769" s="5">
        <v>43777</v>
      </c>
    </row>
    <row r="770" spans="1:16" x14ac:dyDescent="0.25">
      <c r="A770" t="s">
        <v>1793</v>
      </c>
      <c r="B770" t="str">
        <v>GMR Power and Urban Infra Limited</v>
      </c>
      <c r="C770" t="s">
        <v>14</v>
      </c>
      <c r="D770">
        <v>36.65</v>
      </c>
      <c r="E770">
        <v>36.9</v>
      </c>
      <c r="F770">
        <v>35.6</v>
      </c>
      <c r="G770" s="3">
        <v>36.5</v>
      </c>
      <c r="H770">
        <v>36.25</v>
      </c>
      <c r="I770">
        <v>36.950000000000003</v>
      </c>
      <c r="J770">
        <v>2648543</v>
      </c>
      <c r="K770">
        <v>96173707</v>
      </c>
      <c r="L770" s="1">
        <v>45240</v>
      </c>
      <c r="M770">
        <v>6160</v>
      </c>
      <c r="N770" t="s">
        <v>1795</v>
      </c>
      <c r="O770" s="5">
        <v>45240</v>
      </c>
      <c r="P770" s="5">
        <v>43777</v>
      </c>
    </row>
    <row r="771" spans="1:16" x14ac:dyDescent="0.25">
      <c r="A771" t="s">
        <v>1796</v>
      </c>
      <c r="B771" t="str">
        <v>GNA Axles Limited</v>
      </c>
      <c r="C771" t="s">
        <v>14</v>
      </c>
      <c r="D771">
        <v>420</v>
      </c>
      <c r="E771">
        <v>428.8</v>
      </c>
      <c r="F771">
        <v>416.05</v>
      </c>
      <c r="G771" s="3">
        <v>420.4</v>
      </c>
      <c r="H771">
        <v>420</v>
      </c>
      <c r="I771">
        <v>420.05</v>
      </c>
      <c r="J771">
        <v>41690</v>
      </c>
      <c r="K771">
        <v>17681683.399999999</v>
      </c>
      <c r="L771" s="1">
        <v>45240</v>
      </c>
      <c r="M771">
        <v>3598</v>
      </c>
      <c r="N771" t="s">
        <v>1798</v>
      </c>
      <c r="O771" s="5">
        <v>45240</v>
      </c>
      <c r="P771" s="5">
        <v>43777</v>
      </c>
    </row>
    <row r="772" spans="1:16" x14ac:dyDescent="0.25">
      <c r="A772" t="s">
        <v>1799</v>
      </c>
      <c r="B772" t="str">
        <v>Gujarat Narmada Valley Fertilizers and Chemicals Limited</v>
      </c>
      <c r="C772" t="s">
        <v>14</v>
      </c>
      <c r="D772">
        <v>684</v>
      </c>
      <c r="E772">
        <v>693</v>
      </c>
      <c r="F772">
        <v>670.1</v>
      </c>
      <c r="G772" s="3">
        <v>675.55</v>
      </c>
      <c r="H772">
        <v>674</v>
      </c>
      <c r="I772">
        <v>676</v>
      </c>
      <c r="J772">
        <v>1644167</v>
      </c>
      <c r="K772">
        <v>1125479039.3</v>
      </c>
      <c r="L772" s="1">
        <v>45240</v>
      </c>
      <c r="M772">
        <v>29481</v>
      </c>
      <c r="N772" t="s">
        <v>1801</v>
      </c>
      <c r="O772" s="5">
        <v>45240</v>
      </c>
      <c r="P772" s="5">
        <v>43777</v>
      </c>
    </row>
    <row r="773" spans="1:16" x14ac:dyDescent="0.25">
      <c r="A773" t="s">
        <v>1802</v>
      </c>
      <c r="B773" t="str">
        <v>Goa Carbon Limited</v>
      </c>
      <c r="C773" t="s">
        <v>14</v>
      </c>
      <c r="D773">
        <v>516.70000000000005</v>
      </c>
      <c r="E773">
        <v>522.4</v>
      </c>
      <c r="F773">
        <v>511</v>
      </c>
      <c r="G773" s="3">
        <v>514.85</v>
      </c>
      <c r="H773">
        <v>517.95000000000005</v>
      </c>
      <c r="I773">
        <v>515.15</v>
      </c>
      <c r="J773">
        <v>18083</v>
      </c>
      <c r="K773">
        <v>9352230.9000000004</v>
      </c>
      <c r="L773" s="1">
        <v>45240</v>
      </c>
      <c r="M773">
        <v>1753</v>
      </c>
      <c r="N773" t="s">
        <v>1804</v>
      </c>
      <c r="O773" s="5">
        <v>45240</v>
      </c>
      <c r="P773" s="5">
        <v>43777</v>
      </c>
    </row>
    <row r="774" spans="1:16" x14ac:dyDescent="0.25">
      <c r="A774" t="s">
        <v>1805</v>
      </c>
      <c r="B774" t="str">
        <v>GOCL Corporation Limited</v>
      </c>
      <c r="C774" t="s">
        <v>14</v>
      </c>
      <c r="D774">
        <v>550.1</v>
      </c>
      <c r="E774">
        <v>553.54999999999995</v>
      </c>
      <c r="F774">
        <v>531.20000000000005</v>
      </c>
      <c r="G774" s="3">
        <v>542.54999999999995</v>
      </c>
      <c r="H774">
        <v>541</v>
      </c>
      <c r="I774">
        <v>552</v>
      </c>
      <c r="J774">
        <v>129168</v>
      </c>
      <c r="K774">
        <v>69902478.75</v>
      </c>
      <c r="L774" s="1">
        <v>45240</v>
      </c>
      <c r="M774">
        <v>8029</v>
      </c>
      <c r="N774" t="s">
        <v>1807</v>
      </c>
      <c r="O774" s="5">
        <v>45240</v>
      </c>
      <c r="P774" s="5">
        <v>43777</v>
      </c>
    </row>
    <row r="775" spans="1:16" x14ac:dyDescent="0.25">
      <c r="A775" t="s">
        <v>1808</v>
      </c>
      <c r="B775" t="str">
        <v>Go Fashion (India) Limited</v>
      </c>
      <c r="C775" t="s">
        <v>14</v>
      </c>
      <c r="D775">
        <v>1227.6500000000001</v>
      </c>
      <c r="E775">
        <v>1249.9000000000001</v>
      </c>
      <c r="F775">
        <v>1220.75</v>
      </c>
      <c r="G775" s="3">
        <v>1238.75</v>
      </c>
      <c r="H775">
        <v>1235.55</v>
      </c>
      <c r="I775">
        <v>1227.6500000000001</v>
      </c>
      <c r="J775">
        <v>13828</v>
      </c>
      <c r="K775">
        <v>17086236.75</v>
      </c>
      <c r="L775" s="1">
        <v>45240</v>
      </c>
      <c r="M775">
        <v>3761</v>
      </c>
      <c r="N775" t="s">
        <v>1810</v>
      </c>
      <c r="O775" s="5">
        <v>45240</v>
      </c>
      <c r="P775" s="5">
        <v>43777</v>
      </c>
    </row>
    <row r="776" spans="1:16" x14ac:dyDescent="0.25">
      <c r="A776" t="s">
        <v>1811</v>
      </c>
      <c r="B776" t="str">
        <v>Godfrey Phillips India Limited</v>
      </c>
      <c r="C776" t="s">
        <v>14</v>
      </c>
      <c r="D776">
        <v>2090</v>
      </c>
      <c r="E776">
        <v>2115</v>
      </c>
      <c r="F776">
        <v>2070</v>
      </c>
      <c r="G776" s="3">
        <v>2079.35</v>
      </c>
      <c r="H776">
        <v>2077.4</v>
      </c>
      <c r="I776">
        <v>2087.5500000000002</v>
      </c>
      <c r="J776">
        <v>39890</v>
      </c>
      <c r="K776">
        <v>83335729.200000003</v>
      </c>
      <c r="L776" s="1">
        <v>45240</v>
      </c>
      <c r="M776">
        <v>5262</v>
      </c>
      <c r="N776" t="s">
        <v>1813</v>
      </c>
      <c r="O776" s="5">
        <v>45240</v>
      </c>
      <c r="P776" s="5">
        <v>43777</v>
      </c>
    </row>
    <row r="777" spans="1:16" x14ac:dyDescent="0.25">
      <c r="A777" t="s">
        <v>1814</v>
      </c>
      <c r="B777" t="str">
        <v>Godha Cabcon &amp; Insulation Limited</v>
      </c>
      <c r="C777" t="s">
        <v>10</v>
      </c>
      <c r="D777">
        <v>0.55000000000000004</v>
      </c>
      <c r="E777">
        <v>0.6</v>
      </c>
      <c r="F777">
        <v>0.55000000000000004</v>
      </c>
      <c r="G777" s="3">
        <v>0.6</v>
      </c>
      <c r="H777">
        <v>0.6</v>
      </c>
      <c r="I777">
        <v>0.55000000000000004</v>
      </c>
      <c r="J777">
        <v>48606311</v>
      </c>
      <c r="K777">
        <v>28954613.050000001</v>
      </c>
      <c r="L777" s="1">
        <v>45240</v>
      </c>
      <c r="M777">
        <v>5046</v>
      </c>
      <c r="N777" t="s">
        <v>1816</v>
      </c>
      <c r="O777" s="5">
        <v>45240</v>
      </c>
      <c r="P777" s="5">
        <v>43777</v>
      </c>
    </row>
    <row r="778" spans="1:16" x14ac:dyDescent="0.25">
      <c r="A778" t="s">
        <v>1817</v>
      </c>
      <c r="B778" t="str">
        <v>Godrej Agrovet Limited</v>
      </c>
      <c r="C778" t="s">
        <v>14</v>
      </c>
      <c r="D778">
        <v>478</v>
      </c>
      <c r="E778">
        <v>481</v>
      </c>
      <c r="F778">
        <v>474.5</v>
      </c>
      <c r="G778" s="3">
        <v>475.55</v>
      </c>
      <c r="H778">
        <v>476</v>
      </c>
      <c r="I778">
        <v>477</v>
      </c>
      <c r="J778">
        <v>84501</v>
      </c>
      <c r="K778">
        <v>40442404.649999999</v>
      </c>
      <c r="L778" s="1">
        <v>45240</v>
      </c>
      <c r="M778">
        <v>5068</v>
      </c>
      <c r="N778" t="s">
        <v>1819</v>
      </c>
      <c r="O778" s="5">
        <v>45240</v>
      </c>
      <c r="P778" s="5">
        <v>43777</v>
      </c>
    </row>
    <row r="779" spans="1:16" x14ac:dyDescent="0.25">
      <c r="A779" t="s">
        <v>1820</v>
      </c>
      <c r="B779" t="str">
        <v>Godrej Consumer Products Limited</v>
      </c>
      <c r="C779" t="s">
        <v>14</v>
      </c>
      <c r="D779">
        <v>987.9</v>
      </c>
      <c r="E779">
        <v>989.55</v>
      </c>
      <c r="F779">
        <v>976.05</v>
      </c>
      <c r="G779" s="3">
        <v>984.3</v>
      </c>
      <c r="H779">
        <v>983.9</v>
      </c>
      <c r="I779">
        <v>987.9</v>
      </c>
      <c r="J779">
        <v>748668</v>
      </c>
      <c r="K779">
        <v>736580715.64999998</v>
      </c>
      <c r="L779" s="1">
        <v>45240</v>
      </c>
      <c r="M779">
        <v>18905</v>
      </c>
      <c r="N779" t="s">
        <v>1822</v>
      </c>
      <c r="O779" s="5">
        <v>45240</v>
      </c>
      <c r="P779" s="5">
        <v>43777</v>
      </c>
    </row>
    <row r="780" spans="1:16" x14ac:dyDescent="0.25">
      <c r="A780" t="s">
        <v>1823</v>
      </c>
      <c r="B780" t="str">
        <v>Godrej Industries Limited</v>
      </c>
      <c r="C780" t="s">
        <v>14</v>
      </c>
      <c r="D780">
        <v>665</v>
      </c>
      <c r="E780">
        <v>671</v>
      </c>
      <c r="F780">
        <v>655.9</v>
      </c>
      <c r="G780" s="3">
        <v>668.25</v>
      </c>
      <c r="H780">
        <v>666</v>
      </c>
      <c r="I780">
        <v>667.7</v>
      </c>
      <c r="J780">
        <v>139108</v>
      </c>
      <c r="K780">
        <v>92687758.400000006</v>
      </c>
      <c r="L780" s="1">
        <v>45240</v>
      </c>
      <c r="M780">
        <v>7852</v>
      </c>
      <c r="N780" t="s">
        <v>1825</v>
      </c>
      <c r="O780" s="5">
        <v>45240</v>
      </c>
      <c r="P780" s="5">
        <v>43777</v>
      </c>
    </row>
    <row r="781" spans="1:16" x14ac:dyDescent="0.25">
      <c r="A781" t="s">
        <v>1826</v>
      </c>
      <c r="B781" t="str">
        <v>Godrej Properties Limited</v>
      </c>
      <c r="C781" t="s">
        <v>14</v>
      </c>
      <c r="D781">
        <v>1814.35</v>
      </c>
      <c r="E781">
        <v>1861.1</v>
      </c>
      <c r="F781">
        <v>1799.05</v>
      </c>
      <c r="G781" s="3">
        <v>1817.65</v>
      </c>
      <c r="H781">
        <v>1815.25</v>
      </c>
      <c r="I781">
        <v>1815.25</v>
      </c>
      <c r="J781">
        <v>1367500</v>
      </c>
      <c r="K781">
        <v>2499627561.6999998</v>
      </c>
      <c r="L781" s="1">
        <v>45240</v>
      </c>
      <c r="M781">
        <v>54433</v>
      </c>
      <c r="N781" t="s">
        <v>1828</v>
      </c>
      <c r="O781" s="5">
        <v>45240</v>
      </c>
      <c r="P781" s="5">
        <v>43777</v>
      </c>
    </row>
    <row r="782" spans="1:16" x14ac:dyDescent="0.25">
      <c r="A782" t="s">
        <v>1829</v>
      </c>
      <c r="B782" t="str">
        <v>Gokaldas Exports Limited</v>
      </c>
      <c r="C782" t="s">
        <v>14</v>
      </c>
      <c r="D782">
        <v>805.3</v>
      </c>
      <c r="E782">
        <v>824.45</v>
      </c>
      <c r="F782">
        <v>798</v>
      </c>
      <c r="G782" s="3">
        <v>820.85</v>
      </c>
      <c r="H782">
        <v>820.5</v>
      </c>
      <c r="I782">
        <v>807.05</v>
      </c>
      <c r="J782">
        <v>264218</v>
      </c>
      <c r="K782">
        <v>215089263.94999999</v>
      </c>
      <c r="L782" s="1">
        <v>45240</v>
      </c>
      <c r="M782">
        <v>12495</v>
      </c>
      <c r="N782" t="s">
        <v>1831</v>
      </c>
      <c r="O782" s="5">
        <v>45240</v>
      </c>
      <c r="P782" s="5">
        <v>43777</v>
      </c>
    </row>
    <row r="783" spans="1:16" x14ac:dyDescent="0.25">
      <c r="A783" t="s">
        <v>1832</v>
      </c>
      <c r="B783" t="str">
        <v>Gokul Refoils and Solvent Limited</v>
      </c>
      <c r="C783" t="s">
        <v>14</v>
      </c>
      <c r="D783">
        <v>39.049999999999997</v>
      </c>
      <c r="E783">
        <v>41.35</v>
      </c>
      <c r="F783">
        <v>38.799999999999997</v>
      </c>
      <c r="G783" s="3">
        <v>39.950000000000003</v>
      </c>
      <c r="H783">
        <v>40</v>
      </c>
      <c r="I783">
        <v>39.049999999999997</v>
      </c>
      <c r="J783">
        <v>265818</v>
      </c>
      <c r="K783">
        <v>10645915.300000001</v>
      </c>
      <c r="L783" s="1">
        <v>45240</v>
      </c>
      <c r="M783">
        <v>2200</v>
      </c>
      <c r="N783" t="s">
        <v>1834</v>
      </c>
      <c r="O783" s="5">
        <v>45240</v>
      </c>
      <c r="P783" s="5">
        <v>43777</v>
      </c>
    </row>
    <row r="784" spans="1:16" x14ac:dyDescent="0.25">
      <c r="A784" t="s">
        <v>1835</v>
      </c>
      <c r="B784" t="str">
        <v>Gokul Agro Resources Limited</v>
      </c>
      <c r="C784" t="s">
        <v>14</v>
      </c>
      <c r="D784">
        <v>114.55</v>
      </c>
      <c r="E784">
        <v>117.6</v>
      </c>
      <c r="F784">
        <v>112.55</v>
      </c>
      <c r="G784" s="3">
        <v>116.3</v>
      </c>
      <c r="H784">
        <v>115</v>
      </c>
      <c r="I784">
        <v>114.1</v>
      </c>
      <c r="J784">
        <v>101834</v>
      </c>
      <c r="K784">
        <v>11757700.65</v>
      </c>
      <c r="L784" s="1">
        <v>45240</v>
      </c>
      <c r="M784">
        <v>2260</v>
      </c>
      <c r="N784" t="s">
        <v>1837</v>
      </c>
      <c r="O784" s="5">
        <v>45240</v>
      </c>
      <c r="P784" s="5">
        <v>43777</v>
      </c>
    </row>
    <row r="785" spans="1:16" x14ac:dyDescent="0.25">
      <c r="A785" t="s">
        <v>6677</v>
      </c>
      <c r="B785" t="str">
        <v>Not Found</v>
      </c>
      <c r="C785" t="s">
        <v>14</v>
      </c>
      <c r="D785">
        <v>51.3</v>
      </c>
      <c r="E785">
        <v>51.41</v>
      </c>
      <c r="F785">
        <v>51.1</v>
      </c>
      <c r="G785" s="3">
        <v>51.31</v>
      </c>
      <c r="H785">
        <v>51.3</v>
      </c>
      <c r="I785">
        <v>50.94</v>
      </c>
      <c r="J785">
        <v>5683308</v>
      </c>
      <c r="K785">
        <v>291529400.11000001</v>
      </c>
      <c r="L785" s="1">
        <v>45240</v>
      </c>
      <c r="M785">
        <v>33992</v>
      </c>
      <c r="N785" t="s">
        <v>6676</v>
      </c>
      <c r="O785" s="5">
        <v>45240</v>
      </c>
      <c r="P785" s="5">
        <v>43777</v>
      </c>
    </row>
    <row r="786" spans="1:16" x14ac:dyDescent="0.25">
      <c r="A786" t="s">
        <v>1838</v>
      </c>
      <c r="B786" t="str">
        <v>Golden Tobacco Limited</v>
      </c>
      <c r="C786" t="s">
        <v>786</v>
      </c>
      <c r="D786">
        <v>52.55</v>
      </c>
      <c r="E786">
        <v>52.95</v>
      </c>
      <c r="F786">
        <v>51.45</v>
      </c>
      <c r="G786" s="3">
        <v>52.45</v>
      </c>
      <c r="H786">
        <v>51.65</v>
      </c>
      <c r="I786">
        <v>52.55</v>
      </c>
      <c r="J786">
        <v>2479</v>
      </c>
      <c r="K786">
        <v>129792.55</v>
      </c>
      <c r="L786" s="1">
        <v>45240</v>
      </c>
      <c r="M786">
        <v>27</v>
      </c>
      <c r="N786" t="s">
        <v>1840</v>
      </c>
      <c r="O786" s="5">
        <v>45240</v>
      </c>
      <c r="P786" s="5">
        <v>43777</v>
      </c>
    </row>
    <row r="787" spans="1:16" x14ac:dyDescent="0.25">
      <c r="A787" t="s">
        <v>6675</v>
      </c>
      <c r="B787" t="str">
        <v>Not Found</v>
      </c>
      <c r="C787" t="s">
        <v>14</v>
      </c>
      <c r="D787">
        <v>61</v>
      </c>
      <c r="E787">
        <v>62</v>
      </c>
      <c r="F787">
        <v>60.2</v>
      </c>
      <c r="G787" s="3">
        <v>60.55</v>
      </c>
      <c r="H787">
        <v>60.55</v>
      </c>
      <c r="I787">
        <v>59.95</v>
      </c>
      <c r="J787">
        <v>126378</v>
      </c>
      <c r="K787">
        <v>7649326.0999999996</v>
      </c>
      <c r="L787" s="1">
        <v>45240</v>
      </c>
      <c r="M787">
        <v>1250</v>
      </c>
      <c r="N787" t="s">
        <v>6674</v>
      </c>
      <c r="O787" s="5">
        <v>45240</v>
      </c>
      <c r="P787" s="5">
        <v>43777</v>
      </c>
    </row>
    <row r="788" spans="1:16" x14ac:dyDescent="0.25">
      <c r="A788" t="s">
        <v>1841</v>
      </c>
      <c r="B788" t="str">
        <v>Goldiam International Limited</v>
      </c>
      <c r="C788" t="s">
        <v>14</v>
      </c>
      <c r="D788">
        <v>133.69999999999999</v>
      </c>
      <c r="E788">
        <v>138.80000000000001</v>
      </c>
      <c r="F788">
        <v>133.15</v>
      </c>
      <c r="G788" s="3">
        <v>136.9</v>
      </c>
      <c r="H788">
        <v>136.5</v>
      </c>
      <c r="I788">
        <v>133.1</v>
      </c>
      <c r="J788">
        <v>1287453</v>
      </c>
      <c r="K788">
        <v>175992778.15000001</v>
      </c>
      <c r="L788" s="1">
        <v>45240</v>
      </c>
      <c r="M788">
        <v>11253</v>
      </c>
      <c r="N788" t="s">
        <v>1843</v>
      </c>
      <c r="O788" s="5">
        <v>45240</v>
      </c>
      <c r="P788" s="5">
        <v>43777</v>
      </c>
    </row>
    <row r="789" spans="1:16" x14ac:dyDescent="0.25">
      <c r="A789" t="s">
        <v>6673</v>
      </c>
      <c r="B789" t="str">
        <v>Not Found</v>
      </c>
      <c r="C789" t="s">
        <v>14</v>
      </c>
      <c r="D789">
        <v>51.5</v>
      </c>
      <c r="E789">
        <v>52.8</v>
      </c>
      <c r="F789">
        <v>51.4</v>
      </c>
      <c r="G789" s="3">
        <v>51.5</v>
      </c>
      <c r="H789">
        <v>51.55</v>
      </c>
      <c r="I789">
        <v>51.1</v>
      </c>
      <c r="J789">
        <v>156403</v>
      </c>
      <c r="K789">
        <v>8060096.9000000004</v>
      </c>
      <c r="L789" s="1">
        <v>45240</v>
      </c>
      <c r="M789">
        <v>1186</v>
      </c>
      <c r="N789" t="s">
        <v>6672</v>
      </c>
      <c r="O789" s="5">
        <v>45240</v>
      </c>
      <c r="P789" s="5">
        <v>43777</v>
      </c>
    </row>
    <row r="790" spans="1:16" x14ac:dyDescent="0.25">
      <c r="A790" t="s">
        <v>6671</v>
      </c>
      <c r="B790" t="str">
        <v>Not Found</v>
      </c>
      <c r="C790" t="s">
        <v>5853</v>
      </c>
      <c r="D790">
        <v>12.55</v>
      </c>
      <c r="E790">
        <v>12.55</v>
      </c>
      <c r="F790">
        <v>12.55</v>
      </c>
      <c r="G790" s="3">
        <v>12.55</v>
      </c>
      <c r="H790">
        <v>12.55</v>
      </c>
      <c r="I790">
        <v>13.2</v>
      </c>
      <c r="J790">
        <v>56250</v>
      </c>
      <c r="K790">
        <v>705937.5</v>
      </c>
      <c r="L790" s="1">
        <v>45240</v>
      </c>
      <c r="M790">
        <v>3</v>
      </c>
      <c r="N790" t="s">
        <v>6670</v>
      </c>
      <c r="O790" s="5">
        <v>45240</v>
      </c>
      <c r="P790" s="5">
        <v>43777</v>
      </c>
    </row>
    <row r="791" spans="1:16" x14ac:dyDescent="0.25">
      <c r="A791" t="s">
        <v>1844</v>
      </c>
      <c r="B791" t="str">
        <v>Goldstone Technologies Limited</v>
      </c>
      <c r="C791" t="s">
        <v>10</v>
      </c>
      <c r="D791">
        <v>91</v>
      </c>
      <c r="E791">
        <v>91</v>
      </c>
      <c r="F791">
        <v>89.2</v>
      </c>
      <c r="G791" s="3">
        <v>89.2</v>
      </c>
      <c r="H791">
        <v>89.2</v>
      </c>
      <c r="I791">
        <v>91</v>
      </c>
      <c r="J791">
        <v>11989</v>
      </c>
      <c r="K791">
        <v>1070471.8</v>
      </c>
      <c r="L791" s="1">
        <v>45240</v>
      </c>
      <c r="M791">
        <v>40</v>
      </c>
      <c r="N791" t="s">
        <v>1846</v>
      </c>
      <c r="O791" s="5">
        <v>45240</v>
      </c>
      <c r="P791" s="5">
        <v>43777</v>
      </c>
    </row>
    <row r="792" spans="1:16" x14ac:dyDescent="0.25">
      <c r="A792" t="s">
        <v>1847</v>
      </c>
      <c r="B792" t="str">
        <v>Goodluck India Limited</v>
      </c>
      <c r="C792" t="s">
        <v>14</v>
      </c>
      <c r="D792">
        <v>843</v>
      </c>
      <c r="E792">
        <v>892</v>
      </c>
      <c r="F792">
        <v>843</v>
      </c>
      <c r="G792" s="3">
        <v>875.9</v>
      </c>
      <c r="H792">
        <v>883</v>
      </c>
      <c r="I792">
        <v>839.9</v>
      </c>
      <c r="J792">
        <v>245808</v>
      </c>
      <c r="K792">
        <v>214779703.19999999</v>
      </c>
      <c r="L792" s="1">
        <v>45240</v>
      </c>
      <c r="M792">
        <v>14842</v>
      </c>
      <c r="N792" t="s">
        <v>1849</v>
      </c>
      <c r="O792" s="5">
        <v>45240</v>
      </c>
      <c r="P792" s="5">
        <v>43777</v>
      </c>
    </row>
    <row r="793" spans="1:16" x14ac:dyDescent="0.25">
      <c r="A793" t="s">
        <v>1850</v>
      </c>
      <c r="B793" t="str">
        <v>Goyal Aluminiums Limited</v>
      </c>
      <c r="C793" t="s">
        <v>10</v>
      </c>
      <c r="D793">
        <v>8.6999999999999993</v>
      </c>
      <c r="E793">
        <v>8.6999999999999993</v>
      </c>
      <c r="F793">
        <v>8.5500000000000007</v>
      </c>
      <c r="G793" s="3">
        <v>8.5500000000000007</v>
      </c>
      <c r="H793">
        <v>8.5500000000000007</v>
      </c>
      <c r="I793">
        <v>8.6999999999999993</v>
      </c>
      <c r="J793">
        <v>80091</v>
      </c>
      <c r="K793">
        <v>687700.5</v>
      </c>
      <c r="L793" s="1">
        <v>45240</v>
      </c>
      <c r="M793">
        <v>265</v>
      </c>
      <c r="N793" t="s">
        <v>1852</v>
      </c>
      <c r="O793" s="5">
        <v>45240</v>
      </c>
      <c r="P793" s="5">
        <v>43777</v>
      </c>
    </row>
    <row r="794" spans="1:16" x14ac:dyDescent="0.25">
      <c r="A794" t="s">
        <v>6669</v>
      </c>
      <c r="B794" t="str">
        <v>Not Found</v>
      </c>
      <c r="C794" t="s">
        <v>5788</v>
      </c>
      <c r="D794">
        <v>175</v>
      </c>
      <c r="E794">
        <v>175</v>
      </c>
      <c r="F794">
        <v>168</v>
      </c>
      <c r="G794" s="3">
        <v>169.05</v>
      </c>
      <c r="H794">
        <v>171</v>
      </c>
      <c r="I794">
        <v>170.75</v>
      </c>
      <c r="J794">
        <v>78000</v>
      </c>
      <c r="K794">
        <v>13324800</v>
      </c>
      <c r="L794" s="1">
        <v>45240</v>
      </c>
      <c r="M794">
        <v>26</v>
      </c>
      <c r="N794" t="s">
        <v>6668</v>
      </c>
      <c r="O794" s="5">
        <v>45240</v>
      </c>
      <c r="P794" s="5">
        <v>43777</v>
      </c>
    </row>
    <row r="795" spans="1:16" x14ac:dyDescent="0.25">
      <c r="A795" t="s">
        <v>1853</v>
      </c>
      <c r="B795" t="str">
        <v>Godawari Power And Ispat limited</v>
      </c>
      <c r="C795" t="s">
        <v>14</v>
      </c>
      <c r="D795">
        <v>615.95000000000005</v>
      </c>
      <c r="E795">
        <v>629</v>
      </c>
      <c r="F795">
        <v>615.95000000000005</v>
      </c>
      <c r="G795" s="3">
        <v>623.95000000000005</v>
      </c>
      <c r="H795">
        <v>621</v>
      </c>
      <c r="I795">
        <v>618.5</v>
      </c>
      <c r="J795">
        <v>260699</v>
      </c>
      <c r="K795">
        <v>162716136.75</v>
      </c>
      <c r="L795" s="1">
        <v>45240</v>
      </c>
      <c r="M795">
        <v>8374</v>
      </c>
      <c r="N795" t="s">
        <v>1855</v>
      </c>
      <c r="O795" s="5">
        <v>45240</v>
      </c>
      <c r="P795" s="5">
        <v>43777</v>
      </c>
    </row>
    <row r="796" spans="1:16" x14ac:dyDescent="0.25">
      <c r="A796" t="s">
        <v>1856</v>
      </c>
      <c r="B796" t="str">
        <v>Gujarat Pipavav Port Limited</v>
      </c>
      <c r="C796" t="s">
        <v>14</v>
      </c>
      <c r="D796">
        <v>135.05000000000001</v>
      </c>
      <c r="E796">
        <v>138.19999999999999</v>
      </c>
      <c r="F796">
        <v>134.05000000000001</v>
      </c>
      <c r="G796" s="3">
        <v>135</v>
      </c>
      <c r="H796">
        <v>134.9</v>
      </c>
      <c r="I796">
        <v>135.30000000000001</v>
      </c>
      <c r="J796">
        <v>1876562</v>
      </c>
      <c r="K796">
        <v>256202040.75</v>
      </c>
      <c r="L796" s="1">
        <v>45240</v>
      </c>
      <c r="M796">
        <v>16207</v>
      </c>
      <c r="N796" t="s">
        <v>1858</v>
      </c>
      <c r="O796" s="5">
        <v>45240</v>
      </c>
      <c r="P796" s="5">
        <v>43777</v>
      </c>
    </row>
    <row r="797" spans="1:16" x14ac:dyDescent="0.25">
      <c r="A797" t="s">
        <v>1859</v>
      </c>
      <c r="B797" t="str">
        <v>GPT Infraprojects Limited</v>
      </c>
      <c r="C797" t="s">
        <v>10</v>
      </c>
      <c r="D797">
        <v>123.65</v>
      </c>
      <c r="E797">
        <v>123.65</v>
      </c>
      <c r="F797">
        <v>123.65</v>
      </c>
      <c r="G797" s="3">
        <v>123.65</v>
      </c>
      <c r="H797">
        <v>123.65</v>
      </c>
      <c r="I797">
        <v>121.25</v>
      </c>
      <c r="J797">
        <v>34605</v>
      </c>
      <c r="K797">
        <v>4278908.25</v>
      </c>
      <c r="L797" s="1">
        <v>45240</v>
      </c>
      <c r="M797">
        <v>61</v>
      </c>
      <c r="N797" t="s">
        <v>1861</v>
      </c>
      <c r="O797" s="5">
        <v>45240</v>
      </c>
      <c r="P797" s="5">
        <v>43777</v>
      </c>
    </row>
    <row r="798" spans="1:16" x14ac:dyDescent="0.25">
      <c r="A798" t="s">
        <v>1862</v>
      </c>
      <c r="B798" t="str">
        <v>Granules India Limited</v>
      </c>
      <c r="C798" t="s">
        <v>14</v>
      </c>
      <c r="D798">
        <v>369</v>
      </c>
      <c r="E798">
        <v>371.95</v>
      </c>
      <c r="F798">
        <v>364.15</v>
      </c>
      <c r="G798" s="3">
        <v>366.55</v>
      </c>
      <c r="H798">
        <v>366.45</v>
      </c>
      <c r="I798">
        <v>370.1</v>
      </c>
      <c r="J798">
        <v>1089859</v>
      </c>
      <c r="K798">
        <v>400422245.14999998</v>
      </c>
      <c r="L798" s="1">
        <v>45240</v>
      </c>
      <c r="M798">
        <v>18646</v>
      </c>
      <c r="N798" t="s">
        <v>1864</v>
      </c>
      <c r="O798" s="5">
        <v>45240</v>
      </c>
      <c r="P798" s="5">
        <v>43777</v>
      </c>
    </row>
    <row r="799" spans="1:16" x14ac:dyDescent="0.25">
      <c r="A799" t="s">
        <v>1865</v>
      </c>
      <c r="B799" t="str">
        <v>Graphite India Limited</v>
      </c>
      <c r="C799" t="s">
        <v>14</v>
      </c>
      <c r="D799">
        <v>459.1</v>
      </c>
      <c r="E799">
        <v>473</v>
      </c>
      <c r="F799">
        <v>445</v>
      </c>
      <c r="G799" s="3">
        <v>464.35</v>
      </c>
      <c r="H799">
        <v>465.5</v>
      </c>
      <c r="I799">
        <v>455.55</v>
      </c>
      <c r="J799">
        <v>1244402</v>
      </c>
      <c r="K799">
        <v>579772733.85000002</v>
      </c>
      <c r="L799" s="1">
        <v>45240</v>
      </c>
      <c r="M799">
        <v>29139</v>
      </c>
      <c r="N799" t="s">
        <v>1867</v>
      </c>
      <c r="O799" s="5">
        <v>45240</v>
      </c>
      <c r="P799" s="5">
        <v>43777</v>
      </c>
    </row>
    <row r="800" spans="1:16" x14ac:dyDescent="0.25">
      <c r="A800" t="s">
        <v>1868</v>
      </c>
      <c r="B800" t="str">
        <v>Grasim Industries Limited</v>
      </c>
      <c r="C800" t="s">
        <v>14</v>
      </c>
      <c r="D800">
        <v>1930.05</v>
      </c>
      <c r="E800">
        <v>1947.8</v>
      </c>
      <c r="F800">
        <v>1921.2</v>
      </c>
      <c r="G800" s="3">
        <v>1943</v>
      </c>
      <c r="H800">
        <v>1945.65</v>
      </c>
      <c r="I800">
        <v>1935</v>
      </c>
      <c r="J800">
        <v>192889</v>
      </c>
      <c r="K800">
        <v>373617060.60000002</v>
      </c>
      <c r="L800" s="1">
        <v>45240</v>
      </c>
      <c r="M800">
        <v>16966</v>
      </c>
      <c r="N800" t="s">
        <v>1870</v>
      </c>
      <c r="O800" s="5">
        <v>45240</v>
      </c>
      <c r="P800" s="5">
        <v>43777</v>
      </c>
    </row>
    <row r="801" spans="1:16" x14ac:dyDescent="0.25">
      <c r="A801" t="s">
        <v>1871</v>
      </c>
      <c r="B801" t="str">
        <v>Gravita India Limited</v>
      </c>
      <c r="C801" t="s">
        <v>14</v>
      </c>
      <c r="D801">
        <v>1126.5</v>
      </c>
      <c r="E801">
        <v>1126.5</v>
      </c>
      <c r="F801">
        <v>1086.4000000000001</v>
      </c>
      <c r="G801" s="3">
        <v>1098.95</v>
      </c>
      <c r="H801">
        <v>1114.9000000000001</v>
      </c>
      <c r="I801">
        <v>1116.75</v>
      </c>
      <c r="J801">
        <v>95128</v>
      </c>
      <c r="K801">
        <v>105039297.05</v>
      </c>
      <c r="L801" s="1">
        <v>45240</v>
      </c>
      <c r="M801">
        <v>8761</v>
      </c>
      <c r="N801" t="s">
        <v>1873</v>
      </c>
      <c r="O801" s="5">
        <v>45240</v>
      </c>
      <c r="P801" s="5">
        <v>43777</v>
      </c>
    </row>
    <row r="802" spans="1:16" x14ac:dyDescent="0.25">
      <c r="A802" t="s">
        <v>6667</v>
      </c>
      <c r="B802" t="str">
        <v>Not Found</v>
      </c>
      <c r="C802" t="s">
        <v>5788</v>
      </c>
      <c r="D802">
        <v>149.69999999999999</v>
      </c>
      <c r="E802">
        <v>149.69999999999999</v>
      </c>
      <c r="F802">
        <v>149.69999999999999</v>
      </c>
      <c r="G802" s="3">
        <v>149.69999999999999</v>
      </c>
      <c r="H802">
        <v>149.69999999999999</v>
      </c>
      <c r="I802">
        <v>157.5</v>
      </c>
      <c r="J802">
        <v>2000</v>
      </c>
      <c r="K802">
        <v>299400</v>
      </c>
      <c r="L802" s="1">
        <v>45240</v>
      </c>
      <c r="M802">
        <v>1</v>
      </c>
      <c r="N802" t="s">
        <v>6666</v>
      </c>
      <c r="O802" s="5">
        <v>45240</v>
      </c>
      <c r="P802" s="5">
        <v>43777</v>
      </c>
    </row>
    <row r="803" spans="1:16" x14ac:dyDescent="0.25">
      <c r="A803" t="s">
        <v>1874</v>
      </c>
      <c r="B803" t="str">
        <v>Greaves Cotton Limited</v>
      </c>
      <c r="C803" t="s">
        <v>14</v>
      </c>
      <c r="D803">
        <v>130.80000000000001</v>
      </c>
      <c r="E803">
        <v>131.65</v>
      </c>
      <c r="F803">
        <v>128.55000000000001</v>
      </c>
      <c r="G803" s="3">
        <v>129.1</v>
      </c>
      <c r="H803">
        <v>129.19999999999999</v>
      </c>
      <c r="I803">
        <v>130.80000000000001</v>
      </c>
      <c r="J803">
        <v>440529</v>
      </c>
      <c r="K803">
        <v>57185109.450000003</v>
      </c>
      <c r="L803" s="1">
        <v>45240</v>
      </c>
      <c r="M803">
        <v>6039</v>
      </c>
      <c r="N803" t="s">
        <v>1876</v>
      </c>
      <c r="O803" s="5">
        <v>45240</v>
      </c>
      <c r="P803" s="5">
        <v>43777</v>
      </c>
    </row>
    <row r="804" spans="1:16" x14ac:dyDescent="0.25">
      <c r="A804" t="s">
        <v>6665</v>
      </c>
      <c r="B804" t="str">
        <v>Not Found</v>
      </c>
      <c r="C804" t="s">
        <v>5788</v>
      </c>
      <c r="D804">
        <v>113.6</v>
      </c>
      <c r="E804">
        <v>113.6</v>
      </c>
      <c r="F804">
        <v>109</v>
      </c>
      <c r="G804" s="3">
        <v>110.2</v>
      </c>
      <c r="H804">
        <v>110</v>
      </c>
      <c r="I804">
        <v>113.1</v>
      </c>
      <c r="J804">
        <v>28800</v>
      </c>
      <c r="K804">
        <v>3183360</v>
      </c>
      <c r="L804" s="1">
        <v>45240</v>
      </c>
      <c r="M804">
        <v>34</v>
      </c>
      <c r="N804" t="s">
        <v>6664</v>
      </c>
      <c r="O804" s="5">
        <v>45240</v>
      </c>
      <c r="P804" s="5">
        <v>43777</v>
      </c>
    </row>
    <row r="805" spans="1:16" x14ac:dyDescent="0.25">
      <c r="A805" t="s">
        <v>1877</v>
      </c>
      <c r="B805" t="str">
        <v>Greenlam Industries Limited</v>
      </c>
      <c r="C805" t="s">
        <v>14</v>
      </c>
      <c r="D805">
        <v>537.70000000000005</v>
      </c>
      <c r="E805">
        <v>564.70000000000005</v>
      </c>
      <c r="F805">
        <v>531.1</v>
      </c>
      <c r="G805" s="3">
        <v>559.15</v>
      </c>
      <c r="H805">
        <v>558.5</v>
      </c>
      <c r="I805">
        <v>537.54999999999995</v>
      </c>
      <c r="J805">
        <v>88083</v>
      </c>
      <c r="K805">
        <v>48972957.200000003</v>
      </c>
      <c r="L805" s="1">
        <v>45240</v>
      </c>
      <c r="M805">
        <v>4253</v>
      </c>
      <c r="N805" t="s">
        <v>1879</v>
      </c>
      <c r="O805" s="5">
        <v>45240</v>
      </c>
      <c r="P805" s="5">
        <v>43777</v>
      </c>
    </row>
    <row r="806" spans="1:16" x14ac:dyDescent="0.25">
      <c r="A806" t="s">
        <v>1880</v>
      </c>
      <c r="B806" t="str">
        <v>Greenpanel Industries Limited</v>
      </c>
      <c r="C806" t="s">
        <v>14</v>
      </c>
      <c r="D806">
        <v>326.14999999999998</v>
      </c>
      <c r="E806">
        <v>327.95</v>
      </c>
      <c r="F806">
        <v>319.89999999999998</v>
      </c>
      <c r="G806" s="3">
        <v>322.85000000000002</v>
      </c>
      <c r="H806">
        <v>324.10000000000002</v>
      </c>
      <c r="I806">
        <v>326.14999999999998</v>
      </c>
      <c r="J806">
        <v>284107</v>
      </c>
      <c r="K806">
        <v>91778839.5</v>
      </c>
      <c r="L806" s="1">
        <v>45240</v>
      </c>
      <c r="M806">
        <v>19892</v>
      </c>
      <c r="N806" t="s">
        <v>1882</v>
      </c>
      <c r="O806" s="5">
        <v>45240</v>
      </c>
      <c r="P806" s="5">
        <v>43777</v>
      </c>
    </row>
    <row r="807" spans="1:16" x14ac:dyDescent="0.25">
      <c r="A807" t="s">
        <v>1883</v>
      </c>
      <c r="B807" t="str">
        <v>Greenply Industries Limited</v>
      </c>
      <c r="C807" t="s">
        <v>14</v>
      </c>
      <c r="D807">
        <v>185</v>
      </c>
      <c r="E807">
        <v>185</v>
      </c>
      <c r="F807">
        <v>182.5</v>
      </c>
      <c r="G807" s="3">
        <v>183.45</v>
      </c>
      <c r="H807">
        <v>183</v>
      </c>
      <c r="I807">
        <v>185.25</v>
      </c>
      <c r="J807">
        <v>239545</v>
      </c>
      <c r="K807">
        <v>43948927.25</v>
      </c>
      <c r="L807" s="1">
        <v>45240</v>
      </c>
      <c r="M807">
        <v>5146</v>
      </c>
      <c r="N807" t="s">
        <v>1885</v>
      </c>
      <c r="O807" s="5">
        <v>45240</v>
      </c>
      <c r="P807" s="5">
        <v>43777</v>
      </c>
    </row>
    <row r="808" spans="1:16" x14ac:dyDescent="0.25">
      <c r="A808" t="s">
        <v>1886</v>
      </c>
      <c r="B808" t="str">
        <v>Orient Green Power Company Limited</v>
      </c>
      <c r="C808" t="s">
        <v>14</v>
      </c>
      <c r="D808">
        <v>17.95</v>
      </c>
      <c r="E808">
        <v>18.350000000000001</v>
      </c>
      <c r="F808">
        <v>16.649999999999999</v>
      </c>
      <c r="G808" s="3">
        <v>17.350000000000001</v>
      </c>
      <c r="H808">
        <v>17.45</v>
      </c>
      <c r="I808">
        <v>17.5</v>
      </c>
      <c r="J808">
        <v>54246198</v>
      </c>
      <c r="K808">
        <v>956185466.54999995</v>
      </c>
      <c r="L808" s="1">
        <v>45240</v>
      </c>
      <c r="M808">
        <v>37097</v>
      </c>
      <c r="N808" t="s">
        <v>1888</v>
      </c>
      <c r="O808" s="5">
        <v>45240</v>
      </c>
      <c r="P808" s="5">
        <v>43777</v>
      </c>
    </row>
    <row r="809" spans="1:16" x14ac:dyDescent="0.25">
      <c r="A809" t="s">
        <v>1889</v>
      </c>
      <c r="B809" t="str">
        <v>Grindwell Norton Limited</v>
      </c>
      <c r="C809" t="s">
        <v>14</v>
      </c>
      <c r="D809">
        <v>2099.9</v>
      </c>
      <c r="E809">
        <v>2099.9</v>
      </c>
      <c r="F809">
        <v>2052</v>
      </c>
      <c r="G809" s="3">
        <v>2066.1</v>
      </c>
      <c r="H809">
        <v>2070</v>
      </c>
      <c r="I809">
        <v>2097.0500000000002</v>
      </c>
      <c r="J809">
        <v>76264</v>
      </c>
      <c r="K809">
        <v>157807577.80000001</v>
      </c>
      <c r="L809" s="1">
        <v>45240</v>
      </c>
      <c r="M809">
        <v>7617</v>
      </c>
      <c r="N809" t="s">
        <v>1891</v>
      </c>
      <c r="O809" s="5">
        <v>45240</v>
      </c>
      <c r="P809" s="5">
        <v>43777</v>
      </c>
    </row>
    <row r="810" spans="1:16" x14ac:dyDescent="0.25">
      <c r="A810" t="s">
        <v>1892</v>
      </c>
      <c r="B810" t="str">
        <v>G R Infraprojects Limited</v>
      </c>
      <c r="C810" t="s">
        <v>14</v>
      </c>
      <c r="D810">
        <v>1153.7</v>
      </c>
      <c r="E810">
        <v>1153.7</v>
      </c>
      <c r="F810">
        <v>1095</v>
      </c>
      <c r="G810" s="3">
        <v>1106.8499999999999</v>
      </c>
      <c r="H810">
        <v>1110</v>
      </c>
      <c r="I810">
        <v>1152.0999999999999</v>
      </c>
      <c r="J810">
        <v>101808</v>
      </c>
      <c r="K810">
        <v>113015552.7</v>
      </c>
      <c r="L810" s="1">
        <v>45240</v>
      </c>
      <c r="M810">
        <v>8715</v>
      </c>
      <c r="N810" t="s">
        <v>1894</v>
      </c>
      <c r="O810" s="5">
        <v>45240</v>
      </c>
      <c r="P810" s="5">
        <v>43777</v>
      </c>
    </row>
    <row r="811" spans="1:16" x14ac:dyDescent="0.25">
      <c r="A811" t="s">
        <v>1895</v>
      </c>
      <c r="B811" t="str">
        <v>GRM Overseas Limited</v>
      </c>
      <c r="C811" t="s">
        <v>14</v>
      </c>
      <c r="D811">
        <v>197.4</v>
      </c>
      <c r="E811">
        <v>201</v>
      </c>
      <c r="F811">
        <v>196.4</v>
      </c>
      <c r="G811" s="3">
        <v>198.9</v>
      </c>
      <c r="H811">
        <v>198.8</v>
      </c>
      <c r="I811">
        <v>197.45</v>
      </c>
      <c r="J811">
        <v>26523</v>
      </c>
      <c r="K811">
        <v>5255168.95</v>
      </c>
      <c r="L811" s="1">
        <v>45240</v>
      </c>
      <c r="M811">
        <v>1611</v>
      </c>
      <c r="N811" t="s">
        <v>1897</v>
      </c>
      <c r="O811" s="5">
        <v>45240</v>
      </c>
      <c r="P811" s="5">
        <v>43777</v>
      </c>
    </row>
    <row r="812" spans="1:16" x14ac:dyDescent="0.25">
      <c r="A812" t="s">
        <v>1898</v>
      </c>
      <c r="B812" t="str">
        <v>The Grob Tea Company Limited</v>
      </c>
      <c r="C812" t="s">
        <v>14</v>
      </c>
      <c r="D812">
        <v>948</v>
      </c>
      <c r="E812">
        <v>948</v>
      </c>
      <c r="F812">
        <v>903.55</v>
      </c>
      <c r="G812" s="3">
        <v>923</v>
      </c>
      <c r="H812">
        <v>928.95</v>
      </c>
      <c r="I812">
        <v>914.25</v>
      </c>
      <c r="J812">
        <v>1596</v>
      </c>
      <c r="K812">
        <v>1475937.7</v>
      </c>
      <c r="L812" s="1">
        <v>45240</v>
      </c>
      <c r="M812">
        <v>439</v>
      </c>
      <c r="N812" t="s">
        <v>1900</v>
      </c>
      <c r="O812" s="5">
        <v>45240</v>
      </c>
      <c r="P812" s="5">
        <v>43777</v>
      </c>
    </row>
    <row r="813" spans="1:16" x14ac:dyDescent="0.25">
      <c r="A813" t="s">
        <v>1901</v>
      </c>
      <c r="B813" t="str">
        <v>GRP Limited</v>
      </c>
      <c r="C813" t="s">
        <v>14</v>
      </c>
      <c r="D813">
        <v>3851.45</v>
      </c>
      <c r="E813">
        <v>3897</v>
      </c>
      <c r="F813">
        <v>3820</v>
      </c>
      <c r="G813" s="3">
        <v>3851.65</v>
      </c>
      <c r="H813">
        <v>3850</v>
      </c>
      <c r="I813">
        <v>3855</v>
      </c>
      <c r="J813">
        <v>831</v>
      </c>
      <c r="K813">
        <v>3202576.8</v>
      </c>
      <c r="L813" s="1">
        <v>45240</v>
      </c>
      <c r="M813">
        <v>105</v>
      </c>
      <c r="N813" t="s">
        <v>1903</v>
      </c>
      <c r="O813" s="5">
        <v>45240</v>
      </c>
      <c r="P813" s="5">
        <v>43777</v>
      </c>
    </row>
    <row r="814" spans="1:16" x14ac:dyDescent="0.25">
      <c r="A814" t="s">
        <v>1904</v>
      </c>
      <c r="B814" t="str">
        <v>Garden Reach Shipbuilders &amp; Engineers Limited</v>
      </c>
      <c r="C814" t="s">
        <v>14</v>
      </c>
      <c r="D814">
        <v>783.3</v>
      </c>
      <c r="E814">
        <v>791.25</v>
      </c>
      <c r="F814">
        <v>771</v>
      </c>
      <c r="G814" s="3">
        <v>774</v>
      </c>
      <c r="H814">
        <v>772.4</v>
      </c>
      <c r="I814">
        <v>779.4</v>
      </c>
      <c r="J814">
        <v>588785</v>
      </c>
      <c r="K814">
        <v>460446774</v>
      </c>
      <c r="L814" s="1">
        <v>45240</v>
      </c>
      <c r="M814">
        <v>19598</v>
      </c>
      <c r="N814" t="s">
        <v>1906</v>
      </c>
      <c r="O814" s="5">
        <v>45240</v>
      </c>
      <c r="P814" s="5">
        <v>43777</v>
      </c>
    </row>
    <row r="815" spans="1:16" x14ac:dyDescent="0.25">
      <c r="A815" t="s">
        <v>1907</v>
      </c>
      <c r="B815" t="str">
        <v>Garware Hi-Tech Films Limited</v>
      </c>
      <c r="C815" t="s">
        <v>14</v>
      </c>
      <c r="D815">
        <v>1362.9</v>
      </c>
      <c r="E815">
        <v>1408.75</v>
      </c>
      <c r="F815">
        <v>1334.45</v>
      </c>
      <c r="G815" s="3">
        <v>1392.75</v>
      </c>
      <c r="H815">
        <v>1399</v>
      </c>
      <c r="I815">
        <v>1350.05</v>
      </c>
      <c r="J815">
        <v>68572</v>
      </c>
      <c r="K815">
        <v>94922872.599999994</v>
      </c>
      <c r="L815" s="1">
        <v>45240</v>
      </c>
      <c r="M815">
        <v>9325</v>
      </c>
      <c r="N815" t="s">
        <v>1909</v>
      </c>
      <c r="O815" s="5">
        <v>45240</v>
      </c>
      <c r="P815" s="5">
        <v>43777</v>
      </c>
    </row>
    <row r="816" spans="1:16" x14ac:dyDescent="0.25">
      <c r="A816" t="s">
        <v>6663</v>
      </c>
      <c r="B816" t="str">
        <v>Not Found</v>
      </c>
      <c r="C816" t="s">
        <v>14</v>
      </c>
      <c r="D816">
        <v>25.3</v>
      </c>
      <c r="E816">
        <v>25.3</v>
      </c>
      <c r="F816">
        <v>25.3</v>
      </c>
      <c r="G816" s="3">
        <v>25.3</v>
      </c>
      <c r="H816">
        <v>25.3</v>
      </c>
      <c r="I816">
        <v>24.99</v>
      </c>
      <c r="J816">
        <v>59</v>
      </c>
      <c r="K816">
        <v>1492.7</v>
      </c>
      <c r="L816" s="1">
        <v>45240</v>
      </c>
      <c r="M816">
        <v>9</v>
      </c>
      <c r="N816" t="s">
        <v>6662</v>
      </c>
      <c r="O816" s="5">
        <v>45240</v>
      </c>
      <c r="P816" s="5">
        <v>43777</v>
      </c>
    </row>
    <row r="817" spans="1:16" x14ac:dyDescent="0.25">
      <c r="A817" t="s">
        <v>1910</v>
      </c>
      <c r="B817" t="str">
        <v>Gujarat State Fertilizers &amp; Chemicals Limited</v>
      </c>
      <c r="C817" t="s">
        <v>14</v>
      </c>
      <c r="D817">
        <v>182</v>
      </c>
      <c r="E817">
        <v>182.9</v>
      </c>
      <c r="F817">
        <v>179.1</v>
      </c>
      <c r="G817" s="3">
        <v>180.95</v>
      </c>
      <c r="H817">
        <v>180.8</v>
      </c>
      <c r="I817">
        <v>182.3</v>
      </c>
      <c r="J817">
        <v>4089185</v>
      </c>
      <c r="K817">
        <v>739573889.45000005</v>
      </c>
      <c r="L817" s="1">
        <v>45240</v>
      </c>
      <c r="M817">
        <v>24555</v>
      </c>
      <c r="N817" t="s">
        <v>1912</v>
      </c>
      <c r="O817" s="5">
        <v>45240</v>
      </c>
      <c r="P817" s="5">
        <v>43777</v>
      </c>
    </row>
    <row r="818" spans="1:16" x14ac:dyDescent="0.25">
      <c r="A818" t="s">
        <v>1913</v>
      </c>
      <c r="B818" t="str">
        <v>Global Surfaces Limited</v>
      </c>
      <c r="C818" t="s">
        <v>14</v>
      </c>
      <c r="D818">
        <v>204</v>
      </c>
      <c r="E818">
        <v>206.4</v>
      </c>
      <c r="F818">
        <v>200.55</v>
      </c>
      <c r="G818" s="3">
        <v>204.05</v>
      </c>
      <c r="H818">
        <v>204.25</v>
      </c>
      <c r="I818">
        <v>203.5</v>
      </c>
      <c r="J818">
        <v>153088</v>
      </c>
      <c r="K818">
        <v>31013819.399999999</v>
      </c>
      <c r="L818" s="1">
        <v>45240</v>
      </c>
      <c r="M818">
        <v>3080</v>
      </c>
      <c r="N818" t="s">
        <v>1915</v>
      </c>
      <c r="O818" s="5">
        <v>45240</v>
      </c>
      <c r="P818" s="5">
        <v>43777</v>
      </c>
    </row>
    <row r="819" spans="1:16" x14ac:dyDescent="0.25">
      <c r="A819" t="s">
        <v>1916</v>
      </c>
      <c r="B819" t="str">
        <v>Gujarat State Petronet Limited</v>
      </c>
      <c r="C819" t="s">
        <v>14</v>
      </c>
      <c r="D819">
        <v>272</v>
      </c>
      <c r="E819">
        <v>275.8</v>
      </c>
      <c r="F819">
        <v>270.75</v>
      </c>
      <c r="G819" s="3">
        <v>274.39999999999998</v>
      </c>
      <c r="H819">
        <v>274.45</v>
      </c>
      <c r="I819">
        <v>270.2</v>
      </c>
      <c r="J819">
        <v>578232</v>
      </c>
      <c r="K819">
        <v>158704871.25</v>
      </c>
      <c r="L819" s="1">
        <v>45240</v>
      </c>
      <c r="M819">
        <v>17043</v>
      </c>
      <c r="N819" t="s">
        <v>1918</v>
      </c>
      <c r="O819" s="5">
        <v>45240</v>
      </c>
      <c r="P819" s="5">
        <v>43777</v>
      </c>
    </row>
    <row r="820" spans="1:16" x14ac:dyDescent="0.25">
      <c r="A820" t="s">
        <v>1919</v>
      </c>
      <c r="B820" t="str">
        <v>GSS Infotech Limited</v>
      </c>
      <c r="C820" t="s">
        <v>14</v>
      </c>
      <c r="D820">
        <v>194</v>
      </c>
      <c r="E820">
        <v>194.95</v>
      </c>
      <c r="F820">
        <v>189.05</v>
      </c>
      <c r="G820" s="3">
        <v>189.95</v>
      </c>
      <c r="H820">
        <v>189.9</v>
      </c>
      <c r="I820">
        <v>193.05</v>
      </c>
      <c r="J820">
        <v>19562</v>
      </c>
      <c r="K820">
        <v>3723758.35</v>
      </c>
      <c r="L820" s="1">
        <v>45240</v>
      </c>
      <c r="M820">
        <v>732</v>
      </c>
      <c r="N820" t="s">
        <v>1921</v>
      </c>
      <c r="O820" s="5">
        <v>45240</v>
      </c>
      <c r="P820" s="5">
        <v>43777</v>
      </c>
    </row>
    <row r="821" spans="1:16" x14ac:dyDescent="0.25">
      <c r="A821" t="s">
        <v>6661</v>
      </c>
      <c r="B821" t="str">
        <v>Not Found</v>
      </c>
      <c r="C821" t="s">
        <v>5788</v>
      </c>
      <c r="D821">
        <v>62</v>
      </c>
      <c r="E821">
        <v>63.7</v>
      </c>
      <c r="F821">
        <v>60.15</v>
      </c>
      <c r="G821" s="3">
        <v>63.7</v>
      </c>
      <c r="H821">
        <v>63.7</v>
      </c>
      <c r="I821">
        <v>65</v>
      </c>
      <c r="J821">
        <v>10000</v>
      </c>
      <c r="K821">
        <v>628350</v>
      </c>
      <c r="L821" s="1">
        <v>45240</v>
      </c>
      <c r="M821">
        <v>10</v>
      </c>
      <c r="N821" t="s">
        <v>6660</v>
      </c>
      <c r="O821" s="5">
        <v>45240</v>
      </c>
      <c r="P821" s="5">
        <v>43777</v>
      </c>
    </row>
    <row r="822" spans="1:16" x14ac:dyDescent="0.25">
      <c r="A822" t="s">
        <v>1922</v>
      </c>
      <c r="B822" t="str">
        <v>G-TEC JAINX EDUCATION LIMITED</v>
      </c>
      <c r="C822" t="s">
        <v>10</v>
      </c>
      <c r="D822">
        <v>94.95</v>
      </c>
      <c r="E822">
        <v>96.8</v>
      </c>
      <c r="F822">
        <v>93.05</v>
      </c>
      <c r="G822" s="3">
        <v>96.8</v>
      </c>
      <c r="H822">
        <v>96.8</v>
      </c>
      <c r="I822">
        <v>94.95</v>
      </c>
      <c r="J822">
        <v>596</v>
      </c>
      <c r="K822">
        <v>55876.45</v>
      </c>
      <c r="L822" s="1">
        <v>45240</v>
      </c>
      <c r="M822">
        <v>12</v>
      </c>
      <c r="N822" t="s">
        <v>1924</v>
      </c>
      <c r="O822" s="5">
        <v>45240</v>
      </c>
      <c r="P822" s="5">
        <v>43777</v>
      </c>
    </row>
    <row r="823" spans="1:16" x14ac:dyDescent="0.25">
      <c r="A823" t="s">
        <v>1925</v>
      </c>
      <c r="B823" t="str">
        <v>GTL Limited</v>
      </c>
      <c r="C823" t="s">
        <v>10</v>
      </c>
      <c r="D823">
        <v>8.85</v>
      </c>
      <c r="E823">
        <v>8.85</v>
      </c>
      <c r="F823">
        <v>8.85</v>
      </c>
      <c r="G823" s="3">
        <v>8.85</v>
      </c>
      <c r="H823">
        <v>8.85</v>
      </c>
      <c r="I823">
        <v>9</v>
      </c>
      <c r="J823">
        <v>76766</v>
      </c>
      <c r="K823">
        <v>679379.1</v>
      </c>
      <c r="L823" s="1">
        <v>45240</v>
      </c>
      <c r="M823">
        <v>158</v>
      </c>
      <c r="N823" t="s">
        <v>1927</v>
      </c>
      <c r="O823" s="5">
        <v>45240</v>
      </c>
      <c r="P823" s="5">
        <v>43777</v>
      </c>
    </row>
    <row r="824" spans="1:16" x14ac:dyDescent="0.25">
      <c r="A824" t="s">
        <v>1928</v>
      </c>
      <c r="B824" t="str">
        <v>GTL Infrastructure Limited</v>
      </c>
      <c r="C824" t="s">
        <v>14</v>
      </c>
      <c r="D824">
        <v>1.1000000000000001</v>
      </c>
      <c r="E824">
        <v>1.1499999999999999</v>
      </c>
      <c r="F824">
        <v>1.1000000000000001</v>
      </c>
      <c r="G824" s="3">
        <v>1.1000000000000001</v>
      </c>
      <c r="H824">
        <v>1.1000000000000001</v>
      </c>
      <c r="I824">
        <v>1.1499999999999999</v>
      </c>
      <c r="J824">
        <v>24647502</v>
      </c>
      <c r="K824">
        <v>27115039.449999999</v>
      </c>
      <c r="L824" s="1">
        <v>45240</v>
      </c>
      <c r="M824">
        <v>7309</v>
      </c>
      <c r="N824" t="s">
        <v>1930</v>
      </c>
      <c r="O824" s="5">
        <v>45240</v>
      </c>
      <c r="P824" s="5">
        <v>43777</v>
      </c>
    </row>
    <row r="825" spans="1:16" x14ac:dyDescent="0.25">
      <c r="A825" t="s">
        <v>1931</v>
      </c>
      <c r="B825" t="str">
        <v>GTPL Hathway Limited</v>
      </c>
      <c r="C825" t="s">
        <v>14</v>
      </c>
      <c r="D825">
        <v>171.95</v>
      </c>
      <c r="E825">
        <v>177</v>
      </c>
      <c r="F825">
        <v>168.7</v>
      </c>
      <c r="G825" s="3">
        <v>175.5</v>
      </c>
      <c r="H825">
        <v>176</v>
      </c>
      <c r="I825">
        <v>171.95</v>
      </c>
      <c r="J825">
        <v>75214</v>
      </c>
      <c r="K825">
        <v>13065571.699999999</v>
      </c>
      <c r="L825" s="1">
        <v>45240</v>
      </c>
      <c r="M825">
        <v>1654</v>
      </c>
      <c r="N825" t="s">
        <v>1933</v>
      </c>
      <c r="O825" s="5">
        <v>45240</v>
      </c>
      <c r="P825" s="5">
        <v>43777</v>
      </c>
    </row>
    <row r="826" spans="1:16" x14ac:dyDescent="0.25">
      <c r="A826" t="s">
        <v>1934</v>
      </c>
      <c r="B826" t="str">
        <v>Gufic Biosciences Limited</v>
      </c>
      <c r="C826" t="s">
        <v>14</v>
      </c>
      <c r="D826">
        <v>268.8</v>
      </c>
      <c r="E826">
        <v>272.7</v>
      </c>
      <c r="F826">
        <v>259.75</v>
      </c>
      <c r="G826" s="3">
        <v>262</v>
      </c>
      <c r="H826">
        <v>260.3</v>
      </c>
      <c r="I826">
        <v>266.25</v>
      </c>
      <c r="J826">
        <v>119707</v>
      </c>
      <c r="K826">
        <v>31693822.399999999</v>
      </c>
      <c r="L826" s="1">
        <v>45240</v>
      </c>
      <c r="M826">
        <v>4477</v>
      </c>
      <c r="N826" t="s">
        <v>1936</v>
      </c>
      <c r="O826" s="5">
        <v>45240</v>
      </c>
      <c r="P826" s="5">
        <v>43777</v>
      </c>
    </row>
    <row r="827" spans="1:16" x14ac:dyDescent="0.25">
      <c r="A827" t="s">
        <v>1937</v>
      </c>
      <c r="B827" t="str">
        <v>Gujarat Alkalies and Chemicals Limited</v>
      </c>
      <c r="C827" t="s">
        <v>14</v>
      </c>
      <c r="D827">
        <v>721</v>
      </c>
      <c r="E827">
        <v>729.85</v>
      </c>
      <c r="F827">
        <v>717.05</v>
      </c>
      <c r="G827" s="3">
        <v>724.05</v>
      </c>
      <c r="H827">
        <v>723.55</v>
      </c>
      <c r="I827">
        <v>719.1</v>
      </c>
      <c r="J827">
        <v>75329</v>
      </c>
      <c r="K827">
        <v>54372754.049999997</v>
      </c>
      <c r="L827" s="1">
        <v>45240</v>
      </c>
      <c r="M827">
        <v>6038</v>
      </c>
      <c r="N827" t="s">
        <v>1939</v>
      </c>
      <c r="O827" s="5">
        <v>45240</v>
      </c>
      <c r="P827" s="5">
        <v>43777</v>
      </c>
    </row>
    <row r="828" spans="1:16" x14ac:dyDescent="0.25">
      <c r="A828" t="s">
        <v>1940</v>
      </c>
      <c r="B828" t="str">
        <v>Gujarat Apollo Industries Limited</v>
      </c>
      <c r="C828" t="s">
        <v>14</v>
      </c>
      <c r="D828">
        <v>218.9</v>
      </c>
      <c r="E828">
        <v>221.7</v>
      </c>
      <c r="F828">
        <v>214</v>
      </c>
      <c r="G828" s="3">
        <v>216</v>
      </c>
      <c r="H828">
        <v>215.1</v>
      </c>
      <c r="I828">
        <v>214.45</v>
      </c>
      <c r="J828">
        <v>12047</v>
      </c>
      <c r="K828">
        <v>2639202.9</v>
      </c>
      <c r="L828" s="1">
        <v>45240</v>
      </c>
      <c r="M828">
        <v>242</v>
      </c>
      <c r="N828" t="s">
        <v>1942</v>
      </c>
      <c r="O828" s="5">
        <v>45240</v>
      </c>
      <c r="P828" s="5">
        <v>43777</v>
      </c>
    </row>
    <row r="829" spans="1:16" x14ac:dyDescent="0.25">
      <c r="A829" t="s">
        <v>1943</v>
      </c>
      <c r="B829" t="str">
        <v>Gujarat Gas Limited</v>
      </c>
      <c r="C829" t="s">
        <v>14</v>
      </c>
      <c r="D829">
        <v>413.65</v>
      </c>
      <c r="E829">
        <v>420</v>
      </c>
      <c r="F829">
        <v>412</v>
      </c>
      <c r="G829" s="3">
        <v>417.55</v>
      </c>
      <c r="H829">
        <v>417.25</v>
      </c>
      <c r="I829">
        <v>413.6</v>
      </c>
      <c r="J829">
        <v>232630</v>
      </c>
      <c r="K829">
        <v>96669681.200000003</v>
      </c>
      <c r="L829" s="1">
        <v>45240</v>
      </c>
      <c r="M829">
        <v>6542</v>
      </c>
      <c r="N829" t="s">
        <v>1945</v>
      </c>
      <c r="O829" s="5">
        <v>45240</v>
      </c>
      <c r="P829" s="5">
        <v>43777</v>
      </c>
    </row>
    <row r="830" spans="1:16" x14ac:dyDescent="0.25">
      <c r="A830" t="s">
        <v>1946</v>
      </c>
      <c r="B830" t="str">
        <v>Gujarat Raffia Industries Limited</v>
      </c>
      <c r="C830" t="s">
        <v>10</v>
      </c>
      <c r="D830">
        <v>32.549999999999997</v>
      </c>
      <c r="E830">
        <v>33.450000000000003</v>
      </c>
      <c r="F830">
        <v>32.549999999999997</v>
      </c>
      <c r="G830" s="3">
        <v>32.6</v>
      </c>
      <c r="H830">
        <v>32.6</v>
      </c>
      <c r="I830">
        <v>32.35</v>
      </c>
      <c r="J830">
        <v>120</v>
      </c>
      <c r="K830">
        <v>3911.35</v>
      </c>
      <c r="L830" s="1">
        <v>45240</v>
      </c>
      <c r="M830">
        <v>9</v>
      </c>
      <c r="N830" t="s">
        <v>1948</v>
      </c>
      <c r="O830" s="5">
        <v>45240</v>
      </c>
      <c r="P830" s="5">
        <v>43777</v>
      </c>
    </row>
    <row r="831" spans="1:16" x14ac:dyDescent="0.25">
      <c r="A831" t="s">
        <v>1949</v>
      </c>
      <c r="B831" t="str">
        <v>Gulf Oil Lubricants India Limited</v>
      </c>
      <c r="C831" t="s">
        <v>14</v>
      </c>
      <c r="D831">
        <v>600</v>
      </c>
      <c r="E831">
        <v>617.9</v>
      </c>
      <c r="F831">
        <v>600</v>
      </c>
      <c r="G831" s="3">
        <v>611.75</v>
      </c>
      <c r="H831">
        <v>609.9</v>
      </c>
      <c r="I831">
        <v>608.45000000000005</v>
      </c>
      <c r="J831">
        <v>96233</v>
      </c>
      <c r="K831">
        <v>58871682.850000001</v>
      </c>
      <c r="L831" s="1">
        <v>45240</v>
      </c>
      <c r="M831">
        <v>6744</v>
      </c>
      <c r="N831" t="s">
        <v>1951</v>
      </c>
      <c r="O831" s="5">
        <v>45240</v>
      </c>
      <c r="P831" s="5">
        <v>43777</v>
      </c>
    </row>
    <row r="832" spans="1:16" x14ac:dyDescent="0.25">
      <c r="A832" t="s">
        <v>1952</v>
      </c>
      <c r="B832" t="str">
        <v>GP Petroleums Limited</v>
      </c>
      <c r="C832" t="s">
        <v>10</v>
      </c>
      <c r="D832">
        <v>55.3</v>
      </c>
      <c r="E832">
        <v>55.5</v>
      </c>
      <c r="F832">
        <v>53.25</v>
      </c>
      <c r="G832" s="3">
        <v>55.3</v>
      </c>
      <c r="H832">
        <v>54.35</v>
      </c>
      <c r="I832">
        <v>55.35</v>
      </c>
      <c r="J832">
        <v>21060</v>
      </c>
      <c r="K832">
        <v>1157975.7</v>
      </c>
      <c r="L832" s="1">
        <v>45240</v>
      </c>
      <c r="M832">
        <v>206</v>
      </c>
      <c r="N832" t="s">
        <v>1954</v>
      </c>
      <c r="O832" s="5">
        <v>45240</v>
      </c>
      <c r="P832" s="5">
        <v>43777</v>
      </c>
    </row>
    <row r="833" spans="1:16" x14ac:dyDescent="0.25">
      <c r="A833" t="s">
        <v>1955</v>
      </c>
      <c r="B833" t="str">
        <v>Gulshan Polyols Limited</v>
      </c>
      <c r="C833" t="s">
        <v>14</v>
      </c>
      <c r="D833">
        <v>199</v>
      </c>
      <c r="E833">
        <v>201.75</v>
      </c>
      <c r="F833">
        <v>196.75</v>
      </c>
      <c r="G833" s="3">
        <v>197.9</v>
      </c>
      <c r="H833">
        <v>197.4</v>
      </c>
      <c r="I833">
        <v>198.85</v>
      </c>
      <c r="J833">
        <v>63259</v>
      </c>
      <c r="K833">
        <v>12582680.9</v>
      </c>
      <c r="L833" s="1">
        <v>45240</v>
      </c>
      <c r="M833">
        <v>2319</v>
      </c>
      <c r="N833" t="s">
        <v>1957</v>
      </c>
      <c r="O833" s="5">
        <v>45240</v>
      </c>
      <c r="P833" s="5">
        <v>43777</v>
      </c>
    </row>
    <row r="834" spans="1:16" x14ac:dyDescent="0.25">
      <c r="A834" t="s">
        <v>1958</v>
      </c>
      <c r="B834" t="str">
        <v>GVK Power &amp; Infrastructure Limited</v>
      </c>
      <c r="C834" t="s">
        <v>10</v>
      </c>
      <c r="D834">
        <v>9.5</v>
      </c>
      <c r="E834">
        <v>9.5</v>
      </c>
      <c r="F834">
        <v>9.5</v>
      </c>
      <c r="G834" s="3">
        <v>9.5</v>
      </c>
      <c r="H834">
        <v>9.5</v>
      </c>
      <c r="I834">
        <v>9.0500000000000007</v>
      </c>
      <c r="J834">
        <v>2126286</v>
      </c>
      <c r="K834">
        <v>20199717</v>
      </c>
      <c r="L834" s="1">
        <v>45240</v>
      </c>
      <c r="M834">
        <v>1561</v>
      </c>
      <c r="N834" t="s">
        <v>1960</v>
      </c>
      <c r="O834" s="5">
        <v>45240</v>
      </c>
      <c r="P834" s="5">
        <v>43777</v>
      </c>
    </row>
    <row r="835" spans="1:16" x14ac:dyDescent="0.25">
      <c r="A835" t="s">
        <v>1961</v>
      </c>
      <c r="B835" t="str">
        <v>GVP Infotech Limited</v>
      </c>
      <c r="C835" t="s">
        <v>10</v>
      </c>
      <c r="D835">
        <v>11.6</v>
      </c>
      <c r="E835">
        <v>11.6</v>
      </c>
      <c r="F835">
        <v>11.6</v>
      </c>
      <c r="G835" s="3">
        <v>11.6</v>
      </c>
      <c r="H835">
        <v>11.6</v>
      </c>
      <c r="I835">
        <v>11.8</v>
      </c>
      <c r="J835">
        <v>21296</v>
      </c>
      <c r="K835">
        <v>247033.60000000001</v>
      </c>
      <c r="L835" s="1">
        <v>45240</v>
      </c>
      <c r="M835">
        <v>167</v>
      </c>
      <c r="N835" t="s">
        <v>1963</v>
      </c>
      <c r="O835" s="5">
        <v>45240</v>
      </c>
      <c r="P835" s="5">
        <v>43777</v>
      </c>
    </row>
    <row r="836" spans="1:16" x14ac:dyDescent="0.25">
      <c r="A836" t="s">
        <v>1964</v>
      </c>
      <c r="B836" t="str">
        <v>Hindustan Aeronautics Limited</v>
      </c>
      <c r="C836" t="s">
        <v>14</v>
      </c>
      <c r="D836">
        <v>2041.65</v>
      </c>
      <c r="E836">
        <v>2110.9499999999998</v>
      </c>
      <c r="F836">
        <v>1995</v>
      </c>
      <c r="G836" s="3">
        <v>2058.9</v>
      </c>
      <c r="H836">
        <v>2056</v>
      </c>
      <c r="I836">
        <v>2030.8</v>
      </c>
      <c r="J836">
        <v>4755794</v>
      </c>
      <c r="K836">
        <v>9814592816.2999992</v>
      </c>
      <c r="L836" s="1">
        <v>45240</v>
      </c>
      <c r="M836">
        <v>199569</v>
      </c>
      <c r="N836" t="s">
        <v>1966</v>
      </c>
      <c r="O836" s="5">
        <v>45240</v>
      </c>
      <c r="P836" s="5">
        <v>43777</v>
      </c>
    </row>
    <row r="837" spans="1:16" x14ac:dyDescent="0.25">
      <c r="A837" t="s">
        <v>1967</v>
      </c>
      <c r="B837" t="str">
        <v>Happiest Minds Technologies Limited</v>
      </c>
      <c r="C837" t="s">
        <v>14</v>
      </c>
      <c r="D837">
        <v>829.4</v>
      </c>
      <c r="E837">
        <v>832</v>
      </c>
      <c r="F837">
        <v>825</v>
      </c>
      <c r="G837" s="3">
        <v>825.85</v>
      </c>
      <c r="H837">
        <v>826</v>
      </c>
      <c r="I837">
        <v>829.45</v>
      </c>
      <c r="J837">
        <v>106570</v>
      </c>
      <c r="K837">
        <v>88179493.150000006</v>
      </c>
      <c r="L837" s="1">
        <v>45240</v>
      </c>
      <c r="M837">
        <v>8174</v>
      </c>
      <c r="N837" t="s">
        <v>1969</v>
      </c>
      <c r="O837" s="5">
        <v>45240</v>
      </c>
      <c r="P837" s="5">
        <v>43777</v>
      </c>
    </row>
    <row r="838" spans="1:16" x14ac:dyDescent="0.25">
      <c r="A838" t="s">
        <v>1970</v>
      </c>
      <c r="B838" t="str">
        <v>Hardwyn India Limited</v>
      </c>
      <c r="C838" t="s">
        <v>14</v>
      </c>
      <c r="D838">
        <v>36.35</v>
      </c>
      <c r="E838">
        <v>36.6</v>
      </c>
      <c r="F838">
        <v>35.5</v>
      </c>
      <c r="G838" s="3">
        <v>36.049999999999997</v>
      </c>
      <c r="H838">
        <v>36.15</v>
      </c>
      <c r="I838">
        <v>36.35</v>
      </c>
      <c r="J838">
        <v>81126</v>
      </c>
      <c r="K838">
        <v>2911354.95</v>
      </c>
      <c r="L838" s="1">
        <v>45240</v>
      </c>
      <c r="M838">
        <v>838</v>
      </c>
      <c r="N838" t="s">
        <v>1972</v>
      </c>
      <c r="O838" s="5">
        <v>45240</v>
      </c>
      <c r="P838" s="5">
        <v>43777</v>
      </c>
    </row>
    <row r="839" spans="1:16" x14ac:dyDescent="0.25">
      <c r="A839" t="s">
        <v>1973</v>
      </c>
      <c r="B839" t="str">
        <v>Hariom Pipe Industries Limited</v>
      </c>
      <c r="C839" t="s">
        <v>14</v>
      </c>
      <c r="D839">
        <v>659.05</v>
      </c>
      <c r="E839">
        <v>682.85</v>
      </c>
      <c r="F839">
        <v>658</v>
      </c>
      <c r="G839" s="3">
        <v>677.65</v>
      </c>
      <c r="H839">
        <v>677</v>
      </c>
      <c r="I839">
        <v>657.45</v>
      </c>
      <c r="J839">
        <v>211392</v>
      </c>
      <c r="K839">
        <v>142151487.5</v>
      </c>
      <c r="L839" s="1">
        <v>45240</v>
      </c>
      <c r="M839">
        <v>10445</v>
      </c>
      <c r="N839" t="s">
        <v>1975</v>
      </c>
      <c r="O839" s="5">
        <v>45240</v>
      </c>
      <c r="P839" s="5">
        <v>43777</v>
      </c>
    </row>
    <row r="840" spans="1:16" x14ac:dyDescent="0.25">
      <c r="A840" t="s">
        <v>1976</v>
      </c>
      <c r="B840" t="str">
        <v>Harrisons  Malayalam Limited</v>
      </c>
      <c r="C840" t="s">
        <v>14</v>
      </c>
      <c r="D840">
        <v>145.15</v>
      </c>
      <c r="E840">
        <v>145.80000000000001</v>
      </c>
      <c r="F840">
        <v>143.75</v>
      </c>
      <c r="G840" s="3">
        <v>144</v>
      </c>
      <c r="H840">
        <v>144.80000000000001</v>
      </c>
      <c r="I840">
        <v>146.1</v>
      </c>
      <c r="J840">
        <v>9513</v>
      </c>
      <c r="K840">
        <v>1374052.15</v>
      </c>
      <c r="L840" s="1">
        <v>45240</v>
      </c>
      <c r="M840">
        <v>309</v>
      </c>
      <c r="N840" t="s">
        <v>1978</v>
      </c>
      <c r="O840" s="5">
        <v>45240</v>
      </c>
      <c r="P840" s="5">
        <v>43777</v>
      </c>
    </row>
    <row r="841" spans="1:16" x14ac:dyDescent="0.25">
      <c r="A841" t="s">
        <v>1979</v>
      </c>
      <c r="B841" t="str">
        <v>Harsha Engineers International Limited</v>
      </c>
      <c r="C841" t="s">
        <v>14</v>
      </c>
      <c r="D841">
        <v>384.1</v>
      </c>
      <c r="E841">
        <v>389.8</v>
      </c>
      <c r="F841">
        <v>384.1</v>
      </c>
      <c r="G841" s="3">
        <v>388.05</v>
      </c>
      <c r="H841">
        <v>389</v>
      </c>
      <c r="I841">
        <v>386.6</v>
      </c>
      <c r="J841">
        <v>62629</v>
      </c>
      <c r="K841">
        <v>24257830.350000001</v>
      </c>
      <c r="L841" s="1">
        <v>45240</v>
      </c>
      <c r="M841">
        <v>4369</v>
      </c>
      <c r="N841" t="s">
        <v>1981</v>
      </c>
      <c r="O841" s="5">
        <v>45240</v>
      </c>
      <c r="P841" s="5">
        <v>43777</v>
      </c>
    </row>
    <row r="842" spans="1:16" x14ac:dyDescent="0.25">
      <c r="A842" t="s">
        <v>1982</v>
      </c>
      <c r="B842" t="str">
        <v>Hathway Cable &amp; Datacom Limited</v>
      </c>
      <c r="C842" t="s">
        <v>14</v>
      </c>
      <c r="D842">
        <v>18.5</v>
      </c>
      <c r="E842">
        <v>19</v>
      </c>
      <c r="F842">
        <v>18.3</v>
      </c>
      <c r="G842" s="3">
        <v>18.95</v>
      </c>
      <c r="H842">
        <v>18.95</v>
      </c>
      <c r="I842">
        <v>18.649999999999999</v>
      </c>
      <c r="J842">
        <v>6275958</v>
      </c>
      <c r="K842">
        <v>117185994.2</v>
      </c>
      <c r="L842" s="1">
        <v>45240</v>
      </c>
      <c r="M842">
        <v>5489</v>
      </c>
      <c r="N842" t="s">
        <v>1984</v>
      </c>
      <c r="O842" s="5">
        <v>45240</v>
      </c>
      <c r="P842" s="5">
        <v>43777</v>
      </c>
    </row>
    <row r="843" spans="1:16" x14ac:dyDescent="0.25">
      <c r="A843" t="s">
        <v>1985</v>
      </c>
      <c r="B843" t="str">
        <v>Hatsun Agro Product Limited</v>
      </c>
      <c r="C843" t="s">
        <v>14</v>
      </c>
      <c r="D843">
        <v>1110.3</v>
      </c>
      <c r="E843">
        <v>1115.9000000000001</v>
      </c>
      <c r="F843">
        <v>1101.4000000000001</v>
      </c>
      <c r="G843" s="3">
        <v>1109.6500000000001</v>
      </c>
      <c r="H843">
        <v>1110</v>
      </c>
      <c r="I843">
        <v>1110.3</v>
      </c>
      <c r="J843">
        <v>6039</v>
      </c>
      <c r="K843">
        <v>6688923.9500000002</v>
      </c>
      <c r="L843" s="1">
        <v>45240</v>
      </c>
      <c r="M843">
        <v>1101</v>
      </c>
      <c r="N843" t="s">
        <v>1987</v>
      </c>
      <c r="O843" s="5">
        <v>45240</v>
      </c>
      <c r="P843" s="5">
        <v>43777</v>
      </c>
    </row>
    <row r="844" spans="1:16" x14ac:dyDescent="0.25">
      <c r="A844" t="s">
        <v>1988</v>
      </c>
      <c r="B844" t="str">
        <v>Havells India Limited</v>
      </c>
      <c r="C844" t="s">
        <v>14</v>
      </c>
      <c r="D844">
        <v>1255</v>
      </c>
      <c r="E844">
        <v>1262</v>
      </c>
      <c r="F844">
        <v>1244.3</v>
      </c>
      <c r="G844" s="3">
        <v>1257.4000000000001</v>
      </c>
      <c r="H844">
        <v>1256.6500000000001</v>
      </c>
      <c r="I844">
        <v>1253.1500000000001</v>
      </c>
      <c r="J844">
        <v>372182</v>
      </c>
      <c r="K844">
        <v>467167390.69999999</v>
      </c>
      <c r="L844" s="1">
        <v>45240</v>
      </c>
      <c r="M844">
        <v>19814</v>
      </c>
      <c r="N844" t="s">
        <v>1990</v>
      </c>
      <c r="O844" s="5">
        <v>45240</v>
      </c>
      <c r="P844" s="5">
        <v>43777</v>
      </c>
    </row>
    <row r="845" spans="1:16" x14ac:dyDescent="0.25">
      <c r="A845" t="s">
        <v>1991</v>
      </c>
      <c r="B845" t="str">
        <v>Sri Havisha Hospitality and Infrastructure Limited</v>
      </c>
      <c r="C845" t="s">
        <v>10</v>
      </c>
      <c r="D845">
        <v>1.75</v>
      </c>
      <c r="E845">
        <v>1.75</v>
      </c>
      <c r="F845">
        <v>1.7</v>
      </c>
      <c r="G845" s="3">
        <v>1.75</v>
      </c>
      <c r="H845">
        <v>1.75</v>
      </c>
      <c r="I845">
        <v>1.7</v>
      </c>
      <c r="J845">
        <v>34298</v>
      </c>
      <c r="K845">
        <v>59977.1</v>
      </c>
      <c r="L845" s="1">
        <v>45240</v>
      </c>
      <c r="M845">
        <v>70</v>
      </c>
      <c r="N845" t="s">
        <v>1993</v>
      </c>
      <c r="O845" s="5">
        <v>45240</v>
      </c>
      <c r="P845" s="5">
        <v>43777</v>
      </c>
    </row>
    <row r="846" spans="1:16" x14ac:dyDescent="0.25">
      <c r="A846" t="s">
        <v>1994</v>
      </c>
      <c r="B846" t="str">
        <v>HBL Power Systems Limited</v>
      </c>
      <c r="C846" t="s">
        <v>14</v>
      </c>
      <c r="D846">
        <v>304.85000000000002</v>
      </c>
      <c r="E846">
        <v>320.75</v>
      </c>
      <c r="F846">
        <v>303.85000000000002</v>
      </c>
      <c r="G846" s="3">
        <v>319.25</v>
      </c>
      <c r="H846">
        <v>319.39999999999998</v>
      </c>
      <c r="I846">
        <v>303.3</v>
      </c>
      <c r="J846">
        <v>3103955</v>
      </c>
      <c r="K846">
        <v>979946241.70000005</v>
      </c>
      <c r="L846" s="1">
        <v>45240</v>
      </c>
      <c r="M846">
        <v>36883</v>
      </c>
      <c r="N846" t="s">
        <v>1996</v>
      </c>
      <c r="O846" s="5">
        <v>45240</v>
      </c>
      <c r="P846" s="5">
        <v>43777</v>
      </c>
    </row>
    <row r="847" spans="1:16" x14ac:dyDescent="0.25">
      <c r="A847" t="s">
        <v>1997</v>
      </c>
      <c r="B847" t="str">
        <v>HB Stockholdings Limited</v>
      </c>
      <c r="C847" t="s">
        <v>14</v>
      </c>
      <c r="D847">
        <v>72</v>
      </c>
      <c r="E847">
        <v>73.55</v>
      </c>
      <c r="F847">
        <v>67.55</v>
      </c>
      <c r="G847" s="3">
        <v>70.2</v>
      </c>
      <c r="H847">
        <v>70.099999999999994</v>
      </c>
      <c r="I847">
        <v>72.2</v>
      </c>
      <c r="J847">
        <v>227204</v>
      </c>
      <c r="K847">
        <v>16133854.6</v>
      </c>
      <c r="L847" s="1">
        <v>45240</v>
      </c>
      <c r="M847">
        <v>5485</v>
      </c>
      <c r="N847" t="s">
        <v>1999</v>
      </c>
      <c r="O847" s="5">
        <v>45240</v>
      </c>
      <c r="P847" s="5">
        <v>43777</v>
      </c>
    </row>
    <row r="848" spans="1:16" x14ac:dyDescent="0.25">
      <c r="A848" t="s">
        <v>2000</v>
      </c>
      <c r="B848" t="str">
        <v>Hindustan Construction Company Limited</v>
      </c>
      <c r="C848" t="s">
        <v>14</v>
      </c>
      <c r="D848">
        <v>27.7</v>
      </c>
      <c r="E848">
        <v>29.2</v>
      </c>
      <c r="F848">
        <v>27.7</v>
      </c>
      <c r="G848" s="3">
        <v>28.05</v>
      </c>
      <c r="H848">
        <v>28.05</v>
      </c>
      <c r="I848">
        <v>29</v>
      </c>
      <c r="J848">
        <v>41761014</v>
      </c>
      <c r="K848">
        <v>1179894479.6500001</v>
      </c>
      <c r="L848" s="1">
        <v>45240</v>
      </c>
      <c r="M848">
        <v>24163</v>
      </c>
      <c r="N848" t="s">
        <v>2002</v>
      </c>
      <c r="O848" s="5">
        <v>45240</v>
      </c>
      <c r="P848" s="5">
        <v>43777</v>
      </c>
    </row>
    <row r="849" spans="1:16" x14ac:dyDescent="0.25">
      <c r="A849" t="s">
        <v>2003</v>
      </c>
      <c r="B849" t="str">
        <v>Healthcare Global Enterprises Limited</v>
      </c>
      <c r="C849" t="s">
        <v>14</v>
      </c>
      <c r="D849">
        <v>375.95</v>
      </c>
      <c r="E849">
        <v>389.35</v>
      </c>
      <c r="F849">
        <v>367.8</v>
      </c>
      <c r="G849" s="3">
        <v>376.15</v>
      </c>
      <c r="H849">
        <v>374.45</v>
      </c>
      <c r="I849">
        <v>373.1</v>
      </c>
      <c r="J849">
        <v>459024</v>
      </c>
      <c r="K849">
        <v>174534177.30000001</v>
      </c>
      <c r="L849" s="1">
        <v>45240</v>
      </c>
      <c r="M849">
        <v>20343</v>
      </c>
      <c r="N849" t="s">
        <v>2005</v>
      </c>
      <c r="O849" s="5">
        <v>45240</v>
      </c>
      <c r="P849" s="5">
        <v>43777</v>
      </c>
    </row>
    <row r="850" spans="1:16" x14ac:dyDescent="0.25">
      <c r="A850" t="s">
        <v>2006</v>
      </c>
      <c r="B850" t="str">
        <v>HCL Infosystems Limited</v>
      </c>
      <c r="C850" t="s">
        <v>14</v>
      </c>
      <c r="D850">
        <v>16.100000000000001</v>
      </c>
      <c r="E850">
        <v>16.2</v>
      </c>
      <c r="F850">
        <v>15.9</v>
      </c>
      <c r="G850" s="3">
        <v>15.95</v>
      </c>
      <c r="H850">
        <v>16.149999999999999</v>
      </c>
      <c r="I850">
        <v>16.05</v>
      </c>
      <c r="J850">
        <v>492336</v>
      </c>
      <c r="K850">
        <v>7895197.25</v>
      </c>
      <c r="L850" s="1">
        <v>45240</v>
      </c>
      <c r="M850">
        <v>1539</v>
      </c>
      <c r="N850" t="s">
        <v>2008</v>
      </c>
      <c r="O850" s="5">
        <v>45240</v>
      </c>
      <c r="P850" s="5">
        <v>43777</v>
      </c>
    </row>
    <row r="851" spans="1:16" x14ac:dyDescent="0.25">
      <c r="A851" t="s">
        <v>2009</v>
      </c>
      <c r="B851" t="str">
        <v>HCL Technologies Limited</v>
      </c>
      <c r="C851" t="s">
        <v>14</v>
      </c>
      <c r="D851">
        <v>1262.3</v>
      </c>
      <c r="E851">
        <v>1271</v>
      </c>
      <c r="F851">
        <v>1250.6500000000001</v>
      </c>
      <c r="G851" s="3">
        <v>1255.45</v>
      </c>
      <c r="H851">
        <v>1256</v>
      </c>
      <c r="I851">
        <v>1267.5</v>
      </c>
      <c r="J851">
        <v>1469902</v>
      </c>
      <c r="K851">
        <v>1847016185.9000001</v>
      </c>
      <c r="L851" s="1">
        <v>45240</v>
      </c>
      <c r="M851">
        <v>80555</v>
      </c>
      <c r="N851" t="s">
        <v>2011</v>
      </c>
      <c r="O851" s="5">
        <v>45240</v>
      </c>
      <c r="P851" s="5">
        <v>43777</v>
      </c>
    </row>
    <row r="852" spans="1:16" x14ac:dyDescent="0.25">
      <c r="A852" t="s">
        <v>2012</v>
      </c>
      <c r="B852" t="str">
        <v>HDFC Asset Management Company Limited</v>
      </c>
      <c r="C852" t="s">
        <v>14</v>
      </c>
      <c r="D852">
        <v>2758.15</v>
      </c>
      <c r="E852">
        <v>2787.95</v>
      </c>
      <c r="F852">
        <v>2741.05</v>
      </c>
      <c r="G852" s="3">
        <v>2769.85</v>
      </c>
      <c r="H852">
        <v>2780</v>
      </c>
      <c r="I852">
        <v>2762.5</v>
      </c>
      <c r="J852">
        <v>324625</v>
      </c>
      <c r="K852">
        <v>899250984.89999998</v>
      </c>
      <c r="L852" s="1">
        <v>45240</v>
      </c>
      <c r="M852">
        <v>24734</v>
      </c>
      <c r="N852" t="s">
        <v>2014</v>
      </c>
      <c r="O852" s="5">
        <v>45240</v>
      </c>
      <c r="P852" s="5">
        <v>43777</v>
      </c>
    </row>
    <row r="853" spans="1:16" x14ac:dyDescent="0.25">
      <c r="A853" t="s">
        <v>2015</v>
      </c>
      <c r="B853" t="str">
        <v>HDFC Bank Limited</v>
      </c>
      <c r="C853" t="s">
        <v>14</v>
      </c>
      <c r="D853">
        <v>1480.1</v>
      </c>
      <c r="E853">
        <v>1496</v>
      </c>
      <c r="F853">
        <v>1480.05</v>
      </c>
      <c r="G853" s="3">
        <v>1491.5</v>
      </c>
      <c r="H853">
        <v>1495</v>
      </c>
      <c r="I853">
        <v>1485.65</v>
      </c>
      <c r="J853">
        <v>7007593</v>
      </c>
      <c r="K853">
        <v>10417971067.75</v>
      </c>
      <c r="L853" s="1">
        <v>45240</v>
      </c>
      <c r="M853">
        <v>181055</v>
      </c>
      <c r="N853" t="s">
        <v>2017</v>
      </c>
      <c r="O853" s="5">
        <v>45240</v>
      </c>
      <c r="P853" s="5">
        <v>43777</v>
      </c>
    </row>
    <row r="854" spans="1:16" x14ac:dyDescent="0.25">
      <c r="A854" t="s">
        <v>6659</v>
      </c>
      <c r="B854" t="str">
        <v>Not Found</v>
      </c>
      <c r="C854" t="s">
        <v>14</v>
      </c>
      <c r="D854">
        <v>27.56</v>
      </c>
      <c r="E854">
        <v>27.77</v>
      </c>
      <c r="F854">
        <v>27.17</v>
      </c>
      <c r="G854" s="3">
        <v>27.65</v>
      </c>
      <c r="H854">
        <v>27.6</v>
      </c>
      <c r="I854">
        <v>27.43</v>
      </c>
      <c r="J854">
        <v>13711</v>
      </c>
      <c r="K854">
        <v>377562.8</v>
      </c>
      <c r="L854" s="1">
        <v>45240</v>
      </c>
      <c r="M854">
        <v>165</v>
      </c>
      <c r="N854" t="s">
        <v>6658</v>
      </c>
      <c r="O854" s="5">
        <v>45240</v>
      </c>
      <c r="P854" s="5">
        <v>43777</v>
      </c>
    </row>
    <row r="855" spans="1:16" x14ac:dyDescent="0.25">
      <c r="A855" t="s">
        <v>6657</v>
      </c>
      <c r="B855" t="str">
        <v>Not Found</v>
      </c>
      <c r="C855" t="s">
        <v>14</v>
      </c>
      <c r="D855">
        <v>52.87</v>
      </c>
      <c r="E855">
        <v>52.98</v>
      </c>
      <c r="F855">
        <v>52.61</v>
      </c>
      <c r="G855" s="3">
        <v>52.79</v>
      </c>
      <c r="H855">
        <v>52.8</v>
      </c>
      <c r="I855">
        <v>52.54</v>
      </c>
      <c r="J855">
        <v>895505</v>
      </c>
      <c r="K855">
        <v>47277356.479999997</v>
      </c>
      <c r="L855" s="1">
        <v>45240</v>
      </c>
      <c r="M855">
        <v>4424</v>
      </c>
      <c r="N855" t="s">
        <v>6656</v>
      </c>
      <c r="O855" s="5">
        <v>45240</v>
      </c>
      <c r="P855" s="5">
        <v>43777</v>
      </c>
    </row>
    <row r="856" spans="1:16" x14ac:dyDescent="0.25">
      <c r="A856" t="s">
        <v>6655</v>
      </c>
      <c r="B856" t="str">
        <v>Not Found</v>
      </c>
      <c r="C856" t="s">
        <v>14</v>
      </c>
      <c r="D856">
        <v>98.85</v>
      </c>
      <c r="E856">
        <v>98.99</v>
      </c>
      <c r="F856">
        <v>98.2</v>
      </c>
      <c r="G856" s="3">
        <v>98.91</v>
      </c>
      <c r="H856">
        <v>98.99</v>
      </c>
      <c r="I856">
        <v>98.85</v>
      </c>
      <c r="J856">
        <v>4205</v>
      </c>
      <c r="K856">
        <v>413749.05</v>
      </c>
      <c r="L856" s="1">
        <v>45240</v>
      </c>
      <c r="M856">
        <v>52</v>
      </c>
      <c r="N856" t="s">
        <v>6654</v>
      </c>
      <c r="O856" s="5">
        <v>45240</v>
      </c>
      <c r="P856" s="5">
        <v>43777</v>
      </c>
    </row>
    <row r="857" spans="1:16" x14ac:dyDescent="0.25">
      <c r="A857" t="s">
        <v>2018</v>
      </c>
      <c r="B857" t="str">
        <v>HDFC Life Insurance Company Limited</v>
      </c>
      <c r="C857" t="s">
        <v>14</v>
      </c>
      <c r="D857">
        <v>620.85</v>
      </c>
      <c r="E857">
        <v>631.5</v>
      </c>
      <c r="F857">
        <v>620.04999999999995</v>
      </c>
      <c r="G857" s="3">
        <v>626.75</v>
      </c>
      <c r="H857">
        <v>626.29999999999995</v>
      </c>
      <c r="I857">
        <v>621.35</v>
      </c>
      <c r="J857">
        <v>2449660</v>
      </c>
      <c r="K857">
        <v>1534496633.95</v>
      </c>
      <c r="L857" s="1">
        <v>45240</v>
      </c>
      <c r="M857">
        <v>67005</v>
      </c>
      <c r="N857" t="s">
        <v>2020</v>
      </c>
      <c r="O857" s="5">
        <v>45240</v>
      </c>
      <c r="P857" s="5">
        <v>43777</v>
      </c>
    </row>
    <row r="858" spans="1:16" x14ac:dyDescent="0.25">
      <c r="A858" t="s">
        <v>6653</v>
      </c>
      <c r="B858" t="str">
        <v>Not Found</v>
      </c>
      <c r="C858" t="s">
        <v>14</v>
      </c>
      <c r="D858">
        <v>1000</v>
      </c>
      <c r="E858">
        <v>1000.01</v>
      </c>
      <c r="F858">
        <v>999.99</v>
      </c>
      <c r="G858" s="3">
        <v>999.99</v>
      </c>
      <c r="H858">
        <v>999.99</v>
      </c>
      <c r="I858">
        <v>999.99</v>
      </c>
      <c r="J858">
        <v>1413</v>
      </c>
      <c r="K858">
        <v>1412997.77</v>
      </c>
      <c r="L858" s="1">
        <v>45240</v>
      </c>
      <c r="M858">
        <v>18</v>
      </c>
      <c r="N858" t="s">
        <v>6652</v>
      </c>
      <c r="O858" s="5">
        <v>45240</v>
      </c>
      <c r="P858" s="5">
        <v>43777</v>
      </c>
    </row>
    <row r="859" spans="1:16" x14ac:dyDescent="0.25">
      <c r="A859" t="s">
        <v>6651</v>
      </c>
      <c r="B859" t="str">
        <v>Not Found</v>
      </c>
      <c r="C859" t="s">
        <v>14</v>
      </c>
      <c r="D859">
        <v>15.4</v>
      </c>
      <c r="E859">
        <v>15.4</v>
      </c>
      <c r="F859">
        <v>15.18</v>
      </c>
      <c r="G859" s="3">
        <v>15.29</v>
      </c>
      <c r="H859">
        <v>15.3</v>
      </c>
      <c r="I859">
        <v>15.32</v>
      </c>
      <c r="J859">
        <v>9303</v>
      </c>
      <c r="K859">
        <v>141825.98000000001</v>
      </c>
      <c r="L859" s="1">
        <v>45240</v>
      </c>
      <c r="M859">
        <v>82</v>
      </c>
      <c r="N859" t="s">
        <v>6650</v>
      </c>
      <c r="O859" s="5">
        <v>45240</v>
      </c>
      <c r="P859" s="5">
        <v>43777</v>
      </c>
    </row>
    <row r="860" spans="1:16" x14ac:dyDescent="0.25">
      <c r="A860" t="s">
        <v>6649</v>
      </c>
      <c r="B860" t="str">
        <v>Not Found</v>
      </c>
      <c r="C860" t="s">
        <v>14</v>
      </c>
      <c r="D860">
        <v>15.4</v>
      </c>
      <c r="E860">
        <v>15.4</v>
      </c>
      <c r="F860">
        <v>15.1</v>
      </c>
      <c r="G860" s="3">
        <v>15.21</v>
      </c>
      <c r="H860">
        <v>15.25</v>
      </c>
      <c r="I860">
        <v>15.2</v>
      </c>
      <c r="J860">
        <v>63235</v>
      </c>
      <c r="K860">
        <v>960012.37</v>
      </c>
      <c r="L860" s="1">
        <v>45240</v>
      </c>
      <c r="M860">
        <v>451</v>
      </c>
      <c r="N860" t="s">
        <v>6648</v>
      </c>
      <c r="O860" s="5">
        <v>45240</v>
      </c>
      <c r="P860" s="5">
        <v>43777</v>
      </c>
    </row>
    <row r="861" spans="1:16" x14ac:dyDescent="0.25">
      <c r="A861" t="s">
        <v>6647</v>
      </c>
      <c r="B861" t="str">
        <v>Not Found</v>
      </c>
      <c r="C861" t="s">
        <v>14</v>
      </c>
      <c r="D861">
        <v>23.59</v>
      </c>
      <c r="E861">
        <v>23.6</v>
      </c>
      <c r="F861">
        <v>23.44</v>
      </c>
      <c r="G861" s="3">
        <v>23.58</v>
      </c>
      <c r="H861">
        <v>23.55</v>
      </c>
      <c r="I861">
        <v>23.49</v>
      </c>
      <c r="J861">
        <v>5690</v>
      </c>
      <c r="K861">
        <v>133949.78</v>
      </c>
      <c r="L861" s="1">
        <v>45240</v>
      </c>
      <c r="M861">
        <v>74</v>
      </c>
      <c r="N861" t="s">
        <v>6646</v>
      </c>
      <c r="O861" s="5">
        <v>45240</v>
      </c>
      <c r="P861" s="5">
        <v>43777</v>
      </c>
    </row>
    <row r="862" spans="1:16" x14ac:dyDescent="0.25">
      <c r="A862" t="s">
        <v>6645</v>
      </c>
      <c r="B862" t="str">
        <v>Not Found</v>
      </c>
      <c r="C862" t="s">
        <v>14</v>
      </c>
      <c r="D862">
        <v>45.84</v>
      </c>
      <c r="E862">
        <v>46.09</v>
      </c>
      <c r="F862">
        <v>45.6</v>
      </c>
      <c r="G862" s="3">
        <v>45.82</v>
      </c>
      <c r="H862">
        <v>46.09</v>
      </c>
      <c r="I862">
        <v>45.99</v>
      </c>
      <c r="J862">
        <v>2863</v>
      </c>
      <c r="K862">
        <v>131170.31</v>
      </c>
      <c r="L862" s="1">
        <v>45240</v>
      </c>
      <c r="M862">
        <v>49</v>
      </c>
      <c r="N862" t="s">
        <v>6644</v>
      </c>
      <c r="O862" s="5">
        <v>45240</v>
      </c>
      <c r="P862" s="5">
        <v>43777</v>
      </c>
    </row>
    <row r="863" spans="1:16" x14ac:dyDescent="0.25">
      <c r="A863" t="s">
        <v>6643</v>
      </c>
      <c r="B863" t="str">
        <v>Not Found</v>
      </c>
      <c r="C863" t="s">
        <v>14</v>
      </c>
      <c r="D863">
        <v>20.05</v>
      </c>
      <c r="E863">
        <v>20.05</v>
      </c>
      <c r="F863">
        <v>19.55</v>
      </c>
      <c r="G863" s="3">
        <v>19.71</v>
      </c>
      <c r="H863">
        <v>19.63</v>
      </c>
      <c r="I863">
        <v>19.61</v>
      </c>
      <c r="J863">
        <v>5355</v>
      </c>
      <c r="K863">
        <v>105216.5</v>
      </c>
      <c r="L863" s="1">
        <v>45240</v>
      </c>
      <c r="M863">
        <v>87</v>
      </c>
      <c r="N863" t="s">
        <v>6642</v>
      </c>
      <c r="O863" s="5">
        <v>45240</v>
      </c>
      <c r="P863" s="5">
        <v>43777</v>
      </c>
    </row>
    <row r="864" spans="1:16" x14ac:dyDescent="0.25">
      <c r="A864" t="s">
        <v>6641</v>
      </c>
      <c r="B864" t="str">
        <v>Not Found</v>
      </c>
      <c r="C864" t="s">
        <v>14</v>
      </c>
      <c r="D864">
        <v>434.15</v>
      </c>
      <c r="E864">
        <v>444.44</v>
      </c>
      <c r="F864">
        <v>434.15</v>
      </c>
      <c r="G864" s="3">
        <v>443.77</v>
      </c>
      <c r="H864">
        <v>444.44</v>
      </c>
      <c r="I864">
        <v>443.01</v>
      </c>
      <c r="J864">
        <v>1174</v>
      </c>
      <c r="K864">
        <v>519545.59999999998</v>
      </c>
      <c r="L864" s="1">
        <v>45240</v>
      </c>
      <c r="M864">
        <v>83</v>
      </c>
      <c r="N864" t="s">
        <v>6640</v>
      </c>
      <c r="O864" s="5">
        <v>45240</v>
      </c>
      <c r="P864" s="5">
        <v>43777</v>
      </c>
    </row>
    <row r="865" spans="1:16" x14ac:dyDescent="0.25">
      <c r="A865" t="s">
        <v>6639</v>
      </c>
      <c r="B865" t="str">
        <v>Not Found</v>
      </c>
      <c r="C865" t="s">
        <v>14</v>
      </c>
      <c r="D865">
        <v>311.77</v>
      </c>
      <c r="E865">
        <v>312.18</v>
      </c>
      <c r="F865">
        <v>310.42</v>
      </c>
      <c r="G865" s="3">
        <v>311.89</v>
      </c>
      <c r="H865">
        <v>312</v>
      </c>
      <c r="I865">
        <v>311.95</v>
      </c>
      <c r="J865">
        <v>3212</v>
      </c>
      <c r="K865">
        <v>998600.99</v>
      </c>
      <c r="L865" s="1">
        <v>45240</v>
      </c>
      <c r="M865">
        <v>65</v>
      </c>
      <c r="N865" t="s">
        <v>6638</v>
      </c>
      <c r="O865" s="5">
        <v>45240</v>
      </c>
      <c r="P865" s="5">
        <v>43777</v>
      </c>
    </row>
    <row r="866" spans="1:16" x14ac:dyDescent="0.25">
      <c r="A866" t="s">
        <v>6637</v>
      </c>
      <c r="B866" t="str">
        <v>Not Found</v>
      </c>
      <c r="C866" t="s">
        <v>14</v>
      </c>
      <c r="D866">
        <v>212.94</v>
      </c>
      <c r="E866">
        <v>213.29</v>
      </c>
      <c r="F866">
        <v>209.5</v>
      </c>
      <c r="G866" s="3">
        <v>212.88</v>
      </c>
      <c r="H866">
        <v>213.28</v>
      </c>
      <c r="I866">
        <v>212.53</v>
      </c>
      <c r="J866">
        <v>35925</v>
      </c>
      <c r="K866">
        <v>7616521.8600000003</v>
      </c>
      <c r="L866" s="1">
        <v>45240</v>
      </c>
      <c r="M866">
        <v>386</v>
      </c>
      <c r="N866" t="s">
        <v>6636</v>
      </c>
      <c r="O866" s="5">
        <v>45240</v>
      </c>
      <c r="P866" s="5">
        <v>43777</v>
      </c>
    </row>
    <row r="867" spans="1:16" x14ac:dyDescent="0.25">
      <c r="A867" t="s">
        <v>6635</v>
      </c>
      <c r="B867" t="str">
        <v>Not Found</v>
      </c>
      <c r="C867" t="s">
        <v>14</v>
      </c>
      <c r="D867">
        <v>228.74</v>
      </c>
      <c r="E867">
        <v>229.4</v>
      </c>
      <c r="F867">
        <v>228.67</v>
      </c>
      <c r="G867" s="3">
        <v>229.4</v>
      </c>
      <c r="H867">
        <v>229.4</v>
      </c>
      <c r="I867">
        <v>229.61</v>
      </c>
      <c r="J867">
        <v>249</v>
      </c>
      <c r="K867">
        <v>57045.5</v>
      </c>
      <c r="L867" s="1">
        <v>45240</v>
      </c>
      <c r="M867">
        <v>14</v>
      </c>
      <c r="N867" t="s">
        <v>6634</v>
      </c>
      <c r="O867" s="5">
        <v>45240</v>
      </c>
      <c r="P867" s="5">
        <v>43777</v>
      </c>
    </row>
    <row r="868" spans="1:16" x14ac:dyDescent="0.25">
      <c r="A868" t="s">
        <v>6633</v>
      </c>
      <c r="B868" t="str">
        <v>Not Found</v>
      </c>
      <c r="C868" t="s">
        <v>14</v>
      </c>
      <c r="D868">
        <v>44.58</v>
      </c>
      <c r="E868">
        <v>44.65</v>
      </c>
      <c r="F868">
        <v>44.34</v>
      </c>
      <c r="G868" s="3">
        <v>44.54</v>
      </c>
      <c r="H868">
        <v>44.55</v>
      </c>
      <c r="I868">
        <v>44.69</v>
      </c>
      <c r="J868">
        <v>570</v>
      </c>
      <c r="K868">
        <v>25404.69</v>
      </c>
      <c r="L868" s="1">
        <v>45240</v>
      </c>
      <c r="M868">
        <v>52</v>
      </c>
      <c r="N868" t="s">
        <v>6632</v>
      </c>
      <c r="O868" s="5">
        <v>45240</v>
      </c>
      <c r="P868" s="5">
        <v>43777</v>
      </c>
    </row>
    <row r="869" spans="1:16" x14ac:dyDescent="0.25">
      <c r="A869" t="s">
        <v>6631</v>
      </c>
      <c r="B869" t="str">
        <v>Not Found</v>
      </c>
      <c r="C869" t="s">
        <v>14</v>
      </c>
      <c r="D869">
        <v>713.26</v>
      </c>
      <c r="E869">
        <v>716.45</v>
      </c>
      <c r="F869">
        <v>710.53</v>
      </c>
      <c r="G869" s="3">
        <v>716.25</v>
      </c>
      <c r="H869">
        <v>716.45</v>
      </c>
      <c r="I869">
        <v>715.3</v>
      </c>
      <c r="J869">
        <v>613</v>
      </c>
      <c r="K869">
        <v>437502.31</v>
      </c>
      <c r="L869" s="1">
        <v>45240</v>
      </c>
      <c r="M869">
        <v>94</v>
      </c>
      <c r="N869" t="s">
        <v>6630</v>
      </c>
      <c r="O869" s="5">
        <v>45240</v>
      </c>
      <c r="P869" s="5">
        <v>43777</v>
      </c>
    </row>
    <row r="870" spans="1:16" x14ac:dyDescent="0.25">
      <c r="A870" t="s">
        <v>6629</v>
      </c>
      <c r="B870" t="str">
        <v>Not Found</v>
      </c>
      <c r="C870" t="s">
        <v>14</v>
      </c>
      <c r="D870">
        <v>71.349999999999994</v>
      </c>
      <c r="E870">
        <v>71.349999999999994</v>
      </c>
      <c r="F870">
        <v>69.5</v>
      </c>
      <c r="G870" s="3">
        <v>69.790000000000006</v>
      </c>
      <c r="H870">
        <v>69.69</v>
      </c>
      <c r="I870">
        <v>69.290000000000006</v>
      </c>
      <c r="J870">
        <v>152515</v>
      </c>
      <c r="K870">
        <v>10651117.92</v>
      </c>
      <c r="L870" s="1">
        <v>45240</v>
      </c>
      <c r="M870">
        <v>910</v>
      </c>
      <c r="N870" t="s">
        <v>6628</v>
      </c>
      <c r="O870" s="5">
        <v>45240</v>
      </c>
      <c r="P870" s="5">
        <v>43777</v>
      </c>
    </row>
    <row r="871" spans="1:16" x14ac:dyDescent="0.25">
      <c r="A871" t="s">
        <v>6627</v>
      </c>
      <c r="B871" t="str">
        <v>Not Found</v>
      </c>
      <c r="C871" t="s">
        <v>14</v>
      </c>
      <c r="D871">
        <v>125</v>
      </c>
      <c r="E871">
        <v>127</v>
      </c>
      <c r="F871">
        <v>124.94</v>
      </c>
      <c r="G871" s="3">
        <v>125.97</v>
      </c>
      <c r="H871">
        <v>126.19</v>
      </c>
      <c r="I871">
        <v>125.48</v>
      </c>
      <c r="J871">
        <v>190419</v>
      </c>
      <c r="K871">
        <v>23951886.390000001</v>
      </c>
      <c r="L871" s="1">
        <v>45240</v>
      </c>
      <c r="M871">
        <v>1133</v>
      </c>
      <c r="N871" t="s">
        <v>6626</v>
      </c>
      <c r="O871" s="5">
        <v>45240</v>
      </c>
      <c r="P871" s="5">
        <v>43777</v>
      </c>
    </row>
    <row r="872" spans="1:16" x14ac:dyDescent="0.25">
      <c r="A872" t="s">
        <v>6625</v>
      </c>
      <c r="B872" t="str">
        <v>Not Found</v>
      </c>
      <c r="C872" t="s">
        <v>14</v>
      </c>
      <c r="D872">
        <v>103.96</v>
      </c>
      <c r="E872">
        <v>104.27</v>
      </c>
      <c r="F872">
        <v>103.55</v>
      </c>
      <c r="G872" s="3">
        <v>103.61</v>
      </c>
      <c r="H872">
        <v>104.27</v>
      </c>
      <c r="I872">
        <v>104.27</v>
      </c>
      <c r="J872">
        <v>26850</v>
      </c>
      <c r="K872">
        <v>2792288.35</v>
      </c>
      <c r="L872" s="1">
        <v>45240</v>
      </c>
      <c r="M872">
        <v>51</v>
      </c>
      <c r="N872" t="s">
        <v>6624</v>
      </c>
      <c r="O872" s="5">
        <v>45240</v>
      </c>
      <c r="P872" s="5">
        <v>43777</v>
      </c>
    </row>
    <row r="873" spans="1:16" x14ac:dyDescent="0.25">
      <c r="A873" t="s">
        <v>2021</v>
      </c>
      <c r="B873" t="str">
        <v>Heads UP Ventures Limited</v>
      </c>
      <c r="C873" t="s">
        <v>14</v>
      </c>
      <c r="D873">
        <v>11.9</v>
      </c>
      <c r="E873">
        <v>11.95</v>
      </c>
      <c r="F873">
        <v>11.8</v>
      </c>
      <c r="G873" s="3">
        <v>11.85</v>
      </c>
      <c r="H873">
        <v>11.9</v>
      </c>
      <c r="I873">
        <v>11.8</v>
      </c>
      <c r="J873">
        <v>23021</v>
      </c>
      <c r="K873">
        <v>273030.84999999998</v>
      </c>
      <c r="L873" s="1">
        <v>45240</v>
      </c>
      <c r="M873">
        <v>109</v>
      </c>
      <c r="N873" t="s">
        <v>2023</v>
      </c>
      <c r="O873" s="5">
        <v>45240</v>
      </c>
      <c r="P873" s="5">
        <v>43777</v>
      </c>
    </row>
    <row r="874" spans="1:16" x14ac:dyDescent="0.25">
      <c r="A874" t="s">
        <v>6623</v>
      </c>
      <c r="B874" t="str">
        <v>Not Found</v>
      </c>
      <c r="C874" t="s">
        <v>14</v>
      </c>
      <c r="D874">
        <v>9.94</v>
      </c>
      <c r="E874">
        <v>9.98</v>
      </c>
      <c r="F874">
        <v>9.7100000000000009</v>
      </c>
      <c r="G874" s="3">
        <v>9.94</v>
      </c>
      <c r="H874">
        <v>9.9600000000000009</v>
      </c>
      <c r="I874">
        <v>9.92</v>
      </c>
      <c r="J874">
        <v>115790</v>
      </c>
      <c r="K874">
        <v>1148939.4099999999</v>
      </c>
      <c r="L874" s="1">
        <v>45240</v>
      </c>
      <c r="M874">
        <v>535</v>
      </c>
      <c r="N874" t="s">
        <v>6622</v>
      </c>
      <c r="O874" s="5">
        <v>45240</v>
      </c>
      <c r="P874" s="5">
        <v>43777</v>
      </c>
    </row>
    <row r="875" spans="1:16" x14ac:dyDescent="0.25">
      <c r="A875" t="s">
        <v>2024</v>
      </c>
      <c r="B875" t="str">
        <v>HEC Infra Projects Limited</v>
      </c>
      <c r="C875" t="s">
        <v>14</v>
      </c>
      <c r="D875">
        <v>47.6</v>
      </c>
      <c r="E875">
        <v>49.45</v>
      </c>
      <c r="F875">
        <v>47.05</v>
      </c>
      <c r="G875" s="3">
        <v>48.8</v>
      </c>
      <c r="H875">
        <v>49</v>
      </c>
      <c r="I875">
        <v>48.25</v>
      </c>
      <c r="J875">
        <v>2854</v>
      </c>
      <c r="K875">
        <v>137194.04999999999</v>
      </c>
      <c r="L875" s="1">
        <v>45240</v>
      </c>
      <c r="M875">
        <v>69</v>
      </c>
      <c r="N875" t="s">
        <v>2026</v>
      </c>
      <c r="O875" s="5">
        <v>45240</v>
      </c>
      <c r="P875" s="5">
        <v>43777</v>
      </c>
    </row>
    <row r="876" spans="1:16" x14ac:dyDescent="0.25">
      <c r="A876" t="s">
        <v>2027</v>
      </c>
      <c r="B876" t="str">
        <v>HEG Limited</v>
      </c>
      <c r="C876" t="s">
        <v>14</v>
      </c>
      <c r="D876">
        <v>1593.7</v>
      </c>
      <c r="E876">
        <v>1616</v>
      </c>
      <c r="F876">
        <v>1560.6</v>
      </c>
      <c r="G876" s="3">
        <v>1566.75</v>
      </c>
      <c r="H876">
        <v>1570</v>
      </c>
      <c r="I876">
        <v>1595.45</v>
      </c>
      <c r="J876">
        <v>218657</v>
      </c>
      <c r="K876">
        <v>346600091.75</v>
      </c>
      <c r="L876" s="1">
        <v>45240</v>
      </c>
      <c r="M876">
        <v>15062</v>
      </c>
      <c r="N876" t="s">
        <v>2029</v>
      </c>
      <c r="O876" s="5">
        <v>45240</v>
      </c>
      <c r="P876" s="5">
        <v>43777</v>
      </c>
    </row>
    <row r="877" spans="1:16" x14ac:dyDescent="0.25">
      <c r="A877" t="s">
        <v>2030</v>
      </c>
      <c r="B877" t="str">
        <v>HeidelbergCement India Limited</v>
      </c>
      <c r="C877" t="s">
        <v>14</v>
      </c>
      <c r="D877">
        <v>188</v>
      </c>
      <c r="E877">
        <v>189</v>
      </c>
      <c r="F877">
        <v>186.7</v>
      </c>
      <c r="G877" s="3">
        <v>187.95</v>
      </c>
      <c r="H877">
        <v>188</v>
      </c>
      <c r="I877">
        <v>188.1</v>
      </c>
      <c r="J877">
        <v>171716</v>
      </c>
      <c r="K877">
        <v>32273067.350000001</v>
      </c>
      <c r="L877" s="1">
        <v>45240</v>
      </c>
      <c r="M877">
        <v>3870</v>
      </c>
      <c r="N877" t="s">
        <v>2032</v>
      </c>
      <c r="O877" s="5">
        <v>45240</v>
      </c>
      <c r="P877" s="5">
        <v>43777</v>
      </c>
    </row>
    <row r="878" spans="1:16" x14ac:dyDescent="0.25">
      <c r="A878" t="s">
        <v>2033</v>
      </c>
      <c r="B878" t="str">
        <v>Hemisphere Properties India Limited</v>
      </c>
      <c r="C878" t="s">
        <v>14</v>
      </c>
      <c r="D878">
        <v>141.94999999999999</v>
      </c>
      <c r="E878">
        <v>141.94999999999999</v>
      </c>
      <c r="F878">
        <v>136.4</v>
      </c>
      <c r="G878" s="3">
        <v>137.25</v>
      </c>
      <c r="H878">
        <v>137.6</v>
      </c>
      <c r="I878">
        <v>142.25</v>
      </c>
      <c r="J878">
        <v>1669491</v>
      </c>
      <c r="K878">
        <v>231674879.30000001</v>
      </c>
      <c r="L878" s="1">
        <v>45240</v>
      </c>
      <c r="M878">
        <v>10885</v>
      </c>
      <c r="N878" t="s">
        <v>2035</v>
      </c>
      <c r="O878" s="5">
        <v>45240</v>
      </c>
      <c r="P878" s="5">
        <v>43777</v>
      </c>
    </row>
    <row r="879" spans="1:16" x14ac:dyDescent="0.25">
      <c r="A879" t="s">
        <v>2036</v>
      </c>
      <c r="B879" t="str">
        <v>Heranba Industries Limited</v>
      </c>
      <c r="C879" t="s">
        <v>14</v>
      </c>
      <c r="D879">
        <v>355.9</v>
      </c>
      <c r="E879">
        <v>359.2</v>
      </c>
      <c r="F879">
        <v>352.05</v>
      </c>
      <c r="G879" s="3">
        <v>354.45</v>
      </c>
      <c r="H879">
        <v>355</v>
      </c>
      <c r="I879">
        <v>355.2</v>
      </c>
      <c r="J879">
        <v>29862</v>
      </c>
      <c r="K879">
        <v>10619456.4</v>
      </c>
      <c r="L879" s="1">
        <v>45240</v>
      </c>
      <c r="M879">
        <v>2652</v>
      </c>
      <c r="N879" t="s">
        <v>2038</v>
      </c>
      <c r="O879" s="5">
        <v>45240</v>
      </c>
      <c r="P879" s="5">
        <v>43777</v>
      </c>
    </row>
    <row r="880" spans="1:16" x14ac:dyDescent="0.25">
      <c r="A880" t="s">
        <v>2039</v>
      </c>
      <c r="B880" t="str">
        <v>Hercules Hoists Limited</v>
      </c>
      <c r="C880" t="s">
        <v>14</v>
      </c>
      <c r="D880">
        <v>315.60000000000002</v>
      </c>
      <c r="E880">
        <v>324.2</v>
      </c>
      <c r="F880">
        <v>312.75</v>
      </c>
      <c r="G880" s="3">
        <v>316.35000000000002</v>
      </c>
      <c r="H880">
        <v>316.64999999999998</v>
      </c>
      <c r="I880">
        <v>314.60000000000002</v>
      </c>
      <c r="J880">
        <v>26513</v>
      </c>
      <c r="K880">
        <v>8369819.75</v>
      </c>
      <c r="L880" s="1">
        <v>45240</v>
      </c>
      <c r="M880">
        <v>2210</v>
      </c>
      <c r="N880" t="s">
        <v>2041</v>
      </c>
      <c r="O880" s="5">
        <v>45240</v>
      </c>
      <c r="P880" s="5">
        <v>43777</v>
      </c>
    </row>
    <row r="881" spans="1:16" x14ac:dyDescent="0.25">
      <c r="A881" t="s">
        <v>2042</v>
      </c>
      <c r="B881" t="str">
        <v>Heritage Foods Limited</v>
      </c>
      <c r="C881" t="s">
        <v>14</v>
      </c>
      <c r="D881">
        <v>224.05</v>
      </c>
      <c r="E881">
        <v>231.1</v>
      </c>
      <c r="F881">
        <v>224.05</v>
      </c>
      <c r="G881" s="3">
        <v>228.95</v>
      </c>
      <c r="H881">
        <v>228.6</v>
      </c>
      <c r="I881">
        <v>227.1</v>
      </c>
      <c r="J881">
        <v>178099</v>
      </c>
      <c r="K881">
        <v>40603381.399999999</v>
      </c>
      <c r="L881" s="1">
        <v>45240</v>
      </c>
      <c r="M881">
        <v>5303</v>
      </c>
      <c r="N881" t="s">
        <v>2044</v>
      </c>
      <c r="O881" s="5">
        <v>45240</v>
      </c>
      <c r="P881" s="5">
        <v>43777</v>
      </c>
    </row>
    <row r="882" spans="1:16" x14ac:dyDescent="0.25">
      <c r="A882" t="s">
        <v>2045</v>
      </c>
      <c r="B882" t="str">
        <v>Hero MotoCorp Limited</v>
      </c>
      <c r="C882" t="s">
        <v>14</v>
      </c>
      <c r="D882">
        <v>3173.85</v>
      </c>
      <c r="E882">
        <v>3179.05</v>
      </c>
      <c r="F882">
        <v>3095.15</v>
      </c>
      <c r="G882" s="3">
        <v>3105.2</v>
      </c>
      <c r="H882">
        <v>3108</v>
      </c>
      <c r="I882">
        <v>3173.9</v>
      </c>
      <c r="J882">
        <v>820659</v>
      </c>
      <c r="K882">
        <v>2558044651.25</v>
      </c>
      <c r="L882" s="1">
        <v>45240</v>
      </c>
      <c r="M882">
        <v>51270</v>
      </c>
      <c r="N882" t="s">
        <v>2047</v>
      </c>
      <c r="O882" s="5">
        <v>45240</v>
      </c>
      <c r="P882" s="5">
        <v>43777</v>
      </c>
    </row>
    <row r="883" spans="1:16" x14ac:dyDescent="0.25">
      <c r="A883" t="s">
        <v>2048</v>
      </c>
      <c r="B883" t="str">
        <v>Hester Biosciences Limited</v>
      </c>
      <c r="C883" t="s">
        <v>14</v>
      </c>
      <c r="D883">
        <v>1595.75</v>
      </c>
      <c r="E883">
        <v>1610</v>
      </c>
      <c r="F883">
        <v>1590.75</v>
      </c>
      <c r="G883" s="3">
        <v>1597.05</v>
      </c>
      <c r="H883">
        <v>1596</v>
      </c>
      <c r="I883">
        <v>1590.75</v>
      </c>
      <c r="J883">
        <v>1496</v>
      </c>
      <c r="K883">
        <v>2395797.4</v>
      </c>
      <c r="L883" s="1">
        <v>45240</v>
      </c>
      <c r="M883">
        <v>338</v>
      </c>
      <c r="N883" t="s">
        <v>2050</v>
      </c>
      <c r="O883" s="5">
        <v>45240</v>
      </c>
      <c r="P883" s="5">
        <v>43777</v>
      </c>
    </row>
    <row r="884" spans="1:16" x14ac:dyDescent="0.25">
      <c r="A884" t="s">
        <v>2051</v>
      </c>
      <c r="B884" t="str">
        <v>Heubach Colorants India Limited</v>
      </c>
      <c r="C884" t="s">
        <v>14</v>
      </c>
      <c r="D884">
        <v>478</v>
      </c>
      <c r="E884">
        <v>484</v>
      </c>
      <c r="F884">
        <v>472.2</v>
      </c>
      <c r="G884" s="3">
        <v>482.45</v>
      </c>
      <c r="H884">
        <v>483</v>
      </c>
      <c r="I884">
        <v>476</v>
      </c>
      <c r="J884">
        <v>42550</v>
      </c>
      <c r="K884">
        <v>20408075.399999999</v>
      </c>
      <c r="L884" s="1">
        <v>45240</v>
      </c>
      <c r="M884">
        <v>3211</v>
      </c>
      <c r="N884" t="s">
        <v>2053</v>
      </c>
      <c r="O884" s="5">
        <v>45240</v>
      </c>
      <c r="P884" s="5">
        <v>43777</v>
      </c>
    </row>
    <row r="885" spans="1:16" x14ac:dyDescent="0.25">
      <c r="A885" t="s">
        <v>2054</v>
      </c>
      <c r="B885" t="str">
        <v>Hexa Tradex Limited</v>
      </c>
      <c r="C885" t="s">
        <v>14</v>
      </c>
      <c r="D885">
        <v>146.85</v>
      </c>
      <c r="E885">
        <v>148.5</v>
      </c>
      <c r="F885">
        <v>145.69999999999999</v>
      </c>
      <c r="G885" s="3">
        <v>146.05000000000001</v>
      </c>
      <c r="H885">
        <v>147.30000000000001</v>
      </c>
      <c r="I885">
        <v>146.44999999999999</v>
      </c>
      <c r="J885">
        <v>2060</v>
      </c>
      <c r="K885">
        <v>302415.15000000002</v>
      </c>
      <c r="L885" s="1">
        <v>45240</v>
      </c>
      <c r="M885">
        <v>76</v>
      </c>
      <c r="N885" t="s">
        <v>2056</v>
      </c>
      <c r="O885" s="5">
        <v>45240</v>
      </c>
      <c r="P885" s="5">
        <v>43777</v>
      </c>
    </row>
    <row r="886" spans="1:16" x14ac:dyDescent="0.25">
      <c r="A886" t="s">
        <v>2057</v>
      </c>
      <c r="B886" t="str">
        <v>HFCL Limited</v>
      </c>
      <c r="C886" t="s">
        <v>14</v>
      </c>
      <c r="D886">
        <v>65.400000000000006</v>
      </c>
      <c r="E886">
        <v>66.25</v>
      </c>
      <c r="F886">
        <v>65.05</v>
      </c>
      <c r="G886" s="3">
        <v>65.7</v>
      </c>
      <c r="H886">
        <v>65.7</v>
      </c>
      <c r="I886">
        <v>65.55</v>
      </c>
      <c r="J886">
        <v>2682583</v>
      </c>
      <c r="K886">
        <v>175497203.34999999</v>
      </c>
      <c r="L886" s="1">
        <v>45240</v>
      </c>
      <c r="M886">
        <v>8742</v>
      </c>
      <c r="N886" t="s">
        <v>2059</v>
      </c>
      <c r="O886" s="5">
        <v>45240</v>
      </c>
      <c r="P886" s="5">
        <v>43777</v>
      </c>
    </row>
    <row r="887" spans="1:16" x14ac:dyDescent="0.25">
      <c r="A887" t="s">
        <v>2060</v>
      </c>
      <c r="B887" t="str">
        <v>H.G. Infra Engineering Limited</v>
      </c>
      <c r="C887" t="s">
        <v>14</v>
      </c>
      <c r="D887">
        <v>870</v>
      </c>
      <c r="E887">
        <v>876.6</v>
      </c>
      <c r="F887">
        <v>860.35</v>
      </c>
      <c r="G887" s="3">
        <v>865.1</v>
      </c>
      <c r="H887">
        <v>869.95</v>
      </c>
      <c r="I887">
        <v>869.65</v>
      </c>
      <c r="J887">
        <v>54558</v>
      </c>
      <c r="K887">
        <v>47384411.25</v>
      </c>
      <c r="L887" s="1">
        <v>45240</v>
      </c>
      <c r="M887">
        <v>5975</v>
      </c>
      <c r="N887" t="s">
        <v>2062</v>
      </c>
      <c r="O887" s="5">
        <v>45240</v>
      </c>
      <c r="P887" s="5">
        <v>43777</v>
      </c>
    </row>
    <row r="888" spans="1:16" x14ac:dyDescent="0.25">
      <c r="A888" t="s">
        <v>2063</v>
      </c>
      <c r="B888" t="str">
        <v>Hinduja Global Solutions Limited</v>
      </c>
      <c r="C888" t="s">
        <v>14</v>
      </c>
      <c r="D888">
        <v>950.35</v>
      </c>
      <c r="E888">
        <v>951.05</v>
      </c>
      <c r="F888">
        <v>931</v>
      </c>
      <c r="G888" s="3">
        <v>934.6</v>
      </c>
      <c r="H888">
        <v>938</v>
      </c>
      <c r="I888">
        <v>957.65</v>
      </c>
      <c r="J888">
        <v>36017</v>
      </c>
      <c r="K888">
        <v>33721082.899999999</v>
      </c>
      <c r="L888" s="1">
        <v>45240</v>
      </c>
      <c r="M888">
        <v>4057</v>
      </c>
      <c r="N888" t="s">
        <v>2065</v>
      </c>
      <c r="O888" s="5">
        <v>45240</v>
      </c>
      <c r="P888" s="5">
        <v>43777</v>
      </c>
    </row>
    <row r="889" spans="1:16" x14ac:dyDescent="0.25">
      <c r="A889" t="s">
        <v>6621</v>
      </c>
      <c r="B889" t="str">
        <v>Not Found</v>
      </c>
      <c r="C889" t="s">
        <v>5788</v>
      </c>
      <c r="D889">
        <v>136.94999999999999</v>
      </c>
      <c r="E889">
        <v>139.4</v>
      </c>
      <c r="F889">
        <v>134.5</v>
      </c>
      <c r="G889" s="3">
        <v>134.94999999999999</v>
      </c>
      <c r="H889">
        <v>134.55000000000001</v>
      </c>
      <c r="I889">
        <v>136</v>
      </c>
      <c r="J889">
        <v>54400</v>
      </c>
      <c r="K889">
        <v>7418880</v>
      </c>
      <c r="L889" s="1">
        <v>45240</v>
      </c>
      <c r="M889">
        <v>34</v>
      </c>
      <c r="N889" t="s">
        <v>6620</v>
      </c>
      <c r="O889" s="5">
        <v>45240</v>
      </c>
      <c r="P889" s="5">
        <v>43777</v>
      </c>
    </row>
    <row r="890" spans="1:16" x14ac:dyDescent="0.25">
      <c r="A890" t="s">
        <v>2066</v>
      </c>
      <c r="B890" t="str">
        <v>Hikal Limited</v>
      </c>
      <c r="C890" t="s">
        <v>14</v>
      </c>
      <c r="D890">
        <v>273.55</v>
      </c>
      <c r="E890">
        <v>278.10000000000002</v>
      </c>
      <c r="F890">
        <v>271.75</v>
      </c>
      <c r="G890" s="3">
        <v>276.39999999999998</v>
      </c>
      <c r="H890">
        <v>275.35000000000002</v>
      </c>
      <c r="I890">
        <v>273.75</v>
      </c>
      <c r="J890">
        <v>76789</v>
      </c>
      <c r="K890">
        <v>21106642.449999999</v>
      </c>
      <c r="L890" s="1">
        <v>45240</v>
      </c>
      <c r="M890">
        <v>2891</v>
      </c>
      <c r="N890" t="s">
        <v>2068</v>
      </c>
      <c r="O890" s="5">
        <v>45240</v>
      </c>
      <c r="P890" s="5">
        <v>43777</v>
      </c>
    </row>
    <row r="891" spans="1:16" x14ac:dyDescent="0.25">
      <c r="A891" t="s">
        <v>2069</v>
      </c>
      <c r="B891" t="str">
        <v>HIL Limited</v>
      </c>
      <c r="C891" t="s">
        <v>14</v>
      </c>
      <c r="D891">
        <v>2560.85</v>
      </c>
      <c r="E891">
        <v>2587</v>
      </c>
      <c r="F891">
        <v>2545.75</v>
      </c>
      <c r="G891" s="3">
        <v>2575.9</v>
      </c>
      <c r="H891">
        <v>2587</v>
      </c>
      <c r="I891">
        <v>2542.75</v>
      </c>
      <c r="J891">
        <v>5221</v>
      </c>
      <c r="K891">
        <v>13399638.75</v>
      </c>
      <c r="L891" s="1">
        <v>45240</v>
      </c>
      <c r="M891">
        <v>1475</v>
      </c>
      <c r="N891" t="s">
        <v>2071</v>
      </c>
      <c r="O891" s="5">
        <v>45240</v>
      </c>
      <c r="P891" s="5">
        <v>43777</v>
      </c>
    </row>
    <row r="892" spans="1:16" x14ac:dyDescent="0.25">
      <c r="A892" t="s">
        <v>2072</v>
      </c>
      <c r="B892" t="str">
        <v>Hilton Metal Forging Limited</v>
      </c>
      <c r="C892" t="s">
        <v>14</v>
      </c>
      <c r="D892">
        <v>146.6</v>
      </c>
      <c r="E892">
        <v>148</v>
      </c>
      <c r="F892">
        <v>141</v>
      </c>
      <c r="G892" s="3">
        <v>147.44999999999999</v>
      </c>
      <c r="H892">
        <v>147.69999999999999</v>
      </c>
      <c r="I892">
        <v>142.1</v>
      </c>
      <c r="J892">
        <v>123117</v>
      </c>
      <c r="K892">
        <v>17983703.399999999</v>
      </c>
      <c r="L892" s="1">
        <v>45240</v>
      </c>
      <c r="M892">
        <v>824</v>
      </c>
      <c r="N892" t="s">
        <v>2074</v>
      </c>
      <c r="O892" s="5">
        <v>45240</v>
      </c>
      <c r="P892" s="5">
        <v>43777</v>
      </c>
    </row>
    <row r="893" spans="1:16" x14ac:dyDescent="0.25">
      <c r="A893" t="s">
        <v>2075</v>
      </c>
      <c r="B893" t="str">
        <v>Himatsingka Seide Limited</v>
      </c>
      <c r="C893" t="s">
        <v>14</v>
      </c>
      <c r="D893">
        <v>146.4</v>
      </c>
      <c r="E893">
        <v>149.30000000000001</v>
      </c>
      <c r="F893">
        <v>145.9</v>
      </c>
      <c r="G893" s="3">
        <v>147.5</v>
      </c>
      <c r="H893">
        <v>146.9</v>
      </c>
      <c r="I893">
        <v>146.30000000000001</v>
      </c>
      <c r="J893">
        <v>648967</v>
      </c>
      <c r="K893">
        <v>95978759.150000006</v>
      </c>
      <c r="L893" s="1">
        <v>45240</v>
      </c>
      <c r="M893">
        <v>7210</v>
      </c>
      <c r="N893" t="s">
        <v>2077</v>
      </c>
      <c r="O893" s="5">
        <v>45240</v>
      </c>
      <c r="P893" s="5">
        <v>43777</v>
      </c>
    </row>
    <row r="894" spans="1:16" x14ac:dyDescent="0.25">
      <c r="A894" t="s">
        <v>2078</v>
      </c>
      <c r="B894" t="str">
        <v>Hindalco Industries Limited</v>
      </c>
      <c r="C894" t="s">
        <v>14</v>
      </c>
      <c r="D894">
        <v>482.05</v>
      </c>
      <c r="E894">
        <v>488.25</v>
      </c>
      <c r="F894">
        <v>479.55</v>
      </c>
      <c r="G894" s="3">
        <v>481.3</v>
      </c>
      <c r="H894">
        <v>481</v>
      </c>
      <c r="I894">
        <v>484.45</v>
      </c>
      <c r="J894">
        <v>3498064</v>
      </c>
      <c r="K894">
        <v>1691546706.45</v>
      </c>
      <c r="L894" s="1">
        <v>45240</v>
      </c>
      <c r="M894">
        <v>47824</v>
      </c>
      <c r="N894" t="s">
        <v>2080</v>
      </c>
      <c r="O894" s="5">
        <v>45240</v>
      </c>
      <c r="P894" s="5">
        <v>43777</v>
      </c>
    </row>
    <row r="895" spans="1:16" x14ac:dyDescent="0.25">
      <c r="A895" t="s">
        <v>2081</v>
      </c>
      <c r="B895" t="str">
        <v>Hindustan Composites Limited</v>
      </c>
      <c r="C895" t="s">
        <v>14</v>
      </c>
      <c r="D895">
        <v>415</v>
      </c>
      <c r="E895">
        <v>417.75</v>
      </c>
      <c r="F895">
        <v>404.1</v>
      </c>
      <c r="G895" s="3">
        <v>406.95</v>
      </c>
      <c r="H895">
        <v>405.55</v>
      </c>
      <c r="I895">
        <v>414.55</v>
      </c>
      <c r="J895">
        <v>9434</v>
      </c>
      <c r="K895">
        <v>3850640.9</v>
      </c>
      <c r="L895" s="1">
        <v>45240</v>
      </c>
      <c r="M895">
        <v>891</v>
      </c>
      <c r="N895" t="s">
        <v>2083</v>
      </c>
      <c r="O895" s="5">
        <v>45240</v>
      </c>
      <c r="P895" s="5">
        <v>43777</v>
      </c>
    </row>
    <row r="896" spans="1:16" x14ac:dyDescent="0.25">
      <c r="A896" t="s">
        <v>2084</v>
      </c>
      <c r="B896" t="str">
        <v>Hindcon Chemicals Limited</v>
      </c>
      <c r="C896" t="s">
        <v>10</v>
      </c>
      <c r="D896">
        <v>29.9</v>
      </c>
      <c r="E896">
        <v>30.05</v>
      </c>
      <c r="F896">
        <v>29.9</v>
      </c>
      <c r="G896" s="3">
        <v>30.05</v>
      </c>
      <c r="H896">
        <v>30.05</v>
      </c>
      <c r="I896">
        <v>143.30000000000001</v>
      </c>
      <c r="J896">
        <v>11293</v>
      </c>
      <c r="K896">
        <v>339027.65</v>
      </c>
      <c r="L896" s="1">
        <v>45240</v>
      </c>
      <c r="M896">
        <v>75</v>
      </c>
      <c r="N896" t="s">
        <v>2086</v>
      </c>
      <c r="O896" s="5">
        <v>45240</v>
      </c>
      <c r="P896" s="5">
        <v>43777</v>
      </c>
    </row>
    <row r="897" spans="1:16" x14ac:dyDescent="0.25">
      <c r="A897" t="s">
        <v>2087</v>
      </c>
      <c r="B897" t="str">
        <v>Hindustan Copper Limited</v>
      </c>
      <c r="C897" t="s">
        <v>14</v>
      </c>
      <c r="D897">
        <v>144.9</v>
      </c>
      <c r="E897">
        <v>146.44999999999999</v>
      </c>
      <c r="F897">
        <v>142.65</v>
      </c>
      <c r="G897" s="3">
        <v>145.05000000000001</v>
      </c>
      <c r="H897">
        <v>145</v>
      </c>
      <c r="I897">
        <v>144.25</v>
      </c>
      <c r="J897">
        <v>2398962</v>
      </c>
      <c r="K897">
        <v>346576607.64999998</v>
      </c>
      <c r="L897" s="1">
        <v>45240</v>
      </c>
      <c r="M897">
        <v>14364</v>
      </c>
      <c r="N897" t="s">
        <v>2089</v>
      </c>
      <c r="O897" s="5">
        <v>45240</v>
      </c>
      <c r="P897" s="5">
        <v>43777</v>
      </c>
    </row>
    <row r="898" spans="1:16" x14ac:dyDescent="0.25">
      <c r="A898" t="s">
        <v>2090</v>
      </c>
      <c r="B898" t="str">
        <v>Hindustan Motors Limited</v>
      </c>
      <c r="C898" t="s">
        <v>14</v>
      </c>
      <c r="D898">
        <v>17.05</v>
      </c>
      <c r="E898">
        <v>17.5</v>
      </c>
      <c r="F898">
        <v>16.850000000000001</v>
      </c>
      <c r="G898" s="3">
        <v>17.05</v>
      </c>
      <c r="H898">
        <v>17.149999999999999</v>
      </c>
      <c r="I898">
        <v>17.05</v>
      </c>
      <c r="J898">
        <v>398540</v>
      </c>
      <c r="K898">
        <v>6805913.3499999996</v>
      </c>
      <c r="L898" s="1">
        <v>45240</v>
      </c>
      <c r="M898">
        <v>2378</v>
      </c>
      <c r="N898" t="s">
        <v>2092</v>
      </c>
      <c r="O898" s="5">
        <v>45240</v>
      </c>
      <c r="P898" s="5">
        <v>43777</v>
      </c>
    </row>
    <row r="899" spans="1:16" x14ac:dyDescent="0.25">
      <c r="A899" t="s">
        <v>2093</v>
      </c>
      <c r="B899" t="str">
        <v>Hindustan Oil Exploration Company Limited</v>
      </c>
      <c r="C899" t="s">
        <v>14</v>
      </c>
      <c r="D899">
        <v>169.7</v>
      </c>
      <c r="E899">
        <v>174</v>
      </c>
      <c r="F899">
        <v>166</v>
      </c>
      <c r="G899" s="3">
        <v>168.9</v>
      </c>
      <c r="H899">
        <v>167.6</v>
      </c>
      <c r="I899">
        <v>169.75</v>
      </c>
      <c r="J899">
        <v>607646</v>
      </c>
      <c r="K899">
        <v>102414950.55</v>
      </c>
      <c r="L899" s="1">
        <v>45240</v>
      </c>
      <c r="M899">
        <v>6022</v>
      </c>
      <c r="N899" t="s">
        <v>2095</v>
      </c>
      <c r="O899" s="5">
        <v>45240</v>
      </c>
      <c r="P899" s="5">
        <v>43777</v>
      </c>
    </row>
    <row r="900" spans="1:16" x14ac:dyDescent="0.25">
      <c r="A900" t="s">
        <v>2096</v>
      </c>
      <c r="B900" t="str">
        <v>Hindustan Petroleum Corporation Limited</v>
      </c>
      <c r="C900" t="s">
        <v>14</v>
      </c>
      <c r="D900">
        <v>298</v>
      </c>
      <c r="E900">
        <v>302.75</v>
      </c>
      <c r="F900">
        <v>295.75</v>
      </c>
      <c r="G900" s="3">
        <v>299.55</v>
      </c>
      <c r="H900">
        <v>298.8</v>
      </c>
      <c r="I900">
        <v>298.95</v>
      </c>
      <c r="J900">
        <v>3324906</v>
      </c>
      <c r="K900">
        <v>996011445.95000005</v>
      </c>
      <c r="L900" s="1">
        <v>45240</v>
      </c>
      <c r="M900">
        <v>35333</v>
      </c>
      <c r="N900" t="s">
        <v>2098</v>
      </c>
      <c r="O900" s="5">
        <v>45240</v>
      </c>
      <c r="P900" s="5">
        <v>43777</v>
      </c>
    </row>
    <row r="901" spans="1:16" x14ac:dyDescent="0.25">
      <c r="A901" t="s">
        <v>2099</v>
      </c>
      <c r="B901" t="str">
        <v>Hindustan Unilever Limited</v>
      </c>
      <c r="C901" t="s">
        <v>14</v>
      </c>
      <c r="D901">
        <v>2477</v>
      </c>
      <c r="E901">
        <v>2488.6</v>
      </c>
      <c r="F901">
        <v>2465.35</v>
      </c>
      <c r="G901" s="3">
        <v>2486.5500000000002</v>
      </c>
      <c r="H901">
        <v>2486</v>
      </c>
      <c r="I901">
        <v>2476.6999999999998</v>
      </c>
      <c r="J901">
        <v>771062</v>
      </c>
      <c r="K901">
        <v>1911854569.5999999</v>
      </c>
      <c r="L901" s="1">
        <v>45240</v>
      </c>
      <c r="M901">
        <v>52173</v>
      </c>
      <c r="N901" t="s">
        <v>2101</v>
      </c>
      <c r="O901" s="5">
        <v>45240</v>
      </c>
      <c r="P901" s="5">
        <v>43777</v>
      </c>
    </row>
    <row r="902" spans="1:16" x14ac:dyDescent="0.25">
      <c r="A902" t="s">
        <v>2102</v>
      </c>
      <c r="B902" t="str">
        <v>Hindware Home Innovation Limited</v>
      </c>
      <c r="C902" t="s">
        <v>14</v>
      </c>
      <c r="D902">
        <v>480</v>
      </c>
      <c r="E902">
        <v>485</v>
      </c>
      <c r="F902">
        <v>466</v>
      </c>
      <c r="G902" s="3">
        <v>469.35</v>
      </c>
      <c r="H902">
        <v>468.35</v>
      </c>
      <c r="I902">
        <v>479.25</v>
      </c>
      <c r="J902">
        <v>80152</v>
      </c>
      <c r="K902">
        <v>37967061.549999997</v>
      </c>
      <c r="L902" s="1">
        <v>45240</v>
      </c>
      <c r="M902">
        <v>4925</v>
      </c>
      <c r="N902" t="s">
        <v>2104</v>
      </c>
      <c r="O902" s="5">
        <v>45240</v>
      </c>
      <c r="P902" s="5">
        <v>43777</v>
      </c>
    </row>
    <row r="903" spans="1:16" x14ac:dyDescent="0.25">
      <c r="A903" t="s">
        <v>2105</v>
      </c>
      <c r="B903" t="str">
        <v>Hindustan Zinc Limited</v>
      </c>
      <c r="C903" t="s">
        <v>14</v>
      </c>
      <c r="D903">
        <v>296.60000000000002</v>
      </c>
      <c r="E903">
        <v>305.89999999999998</v>
      </c>
      <c r="F903">
        <v>295.35000000000002</v>
      </c>
      <c r="G903" s="3">
        <v>301.8</v>
      </c>
      <c r="H903">
        <v>302.35000000000002</v>
      </c>
      <c r="I903">
        <v>296.60000000000002</v>
      </c>
      <c r="J903">
        <v>331948</v>
      </c>
      <c r="K903">
        <v>99808953.700000003</v>
      </c>
      <c r="L903" s="1">
        <v>45240</v>
      </c>
      <c r="M903">
        <v>10409</v>
      </c>
      <c r="N903" t="s">
        <v>2107</v>
      </c>
      <c r="O903" s="5">
        <v>45240</v>
      </c>
      <c r="P903" s="5">
        <v>43777</v>
      </c>
    </row>
    <row r="904" spans="1:16" x14ac:dyDescent="0.25">
      <c r="A904" t="s">
        <v>2108</v>
      </c>
      <c r="B904" t="str">
        <v>Hind Rectifiers Limited</v>
      </c>
      <c r="C904" t="s">
        <v>14</v>
      </c>
      <c r="D904">
        <v>619</v>
      </c>
      <c r="E904">
        <v>666.1</v>
      </c>
      <c r="F904">
        <v>619</v>
      </c>
      <c r="G904" s="3">
        <v>633.04999999999995</v>
      </c>
      <c r="H904">
        <v>633</v>
      </c>
      <c r="I904">
        <v>605.54999999999995</v>
      </c>
      <c r="J904">
        <v>66706</v>
      </c>
      <c r="K904">
        <v>43387278.299999997</v>
      </c>
      <c r="L904" s="1">
        <v>45240</v>
      </c>
      <c r="M904">
        <v>2951</v>
      </c>
      <c r="N904" t="s">
        <v>2110</v>
      </c>
      <c r="O904" s="5">
        <v>45240</v>
      </c>
      <c r="P904" s="5">
        <v>43777</v>
      </c>
    </row>
    <row r="905" spans="1:16" x14ac:dyDescent="0.25">
      <c r="A905" t="s">
        <v>2111</v>
      </c>
      <c r="B905" t="str">
        <v>Hisar Metal Industries Limited</v>
      </c>
      <c r="C905" t="s">
        <v>10</v>
      </c>
      <c r="D905">
        <v>173.4</v>
      </c>
      <c r="E905">
        <v>177</v>
      </c>
      <c r="F905">
        <v>170.25</v>
      </c>
      <c r="G905" s="3">
        <v>175.9</v>
      </c>
      <c r="H905">
        <v>176</v>
      </c>
      <c r="I905">
        <v>177.15</v>
      </c>
      <c r="J905">
        <v>2984</v>
      </c>
      <c r="K905">
        <v>519461.55</v>
      </c>
      <c r="L905" s="1">
        <v>45240</v>
      </c>
      <c r="M905">
        <v>50</v>
      </c>
      <c r="N905" t="s">
        <v>2113</v>
      </c>
      <c r="O905" s="5">
        <v>45240</v>
      </c>
      <c r="P905" s="5">
        <v>43777</v>
      </c>
    </row>
    <row r="906" spans="1:16" x14ac:dyDescent="0.25">
      <c r="A906" t="s">
        <v>2114</v>
      </c>
      <c r="B906" t="str">
        <v>Hi-Tech Pipes Limited</v>
      </c>
      <c r="C906" t="s">
        <v>14</v>
      </c>
      <c r="D906">
        <v>108.25</v>
      </c>
      <c r="E906">
        <v>112.35</v>
      </c>
      <c r="F906">
        <v>108.25</v>
      </c>
      <c r="G906" s="3">
        <v>111.95</v>
      </c>
      <c r="H906">
        <v>111.75</v>
      </c>
      <c r="I906">
        <v>109.2</v>
      </c>
      <c r="J906">
        <v>2901154</v>
      </c>
      <c r="K906">
        <v>322418955.64999998</v>
      </c>
      <c r="L906" s="1">
        <v>45240</v>
      </c>
      <c r="M906">
        <v>15102</v>
      </c>
      <c r="N906" t="s">
        <v>2116</v>
      </c>
      <c r="O906" s="5">
        <v>45240</v>
      </c>
      <c r="P906" s="5">
        <v>43777</v>
      </c>
    </row>
    <row r="907" spans="1:16" x14ac:dyDescent="0.25">
      <c r="A907" t="s">
        <v>2117</v>
      </c>
      <c r="B907" t="str">
        <v>Hitech Corporation Limited</v>
      </c>
      <c r="C907" t="s">
        <v>14</v>
      </c>
      <c r="D907">
        <v>278.14999999999998</v>
      </c>
      <c r="E907">
        <v>280.5</v>
      </c>
      <c r="F907">
        <v>271.2</v>
      </c>
      <c r="G907" s="3">
        <v>271.89999999999998</v>
      </c>
      <c r="H907">
        <v>273</v>
      </c>
      <c r="I907">
        <v>275.14999999999998</v>
      </c>
      <c r="J907">
        <v>17427</v>
      </c>
      <c r="K907">
        <v>4777075.4000000004</v>
      </c>
      <c r="L907" s="1">
        <v>45240</v>
      </c>
      <c r="M907">
        <v>1429</v>
      </c>
      <c r="N907" t="s">
        <v>2119</v>
      </c>
      <c r="O907" s="5">
        <v>45240</v>
      </c>
      <c r="P907" s="5">
        <v>43777</v>
      </c>
    </row>
    <row r="908" spans="1:16" x14ac:dyDescent="0.25">
      <c r="A908" t="s">
        <v>2120</v>
      </c>
      <c r="B908" t="str">
        <v>The Hi-Tech Gears Limited</v>
      </c>
      <c r="C908" t="s">
        <v>14</v>
      </c>
      <c r="D908">
        <v>411.6</v>
      </c>
      <c r="E908">
        <v>413.9</v>
      </c>
      <c r="F908">
        <v>401.55</v>
      </c>
      <c r="G908" s="3">
        <v>410.85</v>
      </c>
      <c r="H908">
        <v>412</v>
      </c>
      <c r="I908">
        <v>409.15</v>
      </c>
      <c r="J908">
        <v>28264</v>
      </c>
      <c r="K908">
        <v>11556804.699999999</v>
      </c>
      <c r="L908" s="1">
        <v>45240</v>
      </c>
      <c r="M908">
        <v>2371</v>
      </c>
      <c r="N908" t="s">
        <v>2122</v>
      </c>
      <c r="O908" s="5">
        <v>45240</v>
      </c>
      <c r="P908" s="5">
        <v>43777</v>
      </c>
    </row>
    <row r="909" spans="1:16" x14ac:dyDescent="0.25">
      <c r="A909" t="s">
        <v>2123</v>
      </c>
      <c r="B909" t="str">
        <v>HLE Glascoat Limited</v>
      </c>
      <c r="C909" t="s">
        <v>14</v>
      </c>
      <c r="D909">
        <v>510.35</v>
      </c>
      <c r="E909">
        <v>514.70000000000005</v>
      </c>
      <c r="F909">
        <v>509</v>
      </c>
      <c r="G909" s="3">
        <v>513.25</v>
      </c>
      <c r="H909">
        <v>513.9</v>
      </c>
      <c r="I909">
        <v>510.3</v>
      </c>
      <c r="J909">
        <v>34655</v>
      </c>
      <c r="K909">
        <v>17739423.100000001</v>
      </c>
      <c r="L909" s="1">
        <v>45240</v>
      </c>
      <c r="M909">
        <v>3446</v>
      </c>
      <c r="N909" t="s">
        <v>2125</v>
      </c>
      <c r="O909" s="5">
        <v>45240</v>
      </c>
      <c r="P909" s="5">
        <v>43777</v>
      </c>
    </row>
    <row r="910" spans="1:16" x14ac:dyDescent="0.25">
      <c r="A910" t="s">
        <v>2126</v>
      </c>
      <c r="B910" t="str">
        <v>HLV LIMITED</v>
      </c>
      <c r="C910" t="s">
        <v>14</v>
      </c>
      <c r="D910">
        <v>23.55</v>
      </c>
      <c r="E910">
        <v>24.2</v>
      </c>
      <c r="F910">
        <v>23.15</v>
      </c>
      <c r="G910" s="3">
        <v>23.6</v>
      </c>
      <c r="H910">
        <v>23.6</v>
      </c>
      <c r="I910">
        <v>23.55</v>
      </c>
      <c r="J910">
        <v>1075056</v>
      </c>
      <c r="K910">
        <v>25362506.75</v>
      </c>
      <c r="L910" s="1">
        <v>45240</v>
      </c>
      <c r="M910">
        <v>3308</v>
      </c>
      <c r="N910" t="s">
        <v>2128</v>
      </c>
      <c r="O910" s="5">
        <v>45240</v>
      </c>
      <c r="P910" s="5">
        <v>43777</v>
      </c>
    </row>
    <row r="911" spans="1:16" x14ac:dyDescent="0.25">
      <c r="A911" t="s">
        <v>2129</v>
      </c>
      <c r="B911" t="str">
        <v>HMA Agro Industries Limited</v>
      </c>
      <c r="C911" t="s">
        <v>14</v>
      </c>
      <c r="D911">
        <v>668.35</v>
      </c>
      <c r="E911">
        <v>675</v>
      </c>
      <c r="F911">
        <v>653.29999999999995</v>
      </c>
      <c r="G911" s="3">
        <v>670.75</v>
      </c>
      <c r="H911">
        <v>674.65</v>
      </c>
      <c r="I911">
        <v>658.45</v>
      </c>
      <c r="J911">
        <v>60266</v>
      </c>
      <c r="K911">
        <v>40183344.700000003</v>
      </c>
      <c r="L911" s="1">
        <v>45240</v>
      </c>
      <c r="M911">
        <v>2707</v>
      </c>
      <c r="N911" t="s">
        <v>2131</v>
      </c>
      <c r="O911" s="5">
        <v>45240</v>
      </c>
      <c r="P911" s="5">
        <v>43777</v>
      </c>
    </row>
    <row r="912" spans="1:16" x14ac:dyDescent="0.25">
      <c r="A912" t="s">
        <v>2132</v>
      </c>
      <c r="B912" t="str">
        <v>HMT Limited</v>
      </c>
      <c r="C912" t="s">
        <v>786</v>
      </c>
      <c r="D912">
        <v>53.75</v>
      </c>
      <c r="E912">
        <v>53.75</v>
      </c>
      <c r="F912">
        <v>53.75</v>
      </c>
      <c r="G912" s="3">
        <v>53.75</v>
      </c>
      <c r="H912">
        <v>53.75</v>
      </c>
      <c r="I912">
        <v>52.7</v>
      </c>
      <c r="J912">
        <v>8612</v>
      </c>
      <c r="K912">
        <v>462895</v>
      </c>
      <c r="L912" s="1">
        <v>45240</v>
      </c>
      <c r="M912">
        <v>52</v>
      </c>
      <c r="N912" t="s">
        <v>2134</v>
      </c>
      <c r="O912" s="5">
        <v>45240</v>
      </c>
      <c r="P912" s="5">
        <v>43777</v>
      </c>
    </row>
    <row r="913" spans="1:16" x14ac:dyDescent="0.25">
      <c r="A913" t="s">
        <v>2135</v>
      </c>
      <c r="B913" t="str">
        <v>Hindustan Media Ventures Limited</v>
      </c>
      <c r="C913" t="s">
        <v>14</v>
      </c>
      <c r="D913">
        <v>80</v>
      </c>
      <c r="E913">
        <v>81.900000000000006</v>
      </c>
      <c r="F913">
        <v>78.349999999999994</v>
      </c>
      <c r="G913" s="3">
        <v>80.8</v>
      </c>
      <c r="H913">
        <v>80</v>
      </c>
      <c r="I913">
        <v>80.75</v>
      </c>
      <c r="J913">
        <v>152221</v>
      </c>
      <c r="K913">
        <v>12221809.300000001</v>
      </c>
      <c r="L913" s="1">
        <v>45240</v>
      </c>
      <c r="M913">
        <v>2301</v>
      </c>
      <c r="N913" t="s">
        <v>2137</v>
      </c>
      <c r="O913" s="5">
        <v>45240</v>
      </c>
      <c r="P913" s="5">
        <v>43777</v>
      </c>
    </row>
    <row r="914" spans="1:16" x14ac:dyDescent="0.25">
      <c r="A914" t="s">
        <v>2138</v>
      </c>
      <c r="B914" t="str">
        <v>Hindustan Foods Limited</v>
      </c>
      <c r="C914" t="s">
        <v>14</v>
      </c>
      <c r="D914">
        <v>529.6</v>
      </c>
      <c r="E914">
        <v>542</v>
      </c>
      <c r="F914">
        <v>525</v>
      </c>
      <c r="G914" s="3">
        <v>531</v>
      </c>
      <c r="H914">
        <v>532.25</v>
      </c>
      <c r="I914">
        <v>526.4</v>
      </c>
      <c r="J914">
        <v>57431</v>
      </c>
      <c r="K914">
        <v>30577246.75</v>
      </c>
      <c r="L914" s="1">
        <v>45240</v>
      </c>
      <c r="M914">
        <v>5855</v>
      </c>
      <c r="N914" t="s">
        <v>2140</v>
      </c>
      <c r="O914" s="5">
        <v>45240</v>
      </c>
      <c r="P914" s="5">
        <v>43777</v>
      </c>
    </row>
    <row r="915" spans="1:16" x14ac:dyDescent="0.25">
      <c r="A915" t="s">
        <v>6619</v>
      </c>
      <c r="B915" t="str">
        <v>Not Found</v>
      </c>
      <c r="C915" t="s">
        <v>14</v>
      </c>
      <c r="D915">
        <v>262.49</v>
      </c>
      <c r="E915">
        <v>263.64999999999998</v>
      </c>
      <c r="F915">
        <v>259.98</v>
      </c>
      <c r="G915" s="3">
        <v>260.27999999999997</v>
      </c>
      <c r="H915">
        <v>260.35000000000002</v>
      </c>
      <c r="I915">
        <v>263.02</v>
      </c>
      <c r="J915">
        <v>32040</v>
      </c>
      <c r="K915">
        <v>8344613.6600000001</v>
      </c>
      <c r="L915" s="1">
        <v>45240</v>
      </c>
      <c r="M915">
        <v>910</v>
      </c>
      <c r="N915" t="s">
        <v>6618</v>
      </c>
      <c r="O915" s="5">
        <v>45240</v>
      </c>
      <c r="P915" s="5">
        <v>43777</v>
      </c>
    </row>
    <row r="916" spans="1:16" x14ac:dyDescent="0.25">
      <c r="A916" t="s">
        <v>6617</v>
      </c>
      <c r="B916" t="str">
        <v>Not Found</v>
      </c>
      <c r="C916" t="s">
        <v>5788</v>
      </c>
      <c r="D916">
        <v>149.35</v>
      </c>
      <c r="E916">
        <v>149.35</v>
      </c>
      <c r="F916">
        <v>135.19999999999999</v>
      </c>
      <c r="G916" s="3">
        <v>135.19999999999999</v>
      </c>
      <c r="H916">
        <v>135.19999999999999</v>
      </c>
      <c r="I916">
        <v>142.30000000000001</v>
      </c>
      <c r="J916">
        <v>66000</v>
      </c>
      <c r="K916">
        <v>9080400</v>
      </c>
      <c r="L916" s="1">
        <v>45240</v>
      </c>
      <c r="M916">
        <v>22</v>
      </c>
      <c r="N916" t="s">
        <v>6616</v>
      </c>
      <c r="O916" s="5">
        <v>45240</v>
      </c>
      <c r="P916" s="5">
        <v>43777</v>
      </c>
    </row>
    <row r="917" spans="1:16" x14ac:dyDescent="0.25">
      <c r="A917" t="s">
        <v>2141</v>
      </c>
      <c r="B917" t="str">
        <v>Home First Finance Company India Limited</v>
      </c>
      <c r="C917" t="s">
        <v>14</v>
      </c>
      <c r="D917">
        <v>933</v>
      </c>
      <c r="E917">
        <v>938</v>
      </c>
      <c r="F917">
        <v>923</v>
      </c>
      <c r="G917" s="3">
        <v>930.85</v>
      </c>
      <c r="H917">
        <v>931.55</v>
      </c>
      <c r="I917">
        <v>922.15</v>
      </c>
      <c r="J917">
        <v>59988</v>
      </c>
      <c r="K917">
        <v>55679777.350000001</v>
      </c>
      <c r="L917" s="1">
        <v>45240</v>
      </c>
      <c r="M917">
        <v>8570</v>
      </c>
      <c r="N917" t="s">
        <v>2143</v>
      </c>
      <c r="O917" s="5">
        <v>45240</v>
      </c>
      <c r="P917" s="5">
        <v>43777</v>
      </c>
    </row>
    <row r="918" spans="1:16" x14ac:dyDescent="0.25">
      <c r="A918" t="s">
        <v>6615</v>
      </c>
      <c r="B918" t="str">
        <v>Not Found</v>
      </c>
      <c r="C918" t="s">
        <v>5788</v>
      </c>
      <c r="D918">
        <v>429.95</v>
      </c>
      <c r="E918">
        <v>440</v>
      </c>
      <c r="F918">
        <v>422</v>
      </c>
      <c r="G918" s="3">
        <v>433</v>
      </c>
      <c r="H918">
        <v>433</v>
      </c>
      <c r="I918">
        <v>415</v>
      </c>
      <c r="J918">
        <v>6900</v>
      </c>
      <c r="K918">
        <v>2983980</v>
      </c>
      <c r="L918" s="1">
        <v>45240</v>
      </c>
      <c r="M918">
        <v>11</v>
      </c>
      <c r="N918" t="s">
        <v>6614</v>
      </c>
      <c r="O918" s="5">
        <v>45240</v>
      </c>
      <c r="P918" s="5">
        <v>43777</v>
      </c>
    </row>
    <row r="919" spans="1:16" x14ac:dyDescent="0.25">
      <c r="A919" t="s">
        <v>2144</v>
      </c>
      <c r="B919" t="str">
        <v>Honasa Consumer Limited</v>
      </c>
      <c r="C919" t="s">
        <v>14</v>
      </c>
      <c r="D919">
        <v>290.35000000000002</v>
      </c>
      <c r="E919">
        <v>326</v>
      </c>
      <c r="F919">
        <v>256.3</v>
      </c>
      <c r="G919" s="3">
        <v>317.89999999999998</v>
      </c>
      <c r="H919">
        <v>323.5</v>
      </c>
      <c r="I919">
        <v>302.10000000000002</v>
      </c>
      <c r="J919">
        <v>13661717</v>
      </c>
      <c r="K919">
        <v>4048244233.25</v>
      </c>
      <c r="L919" s="1">
        <v>45240</v>
      </c>
      <c r="M919">
        <v>150988</v>
      </c>
      <c r="N919" t="s">
        <v>2146</v>
      </c>
      <c r="O919" s="5">
        <v>45240</v>
      </c>
      <c r="P919" s="5">
        <v>43777</v>
      </c>
    </row>
    <row r="920" spans="1:16" x14ac:dyDescent="0.25">
      <c r="A920" t="s">
        <v>2147</v>
      </c>
      <c r="B920" t="str">
        <v>Honeywell Automation India Limited</v>
      </c>
      <c r="C920" t="s">
        <v>14</v>
      </c>
      <c r="D920">
        <v>37436.800000000003</v>
      </c>
      <c r="E920">
        <v>37527.65</v>
      </c>
      <c r="F920">
        <v>37150.1</v>
      </c>
      <c r="G920" s="3">
        <v>37341.75</v>
      </c>
      <c r="H920">
        <v>37451.800000000003</v>
      </c>
      <c r="I920">
        <v>37436.800000000003</v>
      </c>
      <c r="J920">
        <v>720</v>
      </c>
      <c r="K920">
        <v>26847455.300000001</v>
      </c>
      <c r="L920" s="1">
        <v>45240</v>
      </c>
      <c r="M920">
        <v>560</v>
      </c>
      <c r="N920" t="s">
        <v>2149</v>
      </c>
      <c r="O920" s="5">
        <v>45240</v>
      </c>
      <c r="P920" s="5">
        <v>43777</v>
      </c>
    </row>
    <row r="921" spans="1:16" x14ac:dyDescent="0.25">
      <c r="A921" t="s">
        <v>2150</v>
      </c>
      <c r="B921" t="str">
        <v>Honda India Power Products Limited</v>
      </c>
      <c r="C921" t="s">
        <v>14</v>
      </c>
      <c r="D921">
        <v>2798.95</v>
      </c>
      <c r="E921">
        <v>2850.9</v>
      </c>
      <c r="F921">
        <v>2670</v>
      </c>
      <c r="G921" s="3">
        <v>2756.4</v>
      </c>
      <c r="H921">
        <v>2748.15</v>
      </c>
      <c r="I921">
        <v>2799.25</v>
      </c>
      <c r="J921">
        <v>28400</v>
      </c>
      <c r="K921">
        <v>78164316.349999994</v>
      </c>
      <c r="L921" s="1">
        <v>45240</v>
      </c>
      <c r="M921">
        <v>4524</v>
      </c>
      <c r="N921" t="s">
        <v>2152</v>
      </c>
      <c r="O921" s="5">
        <v>45240</v>
      </c>
      <c r="P921" s="5">
        <v>43777</v>
      </c>
    </row>
    <row r="922" spans="1:16" x14ac:dyDescent="0.25">
      <c r="A922" t="s">
        <v>2153</v>
      </c>
      <c r="B922" t="str">
        <v>HOV Services Limited</v>
      </c>
      <c r="C922" t="s">
        <v>14</v>
      </c>
      <c r="D922">
        <v>55</v>
      </c>
      <c r="E922">
        <v>57.9</v>
      </c>
      <c r="F922">
        <v>54.1</v>
      </c>
      <c r="G922" s="3">
        <v>55.6</v>
      </c>
      <c r="H922">
        <v>54.7</v>
      </c>
      <c r="I922">
        <v>55.5</v>
      </c>
      <c r="J922">
        <v>59580</v>
      </c>
      <c r="K922">
        <v>3351178.05</v>
      </c>
      <c r="L922" s="1">
        <v>45240</v>
      </c>
      <c r="M922">
        <v>1228</v>
      </c>
      <c r="N922" t="s">
        <v>2155</v>
      </c>
      <c r="O922" s="5">
        <v>45240</v>
      </c>
      <c r="P922" s="5">
        <v>43777</v>
      </c>
    </row>
    <row r="923" spans="1:16" x14ac:dyDescent="0.25">
      <c r="A923" t="s">
        <v>2156</v>
      </c>
      <c r="B923" t="str">
        <v>HP Adhesives Limited</v>
      </c>
      <c r="C923" t="s">
        <v>14</v>
      </c>
      <c r="D923">
        <v>96.8</v>
      </c>
      <c r="E923">
        <v>104</v>
      </c>
      <c r="F923">
        <v>96.3</v>
      </c>
      <c r="G923" s="3">
        <v>101</v>
      </c>
      <c r="H923">
        <v>101.4</v>
      </c>
      <c r="I923">
        <v>96.15</v>
      </c>
      <c r="J923">
        <v>2718413</v>
      </c>
      <c r="K923">
        <v>273530643.89999998</v>
      </c>
      <c r="L923" s="1">
        <v>45240</v>
      </c>
      <c r="M923">
        <v>19527</v>
      </c>
      <c r="N923" t="s">
        <v>2158</v>
      </c>
      <c r="O923" s="5">
        <v>45240</v>
      </c>
      <c r="P923" s="5">
        <v>43777</v>
      </c>
    </row>
    <row r="924" spans="1:16" x14ac:dyDescent="0.25">
      <c r="A924" t="s">
        <v>2159</v>
      </c>
      <c r="B924" t="str">
        <v>Hindprakash Industries Limited</v>
      </c>
      <c r="C924" t="s">
        <v>10</v>
      </c>
      <c r="D924">
        <v>106.9</v>
      </c>
      <c r="E924">
        <v>106.9</v>
      </c>
      <c r="F924">
        <v>100.2</v>
      </c>
      <c r="G924" s="3">
        <v>101.6</v>
      </c>
      <c r="H924">
        <v>100.2</v>
      </c>
      <c r="I924">
        <v>104.3</v>
      </c>
      <c r="J924">
        <v>1380</v>
      </c>
      <c r="K924">
        <v>141256.04999999999</v>
      </c>
      <c r="L924" s="1">
        <v>45240</v>
      </c>
      <c r="M924">
        <v>48</v>
      </c>
      <c r="N924" t="s">
        <v>2161</v>
      </c>
      <c r="O924" s="5">
        <v>45240</v>
      </c>
      <c r="P924" s="5">
        <v>43777</v>
      </c>
    </row>
    <row r="925" spans="1:16" x14ac:dyDescent="0.25">
      <c r="A925" t="s">
        <v>2162</v>
      </c>
      <c r="B925" t="str">
        <v>HPL Electric &amp; Power Limited</v>
      </c>
      <c r="C925" t="s">
        <v>14</v>
      </c>
      <c r="D925">
        <v>209.9</v>
      </c>
      <c r="E925">
        <v>209.9</v>
      </c>
      <c r="F925">
        <v>205</v>
      </c>
      <c r="G925" s="3">
        <v>205.6</v>
      </c>
      <c r="H925">
        <v>205.35</v>
      </c>
      <c r="I925">
        <v>209.35</v>
      </c>
      <c r="J925">
        <v>157319</v>
      </c>
      <c r="K925">
        <v>32501618.149999999</v>
      </c>
      <c r="L925" s="1">
        <v>45240</v>
      </c>
      <c r="M925">
        <v>3124</v>
      </c>
      <c r="N925" t="s">
        <v>2164</v>
      </c>
      <c r="O925" s="5">
        <v>45240</v>
      </c>
      <c r="P925" s="5">
        <v>43777</v>
      </c>
    </row>
    <row r="926" spans="1:16" x14ac:dyDescent="0.25">
      <c r="A926" t="s">
        <v>2165</v>
      </c>
      <c r="B926" t="str">
        <v>Himadri Speciality Chemical Limited</v>
      </c>
      <c r="C926" t="s">
        <v>14</v>
      </c>
      <c r="D926">
        <v>250</v>
      </c>
      <c r="E926">
        <v>251.9</v>
      </c>
      <c r="F926">
        <v>248</v>
      </c>
      <c r="G926" s="3">
        <v>248.8</v>
      </c>
      <c r="H926">
        <v>248.5</v>
      </c>
      <c r="I926">
        <v>251.45</v>
      </c>
      <c r="J926">
        <v>519975</v>
      </c>
      <c r="K926">
        <v>129923346.5</v>
      </c>
      <c r="L926" s="1">
        <v>45240</v>
      </c>
      <c r="M926">
        <v>8042</v>
      </c>
      <c r="N926" t="s">
        <v>2167</v>
      </c>
      <c r="O926" s="5">
        <v>45240</v>
      </c>
      <c r="P926" s="5">
        <v>43777</v>
      </c>
    </row>
    <row r="927" spans="1:16" x14ac:dyDescent="0.25">
      <c r="A927" t="s">
        <v>2168</v>
      </c>
      <c r="B927" t="str">
        <v>HT Media Limited</v>
      </c>
      <c r="C927" t="s">
        <v>14</v>
      </c>
      <c r="D927">
        <v>23.8</v>
      </c>
      <c r="E927">
        <v>24</v>
      </c>
      <c r="F927">
        <v>23.5</v>
      </c>
      <c r="G927" s="3">
        <v>23.7</v>
      </c>
      <c r="H927">
        <v>23.75</v>
      </c>
      <c r="I927">
        <v>23.8</v>
      </c>
      <c r="J927">
        <v>350560</v>
      </c>
      <c r="K927">
        <v>8324271.4000000004</v>
      </c>
      <c r="L927" s="1">
        <v>45240</v>
      </c>
      <c r="M927">
        <v>1517</v>
      </c>
      <c r="N927" t="s">
        <v>2170</v>
      </c>
      <c r="O927" s="5">
        <v>45240</v>
      </c>
      <c r="P927" s="5">
        <v>43777</v>
      </c>
    </row>
    <row r="928" spans="1:16" x14ac:dyDescent="0.25">
      <c r="A928" t="s">
        <v>2171</v>
      </c>
      <c r="B928" t="str">
        <v>Hubtown Limited</v>
      </c>
      <c r="C928" t="s">
        <v>14</v>
      </c>
      <c r="D928">
        <v>64.150000000000006</v>
      </c>
      <c r="E928">
        <v>66.45</v>
      </c>
      <c r="F928">
        <v>63.75</v>
      </c>
      <c r="G928" s="3">
        <v>65.55</v>
      </c>
      <c r="H928">
        <v>65.5</v>
      </c>
      <c r="I928">
        <v>65.8</v>
      </c>
      <c r="J928">
        <v>238080</v>
      </c>
      <c r="K928">
        <v>15535127.85</v>
      </c>
      <c r="L928" s="1">
        <v>45240</v>
      </c>
      <c r="M928">
        <v>1166</v>
      </c>
      <c r="N928" t="s">
        <v>2173</v>
      </c>
      <c r="O928" s="5">
        <v>45240</v>
      </c>
      <c r="P928" s="5">
        <v>43777</v>
      </c>
    </row>
    <row r="929" spans="1:16" x14ac:dyDescent="0.25">
      <c r="A929" t="s">
        <v>2174</v>
      </c>
      <c r="B929" t="str">
        <v>Housing &amp; Urban Development Corporation Limited</v>
      </c>
      <c r="C929" t="s">
        <v>14</v>
      </c>
      <c r="D929">
        <v>79.2</v>
      </c>
      <c r="E929">
        <v>81.400000000000006</v>
      </c>
      <c r="F929">
        <v>78.25</v>
      </c>
      <c r="G929" s="3">
        <v>80.3</v>
      </c>
      <c r="H929">
        <v>80.2</v>
      </c>
      <c r="I929">
        <v>79.45</v>
      </c>
      <c r="J929">
        <v>9820785</v>
      </c>
      <c r="K929">
        <v>785456024.64999998</v>
      </c>
      <c r="L929" s="1">
        <v>45240</v>
      </c>
      <c r="M929">
        <v>25415</v>
      </c>
      <c r="N929" t="s">
        <v>2176</v>
      </c>
      <c r="O929" s="5">
        <v>45240</v>
      </c>
      <c r="P929" s="5">
        <v>43777</v>
      </c>
    </row>
    <row r="930" spans="1:16" x14ac:dyDescent="0.25">
      <c r="A930" t="s">
        <v>2174</v>
      </c>
      <c r="B930" t="str">
        <v>Housing &amp; Urban Development Corporation Limited</v>
      </c>
      <c r="C930" t="s">
        <v>6176</v>
      </c>
      <c r="D930">
        <v>1140.01</v>
      </c>
      <c r="E930">
        <v>1140.51</v>
      </c>
      <c r="F930">
        <v>1140</v>
      </c>
      <c r="G930" s="3">
        <v>1140.0899999999999</v>
      </c>
      <c r="H930">
        <v>1140</v>
      </c>
      <c r="I930">
        <v>1139.92</v>
      </c>
      <c r="J930">
        <v>1109</v>
      </c>
      <c r="K930">
        <v>1264342.67</v>
      </c>
      <c r="L930" s="1">
        <v>45240</v>
      </c>
      <c r="M930">
        <v>10</v>
      </c>
      <c r="N930" t="s">
        <v>6613</v>
      </c>
      <c r="O930" s="5">
        <v>45240</v>
      </c>
      <c r="P930" s="5">
        <v>43777</v>
      </c>
    </row>
    <row r="931" spans="1:16" x14ac:dyDescent="0.25">
      <c r="A931" t="s">
        <v>2174</v>
      </c>
      <c r="B931" t="str">
        <v>Housing &amp; Urban Development Corporation Limited</v>
      </c>
      <c r="C931" t="s">
        <v>5874</v>
      </c>
      <c r="D931">
        <v>1174</v>
      </c>
      <c r="E931">
        <v>1177.99</v>
      </c>
      <c r="F931">
        <v>1172.5</v>
      </c>
      <c r="G931" s="3">
        <v>1173</v>
      </c>
      <c r="H931">
        <v>1173</v>
      </c>
      <c r="I931">
        <v>1173</v>
      </c>
      <c r="J931">
        <v>233</v>
      </c>
      <c r="K931">
        <v>273593.52</v>
      </c>
      <c r="L931" s="1">
        <v>45240</v>
      </c>
      <c r="M931">
        <v>7</v>
      </c>
      <c r="N931" t="s">
        <v>6612</v>
      </c>
      <c r="O931" s="5">
        <v>45240</v>
      </c>
      <c r="P931" s="5">
        <v>43777</v>
      </c>
    </row>
    <row r="932" spans="1:16" x14ac:dyDescent="0.25">
      <c r="A932" t="s">
        <v>2174</v>
      </c>
      <c r="B932" t="str">
        <v>Housing &amp; Urban Development Corporation Limited</v>
      </c>
      <c r="C932" t="s">
        <v>6611</v>
      </c>
      <c r="D932">
        <v>1180</v>
      </c>
      <c r="E932">
        <v>1180</v>
      </c>
      <c r="F932">
        <v>1180</v>
      </c>
      <c r="G932" s="3">
        <v>1180</v>
      </c>
      <c r="H932">
        <v>1180</v>
      </c>
      <c r="I932">
        <v>1204.9000000000001</v>
      </c>
      <c r="J932">
        <v>25</v>
      </c>
      <c r="K932">
        <v>29500</v>
      </c>
      <c r="L932" s="1">
        <v>45240</v>
      </c>
      <c r="M932">
        <v>1</v>
      </c>
      <c r="N932" t="s">
        <v>6610</v>
      </c>
      <c r="O932" s="5">
        <v>45240</v>
      </c>
      <c r="P932" s="5">
        <v>43777</v>
      </c>
    </row>
    <row r="933" spans="1:16" x14ac:dyDescent="0.25">
      <c r="A933" t="s">
        <v>2174</v>
      </c>
      <c r="B933" t="str">
        <v>Housing &amp; Urban Development Corporation Limited</v>
      </c>
      <c r="C933" t="s">
        <v>6240</v>
      </c>
      <c r="D933">
        <v>1355.1</v>
      </c>
      <c r="E933">
        <v>1356</v>
      </c>
      <c r="F933">
        <v>1355.1</v>
      </c>
      <c r="G933" s="3">
        <v>1355.87</v>
      </c>
      <c r="H933">
        <v>1356</v>
      </c>
      <c r="I933">
        <v>1355</v>
      </c>
      <c r="J933">
        <v>80</v>
      </c>
      <c r="K933">
        <v>108446.5</v>
      </c>
      <c r="L933" s="1">
        <v>45240</v>
      </c>
      <c r="M933">
        <v>3</v>
      </c>
      <c r="N933" t="s">
        <v>6609</v>
      </c>
      <c r="O933" s="5">
        <v>45240</v>
      </c>
      <c r="P933" s="5">
        <v>43777</v>
      </c>
    </row>
    <row r="934" spans="1:16" x14ac:dyDescent="0.25">
      <c r="A934" t="s">
        <v>2177</v>
      </c>
      <c r="B934" t="str">
        <v>Huhtamaki India Limited</v>
      </c>
      <c r="C934" t="s">
        <v>14</v>
      </c>
      <c r="D934">
        <v>299.85000000000002</v>
      </c>
      <c r="E934">
        <v>305.64999999999998</v>
      </c>
      <c r="F934">
        <v>294.25</v>
      </c>
      <c r="G934" s="3">
        <v>299.25</v>
      </c>
      <c r="H934">
        <v>300</v>
      </c>
      <c r="I934">
        <v>298.60000000000002</v>
      </c>
      <c r="J934">
        <v>227662</v>
      </c>
      <c r="K934">
        <v>68058536.700000003</v>
      </c>
      <c r="L934" s="1">
        <v>45240</v>
      </c>
      <c r="M934">
        <v>7032</v>
      </c>
      <c r="N934" t="s">
        <v>2179</v>
      </c>
      <c r="O934" s="5">
        <v>45240</v>
      </c>
      <c r="P934" s="5">
        <v>43777</v>
      </c>
    </row>
    <row r="935" spans="1:16" x14ac:dyDescent="0.25">
      <c r="A935" t="s">
        <v>2180</v>
      </c>
      <c r="B935" t="str">
        <v>Hybrid Financial Services Limited</v>
      </c>
      <c r="C935" t="s">
        <v>10</v>
      </c>
      <c r="D935">
        <v>8</v>
      </c>
      <c r="E935">
        <v>8.1999999999999993</v>
      </c>
      <c r="F935">
        <v>7.7</v>
      </c>
      <c r="G935" s="3">
        <v>8.1999999999999993</v>
      </c>
      <c r="H935">
        <v>8.1999999999999993</v>
      </c>
      <c r="I935">
        <v>7.95</v>
      </c>
      <c r="J935">
        <v>3041</v>
      </c>
      <c r="K935">
        <v>24309.4</v>
      </c>
      <c r="L935" s="1">
        <v>45240</v>
      </c>
      <c r="M935">
        <v>13</v>
      </c>
      <c r="N935" t="s">
        <v>2182</v>
      </c>
      <c r="O935" s="5">
        <v>45240</v>
      </c>
      <c r="P935" s="5">
        <v>43777</v>
      </c>
    </row>
    <row r="936" spans="1:16" x14ac:dyDescent="0.25">
      <c r="A936" t="s">
        <v>2183</v>
      </c>
      <c r="B936" t="str">
        <v>Indiabulls Real Estate Limited</v>
      </c>
      <c r="C936" t="s">
        <v>14</v>
      </c>
      <c r="D936">
        <v>80.7</v>
      </c>
      <c r="E936">
        <v>82</v>
      </c>
      <c r="F936">
        <v>79.599999999999994</v>
      </c>
      <c r="G936" s="3">
        <v>80.5</v>
      </c>
      <c r="H936">
        <v>80</v>
      </c>
      <c r="I936">
        <v>80.8</v>
      </c>
      <c r="J936">
        <v>8069861</v>
      </c>
      <c r="K936">
        <v>651771839.5</v>
      </c>
      <c r="L936" s="1">
        <v>45240</v>
      </c>
      <c r="M936">
        <v>19217</v>
      </c>
      <c r="N936" t="s">
        <v>2185</v>
      </c>
      <c r="O936" s="5">
        <v>45240</v>
      </c>
      <c r="P936" s="5">
        <v>43777</v>
      </c>
    </row>
    <row r="937" spans="1:16" x14ac:dyDescent="0.25">
      <c r="A937" t="s">
        <v>6608</v>
      </c>
      <c r="B937" t="str">
        <v>Not Found</v>
      </c>
      <c r="C937" t="s">
        <v>6240</v>
      </c>
      <c r="D937">
        <v>1035</v>
      </c>
      <c r="E937">
        <v>1035</v>
      </c>
      <c r="F937">
        <v>1035</v>
      </c>
      <c r="G937" s="3">
        <v>1035</v>
      </c>
      <c r="H937">
        <v>1035</v>
      </c>
      <c r="I937">
        <v>1035</v>
      </c>
      <c r="J937">
        <v>10</v>
      </c>
      <c r="K937">
        <v>10350</v>
      </c>
      <c r="L937" s="1">
        <v>45240</v>
      </c>
      <c r="M937">
        <v>1</v>
      </c>
      <c r="N937" t="s">
        <v>6607</v>
      </c>
      <c r="O937" s="5">
        <v>45240</v>
      </c>
      <c r="P937" s="5">
        <v>43777</v>
      </c>
    </row>
    <row r="938" spans="1:16" x14ac:dyDescent="0.25">
      <c r="A938" t="s">
        <v>6606</v>
      </c>
      <c r="B938" t="str">
        <v>Not Found</v>
      </c>
      <c r="C938" t="s">
        <v>6207</v>
      </c>
      <c r="D938">
        <v>999.99</v>
      </c>
      <c r="E938">
        <v>999.99</v>
      </c>
      <c r="F938">
        <v>999.99</v>
      </c>
      <c r="G938" s="3">
        <v>999.99</v>
      </c>
      <c r="H938">
        <v>999.99</v>
      </c>
      <c r="I938">
        <v>1000</v>
      </c>
      <c r="J938">
        <v>5000</v>
      </c>
      <c r="K938">
        <v>4999950</v>
      </c>
      <c r="L938" s="1">
        <v>45240</v>
      </c>
      <c r="M938">
        <v>3</v>
      </c>
      <c r="N938" t="s">
        <v>6605</v>
      </c>
      <c r="O938" s="5">
        <v>45240</v>
      </c>
      <c r="P938" s="5">
        <v>43777</v>
      </c>
    </row>
    <row r="939" spans="1:16" x14ac:dyDescent="0.25">
      <c r="A939" t="s">
        <v>2186</v>
      </c>
      <c r="B939" t="str">
        <v>Indiabulls Housing Finance Limited</v>
      </c>
      <c r="C939" t="s">
        <v>6604</v>
      </c>
      <c r="D939">
        <v>960</v>
      </c>
      <c r="E939">
        <v>960</v>
      </c>
      <c r="F939">
        <v>960</v>
      </c>
      <c r="G939" s="3">
        <v>960</v>
      </c>
      <c r="H939">
        <v>960</v>
      </c>
      <c r="I939">
        <v>969.99</v>
      </c>
      <c r="J939">
        <v>2</v>
      </c>
      <c r="K939">
        <v>1920</v>
      </c>
      <c r="L939" s="1">
        <v>45240</v>
      </c>
      <c r="M939">
        <v>1</v>
      </c>
      <c r="N939" t="s">
        <v>6603</v>
      </c>
      <c r="O939" s="5">
        <v>45240</v>
      </c>
      <c r="P939" s="5">
        <v>43777</v>
      </c>
    </row>
    <row r="940" spans="1:16" x14ac:dyDescent="0.25">
      <c r="A940" t="s">
        <v>2186</v>
      </c>
      <c r="B940" t="str">
        <v>Indiabulls Housing Finance Limited</v>
      </c>
      <c r="C940" t="s">
        <v>6602</v>
      </c>
      <c r="D940">
        <v>980</v>
      </c>
      <c r="E940">
        <v>980</v>
      </c>
      <c r="F940">
        <v>980</v>
      </c>
      <c r="G940" s="3">
        <v>980</v>
      </c>
      <c r="H940">
        <v>980</v>
      </c>
      <c r="I940">
        <v>980</v>
      </c>
      <c r="J940">
        <v>11</v>
      </c>
      <c r="K940">
        <v>10780</v>
      </c>
      <c r="L940" s="1">
        <v>45240</v>
      </c>
      <c r="M940">
        <v>2</v>
      </c>
      <c r="N940" t="s">
        <v>6601</v>
      </c>
      <c r="O940" s="5">
        <v>45240</v>
      </c>
      <c r="P940" s="5">
        <v>43777</v>
      </c>
    </row>
    <row r="941" spans="1:16" x14ac:dyDescent="0.25">
      <c r="A941" t="s">
        <v>2186</v>
      </c>
      <c r="B941" t="str">
        <v>Indiabulls Housing Finance Limited</v>
      </c>
      <c r="C941" t="s">
        <v>6600</v>
      </c>
      <c r="D941">
        <v>975</v>
      </c>
      <c r="E941">
        <v>975</v>
      </c>
      <c r="F941">
        <v>975</v>
      </c>
      <c r="G941" s="3">
        <v>975</v>
      </c>
      <c r="H941">
        <v>975</v>
      </c>
      <c r="I941">
        <v>989</v>
      </c>
      <c r="J941">
        <v>1</v>
      </c>
      <c r="K941">
        <v>975</v>
      </c>
      <c r="L941" s="1">
        <v>45240</v>
      </c>
      <c r="M941">
        <v>1</v>
      </c>
      <c r="N941" t="s">
        <v>6599</v>
      </c>
      <c r="O941" s="5">
        <v>45240</v>
      </c>
      <c r="P941" s="5">
        <v>43777</v>
      </c>
    </row>
    <row r="942" spans="1:16" x14ac:dyDescent="0.25">
      <c r="A942" t="s">
        <v>2186</v>
      </c>
      <c r="B942" t="str">
        <v>Indiabulls Housing Finance Limited</v>
      </c>
      <c r="C942" t="s">
        <v>14</v>
      </c>
      <c r="D942">
        <v>168</v>
      </c>
      <c r="E942">
        <v>169.5</v>
      </c>
      <c r="F942">
        <v>166.15</v>
      </c>
      <c r="G942" s="3">
        <v>167.9</v>
      </c>
      <c r="H942">
        <v>167.9</v>
      </c>
      <c r="I942">
        <v>168.85</v>
      </c>
      <c r="J942">
        <v>4845906</v>
      </c>
      <c r="K942">
        <v>813916951.64999998</v>
      </c>
      <c r="L942" s="1">
        <v>45240</v>
      </c>
      <c r="M942">
        <v>23056</v>
      </c>
      <c r="N942" t="s">
        <v>2188</v>
      </c>
      <c r="O942" s="5">
        <v>45240</v>
      </c>
      <c r="P942" s="5">
        <v>43777</v>
      </c>
    </row>
    <row r="943" spans="1:16" x14ac:dyDescent="0.25">
      <c r="A943" t="s">
        <v>2186</v>
      </c>
      <c r="B943" t="str">
        <v>Indiabulls Housing Finance Limited</v>
      </c>
      <c r="C943" t="s">
        <v>5874</v>
      </c>
      <c r="D943">
        <v>960.99</v>
      </c>
      <c r="E943">
        <v>962</v>
      </c>
      <c r="F943">
        <v>960.99</v>
      </c>
      <c r="G943" s="3">
        <v>962</v>
      </c>
      <c r="H943">
        <v>962</v>
      </c>
      <c r="I943">
        <v>962.4</v>
      </c>
      <c r="J943">
        <v>140</v>
      </c>
      <c r="K943">
        <v>134610.79999999999</v>
      </c>
      <c r="L943" s="1">
        <v>45240</v>
      </c>
      <c r="M943">
        <v>8</v>
      </c>
      <c r="N943" t="s">
        <v>6598</v>
      </c>
      <c r="O943" s="5">
        <v>45240</v>
      </c>
      <c r="P943" s="5">
        <v>43777</v>
      </c>
    </row>
    <row r="944" spans="1:16" x14ac:dyDescent="0.25">
      <c r="A944" t="s">
        <v>2186</v>
      </c>
      <c r="B944" t="str">
        <v>Indiabulls Housing Finance Limited</v>
      </c>
      <c r="C944" t="s">
        <v>6130</v>
      </c>
      <c r="D944">
        <v>935</v>
      </c>
      <c r="E944">
        <v>935</v>
      </c>
      <c r="F944">
        <v>935</v>
      </c>
      <c r="G944" s="3">
        <v>935</v>
      </c>
      <c r="H944">
        <v>935</v>
      </c>
      <c r="I944">
        <v>935</v>
      </c>
      <c r="J944">
        <v>30</v>
      </c>
      <c r="K944">
        <v>28050</v>
      </c>
      <c r="L944" s="1">
        <v>45240</v>
      </c>
      <c r="M944">
        <v>1</v>
      </c>
      <c r="N944" t="s">
        <v>6597</v>
      </c>
      <c r="O944" s="5">
        <v>45240</v>
      </c>
      <c r="P944" s="5">
        <v>43777</v>
      </c>
    </row>
    <row r="945" spans="1:16" x14ac:dyDescent="0.25">
      <c r="A945" t="s">
        <v>2186</v>
      </c>
      <c r="B945" t="str">
        <v>Indiabulls Housing Finance Limited</v>
      </c>
      <c r="C945" t="s">
        <v>6247</v>
      </c>
      <c r="D945">
        <v>944.95</v>
      </c>
      <c r="E945">
        <v>944.95</v>
      </c>
      <c r="F945">
        <v>944.95</v>
      </c>
      <c r="G945" s="3">
        <v>944.95</v>
      </c>
      <c r="H945">
        <v>944.95</v>
      </c>
      <c r="I945">
        <v>940</v>
      </c>
      <c r="J945">
        <v>25</v>
      </c>
      <c r="K945">
        <v>23623.75</v>
      </c>
      <c r="L945" s="1">
        <v>45240</v>
      </c>
      <c r="M945">
        <v>1</v>
      </c>
      <c r="N945" t="s">
        <v>6596</v>
      </c>
      <c r="O945" s="5">
        <v>45240</v>
      </c>
      <c r="P945" s="5">
        <v>43777</v>
      </c>
    </row>
    <row r="946" spans="1:16" x14ac:dyDescent="0.25">
      <c r="A946" t="s">
        <v>2186</v>
      </c>
      <c r="B946" t="str">
        <v>Indiabulls Housing Finance Limited</v>
      </c>
      <c r="C946" t="s">
        <v>5865</v>
      </c>
      <c r="D946">
        <v>965</v>
      </c>
      <c r="E946">
        <v>970</v>
      </c>
      <c r="F946">
        <v>965</v>
      </c>
      <c r="G946" s="3">
        <v>970</v>
      </c>
      <c r="H946">
        <v>970</v>
      </c>
      <c r="I946">
        <v>963</v>
      </c>
      <c r="J946">
        <v>100</v>
      </c>
      <c r="K946">
        <v>96950</v>
      </c>
      <c r="L946" s="1">
        <v>45240</v>
      </c>
      <c r="M946">
        <v>3</v>
      </c>
      <c r="N946" t="s">
        <v>6595</v>
      </c>
      <c r="O946" s="5">
        <v>45240</v>
      </c>
      <c r="P946" s="5">
        <v>43777</v>
      </c>
    </row>
    <row r="947" spans="1:16" x14ac:dyDescent="0.25">
      <c r="A947" t="s">
        <v>2186</v>
      </c>
      <c r="B947" t="str">
        <v>Indiabulls Housing Finance Limited</v>
      </c>
      <c r="C947" t="s">
        <v>6594</v>
      </c>
      <c r="D947">
        <v>1163.45</v>
      </c>
      <c r="E947">
        <v>1163.45</v>
      </c>
      <c r="F947">
        <v>1163.45</v>
      </c>
      <c r="G947" s="3">
        <v>1163.45</v>
      </c>
      <c r="H947">
        <v>1163.45</v>
      </c>
      <c r="I947">
        <v>1158.8499999999999</v>
      </c>
      <c r="J947">
        <v>5</v>
      </c>
      <c r="K947">
        <v>5817.25</v>
      </c>
      <c r="L947" s="1">
        <v>45240</v>
      </c>
      <c r="M947">
        <v>1</v>
      </c>
      <c r="N947" t="s">
        <v>6593</v>
      </c>
      <c r="O947" s="5">
        <v>45240</v>
      </c>
      <c r="P947" s="5">
        <v>43777</v>
      </c>
    </row>
    <row r="948" spans="1:16" x14ac:dyDescent="0.25">
      <c r="A948" t="s">
        <v>2186</v>
      </c>
      <c r="B948" t="str">
        <v>Indiabulls Housing Finance Limited</v>
      </c>
      <c r="C948" t="s">
        <v>6592</v>
      </c>
      <c r="D948">
        <v>990</v>
      </c>
      <c r="E948">
        <v>990</v>
      </c>
      <c r="F948">
        <v>990</v>
      </c>
      <c r="G948" s="3">
        <v>990</v>
      </c>
      <c r="H948">
        <v>990</v>
      </c>
      <c r="I948">
        <v>988</v>
      </c>
      <c r="J948">
        <v>20</v>
      </c>
      <c r="K948">
        <v>19800</v>
      </c>
      <c r="L948" s="1">
        <v>45240</v>
      </c>
      <c r="M948">
        <v>1</v>
      </c>
      <c r="N948" t="s">
        <v>6591</v>
      </c>
      <c r="O948" s="5">
        <v>45240</v>
      </c>
      <c r="P948" s="5">
        <v>43777</v>
      </c>
    </row>
    <row r="949" spans="1:16" x14ac:dyDescent="0.25">
      <c r="A949" t="s">
        <v>2186</v>
      </c>
      <c r="B949" t="str">
        <v>Indiabulls Housing Finance Limited</v>
      </c>
      <c r="C949" t="s">
        <v>6590</v>
      </c>
      <c r="D949">
        <v>944.8</v>
      </c>
      <c r="E949">
        <v>944.8</v>
      </c>
      <c r="F949">
        <v>944.8</v>
      </c>
      <c r="G949" s="3">
        <v>944.8</v>
      </c>
      <c r="H949">
        <v>944.8</v>
      </c>
      <c r="I949">
        <v>944.8</v>
      </c>
      <c r="J949">
        <v>10</v>
      </c>
      <c r="K949">
        <v>9448</v>
      </c>
      <c r="L949" s="1">
        <v>45240</v>
      </c>
      <c r="M949">
        <v>1</v>
      </c>
      <c r="N949" t="s">
        <v>6589</v>
      </c>
      <c r="O949" s="5">
        <v>45240</v>
      </c>
      <c r="P949" s="5">
        <v>43777</v>
      </c>
    </row>
    <row r="950" spans="1:16" x14ac:dyDescent="0.25">
      <c r="A950" t="s">
        <v>2186</v>
      </c>
      <c r="B950" t="str">
        <v>Indiabulls Housing Finance Limited</v>
      </c>
      <c r="C950" t="s">
        <v>6588</v>
      </c>
      <c r="D950">
        <v>1035.68</v>
      </c>
      <c r="E950">
        <v>1035.68</v>
      </c>
      <c r="F950">
        <v>1035.68</v>
      </c>
      <c r="G950" s="3">
        <v>1035.68</v>
      </c>
      <c r="H950">
        <v>1035.68</v>
      </c>
      <c r="I950">
        <v>980.1</v>
      </c>
      <c r="J950">
        <v>24</v>
      </c>
      <c r="K950">
        <v>24856.32</v>
      </c>
      <c r="L950" s="1">
        <v>45240</v>
      </c>
      <c r="M950">
        <v>1</v>
      </c>
      <c r="N950" t="s">
        <v>6587</v>
      </c>
      <c r="O950" s="5">
        <v>45240</v>
      </c>
      <c r="P950" s="5">
        <v>43777</v>
      </c>
    </row>
    <row r="951" spans="1:16" x14ac:dyDescent="0.25">
      <c r="A951" t="s">
        <v>2186</v>
      </c>
      <c r="B951" t="str">
        <v>Indiabulls Housing Finance Limited</v>
      </c>
      <c r="C951" t="s">
        <v>6586</v>
      </c>
      <c r="D951">
        <v>960</v>
      </c>
      <c r="E951">
        <v>960</v>
      </c>
      <c r="F951">
        <v>960</v>
      </c>
      <c r="G951" s="3">
        <v>960</v>
      </c>
      <c r="H951">
        <v>960</v>
      </c>
      <c r="I951">
        <v>977</v>
      </c>
      <c r="J951">
        <v>5</v>
      </c>
      <c r="K951">
        <v>4800</v>
      </c>
      <c r="L951" s="1">
        <v>45240</v>
      </c>
      <c r="M951">
        <v>1</v>
      </c>
      <c r="N951" t="s">
        <v>6585</v>
      </c>
      <c r="O951" s="5">
        <v>45240</v>
      </c>
      <c r="P951" s="5">
        <v>43777</v>
      </c>
    </row>
    <row r="952" spans="1:16" x14ac:dyDescent="0.25">
      <c r="A952" t="s">
        <v>2186</v>
      </c>
      <c r="B952" t="str">
        <v>Indiabulls Housing Finance Limited</v>
      </c>
      <c r="C952" t="s">
        <v>5927</v>
      </c>
      <c r="D952">
        <v>970.9</v>
      </c>
      <c r="E952">
        <v>970.9</v>
      </c>
      <c r="F952">
        <v>970.9</v>
      </c>
      <c r="G952" s="3">
        <v>970.9</v>
      </c>
      <c r="H952">
        <v>970.9</v>
      </c>
      <c r="I952">
        <v>963.45</v>
      </c>
      <c r="J952">
        <v>9</v>
      </c>
      <c r="K952">
        <v>8738.1</v>
      </c>
      <c r="L952" s="1">
        <v>45240</v>
      </c>
      <c r="M952">
        <v>1</v>
      </c>
      <c r="N952" t="s">
        <v>6584</v>
      </c>
      <c r="O952" s="5">
        <v>45240</v>
      </c>
      <c r="P952" s="5">
        <v>43777</v>
      </c>
    </row>
    <row r="953" spans="1:16" x14ac:dyDescent="0.25">
      <c r="A953" t="s">
        <v>2186</v>
      </c>
      <c r="B953" t="str">
        <v>Indiabulls Housing Finance Limited</v>
      </c>
      <c r="C953" t="s">
        <v>6583</v>
      </c>
      <c r="D953">
        <v>1012.2</v>
      </c>
      <c r="E953">
        <v>1012.2</v>
      </c>
      <c r="F953">
        <v>1012.2</v>
      </c>
      <c r="G953" s="3">
        <v>1012.2</v>
      </c>
      <c r="H953">
        <v>1012.2</v>
      </c>
      <c r="I953">
        <v>1010</v>
      </c>
      <c r="J953">
        <v>1</v>
      </c>
      <c r="K953">
        <v>1012.2</v>
      </c>
      <c r="L953" s="1">
        <v>45240</v>
      </c>
      <c r="M953">
        <v>1</v>
      </c>
      <c r="N953" t="s">
        <v>6582</v>
      </c>
      <c r="O953" s="5">
        <v>45240</v>
      </c>
      <c r="P953" s="5">
        <v>43777</v>
      </c>
    </row>
    <row r="954" spans="1:16" x14ac:dyDescent="0.25">
      <c r="A954" t="s">
        <v>2186</v>
      </c>
      <c r="B954" t="str">
        <v>Indiabulls Housing Finance Limited</v>
      </c>
      <c r="C954" t="s">
        <v>6581</v>
      </c>
      <c r="D954">
        <v>975</v>
      </c>
      <c r="E954">
        <v>975</v>
      </c>
      <c r="F954">
        <v>975</v>
      </c>
      <c r="G954" s="3">
        <v>975</v>
      </c>
      <c r="H954">
        <v>975</v>
      </c>
      <c r="I954">
        <v>975</v>
      </c>
      <c r="J954">
        <v>11</v>
      </c>
      <c r="K954">
        <v>10725</v>
      </c>
      <c r="L954" s="1">
        <v>45240</v>
      </c>
      <c r="M954">
        <v>2</v>
      </c>
      <c r="N954" t="s">
        <v>6580</v>
      </c>
      <c r="O954" s="5">
        <v>45240</v>
      </c>
      <c r="P954" s="5">
        <v>43777</v>
      </c>
    </row>
    <row r="955" spans="1:16" x14ac:dyDescent="0.25">
      <c r="A955" t="s">
        <v>2189</v>
      </c>
      <c r="B955" t="str">
        <v>ICDS Limited</v>
      </c>
      <c r="C955" t="s">
        <v>10</v>
      </c>
      <c r="D955">
        <v>25.45</v>
      </c>
      <c r="E955">
        <v>25.45</v>
      </c>
      <c r="F955">
        <v>25.45</v>
      </c>
      <c r="G955" s="3">
        <v>25.45</v>
      </c>
      <c r="H955">
        <v>25.45</v>
      </c>
      <c r="I955">
        <v>24.25</v>
      </c>
      <c r="J955">
        <v>360</v>
      </c>
      <c r="K955">
        <v>9162</v>
      </c>
      <c r="L955" s="1">
        <v>45240</v>
      </c>
      <c r="M955">
        <v>2</v>
      </c>
      <c r="N955" t="s">
        <v>2191</v>
      </c>
      <c r="O955" s="5">
        <v>45240</v>
      </c>
      <c r="P955" s="5">
        <v>43777</v>
      </c>
    </row>
    <row r="956" spans="1:16" x14ac:dyDescent="0.25">
      <c r="A956" t="s">
        <v>2192</v>
      </c>
      <c r="B956" t="str">
        <v>Ice Make Refrigeration Limited</v>
      </c>
      <c r="C956" t="s">
        <v>14</v>
      </c>
      <c r="D956">
        <v>612</v>
      </c>
      <c r="E956">
        <v>623</v>
      </c>
      <c r="F956">
        <v>590</v>
      </c>
      <c r="G956" s="3">
        <v>592.95000000000005</v>
      </c>
      <c r="H956">
        <v>593</v>
      </c>
      <c r="I956">
        <v>608.95000000000005</v>
      </c>
      <c r="J956">
        <v>43611</v>
      </c>
      <c r="K956">
        <v>26153447.699999999</v>
      </c>
      <c r="L956" s="1">
        <v>45240</v>
      </c>
      <c r="M956">
        <v>2645</v>
      </c>
      <c r="N956" t="s">
        <v>2194</v>
      </c>
      <c r="O956" s="5">
        <v>45240</v>
      </c>
      <c r="P956" s="5">
        <v>43777</v>
      </c>
    </row>
    <row r="957" spans="1:16" x14ac:dyDescent="0.25">
      <c r="A957" t="s">
        <v>6579</v>
      </c>
      <c r="B957" t="str">
        <v>Not Found</v>
      </c>
      <c r="C957" t="s">
        <v>14</v>
      </c>
      <c r="D957">
        <v>29.13</v>
      </c>
      <c r="E957">
        <v>29.13</v>
      </c>
      <c r="F957">
        <v>28.75</v>
      </c>
      <c r="G957" s="3">
        <v>28.9</v>
      </c>
      <c r="H957">
        <v>28.94</v>
      </c>
      <c r="I957">
        <v>28.89</v>
      </c>
      <c r="J957">
        <v>13064</v>
      </c>
      <c r="K957">
        <v>377173.28</v>
      </c>
      <c r="L957" s="1">
        <v>45240</v>
      </c>
      <c r="M957">
        <v>447</v>
      </c>
      <c r="N957" t="s">
        <v>6578</v>
      </c>
      <c r="O957" s="5">
        <v>45240</v>
      </c>
      <c r="P957" s="5">
        <v>43777</v>
      </c>
    </row>
    <row r="958" spans="1:16" x14ac:dyDescent="0.25">
      <c r="A958" t="s">
        <v>6577</v>
      </c>
      <c r="B958" t="str">
        <v>Not Found</v>
      </c>
      <c r="C958" t="s">
        <v>14</v>
      </c>
      <c r="D958">
        <v>53.96</v>
      </c>
      <c r="E958">
        <v>53.96</v>
      </c>
      <c r="F958">
        <v>53.64</v>
      </c>
      <c r="G958" s="3">
        <v>53.86</v>
      </c>
      <c r="H958">
        <v>53.86</v>
      </c>
      <c r="I958">
        <v>53.9</v>
      </c>
      <c r="J958">
        <v>1665</v>
      </c>
      <c r="K958">
        <v>89547.65</v>
      </c>
      <c r="L958" s="1">
        <v>45240</v>
      </c>
      <c r="M958">
        <v>16</v>
      </c>
      <c r="N958" t="s">
        <v>6576</v>
      </c>
      <c r="O958" s="5">
        <v>45240</v>
      </c>
      <c r="P958" s="5">
        <v>43777</v>
      </c>
    </row>
    <row r="959" spans="1:16" x14ac:dyDescent="0.25">
      <c r="A959" t="s">
        <v>6575</v>
      </c>
      <c r="B959" t="str">
        <v>Not Found</v>
      </c>
      <c r="C959" t="s">
        <v>14</v>
      </c>
      <c r="D959">
        <v>208.2</v>
      </c>
      <c r="E959">
        <v>209.79</v>
      </c>
      <c r="F959">
        <v>207.53</v>
      </c>
      <c r="G959" s="3">
        <v>209.52</v>
      </c>
      <c r="H959">
        <v>209.76</v>
      </c>
      <c r="I959">
        <v>208.84</v>
      </c>
      <c r="J959">
        <v>127536</v>
      </c>
      <c r="K959">
        <v>26700366.32</v>
      </c>
      <c r="L959" s="1">
        <v>45240</v>
      </c>
      <c r="M959">
        <v>437</v>
      </c>
      <c r="N959" t="s">
        <v>6574</v>
      </c>
      <c r="O959" s="5">
        <v>45240</v>
      </c>
      <c r="P959" s="5">
        <v>43777</v>
      </c>
    </row>
    <row r="960" spans="1:16" x14ac:dyDescent="0.25">
      <c r="A960" t="s">
        <v>6573</v>
      </c>
      <c r="B960" t="str">
        <v>Not Found</v>
      </c>
      <c r="C960" t="s">
        <v>14</v>
      </c>
      <c r="D960">
        <v>165.89</v>
      </c>
      <c r="E960">
        <v>165.89</v>
      </c>
      <c r="F960">
        <v>164.5</v>
      </c>
      <c r="G960" s="3">
        <v>165.48</v>
      </c>
      <c r="H960">
        <v>165.6</v>
      </c>
      <c r="I960">
        <v>165.89</v>
      </c>
      <c r="J960">
        <v>2635</v>
      </c>
      <c r="K960">
        <v>435459.55</v>
      </c>
      <c r="L960" s="1">
        <v>45240</v>
      </c>
      <c r="M960">
        <v>136</v>
      </c>
      <c r="N960" t="s">
        <v>6572</v>
      </c>
      <c r="O960" s="5">
        <v>45240</v>
      </c>
      <c r="P960" s="5">
        <v>43777</v>
      </c>
    </row>
    <row r="961" spans="1:16" x14ac:dyDescent="0.25">
      <c r="A961" t="s">
        <v>6571</v>
      </c>
      <c r="B961" t="str">
        <v>Not Found</v>
      </c>
      <c r="C961" t="s">
        <v>14</v>
      </c>
      <c r="D961">
        <v>76.33</v>
      </c>
      <c r="E961">
        <v>77.02</v>
      </c>
      <c r="F961">
        <v>75.91</v>
      </c>
      <c r="G961" s="3">
        <v>76.88</v>
      </c>
      <c r="H961">
        <v>76.849999999999994</v>
      </c>
      <c r="I961">
        <v>76.33</v>
      </c>
      <c r="J961">
        <v>662221</v>
      </c>
      <c r="K961">
        <v>50940069.25</v>
      </c>
      <c r="L961" s="1">
        <v>45240</v>
      </c>
      <c r="M961">
        <v>2442</v>
      </c>
      <c r="N961" t="s">
        <v>6570</v>
      </c>
      <c r="O961" s="5">
        <v>45240</v>
      </c>
      <c r="P961" s="5">
        <v>43777</v>
      </c>
    </row>
    <row r="962" spans="1:16" x14ac:dyDescent="0.25">
      <c r="A962" t="s">
        <v>2195</v>
      </c>
      <c r="B962" t="str">
        <v>ICICI Bank Limited</v>
      </c>
      <c r="C962" t="s">
        <v>14</v>
      </c>
      <c r="D962">
        <v>934.9</v>
      </c>
      <c r="E962">
        <v>941.45</v>
      </c>
      <c r="F962">
        <v>932.4</v>
      </c>
      <c r="G962" s="3">
        <v>938.6</v>
      </c>
      <c r="H962">
        <v>940.5</v>
      </c>
      <c r="I962">
        <v>937.35</v>
      </c>
      <c r="J962">
        <v>9560455</v>
      </c>
      <c r="K962">
        <v>8962808080</v>
      </c>
      <c r="L962" s="1">
        <v>45240</v>
      </c>
      <c r="M962">
        <v>160920</v>
      </c>
      <c r="N962" t="s">
        <v>2197</v>
      </c>
      <c r="O962" s="5">
        <v>45240</v>
      </c>
      <c r="P962" s="5">
        <v>43777</v>
      </c>
    </row>
    <row r="963" spans="1:16" x14ac:dyDescent="0.25">
      <c r="A963" t="s">
        <v>6569</v>
      </c>
      <c r="B963" t="str">
        <v>Not Found</v>
      </c>
      <c r="C963" t="s">
        <v>14</v>
      </c>
      <c r="D963">
        <v>45.45</v>
      </c>
      <c r="E963">
        <v>45.45</v>
      </c>
      <c r="F963">
        <v>43.91</v>
      </c>
      <c r="G963" s="3">
        <v>44.19</v>
      </c>
      <c r="H963">
        <v>44.28</v>
      </c>
      <c r="I963">
        <v>44.11</v>
      </c>
      <c r="J963">
        <v>563699</v>
      </c>
      <c r="K963">
        <v>24841938.460000001</v>
      </c>
      <c r="L963" s="1">
        <v>45240</v>
      </c>
      <c r="M963">
        <v>395</v>
      </c>
      <c r="N963" t="s">
        <v>6568</v>
      </c>
      <c r="O963" s="5">
        <v>45240</v>
      </c>
      <c r="P963" s="5">
        <v>43777</v>
      </c>
    </row>
    <row r="964" spans="1:16" x14ac:dyDescent="0.25">
      <c r="A964" t="s">
        <v>6567</v>
      </c>
      <c r="B964" t="str">
        <v>Not Found</v>
      </c>
      <c r="C964" t="s">
        <v>14</v>
      </c>
      <c r="D964">
        <v>226.94</v>
      </c>
      <c r="E964">
        <v>227.82</v>
      </c>
      <c r="F964">
        <v>226.51</v>
      </c>
      <c r="G964" s="3">
        <v>227.81</v>
      </c>
      <c r="H964">
        <v>227.82</v>
      </c>
      <c r="I964">
        <v>227.34</v>
      </c>
      <c r="J964">
        <v>3015</v>
      </c>
      <c r="K964">
        <v>685414.61</v>
      </c>
      <c r="L964" s="1">
        <v>45240</v>
      </c>
      <c r="M964">
        <v>96</v>
      </c>
      <c r="N964" t="s">
        <v>6566</v>
      </c>
      <c r="O964" s="5">
        <v>45240</v>
      </c>
      <c r="P964" s="5">
        <v>43777</v>
      </c>
    </row>
    <row r="965" spans="1:16" x14ac:dyDescent="0.25">
      <c r="A965" t="s">
        <v>6565</v>
      </c>
      <c r="B965" t="str">
        <v>Not Found</v>
      </c>
      <c r="C965" t="s">
        <v>14</v>
      </c>
      <c r="D965">
        <v>64.88</v>
      </c>
      <c r="E965">
        <v>65.290000000000006</v>
      </c>
      <c r="F965">
        <v>64.62</v>
      </c>
      <c r="G965" s="3">
        <v>65.13</v>
      </c>
      <c r="H965">
        <v>65.11</v>
      </c>
      <c r="I965">
        <v>64.900000000000006</v>
      </c>
      <c r="J965">
        <v>5008</v>
      </c>
      <c r="K965">
        <v>325667.24</v>
      </c>
      <c r="L965" s="1">
        <v>45240</v>
      </c>
      <c r="M965">
        <v>119</v>
      </c>
      <c r="N965" t="s">
        <v>6564</v>
      </c>
      <c r="O965" s="5">
        <v>45240</v>
      </c>
      <c r="P965" s="5">
        <v>43777</v>
      </c>
    </row>
    <row r="966" spans="1:16" x14ac:dyDescent="0.25">
      <c r="A966" t="s">
        <v>6563</v>
      </c>
      <c r="B966" t="str">
        <v>Not Found</v>
      </c>
      <c r="C966" t="s">
        <v>14</v>
      </c>
      <c r="D966">
        <v>87.11</v>
      </c>
      <c r="E966">
        <v>87.2</v>
      </c>
      <c r="F966">
        <v>86.52</v>
      </c>
      <c r="G966" s="3">
        <v>87.03</v>
      </c>
      <c r="H966">
        <v>87.05</v>
      </c>
      <c r="I966">
        <v>87.1</v>
      </c>
      <c r="J966">
        <v>1171</v>
      </c>
      <c r="K966">
        <v>101905.71</v>
      </c>
      <c r="L966" s="1">
        <v>45240</v>
      </c>
      <c r="M966">
        <v>34</v>
      </c>
      <c r="N966" t="s">
        <v>6562</v>
      </c>
      <c r="O966" s="5">
        <v>45240</v>
      </c>
      <c r="P966" s="5">
        <v>43777</v>
      </c>
    </row>
    <row r="967" spans="1:16" x14ac:dyDescent="0.25">
      <c r="A967" t="s">
        <v>6561</v>
      </c>
      <c r="B967" t="str">
        <v>Not Found</v>
      </c>
      <c r="C967" t="s">
        <v>14</v>
      </c>
      <c r="D967">
        <v>20.89</v>
      </c>
      <c r="E967">
        <v>20.92</v>
      </c>
      <c r="F967">
        <v>20.65</v>
      </c>
      <c r="G967" s="3">
        <v>20.87</v>
      </c>
      <c r="H967">
        <v>20.81</v>
      </c>
      <c r="I967">
        <v>20.77</v>
      </c>
      <c r="J967">
        <v>26371</v>
      </c>
      <c r="K967">
        <v>547398.64</v>
      </c>
      <c r="L967" s="1">
        <v>45240</v>
      </c>
      <c r="M967">
        <v>130</v>
      </c>
      <c r="N967" t="s">
        <v>6560</v>
      </c>
      <c r="O967" s="5">
        <v>45240</v>
      </c>
      <c r="P967" s="5">
        <v>43777</v>
      </c>
    </row>
    <row r="968" spans="1:16" x14ac:dyDescent="0.25">
      <c r="A968" t="s">
        <v>6559</v>
      </c>
      <c r="B968" t="str">
        <v>Not Found</v>
      </c>
      <c r="C968" t="s">
        <v>14</v>
      </c>
      <c r="D968">
        <v>541.87</v>
      </c>
      <c r="E968">
        <v>541.87</v>
      </c>
      <c r="F968">
        <v>533.51</v>
      </c>
      <c r="G968" s="3">
        <v>538.05999999999995</v>
      </c>
      <c r="H968">
        <v>538.5</v>
      </c>
      <c r="I968">
        <v>538.04999999999995</v>
      </c>
      <c r="J968">
        <v>2148</v>
      </c>
      <c r="K968">
        <v>1150307.51</v>
      </c>
      <c r="L968" s="1">
        <v>45240</v>
      </c>
      <c r="M968">
        <v>205</v>
      </c>
      <c r="N968" t="s">
        <v>6558</v>
      </c>
      <c r="O968" s="5">
        <v>45240</v>
      </c>
      <c r="P968" s="5">
        <v>43777</v>
      </c>
    </row>
    <row r="969" spans="1:16" x14ac:dyDescent="0.25">
      <c r="A969" t="s">
        <v>2198</v>
      </c>
      <c r="B969" t="str">
        <v>ICICI Lombard General Insurance Company Limited</v>
      </c>
      <c r="C969" t="s">
        <v>14</v>
      </c>
      <c r="D969">
        <v>1350</v>
      </c>
      <c r="E969">
        <v>1362.45</v>
      </c>
      <c r="F969">
        <v>1344</v>
      </c>
      <c r="G969" s="3">
        <v>1352.25</v>
      </c>
      <c r="H969">
        <v>1355.35</v>
      </c>
      <c r="I969">
        <v>1357.2</v>
      </c>
      <c r="J969">
        <v>285344</v>
      </c>
      <c r="K969">
        <v>385445857.19999999</v>
      </c>
      <c r="L969" s="1">
        <v>45240</v>
      </c>
      <c r="M969">
        <v>23915</v>
      </c>
      <c r="N969" t="s">
        <v>2200</v>
      </c>
      <c r="O969" s="5">
        <v>45240</v>
      </c>
      <c r="P969" s="5">
        <v>43777</v>
      </c>
    </row>
    <row r="970" spans="1:16" x14ac:dyDescent="0.25">
      <c r="A970" t="s">
        <v>6557</v>
      </c>
      <c r="B970" t="str">
        <v>Not Found</v>
      </c>
      <c r="C970" t="s">
        <v>14</v>
      </c>
      <c r="D970">
        <v>54</v>
      </c>
      <c r="E970">
        <v>54</v>
      </c>
      <c r="F970">
        <v>52.61</v>
      </c>
      <c r="G970" s="3">
        <v>52.8</v>
      </c>
      <c r="H970">
        <v>52.83</v>
      </c>
      <c r="I970">
        <v>52.43</v>
      </c>
      <c r="J970">
        <v>1219638</v>
      </c>
      <c r="K970">
        <v>64386079.960000001</v>
      </c>
      <c r="L970" s="1">
        <v>45240</v>
      </c>
      <c r="M970">
        <v>5864</v>
      </c>
      <c r="N970" t="s">
        <v>6556</v>
      </c>
      <c r="O970" s="5">
        <v>45240</v>
      </c>
      <c r="P970" s="5">
        <v>43777</v>
      </c>
    </row>
    <row r="971" spans="1:16" x14ac:dyDescent="0.25">
      <c r="A971" t="s">
        <v>6555</v>
      </c>
      <c r="B971" t="str">
        <v>Not Found</v>
      </c>
      <c r="C971" t="s">
        <v>14</v>
      </c>
      <c r="D971">
        <v>67.03</v>
      </c>
      <c r="E971">
        <v>67.03</v>
      </c>
      <c r="F971">
        <v>64</v>
      </c>
      <c r="G971" s="3">
        <v>64.42</v>
      </c>
      <c r="H971">
        <v>64.319999999999993</v>
      </c>
      <c r="I971">
        <v>64.13</v>
      </c>
      <c r="J971">
        <v>2221</v>
      </c>
      <c r="K971">
        <v>142780.04999999999</v>
      </c>
      <c r="L971" s="1">
        <v>45240</v>
      </c>
      <c r="M971">
        <v>83</v>
      </c>
      <c r="N971" t="s">
        <v>6554</v>
      </c>
      <c r="O971" s="5">
        <v>45240</v>
      </c>
      <c r="P971" s="5">
        <v>43777</v>
      </c>
    </row>
    <row r="972" spans="1:16" x14ac:dyDescent="0.25">
      <c r="A972" t="s">
        <v>6553</v>
      </c>
      <c r="B972" t="str">
        <v>Not Found</v>
      </c>
      <c r="C972" t="s">
        <v>14</v>
      </c>
      <c r="D972">
        <v>1000</v>
      </c>
      <c r="E972">
        <v>1000.01</v>
      </c>
      <c r="F972">
        <v>999.99</v>
      </c>
      <c r="G972" s="3">
        <v>999.99</v>
      </c>
      <c r="H972">
        <v>1000</v>
      </c>
      <c r="I972">
        <v>999.99</v>
      </c>
      <c r="J972">
        <v>134573</v>
      </c>
      <c r="K972">
        <v>134572834.21000001</v>
      </c>
      <c r="L972" s="1">
        <v>45240</v>
      </c>
      <c r="M972">
        <v>204</v>
      </c>
      <c r="N972" t="s">
        <v>6552</v>
      </c>
      <c r="O972" s="5">
        <v>45240</v>
      </c>
      <c r="P972" s="5">
        <v>43777</v>
      </c>
    </row>
    <row r="973" spans="1:16" x14ac:dyDescent="0.25">
      <c r="A973" t="s">
        <v>6551</v>
      </c>
      <c r="B973" t="str">
        <v>Not Found</v>
      </c>
      <c r="C973" t="s">
        <v>14</v>
      </c>
      <c r="D973">
        <v>169.9</v>
      </c>
      <c r="E973">
        <v>169.9</v>
      </c>
      <c r="F973">
        <v>163.99</v>
      </c>
      <c r="G973" s="3">
        <v>164.8</v>
      </c>
      <c r="H973">
        <v>164.85</v>
      </c>
      <c r="I973">
        <v>164.93</v>
      </c>
      <c r="J973">
        <v>17766</v>
      </c>
      <c r="K973">
        <v>2923845.74</v>
      </c>
      <c r="L973" s="1">
        <v>45240</v>
      </c>
      <c r="M973">
        <v>754</v>
      </c>
      <c r="N973" t="s">
        <v>6550</v>
      </c>
      <c r="O973" s="5">
        <v>45240</v>
      </c>
      <c r="P973" s="5">
        <v>43777</v>
      </c>
    </row>
    <row r="974" spans="1:16" x14ac:dyDescent="0.25">
      <c r="A974" t="s">
        <v>6549</v>
      </c>
      <c r="B974" t="str">
        <v>Not Found</v>
      </c>
      <c r="C974" t="s">
        <v>14</v>
      </c>
      <c r="D974">
        <v>155.24</v>
      </c>
      <c r="E974">
        <v>155.29</v>
      </c>
      <c r="F974">
        <v>153.91</v>
      </c>
      <c r="G974" s="3">
        <v>154.88</v>
      </c>
      <c r="H974">
        <v>154.5</v>
      </c>
      <c r="I974">
        <v>154.54</v>
      </c>
      <c r="J974">
        <v>19892</v>
      </c>
      <c r="K974">
        <v>3081501.07</v>
      </c>
      <c r="L974" s="1">
        <v>45240</v>
      </c>
      <c r="M974">
        <v>632</v>
      </c>
      <c r="N974" t="s">
        <v>6548</v>
      </c>
      <c r="O974" s="5">
        <v>45240</v>
      </c>
      <c r="P974" s="5">
        <v>43777</v>
      </c>
    </row>
    <row r="975" spans="1:16" x14ac:dyDescent="0.25">
      <c r="A975" t="s">
        <v>6547</v>
      </c>
      <c r="B975" t="str">
        <v>Not Found</v>
      </c>
      <c r="C975" t="s">
        <v>14</v>
      </c>
      <c r="D975">
        <v>123.44</v>
      </c>
      <c r="E975">
        <v>123.97</v>
      </c>
      <c r="F975">
        <v>122.75</v>
      </c>
      <c r="G975" s="3">
        <v>123.9</v>
      </c>
      <c r="H975">
        <v>123.75</v>
      </c>
      <c r="I975">
        <v>123.36</v>
      </c>
      <c r="J975">
        <v>6671</v>
      </c>
      <c r="K975">
        <v>823222.14</v>
      </c>
      <c r="L975" s="1">
        <v>45240</v>
      </c>
      <c r="M975">
        <v>148</v>
      </c>
      <c r="N975" t="s">
        <v>6546</v>
      </c>
      <c r="O975" s="5">
        <v>45240</v>
      </c>
      <c r="P975" s="5">
        <v>43777</v>
      </c>
    </row>
    <row r="976" spans="1:16" x14ac:dyDescent="0.25">
      <c r="A976" t="s">
        <v>6545</v>
      </c>
      <c r="B976" t="str">
        <v>Not Found</v>
      </c>
      <c r="C976" t="s">
        <v>14</v>
      </c>
      <c r="D976">
        <v>23.78</v>
      </c>
      <c r="E976">
        <v>23.99</v>
      </c>
      <c r="F976">
        <v>23.67</v>
      </c>
      <c r="G976" s="3">
        <v>23.9</v>
      </c>
      <c r="H976">
        <v>23.86</v>
      </c>
      <c r="I976">
        <v>23.77</v>
      </c>
      <c r="J976">
        <v>226675</v>
      </c>
      <c r="K976">
        <v>5407784.29</v>
      </c>
      <c r="L976" s="1">
        <v>45240</v>
      </c>
      <c r="M976">
        <v>155</v>
      </c>
      <c r="N976" t="s">
        <v>6544</v>
      </c>
      <c r="O976" s="5">
        <v>45240</v>
      </c>
      <c r="P976" s="5">
        <v>43777</v>
      </c>
    </row>
    <row r="977" spans="1:16" x14ac:dyDescent="0.25">
      <c r="A977" t="s">
        <v>6543</v>
      </c>
      <c r="B977" t="str">
        <v>Not Found</v>
      </c>
      <c r="C977" t="s">
        <v>14</v>
      </c>
      <c r="D977">
        <v>212.8</v>
      </c>
      <c r="E977">
        <v>213.69</v>
      </c>
      <c r="F977">
        <v>212.01</v>
      </c>
      <c r="G977" s="3">
        <v>213.44</v>
      </c>
      <c r="H977">
        <v>213.51</v>
      </c>
      <c r="I977">
        <v>213.46</v>
      </c>
      <c r="J977">
        <v>4042</v>
      </c>
      <c r="K977">
        <v>861729.7</v>
      </c>
      <c r="L977" s="1">
        <v>45240</v>
      </c>
      <c r="M977">
        <v>457</v>
      </c>
      <c r="N977" t="s">
        <v>6542</v>
      </c>
      <c r="O977" s="5">
        <v>45240</v>
      </c>
      <c r="P977" s="5">
        <v>43777</v>
      </c>
    </row>
    <row r="978" spans="1:16" x14ac:dyDescent="0.25">
      <c r="A978" t="s">
        <v>6541</v>
      </c>
      <c r="B978" t="str">
        <v>Not Found</v>
      </c>
      <c r="C978" t="s">
        <v>14</v>
      </c>
      <c r="D978">
        <v>216.1</v>
      </c>
      <c r="E978">
        <v>216.1</v>
      </c>
      <c r="F978">
        <v>212.21</v>
      </c>
      <c r="G978" s="3">
        <v>213.07</v>
      </c>
      <c r="H978">
        <v>213.22</v>
      </c>
      <c r="I978">
        <v>213.18</v>
      </c>
      <c r="J978">
        <v>277424</v>
      </c>
      <c r="K978">
        <v>59097874.090000004</v>
      </c>
      <c r="L978" s="1">
        <v>45240</v>
      </c>
      <c r="M978">
        <v>5298</v>
      </c>
      <c r="N978" t="s">
        <v>6540</v>
      </c>
      <c r="O978" s="5">
        <v>45240</v>
      </c>
      <c r="P978" s="5">
        <v>43777</v>
      </c>
    </row>
    <row r="979" spans="1:16" x14ac:dyDescent="0.25">
      <c r="A979" t="s">
        <v>6539</v>
      </c>
      <c r="B979" t="str">
        <v>Not Found</v>
      </c>
      <c r="C979" t="s">
        <v>14</v>
      </c>
      <c r="D979">
        <v>115.9</v>
      </c>
      <c r="E979">
        <v>115.9</v>
      </c>
      <c r="F979">
        <v>112.11</v>
      </c>
      <c r="G979" s="3">
        <v>112.58</v>
      </c>
      <c r="H979">
        <v>112.26</v>
      </c>
      <c r="I979">
        <v>112.51</v>
      </c>
      <c r="J979">
        <v>18468</v>
      </c>
      <c r="K979">
        <v>2080690.32</v>
      </c>
      <c r="L979" s="1">
        <v>45240</v>
      </c>
      <c r="M979">
        <v>1004</v>
      </c>
      <c r="N979" t="s">
        <v>6538</v>
      </c>
      <c r="O979" s="5">
        <v>45240</v>
      </c>
      <c r="P979" s="5">
        <v>43777</v>
      </c>
    </row>
    <row r="980" spans="1:16" x14ac:dyDescent="0.25">
      <c r="A980" t="s">
        <v>6537</v>
      </c>
      <c r="B980" t="str">
        <v>Not Found</v>
      </c>
      <c r="C980" t="s">
        <v>14</v>
      </c>
      <c r="D980">
        <v>48.7</v>
      </c>
      <c r="E980">
        <v>48.7</v>
      </c>
      <c r="F980">
        <v>46.91</v>
      </c>
      <c r="G980" s="3">
        <v>47.23</v>
      </c>
      <c r="H980">
        <v>47.35</v>
      </c>
      <c r="I980">
        <v>47.27</v>
      </c>
      <c r="J980">
        <v>43953</v>
      </c>
      <c r="K980">
        <v>2074372.01</v>
      </c>
      <c r="L980" s="1">
        <v>45240</v>
      </c>
      <c r="M980">
        <v>984</v>
      </c>
      <c r="N980" t="s">
        <v>6536</v>
      </c>
      <c r="O980" s="5">
        <v>45240</v>
      </c>
      <c r="P980" s="5">
        <v>43777</v>
      </c>
    </row>
    <row r="981" spans="1:16" x14ac:dyDescent="0.25">
      <c r="A981" t="s">
        <v>6535</v>
      </c>
      <c r="B981" t="str">
        <v>Not Found</v>
      </c>
      <c r="C981" t="s">
        <v>14</v>
      </c>
      <c r="D981">
        <v>101.55</v>
      </c>
      <c r="E981">
        <v>101.55</v>
      </c>
      <c r="F981">
        <v>97.53</v>
      </c>
      <c r="G981" s="3">
        <v>99.6</v>
      </c>
      <c r="H981">
        <v>99.85</v>
      </c>
      <c r="I981">
        <v>99.52</v>
      </c>
      <c r="J981">
        <v>9813</v>
      </c>
      <c r="K981">
        <v>977311.84</v>
      </c>
      <c r="L981" s="1">
        <v>45240</v>
      </c>
      <c r="M981">
        <v>162</v>
      </c>
      <c r="N981" t="s">
        <v>6534</v>
      </c>
      <c r="O981" s="5">
        <v>45240</v>
      </c>
      <c r="P981" s="5">
        <v>43777</v>
      </c>
    </row>
    <row r="982" spans="1:16" x14ac:dyDescent="0.25">
      <c r="A982" t="s">
        <v>2201</v>
      </c>
      <c r="B982" t="str">
        <v>ICICI Prudential Life Insurance Company Limited</v>
      </c>
      <c r="C982" t="s">
        <v>14</v>
      </c>
      <c r="D982">
        <v>527.9</v>
      </c>
      <c r="E982">
        <v>531.54999999999995</v>
      </c>
      <c r="F982">
        <v>523.54999999999995</v>
      </c>
      <c r="G982" s="3">
        <v>530.1</v>
      </c>
      <c r="H982">
        <v>530</v>
      </c>
      <c r="I982">
        <v>528.20000000000005</v>
      </c>
      <c r="J982">
        <v>500837</v>
      </c>
      <c r="K982">
        <v>264943164.84999999</v>
      </c>
      <c r="L982" s="1">
        <v>45240</v>
      </c>
      <c r="M982">
        <v>12742</v>
      </c>
      <c r="N982" t="s">
        <v>2203</v>
      </c>
      <c r="O982" s="5">
        <v>45240</v>
      </c>
      <c r="P982" s="5">
        <v>43777</v>
      </c>
    </row>
    <row r="983" spans="1:16" x14ac:dyDescent="0.25">
      <c r="A983" t="s">
        <v>6533</v>
      </c>
      <c r="B983" t="str">
        <v>Not Found</v>
      </c>
      <c r="C983" t="s">
        <v>14</v>
      </c>
      <c r="D983">
        <v>164.17</v>
      </c>
      <c r="E983">
        <v>164.17</v>
      </c>
      <c r="F983">
        <v>163.07</v>
      </c>
      <c r="G983" s="3">
        <v>164.04</v>
      </c>
      <c r="H983">
        <v>164.04</v>
      </c>
      <c r="I983">
        <v>164.82</v>
      </c>
      <c r="J983">
        <v>101</v>
      </c>
      <c r="K983">
        <v>16559.7</v>
      </c>
      <c r="L983" s="1">
        <v>45240</v>
      </c>
      <c r="M983">
        <v>21</v>
      </c>
      <c r="N983" t="s">
        <v>6532</v>
      </c>
      <c r="O983" s="5">
        <v>45240</v>
      </c>
      <c r="P983" s="5">
        <v>43777</v>
      </c>
    </row>
    <row r="984" spans="1:16" x14ac:dyDescent="0.25">
      <c r="A984" t="s">
        <v>6531</v>
      </c>
      <c r="B984" t="str">
        <v>Not Found</v>
      </c>
      <c r="C984" t="s">
        <v>14</v>
      </c>
      <c r="D984">
        <v>729.79</v>
      </c>
      <c r="E984">
        <v>729.79</v>
      </c>
      <c r="F984">
        <v>721.3</v>
      </c>
      <c r="G984" s="3">
        <v>724.8</v>
      </c>
      <c r="H984">
        <v>725</v>
      </c>
      <c r="I984">
        <v>725.38</v>
      </c>
      <c r="J984">
        <v>1483</v>
      </c>
      <c r="K984">
        <v>1071521.6499999999</v>
      </c>
      <c r="L984" s="1">
        <v>45240</v>
      </c>
      <c r="M984">
        <v>121</v>
      </c>
      <c r="N984" t="s">
        <v>6530</v>
      </c>
      <c r="O984" s="5">
        <v>45240</v>
      </c>
      <c r="P984" s="5">
        <v>43777</v>
      </c>
    </row>
    <row r="985" spans="1:16" x14ac:dyDescent="0.25">
      <c r="A985" t="s">
        <v>6529</v>
      </c>
      <c r="B985" t="str">
        <v>Not Found</v>
      </c>
      <c r="C985" t="s">
        <v>14</v>
      </c>
      <c r="D985">
        <v>72.459999999999994</v>
      </c>
      <c r="E985">
        <v>73.19</v>
      </c>
      <c r="F985">
        <v>72.27</v>
      </c>
      <c r="G985" s="3">
        <v>72.36</v>
      </c>
      <c r="H985">
        <v>72.27</v>
      </c>
      <c r="I985">
        <v>71.87</v>
      </c>
      <c r="J985">
        <v>202772</v>
      </c>
      <c r="K985">
        <v>14700476.119999999</v>
      </c>
      <c r="L985" s="1">
        <v>45240</v>
      </c>
      <c r="M985">
        <v>1251</v>
      </c>
      <c r="N985" t="s">
        <v>6528</v>
      </c>
      <c r="O985" s="5">
        <v>45240</v>
      </c>
      <c r="P985" s="5">
        <v>43777</v>
      </c>
    </row>
    <row r="986" spans="1:16" x14ac:dyDescent="0.25">
      <c r="A986" t="s">
        <v>6527</v>
      </c>
      <c r="B986" t="str">
        <v>Not Found</v>
      </c>
      <c r="C986" t="s">
        <v>14</v>
      </c>
      <c r="D986">
        <v>32.119999999999997</v>
      </c>
      <c r="E986">
        <v>32.56</v>
      </c>
      <c r="F986">
        <v>32.119999999999997</v>
      </c>
      <c r="G986" s="3">
        <v>32.35</v>
      </c>
      <c r="H986">
        <v>32.43</v>
      </c>
      <c r="I986">
        <v>32.42</v>
      </c>
      <c r="J986">
        <v>137471</v>
      </c>
      <c r="K986">
        <v>4442748.5199999996</v>
      </c>
      <c r="L986" s="1">
        <v>45240</v>
      </c>
      <c r="M986">
        <v>780</v>
      </c>
      <c r="N986" t="s">
        <v>6526</v>
      </c>
      <c r="O986" s="5">
        <v>45240</v>
      </c>
      <c r="P986" s="5">
        <v>43777</v>
      </c>
    </row>
    <row r="987" spans="1:16" x14ac:dyDescent="0.25">
      <c r="A987" t="s">
        <v>2204</v>
      </c>
      <c r="B987" t="str">
        <v>Indo Count Industries Limited</v>
      </c>
      <c r="C987" t="s">
        <v>14</v>
      </c>
      <c r="D987">
        <v>289.60000000000002</v>
      </c>
      <c r="E987">
        <v>295.3</v>
      </c>
      <c r="F987">
        <v>288.35000000000002</v>
      </c>
      <c r="G987" s="3">
        <v>293.14999999999998</v>
      </c>
      <c r="H987">
        <v>293</v>
      </c>
      <c r="I987">
        <v>287.2</v>
      </c>
      <c r="J987">
        <v>728714</v>
      </c>
      <c r="K987">
        <v>213788060.05000001</v>
      </c>
      <c r="L987" s="1">
        <v>45240</v>
      </c>
      <c r="M987">
        <v>9970</v>
      </c>
      <c r="N987" t="s">
        <v>2206</v>
      </c>
      <c r="O987" s="5">
        <v>45240</v>
      </c>
      <c r="P987" s="5">
        <v>43777</v>
      </c>
    </row>
    <row r="988" spans="1:16" x14ac:dyDescent="0.25">
      <c r="A988" t="s">
        <v>2207</v>
      </c>
      <c r="B988" t="str">
        <v>ICRA Limited</v>
      </c>
      <c r="C988" t="s">
        <v>14</v>
      </c>
      <c r="D988">
        <v>5472.95</v>
      </c>
      <c r="E988">
        <v>5472.95</v>
      </c>
      <c r="F988">
        <v>5377.3</v>
      </c>
      <c r="G988" s="3">
        <v>5447.1</v>
      </c>
      <c r="H988">
        <v>5448</v>
      </c>
      <c r="I988">
        <v>5470.25</v>
      </c>
      <c r="J988">
        <v>4226</v>
      </c>
      <c r="K988">
        <v>23000039.25</v>
      </c>
      <c r="L988" s="1">
        <v>45240</v>
      </c>
      <c r="M988">
        <v>938</v>
      </c>
      <c r="N988" t="s">
        <v>2209</v>
      </c>
      <c r="O988" s="5">
        <v>45240</v>
      </c>
      <c r="P988" s="5">
        <v>43777</v>
      </c>
    </row>
    <row r="989" spans="1:16" x14ac:dyDescent="0.25">
      <c r="A989" t="s">
        <v>2210</v>
      </c>
      <c r="B989" t="str">
        <v>IDBI Bank Limited</v>
      </c>
      <c r="C989" t="s">
        <v>14</v>
      </c>
      <c r="D989">
        <v>62.8</v>
      </c>
      <c r="E989">
        <v>63.8</v>
      </c>
      <c r="F989">
        <v>62.35</v>
      </c>
      <c r="G989" s="3">
        <v>63.25</v>
      </c>
      <c r="H989">
        <v>63.4</v>
      </c>
      <c r="I989">
        <v>62.8</v>
      </c>
      <c r="J989">
        <v>3815431</v>
      </c>
      <c r="K989">
        <v>240202251.44999999</v>
      </c>
      <c r="L989" s="1">
        <v>45240</v>
      </c>
      <c r="M989">
        <v>9543</v>
      </c>
      <c r="N989" t="s">
        <v>2212</v>
      </c>
      <c r="O989" s="5">
        <v>45240</v>
      </c>
      <c r="P989" s="5">
        <v>43777</v>
      </c>
    </row>
    <row r="990" spans="1:16" x14ac:dyDescent="0.25">
      <c r="A990" t="s">
        <v>2213</v>
      </c>
      <c r="B990" t="str">
        <v>Vodafone Idea Limited</v>
      </c>
      <c r="C990" t="s">
        <v>14</v>
      </c>
      <c r="D990">
        <v>14.15</v>
      </c>
      <c r="E990">
        <v>14.45</v>
      </c>
      <c r="F990">
        <v>13.65</v>
      </c>
      <c r="G990" s="3">
        <v>13.7</v>
      </c>
      <c r="H990">
        <v>13.75</v>
      </c>
      <c r="I990">
        <v>13.9</v>
      </c>
      <c r="J990">
        <v>249891022</v>
      </c>
      <c r="K990">
        <v>3503741692.0999999</v>
      </c>
      <c r="L990" s="1">
        <v>45240</v>
      </c>
      <c r="M990">
        <v>97450</v>
      </c>
      <c r="N990" t="s">
        <v>2215</v>
      </c>
      <c r="O990" s="5">
        <v>45240</v>
      </c>
      <c r="P990" s="5">
        <v>43777</v>
      </c>
    </row>
    <row r="991" spans="1:16" x14ac:dyDescent="0.25">
      <c r="A991" t="s">
        <v>2216</v>
      </c>
      <c r="B991" t="str">
        <v>Ideaforge Technology Limited</v>
      </c>
      <c r="C991" t="s">
        <v>14</v>
      </c>
      <c r="D991">
        <v>804</v>
      </c>
      <c r="E991">
        <v>821.85</v>
      </c>
      <c r="F991">
        <v>799.45</v>
      </c>
      <c r="G991" s="3">
        <v>808.65</v>
      </c>
      <c r="H991">
        <v>808.95</v>
      </c>
      <c r="I991">
        <v>804.2</v>
      </c>
      <c r="J991">
        <v>114303</v>
      </c>
      <c r="K991">
        <v>92678132.849999994</v>
      </c>
      <c r="L991" s="1">
        <v>45240</v>
      </c>
      <c r="M991">
        <v>7169</v>
      </c>
      <c r="N991" t="s">
        <v>2218</v>
      </c>
      <c r="O991" s="5">
        <v>45240</v>
      </c>
      <c r="P991" s="5">
        <v>43777</v>
      </c>
    </row>
    <row r="992" spans="1:16" x14ac:dyDescent="0.25">
      <c r="A992" t="s">
        <v>2219</v>
      </c>
      <c r="B992" t="str">
        <v>IDFC Limited</v>
      </c>
      <c r="C992" t="s">
        <v>14</v>
      </c>
      <c r="D992">
        <v>116</v>
      </c>
      <c r="E992">
        <v>117.2</v>
      </c>
      <c r="F992">
        <v>115.1</v>
      </c>
      <c r="G992" s="3">
        <v>117.05</v>
      </c>
      <c r="H992">
        <v>117.15</v>
      </c>
      <c r="I992">
        <v>116.15</v>
      </c>
      <c r="J992">
        <v>3015437</v>
      </c>
      <c r="K992">
        <v>351037509.85000002</v>
      </c>
      <c r="L992" s="1">
        <v>45240</v>
      </c>
      <c r="M992">
        <v>16118</v>
      </c>
      <c r="N992" t="s">
        <v>2221</v>
      </c>
      <c r="O992" s="5">
        <v>45240</v>
      </c>
      <c r="P992" s="5">
        <v>43777</v>
      </c>
    </row>
    <row r="993" spans="1:16" x14ac:dyDescent="0.25">
      <c r="A993" t="s">
        <v>2222</v>
      </c>
      <c r="B993" t="str">
        <v>IDFC First Bank Limited</v>
      </c>
      <c r="C993" t="s">
        <v>14</v>
      </c>
      <c r="D993">
        <v>84.6</v>
      </c>
      <c r="E993">
        <v>85.55</v>
      </c>
      <c r="F993">
        <v>83.8</v>
      </c>
      <c r="G993" s="3">
        <v>85.35</v>
      </c>
      <c r="H993">
        <v>85.5</v>
      </c>
      <c r="I993">
        <v>84.65</v>
      </c>
      <c r="J993">
        <v>17259640</v>
      </c>
      <c r="K993">
        <v>1462654829.9000001</v>
      </c>
      <c r="L993" s="1">
        <v>45240</v>
      </c>
      <c r="M993">
        <v>67423</v>
      </c>
      <c r="N993" t="s">
        <v>2224</v>
      </c>
      <c r="O993" s="5">
        <v>45240</v>
      </c>
      <c r="P993" s="5">
        <v>43777</v>
      </c>
    </row>
    <row r="994" spans="1:16" x14ac:dyDescent="0.25">
      <c r="A994" t="s">
        <v>6525</v>
      </c>
      <c r="B994" t="str">
        <v>Not Found</v>
      </c>
      <c r="C994" t="s">
        <v>14</v>
      </c>
      <c r="D994">
        <v>208</v>
      </c>
      <c r="E994">
        <v>208.53</v>
      </c>
      <c r="F994">
        <v>207.68</v>
      </c>
      <c r="G994" s="3">
        <v>208</v>
      </c>
      <c r="H994">
        <v>208</v>
      </c>
      <c r="I994">
        <v>208.85</v>
      </c>
      <c r="J994">
        <v>115</v>
      </c>
      <c r="K994">
        <v>23925.4</v>
      </c>
      <c r="L994" s="1">
        <v>45240</v>
      </c>
      <c r="M994">
        <v>8</v>
      </c>
      <c r="N994" t="s">
        <v>6524</v>
      </c>
      <c r="O994" s="5">
        <v>45240</v>
      </c>
      <c r="P994" s="5">
        <v>43777</v>
      </c>
    </row>
    <row r="995" spans="1:16" x14ac:dyDescent="0.25">
      <c r="A995" t="s">
        <v>2225</v>
      </c>
      <c r="B995" t="str">
        <v>Indiabulls Enterprises Limited</v>
      </c>
      <c r="C995" t="s">
        <v>10</v>
      </c>
      <c r="D995">
        <v>10.25</v>
      </c>
      <c r="E995">
        <v>10.25</v>
      </c>
      <c r="F995">
        <v>10.050000000000001</v>
      </c>
      <c r="G995" s="3">
        <v>10.15</v>
      </c>
      <c r="H995">
        <v>10.199999999999999</v>
      </c>
      <c r="I995">
        <v>10.1</v>
      </c>
      <c r="J995">
        <v>120758</v>
      </c>
      <c r="K995">
        <v>1226614.95</v>
      </c>
      <c r="L995" s="1">
        <v>45240</v>
      </c>
      <c r="M995">
        <v>240</v>
      </c>
      <c r="N995" t="s">
        <v>2227</v>
      </c>
      <c r="O995" s="5">
        <v>45240</v>
      </c>
      <c r="P995" s="5">
        <v>43777</v>
      </c>
    </row>
    <row r="996" spans="1:16" x14ac:dyDescent="0.25">
      <c r="A996" t="s">
        <v>2228</v>
      </c>
      <c r="B996" t="str">
        <v>Indian Energy Exchange Limited</v>
      </c>
      <c r="C996" t="s">
        <v>14</v>
      </c>
      <c r="D996">
        <v>131.19999999999999</v>
      </c>
      <c r="E996">
        <v>131.75</v>
      </c>
      <c r="F996">
        <v>129.85</v>
      </c>
      <c r="G996" s="3">
        <v>131.44999999999999</v>
      </c>
      <c r="H996">
        <v>131.5</v>
      </c>
      <c r="I996">
        <v>131.15</v>
      </c>
      <c r="J996">
        <v>2133417</v>
      </c>
      <c r="K996">
        <v>279528896.14999998</v>
      </c>
      <c r="L996" s="1">
        <v>45240</v>
      </c>
      <c r="M996">
        <v>19305</v>
      </c>
      <c r="N996" t="s">
        <v>2230</v>
      </c>
      <c r="O996" s="5">
        <v>45240</v>
      </c>
      <c r="P996" s="5">
        <v>43777</v>
      </c>
    </row>
    <row r="997" spans="1:16" x14ac:dyDescent="0.25">
      <c r="A997" t="s">
        <v>2231</v>
      </c>
      <c r="B997" t="str">
        <v>IFB Agro Industries Limited</v>
      </c>
      <c r="C997" t="s">
        <v>14</v>
      </c>
      <c r="D997">
        <v>473.5</v>
      </c>
      <c r="E997">
        <v>473.8</v>
      </c>
      <c r="F997">
        <v>454</v>
      </c>
      <c r="G997" s="3">
        <v>460.25</v>
      </c>
      <c r="H997">
        <v>460</v>
      </c>
      <c r="I997">
        <v>469.85</v>
      </c>
      <c r="J997">
        <v>19515</v>
      </c>
      <c r="K997">
        <v>9008671.3499999996</v>
      </c>
      <c r="L997" s="1">
        <v>45240</v>
      </c>
      <c r="M997">
        <v>1507</v>
      </c>
      <c r="N997" t="s">
        <v>2233</v>
      </c>
      <c r="O997" s="5">
        <v>45240</v>
      </c>
      <c r="P997" s="5">
        <v>43777</v>
      </c>
    </row>
    <row r="998" spans="1:16" x14ac:dyDescent="0.25">
      <c r="A998" t="s">
        <v>2234</v>
      </c>
      <c r="B998" t="str">
        <v>IFB Industries Limited</v>
      </c>
      <c r="C998" t="s">
        <v>14</v>
      </c>
      <c r="D998">
        <v>874.9</v>
      </c>
      <c r="E998">
        <v>982.85</v>
      </c>
      <c r="F998">
        <v>874.9</v>
      </c>
      <c r="G998" s="3">
        <v>921.7</v>
      </c>
      <c r="H998">
        <v>927</v>
      </c>
      <c r="I998">
        <v>856.6</v>
      </c>
      <c r="J998">
        <v>1132405</v>
      </c>
      <c r="K998">
        <v>1068919151.3</v>
      </c>
      <c r="L998" s="1">
        <v>45240</v>
      </c>
      <c r="M998">
        <v>37528</v>
      </c>
      <c r="N998" t="s">
        <v>2236</v>
      </c>
      <c r="O998" s="5">
        <v>45240</v>
      </c>
      <c r="P998" s="5">
        <v>43777</v>
      </c>
    </row>
    <row r="999" spans="1:16" x14ac:dyDescent="0.25">
      <c r="A999" t="s">
        <v>2237</v>
      </c>
      <c r="B999" t="str">
        <v>IFCI Limited</v>
      </c>
      <c r="C999" t="s">
        <v>14</v>
      </c>
      <c r="D999">
        <v>23.15</v>
      </c>
      <c r="E999">
        <v>23.45</v>
      </c>
      <c r="F999">
        <v>22.6</v>
      </c>
      <c r="G999" s="3">
        <v>22.8</v>
      </c>
      <c r="H999">
        <v>22.9</v>
      </c>
      <c r="I999">
        <v>23.1</v>
      </c>
      <c r="J999">
        <v>15149971</v>
      </c>
      <c r="K999">
        <v>348874411.75</v>
      </c>
      <c r="L999" s="1">
        <v>45240</v>
      </c>
      <c r="M999">
        <v>11880</v>
      </c>
      <c r="N999" t="s">
        <v>2239</v>
      </c>
      <c r="O999" s="5">
        <v>45240</v>
      </c>
      <c r="P999" s="5">
        <v>43777</v>
      </c>
    </row>
    <row r="1000" spans="1:16" x14ac:dyDescent="0.25">
      <c r="A1000" t="s">
        <v>2237</v>
      </c>
      <c r="B1000" t="str">
        <v>IFCI Limited</v>
      </c>
      <c r="C1000" t="s">
        <v>5868</v>
      </c>
      <c r="D1000">
        <v>1065</v>
      </c>
      <c r="E1000">
        <v>1065</v>
      </c>
      <c r="F1000">
        <v>1065</v>
      </c>
      <c r="G1000" s="3">
        <v>1065</v>
      </c>
      <c r="H1000">
        <v>1065</v>
      </c>
      <c r="I1000">
        <v>1060</v>
      </c>
      <c r="J1000">
        <v>10</v>
      </c>
      <c r="K1000">
        <v>10650</v>
      </c>
      <c r="L1000" s="1">
        <v>45240</v>
      </c>
      <c r="M1000">
        <v>1</v>
      </c>
      <c r="N1000" t="s">
        <v>6523</v>
      </c>
      <c r="O1000" s="5">
        <v>45240</v>
      </c>
      <c r="P1000" s="5">
        <v>43777</v>
      </c>
    </row>
    <row r="1001" spans="1:16" x14ac:dyDescent="0.25">
      <c r="A1001" t="s">
        <v>2237</v>
      </c>
      <c r="B1001" t="str">
        <v>IFCI Limited</v>
      </c>
      <c r="C1001" t="s">
        <v>6522</v>
      </c>
      <c r="D1001">
        <v>2200</v>
      </c>
      <c r="E1001">
        <v>2200</v>
      </c>
      <c r="F1001">
        <v>2200</v>
      </c>
      <c r="G1001" s="3">
        <v>2200</v>
      </c>
      <c r="H1001">
        <v>2200</v>
      </c>
      <c r="I1001">
        <v>2200</v>
      </c>
      <c r="J1001">
        <v>10</v>
      </c>
      <c r="K1001">
        <v>22000</v>
      </c>
      <c r="L1001" s="1">
        <v>45240</v>
      </c>
      <c r="M1001">
        <v>1</v>
      </c>
      <c r="N1001" t="s">
        <v>6521</v>
      </c>
      <c r="O1001" s="5">
        <v>45240</v>
      </c>
      <c r="P1001" s="5">
        <v>43777</v>
      </c>
    </row>
    <row r="1002" spans="1:16" x14ac:dyDescent="0.25">
      <c r="A1002" t="s">
        <v>2240</v>
      </c>
      <c r="B1002" t="str">
        <v>IFGL Refractories Limited</v>
      </c>
      <c r="C1002" t="s">
        <v>14</v>
      </c>
      <c r="D1002">
        <v>597</v>
      </c>
      <c r="E1002">
        <v>649.1</v>
      </c>
      <c r="F1002">
        <v>594.35</v>
      </c>
      <c r="G1002" s="3">
        <v>649.1</v>
      </c>
      <c r="H1002">
        <v>649.1</v>
      </c>
      <c r="I1002">
        <v>590.1</v>
      </c>
      <c r="J1002">
        <v>137342</v>
      </c>
      <c r="K1002">
        <v>87412707.650000006</v>
      </c>
      <c r="L1002" s="1">
        <v>45240</v>
      </c>
      <c r="M1002">
        <v>4537</v>
      </c>
      <c r="N1002" t="s">
        <v>2242</v>
      </c>
      <c r="O1002" s="5">
        <v>45240</v>
      </c>
      <c r="P1002" s="5">
        <v>43777</v>
      </c>
    </row>
    <row r="1003" spans="1:16" x14ac:dyDescent="0.25">
      <c r="A1003" t="s">
        <v>2243</v>
      </c>
      <c r="B1003" t="str">
        <v>Igarashi Motors India Limited</v>
      </c>
      <c r="C1003" t="s">
        <v>14</v>
      </c>
      <c r="D1003">
        <v>577</v>
      </c>
      <c r="E1003">
        <v>624.79999999999995</v>
      </c>
      <c r="F1003">
        <v>575</v>
      </c>
      <c r="G1003" s="3">
        <v>581.6</v>
      </c>
      <c r="H1003">
        <v>578</v>
      </c>
      <c r="I1003">
        <v>579.5</v>
      </c>
      <c r="J1003">
        <v>198076</v>
      </c>
      <c r="K1003">
        <v>118858199.55</v>
      </c>
      <c r="L1003" s="1">
        <v>45240</v>
      </c>
      <c r="M1003">
        <v>12886</v>
      </c>
      <c r="N1003" t="s">
        <v>2245</v>
      </c>
      <c r="O1003" s="5">
        <v>45240</v>
      </c>
      <c r="P1003" s="5">
        <v>43777</v>
      </c>
    </row>
    <row r="1004" spans="1:16" x14ac:dyDescent="0.25">
      <c r="A1004" t="s">
        <v>2246</v>
      </c>
      <c r="B1004" t="str">
        <v>Indraprastha Gas Limited</v>
      </c>
      <c r="C1004" t="s">
        <v>14</v>
      </c>
      <c r="D1004">
        <v>394.95</v>
      </c>
      <c r="E1004">
        <v>395.55</v>
      </c>
      <c r="F1004">
        <v>390.95</v>
      </c>
      <c r="G1004" s="3">
        <v>394.15</v>
      </c>
      <c r="H1004">
        <v>394.2</v>
      </c>
      <c r="I1004">
        <v>395.05</v>
      </c>
      <c r="J1004">
        <v>791206</v>
      </c>
      <c r="K1004">
        <v>311284847.05000001</v>
      </c>
      <c r="L1004" s="1">
        <v>45240</v>
      </c>
      <c r="M1004">
        <v>14514</v>
      </c>
      <c r="N1004" t="s">
        <v>2248</v>
      </c>
      <c r="O1004" s="5">
        <v>45240</v>
      </c>
      <c r="P1004" s="5">
        <v>43777</v>
      </c>
    </row>
    <row r="1005" spans="1:16" x14ac:dyDescent="0.25">
      <c r="A1005" t="s">
        <v>2249</v>
      </c>
      <c r="B1005" t="str">
        <v>IG Petrochemicals Limited</v>
      </c>
      <c r="C1005" t="s">
        <v>14</v>
      </c>
      <c r="D1005">
        <v>443.6</v>
      </c>
      <c r="E1005">
        <v>446.35</v>
      </c>
      <c r="F1005">
        <v>440.05</v>
      </c>
      <c r="G1005" s="3">
        <v>442.05</v>
      </c>
      <c r="H1005">
        <v>441</v>
      </c>
      <c r="I1005">
        <v>441.35</v>
      </c>
      <c r="J1005">
        <v>15014</v>
      </c>
      <c r="K1005">
        <v>6639245.5999999996</v>
      </c>
      <c r="L1005" s="1">
        <v>45240</v>
      </c>
      <c r="M1005">
        <v>1837</v>
      </c>
      <c r="N1005" t="s">
        <v>2251</v>
      </c>
      <c r="O1005" s="5">
        <v>45240</v>
      </c>
      <c r="P1005" s="5">
        <v>43777</v>
      </c>
    </row>
    <row r="1006" spans="1:16" x14ac:dyDescent="0.25">
      <c r="A1006" t="s">
        <v>6518</v>
      </c>
      <c r="B1006" t="str">
        <v>Not Found</v>
      </c>
      <c r="C1006" t="s">
        <v>5845</v>
      </c>
      <c r="D1006">
        <v>1213.54</v>
      </c>
      <c r="E1006">
        <v>1213.54</v>
      </c>
      <c r="F1006">
        <v>1213</v>
      </c>
      <c r="G1006" s="3">
        <v>1213</v>
      </c>
      <c r="H1006">
        <v>1213</v>
      </c>
      <c r="I1006">
        <v>1191.05</v>
      </c>
      <c r="J1006">
        <v>210</v>
      </c>
      <c r="K1006">
        <v>254816.4</v>
      </c>
      <c r="L1006" s="1">
        <v>45240</v>
      </c>
      <c r="M1006">
        <v>2</v>
      </c>
      <c r="N1006" t="s">
        <v>6520</v>
      </c>
      <c r="O1006" s="5">
        <v>45240</v>
      </c>
      <c r="P1006" s="5">
        <v>43777</v>
      </c>
    </row>
    <row r="1007" spans="1:16" x14ac:dyDescent="0.25">
      <c r="A1007" t="s">
        <v>6518</v>
      </c>
      <c r="B1007" t="str">
        <v>Not Found</v>
      </c>
      <c r="C1007" t="s">
        <v>6176</v>
      </c>
      <c r="D1007">
        <v>1061</v>
      </c>
      <c r="E1007">
        <v>1061</v>
      </c>
      <c r="F1007">
        <v>1004.1</v>
      </c>
      <c r="G1007" s="3">
        <v>1004.1</v>
      </c>
      <c r="H1007">
        <v>1004.1</v>
      </c>
      <c r="I1007">
        <v>1065</v>
      </c>
      <c r="J1007">
        <v>100</v>
      </c>
      <c r="K1007">
        <v>103255</v>
      </c>
      <c r="L1007" s="1">
        <v>45240</v>
      </c>
      <c r="M1007">
        <v>2</v>
      </c>
      <c r="N1007" t="s">
        <v>6519</v>
      </c>
      <c r="O1007" s="5">
        <v>45240</v>
      </c>
      <c r="P1007" s="5">
        <v>43777</v>
      </c>
    </row>
    <row r="1008" spans="1:16" x14ac:dyDescent="0.25">
      <c r="A1008" t="s">
        <v>6518</v>
      </c>
      <c r="B1008" t="str">
        <v>Not Found</v>
      </c>
      <c r="C1008" t="s">
        <v>6182</v>
      </c>
      <c r="D1008">
        <v>1330</v>
      </c>
      <c r="E1008">
        <v>1330</v>
      </c>
      <c r="F1008">
        <v>1330</v>
      </c>
      <c r="G1008" s="3">
        <v>1330</v>
      </c>
      <c r="H1008">
        <v>1330</v>
      </c>
      <c r="I1008">
        <v>1315</v>
      </c>
      <c r="J1008">
        <v>23</v>
      </c>
      <c r="K1008">
        <v>30590</v>
      </c>
      <c r="L1008" s="1">
        <v>45240</v>
      </c>
      <c r="M1008">
        <v>1</v>
      </c>
      <c r="N1008" t="s">
        <v>6517</v>
      </c>
      <c r="O1008" s="5">
        <v>45240</v>
      </c>
      <c r="P1008" s="5">
        <v>43777</v>
      </c>
    </row>
    <row r="1009" spans="1:16" x14ac:dyDescent="0.25">
      <c r="A1009" t="s">
        <v>2252</v>
      </c>
      <c r="B1009" t="str">
        <v>IIFL Finance Limited</v>
      </c>
      <c r="C1009" t="s">
        <v>14</v>
      </c>
      <c r="D1009">
        <v>617.95000000000005</v>
      </c>
      <c r="E1009">
        <v>621</v>
      </c>
      <c r="F1009">
        <v>611.29999999999995</v>
      </c>
      <c r="G1009" s="3">
        <v>617.54999999999995</v>
      </c>
      <c r="H1009">
        <v>617.25</v>
      </c>
      <c r="I1009">
        <v>617.95000000000005</v>
      </c>
      <c r="J1009">
        <v>97662</v>
      </c>
      <c r="K1009">
        <v>60333793.549999997</v>
      </c>
      <c r="L1009" s="1">
        <v>45240</v>
      </c>
      <c r="M1009">
        <v>7858</v>
      </c>
      <c r="N1009" t="s">
        <v>2254</v>
      </c>
      <c r="O1009" s="5">
        <v>45240</v>
      </c>
      <c r="P1009" s="5">
        <v>43777</v>
      </c>
    </row>
    <row r="1010" spans="1:16" x14ac:dyDescent="0.25">
      <c r="A1010" t="s">
        <v>2252</v>
      </c>
      <c r="B1010" t="str">
        <v>IIFL Finance Limited</v>
      </c>
      <c r="C1010" t="s">
        <v>5843</v>
      </c>
      <c r="D1010">
        <v>1010</v>
      </c>
      <c r="E1010">
        <v>1010</v>
      </c>
      <c r="F1010">
        <v>1010</v>
      </c>
      <c r="G1010" s="3">
        <v>1010</v>
      </c>
      <c r="H1010">
        <v>1010</v>
      </c>
      <c r="I1010">
        <v>1004.9</v>
      </c>
      <c r="J1010">
        <v>50</v>
      </c>
      <c r="K1010">
        <v>50500</v>
      </c>
      <c r="L1010" s="1">
        <v>45240</v>
      </c>
      <c r="M1010">
        <v>3</v>
      </c>
      <c r="N1010" t="s">
        <v>6516</v>
      </c>
      <c r="O1010" s="5">
        <v>45240</v>
      </c>
      <c r="P1010" s="5">
        <v>43777</v>
      </c>
    </row>
    <row r="1011" spans="1:16" x14ac:dyDescent="0.25">
      <c r="A1011" t="s">
        <v>2252</v>
      </c>
      <c r="B1011" t="str">
        <v>IIFL Finance Limited</v>
      </c>
      <c r="C1011" t="s">
        <v>6207</v>
      </c>
      <c r="D1011">
        <v>1106.0999999999999</v>
      </c>
      <c r="E1011">
        <v>1106.0999999999999</v>
      </c>
      <c r="F1011">
        <v>1007</v>
      </c>
      <c r="G1011" s="3">
        <v>1007</v>
      </c>
      <c r="H1011">
        <v>1007</v>
      </c>
      <c r="I1011">
        <v>1145</v>
      </c>
      <c r="J1011">
        <v>50</v>
      </c>
      <c r="K1011">
        <v>52827.5</v>
      </c>
      <c r="L1011" s="1">
        <v>45240</v>
      </c>
      <c r="M1011">
        <v>2</v>
      </c>
      <c r="N1011" t="s">
        <v>6515</v>
      </c>
      <c r="O1011" s="5">
        <v>45240</v>
      </c>
      <c r="P1011" s="5">
        <v>43777</v>
      </c>
    </row>
    <row r="1012" spans="1:16" x14ac:dyDescent="0.25">
      <c r="A1012" t="s">
        <v>2252</v>
      </c>
      <c r="B1012" t="str">
        <v>IIFL Finance Limited</v>
      </c>
      <c r="C1012" t="s">
        <v>6245</v>
      </c>
      <c r="D1012">
        <v>998.01</v>
      </c>
      <c r="E1012">
        <v>998.01</v>
      </c>
      <c r="F1012">
        <v>998.01</v>
      </c>
      <c r="G1012" s="3">
        <v>998.01</v>
      </c>
      <c r="H1012">
        <v>998.01</v>
      </c>
      <c r="I1012">
        <v>998.01</v>
      </c>
      <c r="J1012">
        <v>350</v>
      </c>
      <c r="K1012">
        <v>349303.5</v>
      </c>
      <c r="L1012" s="1">
        <v>45240</v>
      </c>
      <c r="M1012">
        <v>1</v>
      </c>
      <c r="N1012" t="s">
        <v>6514</v>
      </c>
      <c r="O1012" s="5">
        <v>45240</v>
      </c>
      <c r="P1012" s="5">
        <v>43777</v>
      </c>
    </row>
    <row r="1013" spans="1:16" x14ac:dyDescent="0.25">
      <c r="A1013" t="s">
        <v>2252</v>
      </c>
      <c r="B1013" t="str">
        <v>IIFL Finance Limited</v>
      </c>
      <c r="C1013" t="s">
        <v>6240</v>
      </c>
      <c r="D1013">
        <v>1035</v>
      </c>
      <c r="E1013">
        <v>1035</v>
      </c>
      <c r="F1013">
        <v>1012.05</v>
      </c>
      <c r="G1013" s="3">
        <v>1012.05</v>
      </c>
      <c r="H1013">
        <v>1012.05</v>
      </c>
      <c r="I1013">
        <v>1025</v>
      </c>
      <c r="J1013">
        <v>229</v>
      </c>
      <c r="K1013">
        <v>235867.5</v>
      </c>
      <c r="L1013" s="1">
        <v>45240</v>
      </c>
      <c r="M1013">
        <v>4</v>
      </c>
      <c r="N1013" t="s">
        <v>6513</v>
      </c>
      <c r="O1013" s="5">
        <v>45240</v>
      </c>
      <c r="P1013" s="5">
        <v>43777</v>
      </c>
    </row>
    <row r="1014" spans="1:16" x14ac:dyDescent="0.25">
      <c r="A1014" t="s">
        <v>2252</v>
      </c>
      <c r="B1014" t="str">
        <v>IIFL Finance Limited</v>
      </c>
      <c r="C1014" t="s">
        <v>5872</v>
      </c>
      <c r="D1014">
        <v>980</v>
      </c>
      <c r="E1014">
        <v>980</v>
      </c>
      <c r="F1014">
        <v>975.15</v>
      </c>
      <c r="G1014" s="3">
        <v>975.97</v>
      </c>
      <c r="H1014">
        <v>976</v>
      </c>
      <c r="I1014">
        <v>975.78</v>
      </c>
      <c r="J1014">
        <v>240</v>
      </c>
      <c r="K1014">
        <v>234409.83</v>
      </c>
      <c r="L1014" s="1">
        <v>45240</v>
      </c>
      <c r="M1014">
        <v>15</v>
      </c>
      <c r="N1014" t="s">
        <v>6512</v>
      </c>
      <c r="O1014" s="5">
        <v>45240</v>
      </c>
      <c r="P1014" s="5">
        <v>43777</v>
      </c>
    </row>
    <row r="1015" spans="1:16" x14ac:dyDescent="0.25">
      <c r="A1015" t="s">
        <v>2252</v>
      </c>
      <c r="B1015" t="str">
        <v>IIFL Finance Limited</v>
      </c>
      <c r="C1015" t="s">
        <v>5868</v>
      </c>
      <c r="D1015">
        <v>949.99</v>
      </c>
      <c r="E1015">
        <v>949.99</v>
      </c>
      <c r="F1015">
        <v>949.99</v>
      </c>
      <c r="G1015" s="3">
        <v>949.99</v>
      </c>
      <c r="H1015">
        <v>949.99</v>
      </c>
      <c r="I1015">
        <v>950</v>
      </c>
      <c r="J1015">
        <v>101</v>
      </c>
      <c r="K1015">
        <v>95948.99</v>
      </c>
      <c r="L1015" s="1">
        <v>45240</v>
      </c>
      <c r="M1015">
        <v>2</v>
      </c>
      <c r="N1015" t="s">
        <v>6511</v>
      </c>
      <c r="O1015" s="5">
        <v>45240</v>
      </c>
      <c r="P1015" s="5">
        <v>43777</v>
      </c>
    </row>
    <row r="1016" spans="1:16" x14ac:dyDescent="0.25">
      <c r="A1016" t="s">
        <v>2252</v>
      </c>
      <c r="B1016" t="str">
        <v>IIFL Finance Limited</v>
      </c>
      <c r="C1016" t="s">
        <v>6459</v>
      </c>
      <c r="D1016">
        <v>1016.2</v>
      </c>
      <c r="E1016">
        <v>1016.2</v>
      </c>
      <c r="F1016">
        <v>1016.2</v>
      </c>
      <c r="G1016" s="3">
        <v>1016.2</v>
      </c>
      <c r="H1016">
        <v>1016.2</v>
      </c>
      <c r="I1016">
        <v>1029</v>
      </c>
      <c r="J1016">
        <v>10</v>
      </c>
      <c r="K1016">
        <v>10162</v>
      </c>
      <c r="L1016" s="1">
        <v>45240</v>
      </c>
      <c r="M1016">
        <v>1</v>
      </c>
      <c r="N1016" t="s">
        <v>6510</v>
      </c>
      <c r="O1016" s="5">
        <v>45240</v>
      </c>
      <c r="P1016" s="5">
        <v>43777</v>
      </c>
    </row>
    <row r="1017" spans="1:16" x14ac:dyDescent="0.25">
      <c r="A1017" t="s">
        <v>2252</v>
      </c>
      <c r="B1017" t="str">
        <v>IIFL Finance Limited</v>
      </c>
      <c r="C1017" t="s">
        <v>6509</v>
      </c>
      <c r="D1017">
        <v>1032</v>
      </c>
      <c r="E1017">
        <v>1032</v>
      </c>
      <c r="F1017">
        <v>1032</v>
      </c>
      <c r="G1017" s="3">
        <v>1032</v>
      </c>
      <c r="H1017">
        <v>1032</v>
      </c>
      <c r="I1017">
        <v>1033</v>
      </c>
      <c r="J1017">
        <v>90</v>
      </c>
      <c r="K1017">
        <v>92880</v>
      </c>
      <c r="L1017" s="1">
        <v>45240</v>
      </c>
      <c r="M1017">
        <v>1</v>
      </c>
      <c r="N1017" t="s">
        <v>6508</v>
      </c>
      <c r="O1017" s="5">
        <v>45240</v>
      </c>
      <c r="P1017" s="5">
        <v>43777</v>
      </c>
    </row>
    <row r="1018" spans="1:16" x14ac:dyDescent="0.25">
      <c r="A1018" t="s">
        <v>2252</v>
      </c>
      <c r="B1018" t="str">
        <v>IIFL Finance Limited</v>
      </c>
      <c r="C1018" t="s">
        <v>6507</v>
      </c>
      <c r="D1018">
        <v>938</v>
      </c>
      <c r="E1018">
        <v>939</v>
      </c>
      <c r="F1018">
        <v>938</v>
      </c>
      <c r="G1018" s="3">
        <v>938</v>
      </c>
      <c r="H1018">
        <v>938</v>
      </c>
      <c r="I1018">
        <v>938</v>
      </c>
      <c r="J1018">
        <v>8</v>
      </c>
      <c r="K1018">
        <v>7507</v>
      </c>
      <c r="L1018" s="1">
        <v>45240</v>
      </c>
      <c r="M1018">
        <v>5</v>
      </c>
      <c r="N1018" t="s">
        <v>6506</v>
      </c>
      <c r="O1018" s="5">
        <v>45240</v>
      </c>
      <c r="P1018" s="5">
        <v>43777</v>
      </c>
    </row>
    <row r="1019" spans="1:16" x14ac:dyDescent="0.25">
      <c r="A1019" t="s">
        <v>2252</v>
      </c>
      <c r="B1019" t="str">
        <v>IIFL Finance Limited</v>
      </c>
      <c r="C1019" t="s">
        <v>6505</v>
      </c>
      <c r="D1019">
        <v>940</v>
      </c>
      <c r="E1019">
        <v>940</v>
      </c>
      <c r="F1019">
        <v>940</v>
      </c>
      <c r="G1019" s="3">
        <v>940</v>
      </c>
      <c r="H1019">
        <v>940</v>
      </c>
      <c r="I1019">
        <v>945</v>
      </c>
      <c r="J1019">
        <v>1291</v>
      </c>
      <c r="K1019">
        <v>1213540</v>
      </c>
      <c r="L1019" s="1">
        <v>45240</v>
      </c>
      <c r="M1019">
        <v>9</v>
      </c>
      <c r="N1019" t="s">
        <v>6504</v>
      </c>
      <c r="O1019" s="5">
        <v>45240</v>
      </c>
      <c r="P1019" s="5">
        <v>43777</v>
      </c>
    </row>
    <row r="1020" spans="1:16" x14ac:dyDescent="0.25">
      <c r="A1020" t="s">
        <v>2255</v>
      </c>
      <c r="B1020" t="str">
        <v>IIFL Securities Limited</v>
      </c>
      <c r="C1020" t="s">
        <v>14</v>
      </c>
      <c r="D1020">
        <v>114.95</v>
      </c>
      <c r="E1020">
        <v>120.8</v>
      </c>
      <c r="F1020">
        <v>113.75</v>
      </c>
      <c r="G1020" s="3">
        <v>119.3</v>
      </c>
      <c r="H1020">
        <v>119.2</v>
      </c>
      <c r="I1020">
        <v>115.2</v>
      </c>
      <c r="J1020">
        <v>3459325</v>
      </c>
      <c r="K1020">
        <v>407983226.64999998</v>
      </c>
      <c r="L1020" s="1">
        <v>45240</v>
      </c>
      <c r="M1020">
        <v>20057</v>
      </c>
      <c r="N1020" t="s">
        <v>2257</v>
      </c>
      <c r="O1020" s="5">
        <v>45240</v>
      </c>
      <c r="P1020" s="5">
        <v>43777</v>
      </c>
    </row>
    <row r="1021" spans="1:16" x14ac:dyDescent="0.25">
      <c r="A1021" t="s">
        <v>6498</v>
      </c>
      <c r="B1021" t="str">
        <v>Not Found</v>
      </c>
      <c r="C1021" t="s">
        <v>6210</v>
      </c>
      <c r="D1021">
        <v>997</v>
      </c>
      <c r="E1021">
        <v>999.99</v>
      </c>
      <c r="F1021">
        <v>997</v>
      </c>
      <c r="G1021" s="3">
        <v>997.42</v>
      </c>
      <c r="H1021">
        <v>999.99</v>
      </c>
      <c r="I1021">
        <v>997</v>
      </c>
      <c r="J1021">
        <v>35</v>
      </c>
      <c r="K1021">
        <v>34909.980000000003</v>
      </c>
      <c r="L1021" s="1">
        <v>45240</v>
      </c>
      <c r="M1021">
        <v>3</v>
      </c>
      <c r="N1021" t="s">
        <v>6503</v>
      </c>
      <c r="O1021" s="5">
        <v>45240</v>
      </c>
      <c r="P1021" s="5">
        <v>43777</v>
      </c>
    </row>
    <row r="1022" spans="1:16" x14ac:dyDescent="0.25">
      <c r="A1022" t="s">
        <v>6498</v>
      </c>
      <c r="B1022" t="str">
        <v>Not Found</v>
      </c>
      <c r="C1022" t="s">
        <v>6174</v>
      </c>
      <c r="D1022">
        <v>973</v>
      </c>
      <c r="E1022">
        <v>975</v>
      </c>
      <c r="F1022">
        <v>972.4</v>
      </c>
      <c r="G1022" s="3">
        <v>975</v>
      </c>
      <c r="H1022">
        <v>975</v>
      </c>
      <c r="I1022">
        <v>974.11</v>
      </c>
      <c r="J1022">
        <v>560</v>
      </c>
      <c r="K1022">
        <v>545200.5</v>
      </c>
      <c r="L1022" s="1">
        <v>45240</v>
      </c>
      <c r="M1022">
        <v>16</v>
      </c>
      <c r="N1022" t="s">
        <v>6502</v>
      </c>
      <c r="O1022" s="5">
        <v>45240</v>
      </c>
      <c r="P1022" s="5">
        <v>43777</v>
      </c>
    </row>
    <row r="1023" spans="1:16" x14ac:dyDescent="0.25">
      <c r="A1023" t="s">
        <v>6498</v>
      </c>
      <c r="B1023" t="str">
        <v>Not Found</v>
      </c>
      <c r="C1023" t="s">
        <v>5843</v>
      </c>
      <c r="D1023">
        <v>1115</v>
      </c>
      <c r="E1023">
        <v>1115</v>
      </c>
      <c r="F1023">
        <v>1115</v>
      </c>
      <c r="G1023" s="3">
        <v>1115</v>
      </c>
      <c r="H1023">
        <v>1115</v>
      </c>
      <c r="I1023">
        <v>1102.21</v>
      </c>
      <c r="J1023">
        <v>99</v>
      </c>
      <c r="K1023">
        <v>110385</v>
      </c>
      <c r="L1023" s="1">
        <v>45240</v>
      </c>
      <c r="M1023">
        <v>2</v>
      </c>
      <c r="N1023" t="s">
        <v>6501</v>
      </c>
      <c r="O1023" s="5">
        <v>45240</v>
      </c>
      <c r="P1023" s="5">
        <v>43777</v>
      </c>
    </row>
    <row r="1024" spans="1:16" x14ac:dyDescent="0.25">
      <c r="A1024" t="s">
        <v>6498</v>
      </c>
      <c r="B1024" t="str">
        <v>Not Found</v>
      </c>
      <c r="C1024" t="s">
        <v>6207</v>
      </c>
      <c r="D1024">
        <v>1037.8499999999999</v>
      </c>
      <c r="E1024">
        <v>1037.8499999999999</v>
      </c>
      <c r="F1024">
        <v>1037.8499999999999</v>
      </c>
      <c r="G1024" s="3">
        <v>1037.8499999999999</v>
      </c>
      <c r="H1024">
        <v>1037.8499999999999</v>
      </c>
      <c r="I1024">
        <v>1037.25</v>
      </c>
      <c r="J1024">
        <v>4</v>
      </c>
      <c r="K1024">
        <v>4151.3999999999996</v>
      </c>
      <c r="L1024" s="1">
        <v>45240</v>
      </c>
      <c r="M1024">
        <v>1</v>
      </c>
      <c r="N1024" t="s">
        <v>6500</v>
      </c>
      <c r="O1024" s="5">
        <v>45240</v>
      </c>
      <c r="P1024" s="5">
        <v>43777</v>
      </c>
    </row>
    <row r="1025" spans="1:16" x14ac:dyDescent="0.25">
      <c r="A1025" t="s">
        <v>6498</v>
      </c>
      <c r="B1025" t="str">
        <v>Not Found</v>
      </c>
      <c r="C1025" t="s">
        <v>6130</v>
      </c>
      <c r="D1025">
        <v>946</v>
      </c>
      <c r="E1025">
        <v>946</v>
      </c>
      <c r="F1025">
        <v>930.1</v>
      </c>
      <c r="G1025" s="3">
        <v>930.1</v>
      </c>
      <c r="H1025">
        <v>930.1</v>
      </c>
      <c r="I1025">
        <v>930</v>
      </c>
      <c r="J1025">
        <v>151</v>
      </c>
      <c r="K1025">
        <v>142035.1</v>
      </c>
      <c r="L1025" s="1">
        <v>45240</v>
      </c>
      <c r="M1025">
        <v>4</v>
      </c>
      <c r="N1025" t="s">
        <v>6499</v>
      </c>
      <c r="O1025" s="5">
        <v>45240</v>
      </c>
      <c r="P1025" s="5">
        <v>43777</v>
      </c>
    </row>
    <row r="1026" spans="1:16" x14ac:dyDescent="0.25">
      <c r="A1026" t="s">
        <v>6498</v>
      </c>
      <c r="B1026" t="str">
        <v>Not Found</v>
      </c>
      <c r="C1026" t="s">
        <v>6245</v>
      </c>
      <c r="D1026">
        <v>915.1</v>
      </c>
      <c r="E1026">
        <v>919</v>
      </c>
      <c r="F1026">
        <v>915.1</v>
      </c>
      <c r="G1026" s="3">
        <v>919</v>
      </c>
      <c r="H1026">
        <v>919</v>
      </c>
      <c r="I1026">
        <v>920</v>
      </c>
      <c r="J1026">
        <v>85</v>
      </c>
      <c r="K1026">
        <v>78076</v>
      </c>
      <c r="L1026" s="1">
        <v>45240</v>
      </c>
      <c r="M1026">
        <v>6</v>
      </c>
      <c r="N1026" t="s">
        <v>6497</v>
      </c>
      <c r="O1026" s="5">
        <v>45240</v>
      </c>
      <c r="P1026" s="5">
        <v>43777</v>
      </c>
    </row>
    <row r="1027" spans="1:16" x14ac:dyDescent="0.25">
      <c r="A1027" t="s">
        <v>2258</v>
      </c>
      <c r="B1027" t="str">
        <v>Industrial Investment Trust Limited</v>
      </c>
      <c r="C1027" t="s">
        <v>10</v>
      </c>
      <c r="D1027">
        <v>175</v>
      </c>
      <c r="E1027">
        <v>175.5</v>
      </c>
      <c r="F1027">
        <v>171.65</v>
      </c>
      <c r="G1027" s="3">
        <v>171.8</v>
      </c>
      <c r="H1027">
        <v>171.65</v>
      </c>
      <c r="I1027">
        <v>180.65</v>
      </c>
      <c r="J1027">
        <v>25234</v>
      </c>
      <c r="K1027">
        <v>4342477.6500000004</v>
      </c>
      <c r="L1027" s="1">
        <v>45240</v>
      </c>
      <c r="M1027">
        <v>264</v>
      </c>
      <c r="N1027" t="s">
        <v>2260</v>
      </c>
      <c r="O1027" s="5">
        <v>45240</v>
      </c>
      <c r="P1027" s="5">
        <v>43777</v>
      </c>
    </row>
    <row r="1028" spans="1:16" x14ac:dyDescent="0.25">
      <c r="A1028" t="s">
        <v>2261</v>
      </c>
      <c r="B1028" t="str">
        <v>IKIO Lighting Limited</v>
      </c>
      <c r="C1028" t="s">
        <v>14</v>
      </c>
      <c r="D1028">
        <v>332.45</v>
      </c>
      <c r="E1028">
        <v>333.9</v>
      </c>
      <c r="F1028">
        <v>319</v>
      </c>
      <c r="G1028" s="3">
        <v>323.3</v>
      </c>
      <c r="H1028">
        <v>324</v>
      </c>
      <c r="I1028">
        <v>332.45</v>
      </c>
      <c r="J1028">
        <v>407068</v>
      </c>
      <c r="K1028">
        <v>132806448.3</v>
      </c>
      <c r="L1028" s="1">
        <v>45240</v>
      </c>
      <c r="M1028">
        <v>11284</v>
      </c>
      <c r="N1028" t="s">
        <v>2263</v>
      </c>
      <c r="O1028" s="5">
        <v>45240</v>
      </c>
      <c r="P1028" s="5">
        <v>43777</v>
      </c>
    </row>
    <row r="1029" spans="1:16" x14ac:dyDescent="0.25">
      <c r="A1029" t="s">
        <v>2264</v>
      </c>
      <c r="B1029" t="str">
        <v>IL&amp;FS Engineering and Construction Company Limited</v>
      </c>
      <c r="C1029" t="s">
        <v>786</v>
      </c>
      <c r="D1029">
        <v>25.3</v>
      </c>
      <c r="E1029">
        <v>25.3</v>
      </c>
      <c r="F1029">
        <v>25</v>
      </c>
      <c r="G1029" s="3">
        <v>25</v>
      </c>
      <c r="H1029">
        <v>25</v>
      </c>
      <c r="I1029">
        <v>24.85</v>
      </c>
      <c r="J1029">
        <v>58592</v>
      </c>
      <c r="K1029">
        <v>1477161.7</v>
      </c>
      <c r="L1029" s="1">
        <v>45240</v>
      </c>
      <c r="M1029">
        <v>53</v>
      </c>
      <c r="N1029" t="s">
        <v>2266</v>
      </c>
      <c r="O1029" s="5">
        <v>45240</v>
      </c>
      <c r="P1029" s="5">
        <v>43777</v>
      </c>
    </row>
    <row r="1030" spans="1:16" x14ac:dyDescent="0.25">
      <c r="A1030" t="s">
        <v>2267</v>
      </c>
      <c r="B1030" t="str">
        <v>IL&amp;FS Transportation Networks Limited</v>
      </c>
      <c r="C1030" t="s">
        <v>786</v>
      </c>
      <c r="D1030">
        <v>5.6</v>
      </c>
      <c r="E1030">
        <v>5.6</v>
      </c>
      <c r="F1030">
        <v>5.6</v>
      </c>
      <c r="G1030" s="3">
        <v>5.6</v>
      </c>
      <c r="H1030">
        <v>5.6</v>
      </c>
      <c r="I1030">
        <v>5.7</v>
      </c>
      <c r="J1030">
        <v>10453</v>
      </c>
      <c r="K1030">
        <v>58536.800000000003</v>
      </c>
      <c r="L1030" s="1">
        <v>45240</v>
      </c>
      <c r="M1030">
        <v>29</v>
      </c>
      <c r="N1030" t="s">
        <v>2269</v>
      </c>
      <c r="O1030" s="5">
        <v>45240</v>
      </c>
      <c r="P1030" s="5">
        <v>43777</v>
      </c>
    </row>
    <row r="1031" spans="1:16" x14ac:dyDescent="0.25">
      <c r="A1031" t="s">
        <v>2270</v>
      </c>
      <c r="B1031" t="str">
        <v>Imagicaaworld Entertainment Limited</v>
      </c>
      <c r="C1031" t="s">
        <v>14</v>
      </c>
      <c r="D1031">
        <v>45.55</v>
      </c>
      <c r="E1031">
        <v>46.55</v>
      </c>
      <c r="F1031">
        <v>45.35</v>
      </c>
      <c r="G1031" s="3">
        <v>45.65</v>
      </c>
      <c r="H1031">
        <v>45.7</v>
      </c>
      <c r="I1031">
        <v>45.6</v>
      </c>
      <c r="J1031">
        <v>906519</v>
      </c>
      <c r="K1031">
        <v>41503668.149999999</v>
      </c>
      <c r="L1031" s="1">
        <v>45240</v>
      </c>
      <c r="M1031">
        <v>3110</v>
      </c>
      <c r="N1031" t="s">
        <v>2272</v>
      </c>
      <c r="O1031" s="5">
        <v>45240</v>
      </c>
      <c r="P1031" s="5">
        <v>43777</v>
      </c>
    </row>
    <row r="1032" spans="1:16" x14ac:dyDescent="0.25">
      <c r="A1032" t="s">
        <v>6495</v>
      </c>
      <c r="B1032" t="str">
        <v>Not Found</v>
      </c>
      <c r="C1032" t="s">
        <v>6265</v>
      </c>
      <c r="D1032">
        <v>253</v>
      </c>
      <c r="E1032">
        <v>255.99</v>
      </c>
      <c r="F1032">
        <v>253</v>
      </c>
      <c r="G1032" s="3">
        <v>253</v>
      </c>
      <c r="H1032">
        <v>253</v>
      </c>
      <c r="I1032">
        <v>250</v>
      </c>
      <c r="J1032">
        <v>101</v>
      </c>
      <c r="K1032">
        <v>25793.71</v>
      </c>
      <c r="L1032" s="1">
        <v>45240</v>
      </c>
      <c r="M1032">
        <v>4</v>
      </c>
      <c r="N1032" t="s">
        <v>6496</v>
      </c>
      <c r="O1032" s="5">
        <v>45240</v>
      </c>
      <c r="P1032" s="5">
        <v>43777</v>
      </c>
    </row>
    <row r="1033" spans="1:16" x14ac:dyDescent="0.25">
      <c r="A1033" t="s">
        <v>6495</v>
      </c>
      <c r="B1033" t="str">
        <v>Not Found</v>
      </c>
      <c r="C1033" t="s">
        <v>6176</v>
      </c>
      <c r="D1033">
        <v>250</v>
      </c>
      <c r="E1033">
        <v>250</v>
      </c>
      <c r="F1033">
        <v>250</v>
      </c>
      <c r="G1033" s="3">
        <v>250</v>
      </c>
      <c r="H1033">
        <v>250</v>
      </c>
      <c r="I1033">
        <v>250</v>
      </c>
      <c r="J1033">
        <v>4</v>
      </c>
      <c r="K1033">
        <v>1000</v>
      </c>
      <c r="L1033" s="1">
        <v>45240</v>
      </c>
      <c r="M1033">
        <v>1</v>
      </c>
      <c r="N1033" t="s">
        <v>6494</v>
      </c>
      <c r="O1033" s="5">
        <v>45240</v>
      </c>
      <c r="P1033" s="5">
        <v>43777</v>
      </c>
    </row>
    <row r="1034" spans="1:16" x14ac:dyDescent="0.25">
      <c r="A1034" t="s">
        <v>2273</v>
      </c>
      <c r="B1034" t="str">
        <v>Indian Metals &amp; Ferro Alloys Limited</v>
      </c>
      <c r="C1034" t="s">
        <v>14</v>
      </c>
      <c r="D1034">
        <v>434</v>
      </c>
      <c r="E1034">
        <v>459</v>
      </c>
      <c r="F1034">
        <v>431.1</v>
      </c>
      <c r="G1034" s="3">
        <v>442</v>
      </c>
      <c r="H1034">
        <v>440.15</v>
      </c>
      <c r="I1034">
        <v>437.75</v>
      </c>
      <c r="J1034">
        <v>428259</v>
      </c>
      <c r="K1034">
        <v>191704422.5</v>
      </c>
      <c r="L1034" s="1">
        <v>45240</v>
      </c>
      <c r="M1034">
        <v>13907</v>
      </c>
      <c r="N1034" t="s">
        <v>2275</v>
      </c>
      <c r="O1034" s="5">
        <v>45240</v>
      </c>
      <c r="P1034" s="5">
        <v>43777</v>
      </c>
    </row>
    <row r="1035" spans="1:16" x14ac:dyDescent="0.25">
      <c r="A1035" t="s">
        <v>2276</v>
      </c>
      <c r="B1035" t="str">
        <v>India Motor Parts and Accessories Limited</v>
      </c>
      <c r="C1035" t="s">
        <v>14</v>
      </c>
      <c r="D1035">
        <v>840</v>
      </c>
      <c r="E1035">
        <v>867.3</v>
      </c>
      <c r="F1035">
        <v>815</v>
      </c>
      <c r="G1035" s="3">
        <v>840.75</v>
      </c>
      <c r="H1035">
        <v>838</v>
      </c>
      <c r="I1035">
        <v>833.8</v>
      </c>
      <c r="J1035">
        <v>10023</v>
      </c>
      <c r="K1035">
        <v>8435895.1999999993</v>
      </c>
      <c r="L1035" s="1">
        <v>45240</v>
      </c>
      <c r="M1035">
        <v>1302</v>
      </c>
      <c r="N1035" t="s">
        <v>2278</v>
      </c>
      <c r="O1035" s="5">
        <v>45240</v>
      </c>
      <c r="P1035" s="5">
        <v>43777</v>
      </c>
    </row>
    <row r="1036" spans="1:16" x14ac:dyDescent="0.25">
      <c r="A1036" t="s">
        <v>2279</v>
      </c>
      <c r="B1036" t="str">
        <v>Impex Ferro Tech Limited</v>
      </c>
      <c r="C1036" t="s">
        <v>10</v>
      </c>
      <c r="D1036">
        <v>3.4</v>
      </c>
      <c r="E1036">
        <v>3.4</v>
      </c>
      <c r="F1036">
        <v>3.4</v>
      </c>
      <c r="G1036" s="3">
        <v>3.4</v>
      </c>
      <c r="H1036">
        <v>3.4</v>
      </c>
      <c r="I1036">
        <v>3.45</v>
      </c>
      <c r="J1036">
        <v>52080</v>
      </c>
      <c r="K1036">
        <v>177072</v>
      </c>
      <c r="L1036" s="1">
        <v>45240</v>
      </c>
      <c r="M1036">
        <v>16</v>
      </c>
      <c r="N1036" t="s">
        <v>2281</v>
      </c>
      <c r="O1036" s="5">
        <v>45240</v>
      </c>
      <c r="P1036" s="5">
        <v>43777</v>
      </c>
    </row>
    <row r="1037" spans="1:16" x14ac:dyDescent="0.25">
      <c r="A1037" t="s">
        <v>6492</v>
      </c>
      <c r="B1037" t="str">
        <v>Not Found</v>
      </c>
      <c r="C1037" t="s">
        <v>6176</v>
      </c>
      <c r="D1037">
        <v>1056.1500000000001</v>
      </c>
      <c r="E1037">
        <v>1056.1500000000001</v>
      </c>
      <c r="F1037">
        <v>1056.1500000000001</v>
      </c>
      <c r="G1037" s="3">
        <v>1056.1500000000001</v>
      </c>
      <c r="H1037">
        <v>1056.1500000000001</v>
      </c>
      <c r="I1037">
        <v>1059</v>
      </c>
      <c r="J1037">
        <v>14</v>
      </c>
      <c r="K1037">
        <v>14786.1</v>
      </c>
      <c r="L1037" s="1">
        <v>45240</v>
      </c>
      <c r="M1037">
        <v>3</v>
      </c>
      <c r="N1037" t="s">
        <v>6493</v>
      </c>
      <c r="O1037" s="5">
        <v>45240</v>
      </c>
      <c r="P1037" s="5">
        <v>43777</v>
      </c>
    </row>
    <row r="1038" spans="1:16" x14ac:dyDescent="0.25">
      <c r="A1038" t="s">
        <v>6492</v>
      </c>
      <c r="B1038" t="str">
        <v>Not Found</v>
      </c>
      <c r="C1038" t="s">
        <v>6210</v>
      </c>
      <c r="D1038">
        <v>981</v>
      </c>
      <c r="E1038">
        <v>981</v>
      </c>
      <c r="F1038">
        <v>981</v>
      </c>
      <c r="G1038" s="3">
        <v>981</v>
      </c>
      <c r="H1038">
        <v>981</v>
      </c>
      <c r="I1038">
        <v>981</v>
      </c>
      <c r="J1038">
        <v>7</v>
      </c>
      <c r="K1038">
        <v>6867</v>
      </c>
      <c r="L1038" s="1">
        <v>45240</v>
      </c>
      <c r="M1038">
        <v>2</v>
      </c>
      <c r="N1038" t="s">
        <v>6491</v>
      </c>
      <c r="O1038" s="5">
        <v>45240</v>
      </c>
      <c r="P1038" s="5">
        <v>43777</v>
      </c>
    </row>
    <row r="1039" spans="1:16" x14ac:dyDescent="0.25">
      <c r="A1039" t="s">
        <v>2282</v>
      </c>
      <c r="B1039" t="str">
        <v>INCREDIBLE INDUSTRIES LIMITED</v>
      </c>
      <c r="C1039" t="s">
        <v>10</v>
      </c>
      <c r="D1039">
        <v>31.6</v>
      </c>
      <c r="E1039">
        <v>32.700000000000003</v>
      </c>
      <c r="F1039">
        <v>30.05</v>
      </c>
      <c r="G1039" s="3">
        <v>31</v>
      </c>
      <c r="H1039">
        <v>31</v>
      </c>
      <c r="I1039">
        <v>31.6</v>
      </c>
      <c r="J1039">
        <v>17090</v>
      </c>
      <c r="K1039">
        <v>529242.05000000005</v>
      </c>
      <c r="L1039" s="1">
        <v>45240</v>
      </c>
      <c r="M1039">
        <v>96</v>
      </c>
      <c r="N1039" t="s">
        <v>2284</v>
      </c>
      <c r="O1039" s="5">
        <v>45240</v>
      </c>
      <c r="P1039" s="5">
        <v>43777</v>
      </c>
    </row>
    <row r="1040" spans="1:16" x14ac:dyDescent="0.25">
      <c r="A1040" t="s">
        <v>2285</v>
      </c>
      <c r="B1040" t="str">
        <v>Indbank Merchant Banking Services Limited</v>
      </c>
      <c r="C1040" t="s">
        <v>10</v>
      </c>
      <c r="D1040">
        <v>33.9</v>
      </c>
      <c r="E1040">
        <v>34</v>
      </c>
      <c r="F1040">
        <v>32.799999999999997</v>
      </c>
      <c r="G1040" s="3">
        <v>33.200000000000003</v>
      </c>
      <c r="H1040">
        <v>33</v>
      </c>
      <c r="I1040">
        <v>32.799999999999997</v>
      </c>
      <c r="J1040">
        <v>30426</v>
      </c>
      <c r="K1040">
        <v>1015340.15</v>
      </c>
      <c r="L1040" s="1">
        <v>45240</v>
      </c>
      <c r="M1040">
        <v>212</v>
      </c>
      <c r="N1040" t="s">
        <v>2287</v>
      </c>
      <c r="O1040" s="5">
        <v>45240</v>
      </c>
      <c r="P1040" s="5">
        <v>43777</v>
      </c>
    </row>
    <row r="1041" spans="1:16" x14ac:dyDescent="0.25">
      <c r="A1041" t="s">
        <v>2288</v>
      </c>
      <c r="B1041" t="str">
        <v>The Indian Hotels Company Limited</v>
      </c>
      <c r="C1041" t="s">
        <v>14</v>
      </c>
      <c r="D1041">
        <v>405</v>
      </c>
      <c r="E1041">
        <v>410.1</v>
      </c>
      <c r="F1041">
        <v>403.2</v>
      </c>
      <c r="G1041" s="3">
        <v>409.45</v>
      </c>
      <c r="H1041">
        <v>408.5</v>
      </c>
      <c r="I1041">
        <v>405.45</v>
      </c>
      <c r="J1041">
        <v>1856115</v>
      </c>
      <c r="K1041">
        <v>757002563.89999998</v>
      </c>
      <c r="L1041" s="1">
        <v>45240</v>
      </c>
      <c r="M1041">
        <v>35167</v>
      </c>
      <c r="N1041" t="s">
        <v>2290</v>
      </c>
      <c r="O1041" s="5">
        <v>45240</v>
      </c>
      <c r="P1041" s="5">
        <v>43777</v>
      </c>
    </row>
    <row r="1042" spans="1:16" x14ac:dyDescent="0.25">
      <c r="A1042" t="s">
        <v>2291</v>
      </c>
      <c r="B1042" t="str">
        <v>The India Cements Limited</v>
      </c>
      <c r="C1042" t="s">
        <v>14</v>
      </c>
      <c r="D1042">
        <v>212.5</v>
      </c>
      <c r="E1042">
        <v>214.4</v>
      </c>
      <c r="F1042">
        <v>210</v>
      </c>
      <c r="G1042" s="3">
        <v>212.55</v>
      </c>
      <c r="H1042">
        <v>212.6</v>
      </c>
      <c r="I1042">
        <v>212.55</v>
      </c>
      <c r="J1042">
        <v>1187840</v>
      </c>
      <c r="K1042">
        <v>252159043.84999999</v>
      </c>
      <c r="L1042" s="1">
        <v>45240</v>
      </c>
      <c r="M1042">
        <v>11168</v>
      </c>
      <c r="N1042" t="s">
        <v>2293</v>
      </c>
      <c r="O1042" s="5">
        <v>45240</v>
      </c>
      <c r="P1042" s="5">
        <v>43777</v>
      </c>
    </row>
    <row r="1043" spans="1:16" x14ac:dyDescent="0.25">
      <c r="A1043" t="s">
        <v>2294</v>
      </c>
      <c r="B1043" t="str">
        <v>India Glycols Limited</v>
      </c>
      <c r="C1043" t="s">
        <v>14</v>
      </c>
      <c r="D1043">
        <v>705</v>
      </c>
      <c r="E1043">
        <v>708.25</v>
      </c>
      <c r="F1043">
        <v>698.35</v>
      </c>
      <c r="G1043" s="3">
        <v>705.1</v>
      </c>
      <c r="H1043">
        <v>704.35</v>
      </c>
      <c r="I1043">
        <v>705.55</v>
      </c>
      <c r="J1043">
        <v>39787</v>
      </c>
      <c r="K1043">
        <v>27947343.100000001</v>
      </c>
      <c r="L1043" s="1">
        <v>45240</v>
      </c>
      <c r="M1043">
        <v>3089</v>
      </c>
      <c r="N1043" t="s">
        <v>2296</v>
      </c>
      <c r="O1043" s="5">
        <v>45240</v>
      </c>
      <c r="P1043" s="5">
        <v>43777</v>
      </c>
    </row>
    <row r="1044" spans="1:16" x14ac:dyDescent="0.25">
      <c r="A1044" t="s">
        <v>2297</v>
      </c>
      <c r="B1044" t="str">
        <v>Indiamart Intermesh Limited</v>
      </c>
      <c r="C1044" t="s">
        <v>14</v>
      </c>
      <c r="D1044">
        <v>2626.45</v>
      </c>
      <c r="E1044">
        <v>2628.2</v>
      </c>
      <c r="F1044">
        <v>2590.8000000000002</v>
      </c>
      <c r="G1044" s="3">
        <v>2601.75</v>
      </c>
      <c r="H1044">
        <v>2609.9499999999998</v>
      </c>
      <c r="I1044">
        <v>2621.5</v>
      </c>
      <c r="J1044">
        <v>84558</v>
      </c>
      <c r="K1044">
        <v>220465898.40000001</v>
      </c>
      <c r="L1044" s="1">
        <v>45240</v>
      </c>
      <c r="M1044">
        <v>10168</v>
      </c>
      <c r="N1044" t="s">
        <v>2299</v>
      </c>
      <c r="O1044" s="5">
        <v>45240</v>
      </c>
      <c r="P1044" s="5">
        <v>43777</v>
      </c>
    </row>
    <row r="1045" spans="1:16" x14ac:dyDescent="0.25">
      <c r="A1045" t="s">
        <v>2300</v>
      </c>
      <c r="B1045" t="str">
        <v>Indian Bank</v>
      </c>
      <c r="C1045" t="s">
        <v>14</v>
      </c>
      <c r="D1045">
        <v>417</v>
      </c>
      <c r="E1045">
        <v>422.6</v>
      </c>
      <c r="F1045">
        <v>414.7</v>
      </c>
      <c r="G1045" s="3">
        <v>416.05</v>
      </c>
      <c r="H1045">
        <v>417.5</v>
      </c>
      <c r="I1045">
        <v>418.8</v>
      </c>
      <c r="J1045">
        <v>627616</v>
      </c>
      <c r="K1045">
        <v>262376137.15000001</v>
      </c>
      <c r="L1045" s="1">
        <v>45240</v>
      </c>
      <c r="M1045">
        <v>11580</v>
      </c>
      <c r="N1045" t="s">
        <v>2302</v>
      </c>
      <c r="O1045" s="5">
        <v>45240</v>
      </c>
      <c r="P1045" s="5">
        <v>43777</v>
      </c>
    </row>
    <row r="1046" spans="1:16" x14ac:dyDescent="0.25">
      <c r="A1046" t="s">
        <v>2303</v>
      </c>
      <c r="B1046" t="str">
        <v>Indian Card Clothing Company Limited</v>
      </c>
      <c r="C1046" t="s">
        <v>14</v>
      </c>
      <c r="D1046">
        <v>239.9</v>
      </c>
      <c r="E1046">
        <v>239.9</v>
      </c>
      <c r="F1046">
        <v>231.3</v>
      </c>
      <c r="G1046" s="3">
        <v>235.1</v>
      </c>
      <c r="H1046">
        <v>233.95</v>
      </c>
      <c r="I1046">
        <v>237.9</v>
      </c>
      <c r="J1046">
        <v>3526</v>
      </c>
      <c r="K1046">
        <v>826874.6</v>
      </c>
      <c r="L1046" s="1">
        <v>45240</v>
      </c>
      <c r="M1046">
        <v>210</v>
      </c>
      <c r="N1046" t="s">
        <v>2305</v>
      </c>
      <c r="O1046" s="5">
        <v>45240</v>
      </c>
      <c r="P1046" s="5">
        <v>43777</v>
      </c>
    </row>
    <row r="1047" spans="1:16" x14ac:dyDescent="0.25">
      <c r="A1047" t="s">
        <v>2306</v>
      </c>
      <c r="B1047" t="str">
        <v>Indian Hume Pipe Company Limited</v>
      </c>
      <c r="C1047" t="s">
        <v>14</v>
      </c>
      <c r="D1047">
        <v>233.9</v>
      </c>
      <c r="E1047">
        <v>236.7</v>
      </c>
      <c r="F1047">
        <v>231.5</v>
      </c>
      <c r="G1047" s="3">
        <v>232.35</v>
      </c>
      <c r="H1047">
        <v>231.75</v>
      </c>
      <c r="I1047">
        <v>229.6</v>
      </c>
      <c r="J1047">
        <v>19054</v>
      </c>
      <c r="K1047">
        <v>4441591.8</v>
      </c>
      <c r="L1047" s="1">
        <v>45240</v>
      </c>
      <c r="M1047">
        <v>795</v>
      </c>
      <c r="N1047" t="s">
        <v>2308</v>
      </c>
      <c r="O1047" s="5">
        <v>45240</v>
      </c>
      <c r="P1047" s="5">
        <v>43777</v>
      </c>
    </row>
    <row r="1048" spans="1:16" x14ac:dyDescent="0.25">
      <c r="A1048" t="s">
        <v>2309</v>
      </c>
      <c r="B1048" t="str">
        <v>InterGlobe Aviation Limited</v>
      </c>
      <c r="C1048" t="s">
        <v>14</v>
      </c>
      <c r="D1048">
        <v>2572</v>
      </c>
      <c r="E1048">
        <v>2573.75</v>
      </c>
      <c r="F1048">
        <v>2493</v>
      </c>
      <c r="G1048" s="3">
        <v>2501.75</v>
      </c>
      <c r="H1048">
        <v>2504</v>
      </c>
      <c r="I1048">
        <v>2580.4</v>
      </c>
      <c r="J1048">
        <v>1354595</v>
      </c>
      <c r="K1048">
        <v>3404292471.3499999</v>
      </c>
      <c r="L1048" s="1">
        <v>45240</v>
      </c>
      <c r="M1048">
        <v>42811</v>
      </c>
      <c r="N1048" t="s">
        <v>2311</v>
      </c>
      <c r="O1048" s="5">
        <v>45240</v>
      </c>
      <c r="P1048" s="5">
        <v>43777</v>
      </c>
    </row>
    <row r="1049" spans="1:16" x14ac:dyDescent="0.25">
      <c r="A1049" t="s">
        <v>2312</v>
      </c>
      <c r="B1049" t="str">
        <v>Indigo Paints Limited</v>
      </c>
      <c r="C1049" t="s">
        <v>14</v>
      </c>
      <c r="D1049">
        <v>1473</v>
      </c>
      <c r="E1049">
        <v>1564</v>
      </c>
      <c r="F1049">
        <v>1471.9</v>
      </c>
      <c r="G1049" s="3">
        <v>1502.95</v>
      </c>
      <c r="H1049">
        <v>1505</v>
      </c>
      <c r="I1049">
        <v>1467.95</v>
      </c>
      <c r="J1049">
        <v>320347</v>
      </c>
      <c r="K1049">
        <v>486548187</v>
      </c>
      <c r="L1049" s="1">
        <v>45240</v>
      </c>
      <c r="M1049">
        <v>27834</v>
      </c>
      <c r="N1049" t="s">
        <v>2314</v>
      </c>
      <c r="O1049" s="5">
        <v>45240</v>
      </c>
      <c r="P1049" s="5">
        <v>43777</v>
      </c>
    </row>
    <row r="1050" spans="1:16" x14ac:dyDescent="0.25">
      <c r="A1050" t="s">
        <v>6488</v>
      </c>
      <c r="B1050" t="str">
        <v>Not Found</v>
      </c>
      <c r="C1050" t="s">
        <v>6171</v>
      </c>
      <c r="D1050">
        <v>134.29</v>
      </c>
      <c r="E1050">
        <v>134.29</v>
      </c>
      <c r="F1050">
        <v>132.5</v>
      </c>
      <c r="G1050" s="3">
        <v>132.6</v>
      </c>
      <c r="H1050">
        <v>132.9</v>
      </c>
      <c r="I1050">
        <v>132.87</v>
      </c>
      <c r="J1050">
        <v>277067</v>
      </c>
      <c r="K1050">
        <v>36842476.520000003</v>
      </c>
      <c r="L1050" s="1">
        <v>45240</v>
      </c>
      <c r="M1050">
        <v>1586</v>
      </c>
      <c r="N1050" t="s">
        <v>6490</v>
      </c>
      <c r="O1050" s="5">
        <v>45240</v>
      </c>
      <c r="P1050" s="5">
        <v>43777</v>
      </c>
    </row>
    <row r="1051" spans="1:16" x14ac:dyDescent="0.25">
      <c r="A1051" t="s">
        <v>6488</v>
      </c>
      <c r="B1051" t="str">
        <v>Not Found</v>
      </c>
      <c r="C1051" t="s">
        <v>5872</v>
      </c>
      <c r="D1051">
        <v>1004</v>
      </c>
      <c r="E1051">
        <v>1004</v>
      </c>
      <c r="F1051">
        <v>1004</v>
      </c>
      <c r="G1051" s="3">
        <v>1004</v>
      </c>
      <c r="H1051">
        <v>1004</v>
      </c>
      <c r="I1051">
        <v>1004</v>
      </c>
      <c r="J1051">
        <v>20</v>
      </c>
      <c r="K1051">
        <v>20080</v>
      </c>
      <c r="L1051" s="1">
        <v>45240</v>
      </c>
      <c r="M1051">
        <v>1</v>
      </c>
      <c r="N1051" t="s">
        <v>6489</v>
      </c>
      <c r="O1051" s="5">
        <v>45240</v>
      </c>
      <c r="P1051" s="5">
        <v>43777</v>
      </c>
    </row>
    <row r="1052" spans="1:16" x14ac:dyDescent="0.25">
      <c r="A1052" t="s">
        <v>6488</v>
      </c>
      <c r="B1052" t="str">
        <v>Not Found</v>
      </c>
      <c r="C1052" t="s">
        <v>5868</v>
      </c>
      <c r="D1052">
        <v>991.99</v>
      </c>
      <c r="E1052">
        <v>991.99</v>
      </c>
      <c r="F1052">
        <v>991.99</v>
      </c>
      <c r="G1052" s="3">
        <v>991.99</v>
      </c>
      <c r="H1052">
        <v>991.99</v>
      </c>
      <c r="I1052">
        <v>988</v>
      </c>
      <c r="J1052">
        <v>30</v>
      </c>
      <c r="K1052">
        <v>29759.7</v>
      </c>
      <c r="L1052" s="1">
        <v>45240</v>
      </c>
      <c r="M1052">
        <v>3</v>
      </c>
      <c r="N1052" t="s">
        <v>6487</v>
      </c>
      <c r="O1052" s="5">
        <v>45240</v>
      </c>
      <c r="P1052" s="5">
        <v>43777</v>
      </c>
    </row>
    <row r="1053" spans="1:16" x14ac:dyDescent="0.25">
      <c r="A1053" t="s">
        <v>2315</v>
      </c>
      <c r="B1053" t="str">
        <v>IMP Powers Limited</v>
      </c>
      <c r="C1053" t="s">
        <v>786</v>
      </c>
      <c r="D1053">
        <v>4.75</v>
      </c>
      <c r="E1053">
        <v>4.75</v>
      </c>
      <c r="F1053">
        <v>4.75</v>
      </c>
      <c r="G1053" s="3">
        <v>4.75</v>
      </c>
      <c r="H1053">
        <v>4.75</v>
      </c>
      <c r="I1053">
        <v>4.75</v>
      </c>
      <c r="J1053">
        <v>4240</v>
      </c>
      <c r="K1053">
        <v>20140</v>
      </c>
      <c r="L1053" s="1">
        <v>45240</v>
      </c>
      <c r="M1053">
        <v>5</v>
      </c>
      <c r="N1053" t="s">
        <v>2317</v>
      </c>
      <c r="O1053" s="5">
        <v>45240</v>
      </c>
      <c r="P1053" s="5">
        <v>43777</v>
      </c>
    </row>
    <row r="1054" spans="1:16" x14ac:dyDescent="0.25">
      <c r="A1054" t="s">
        <v>2318</v>
      </c>
      <c r="B1054" t="str">
        <v>India Nippon Electricals Limited</v>
      </c>
      <c r="C1054" t="s">
        <v>14</v>
      </c>
      <c r="D1054">
        <v>510.4</v>
      </c>
      <c r="E1054">
        <v>511</v>
      </c>
      <c r="F1054">
        <v>489</v>
      </c>
      <c r="G1054" s="3">
        <v>493.05</v>
      </c>
      <c r="H1054">
        <v>493.8</v>
      </c>
      <c r="I1054">
        <v>504.7</v>
      </c>
      <c r="J1054">
        <v>52253</v>
      </c>
      <c r="K1054">
        <v>26037731.100000001</v>
      </c>
      <c r="L1054" s="1">
        <v>45240</v>
      </c>
      <c r="M1054">
        <v>3406</v>
      </c>
      <c r="N1054" t="s">
        <v>2320</v>
      </c>
      <c r="O1054" s="5">
        <v>45240</v>
      </c>
      <c r="P1054" s="5">
        <v>43777</v>
      </c>
    </row>
    <row r="1055" spans="1:16" x14ac:dyDescent="0.25">
      <c r="A1055" t="s">
        <v>2321</v>
      </c>
      <c r="B1055" t="str">
        <v>Indo Amines Limited</v>
      </c>
      <c r="C1055" t="s">
        <v>14</v>
      </c>
      <c r="D1055">
        <v>114.75</v>
      </c>
      <c r="E1055">
        <v>117.8</v>
      </c>
      <c r="F1055">
        <v>114.1</v>
      </c>
      <c r="G1055" s="3">
        <v>114.5</v>
      </c>
      <c r="H1055">
        <v>114.5</v>
      </c>
      <c r="I1055">
        <v>112.45</v>
      </c>
      <c r="J1055">
        <v>70488</v>
      </c>
      <c r="K1055">
        <v>8116205.9500000002</v>
      </c>
      <c r="L1055" s="1">
        <v>45240</v>
      </c>
      <c r="M1055">
        <v>1117</v>
      </c>
      <c r="N1055" t="s">
        <v>2323</v>
      </c>
      <c r="O1055" s="5">
        <v>45240</v>
      </c>
      <c r="P1055" s="5">
        <v>43777</v>
      </c>
    </row>
    <row r="1056" spans="1:16" x14ac:dyDescent="0.25">
      <c r="A1056" t="s">
        <v>2324</v>
      </c>
      <c r="B1056" t="str">
        <v>Indo Borax &amp; Chemicals Limited</v>
      </c>
      <c r="C1056" t="s">
        <v>14</v>
      </c>
      <c r="D1056">
        <v>151</v>
      </c>
      <c r="E1056">
        <v>151</v>
      </c>
      <c r="F1056">
        <v>146.15</v>
      </c>
      <c r="G1056" s="3">
        <v>148.55000000000001</v>
      </c>
      <c r="H1056">
        <v>148.65</v>
      </c>
      <c r="I1056">
        <v>153.80000000000001</v>
      </c>
      <c r="J1056">
        <v>94632</v>
      </c>
      <c r="K1056">
        <v>13963688.9</v>
      </c>
      <c r="L1056" s="1">
        <v>45240</v>
      </c>
      <c r="M1056">
        <v>2276</v>
      </c>
      <c r="N1056" t="s">
        <v>2326</v>
      </c>
      <c r="O1056" s="5">
        <v>45240</v>
      </c>
      <c r="P1056" s="5">
        <v>43777</v>
      </c>
    </row>
    <row r="1057" spans="1:16" x14ac:dyDescent="0.25">
      <c r="A1057" t="s">
        <v>2327</v>
      </c>
      <c r="B1057" t="str">
        <v>Indoco Remedies Limited</v>
      </c>
      <c r="C1057" t="s">
        <v>14</v>
      </c>
      <c r="D1057">
        <v>328.3</v>
      </c>
      <c r="E1057">
        <v>336</v>
      </c>
      <c r="F1057">
        <v>325.45</v>
      </c>
      <c r="G1057" s="3">
        <v>332</v>
      </c>
      <c r="H1057">
        <v>330.25</v>
      </c>
      <c r="I1057">
        <v>327.95</v>
      </c>
      <c r="J1057">
        <v>83003</v>
      </c>
      <c r="K1057">
        <v>27391293.850000001</v>
      </c>
      <c r="L1057" s="1">
        <v>45240</v>
      </c>
      <c r="M1057">
        <v>3570</v>
      </c>
      <c r="N1057" t="s">
        <v>2329</v>
      </c>
      <c r="O1057" s="5">
        <v>45240</v>
      </c>
      <c r="P1057" s="5">
        <v>43777</v>
      </c>
    </row>
    <row r="1058" spans="1:16" x14ac:dyDescent="0.25">
      <c r="A1058" t="s">
        <v>2330</v>
      </c>
      <c r="B1058" t="str">
        <v>Indo Rama Synthetics (India) Limited</v>
      </c>
      <c r="C1058" t="s">
        <v>14</v>
      </c>
      <c r="D1058">
        <v>51.8</v>
      </c>
      <c r="E1058">
        <v>52.4</v>
      </c>
      <c r="F1058">
        <v>50.9</v>
      </c>
      <c r="G1058" s="3">
        <v>51.4</v>
      </c>
      <c r="H1058">
        <v>51.4</v>
      </c>
      <c r="I1058">
        <v>51.25</v>
      </c>
      <c r="J1058">
        <v>207140</v>
      </c>
      <c r="K1058">
        <v>10687182.050000001</v>
      </c>
      <c r="L1058" s="1">
        <v>45240</v>
      </c>
      <c r="M1058">
        <v>1341</v>
      </c>
      <c r="N1058" t="s">
        <v>2332</v>
      </c>
      <c r="O1058" s="5">
        <v>45240</v>
      </c>
      <c r="P1058" s="5">
        <v>43777</v>
      </c>
    </row>
    <row r="1059" spans="1:16" x14ac:dyDescent="0.25">
      <c r="A1059" t="s">
        <v>2333</v>
      </c>
      <c r="B1059" t="str">
        <v>IndoStar Capital Finance Limited</v>
      </c>
      <c r="C1059" t="s">
        <v>10</v>
      </c>
      <c r="D1059">
        <v>177.55</v>
      </c>
      <c r="E1059">
        <v>177.55</v>
      </c>
      <c r="F1059">
        <v>172</v>
      </c>
      <c r="G1059" s="3">
        <v>172.75</v>
      </c>
      <c r="H1059">
        <v>172.9</v>
      </c>
      <c r="I1059">
        <v>176.25</v>
      </c>
      <c r="J1059">
        <v>23090</v>
      </c>
      <c r="K1059">
        <v>3993150.7</v>
      </c>
      <c r="L1059" s="1">
        <v>45240</v>
      </c>
      <c r="M1059">
        <v>155</v>
      </c>
      <c r="N1059" t="s">
        <v>2335</v>
      </c>
      <c r="O1059" s="5">
        <v>45240</v>
      </c>
      <c r="P1059" s="5">
        <v>43777</v>
      </c>
    </row>
    <row r="1060" spans="1:16" x14ac:dyDescent="0.25">
      <c r="A1060" t="s">
        <v>2336</v>
      </c>
      <c r="B1060" t="str">
        <v>Indo Tech Transformers Limited</v>
      </c>
      <c r="C1060" t="s">
        <v>10</v>
      </c>
      <c r="D1060">
        <v>568.5</v>
      </c>
      <c r="E1060">
        <v>568.5</v>
      </c>
      <c r="F1060">
        <v>568.5</v>
      </c>
      <c r="G1060" s="3">
        <v>568.5</v>
      </c>
      <c r="H1060">
        <v>568.5</v>
      </c>
      <c r="I1060">
        <v>557.4</v>
      </c>
      <c r="J1060">
        <v>11384</v>
      </c>
      <c r="K1060">
        <v>6471804</v>
      </c>
      <c r="L1060" s="1">
        <v>45240</v>
      </c>
      <c r="M1060">
        <v>68</v>
      </c>
      <c r="N1060" t="s">
        <v>2338</v>
      </c>
      <c r="O1060" s="5">
        <v>45240</v>
      </c>
      <c r="P1060" s="5">
        <v>43777</v>
      </c>
    </row>
    <row r="1061" spans="1:16" x14ac:dyDescent="0.25">
      <c r="A1061" t="s">
        <v>2339</v>
      </c>
      <c r="B1061" t="str">
        <v>Indo Thai Securities Limited</v>
      </c>
      <c r="C1061" t="s">
        <v>14</v>
      </c>
      <c r="D1061">
        <v>218.6</v>
      </c>
      <c r="E1061">
        <v>233.9</v>
      </c>
      <c r="F1061">
        <v>213.95</v>
      </c>
      <c r="G1061" s="3">
        <v>226.45</v>
      </c>
      <c r="H1061">
        <v>222.6</v>
      </c>
      <c r="I1061">
        <v>221</v>
      </c>
      <c r="J1061">
        <v>2332</v>
      </c>
      <c r="K1061">
        <v>518303.6</v>
      </c>
      <c r="L1061" s="1">
        <v>45240</v>
      </c>
      <c r="M1061">
        <v>166</v>
      </c>
      <c r="N1061" t="s">
        <v>2341</v>
      </c>
      <c r="O1061" s="5">
        <v>45240</v>
      </c>
      <c r="P1061" s="5">
        <v>43777</v>
      </c>
    </row>
    <row r="1062" spans="1:16" x14ac:dyDescent="0.25">
      <c r="A1062" t="s">
        <v>2342</v>
      </c>
      <c r="B1062" t="str">
        <v>Indowind Energy Limited</v>
      </c>
      <c r="C1062" t="s">
        <v>10</v>
      </c>
      <c r="D1062">
        <v>15.85</v>
      </c>
      <c r="E1062">
        <v>16.100000000000001</v>
      </c>
      <c r="F1062">
        <v>15.85</v>
      </c>
      <c r="G1062" s="3">
        <v>15.85</v>
      </c>
      <c r="H1062">
        <v>15.85</v>
      </c>
      <c r="I1062">
        <v>16.149999999999999</v>
      </c>
      <c r="J1062">
        <v>236399</v>
      </c>
      <c r="K1062">
        <v>3754742.4</v>
      </c>
      <c r="L1062" s="1">
        <v>45240</v>
      </c>
      <c r="M1062">
        <v>172</v>
      </c>
      <c r="N1062" t="s">
        <v>2344</v>
      </c>
      <c r="O1062" s="5">
        <v>45240</v>
      </c>
      <c r="P1062" s="5">
        <v>43777</v>
      </c>
    </row>
    <row r="1063" spans="1:16" x14ac:dyDescent="0.25">
      <c r="A1063" t="s">
        <v>2345</v>
      </c>
      <c r="B1063" t="str">
        <v>Indraprastha Medical Corporation Limited</v>
      </c>
      <c r="C1063" t="s">
        <v>10</v>
      </c>
      <c r="D1063">
        <v>192.25</v>
      </c>
      <c r="E1063">
        <v>195.5</v>
      </c>
      <c r="F1063">
        <v>188</v>
      </c>
      <c r="G1063" s="3">
        <v>193.85</v>
      </c>
      <c r="H1063">
        <v>192.5</v>
      </c>
      <c r="I1063">
        <v>192.25</v>
      </c>
      <c r="J1063">
        <v>97518</v>
      </c>
      <c r="K1063">
        <v>18697455.5</v>
      </c>
      <c r="L1063" s="1">
        <v>45240</v>
      </c>
      <c r="M1063">
        <v>939</v>
      </c>
      <c r="N1063" t="s">
        <v>2347</v>
      </c>
      <c r="O1063" s="5">
        <v>45240</v>
      </c>
      <c r="P1063" s="5">
        <v>43777</v>
      </c>
    </row>
    <row r="1064" spans="1:16" x14ac:dyDescent="0.25">
      <c r="A1064" t="s">
        <v>2348</v>
      </c>
      <c r="B1064" t="str">
        <v>Ind-Swift Laboratories Limited</v>
      </c>
      <c r="C1064" t="s">
        <v>14</v>
      </c>
      <c r="D1064">
        <v>94.1</v>
      </c>
      <c r="E1064">
        <v>96</v>
      </c>
      <c r="F1064">
        <v>93.7</v>
      </c>
      <c r="G1064" s="3">
        <v>94.05</v>
      </c>
      <c r="H1064">
        <v>94.3</v>
      </c>
      <c r="I1064">
        <v>94.65</v>
      </c>
      <c r="J1064">
        <v>113959</v>
      </c>
      <c r="K1064">
        <v>10783194.949999999</v>
      </c>
      <c r="L1064" s="1">
        <v>45240</v>
      </c>
      <c r="M1064">
        <v>1683</v>
      </c>
      <c r="N1064" t="s">
        <v>2350</v>
      </c>
      <c r="O1064" s="5">
        <v>45240</v>
      </c>
      <c r="P1064" s="5">
        <v>43777</v>
      </c>
    </row>
    <row r="1065" spans="1:16" x14ac:dyDescent="0.25">
      <c r="A1065" t="s">
        <v>2351</v>
      </c>
      <c r="B1065" t="str">
        <v>Ind-Swift Limited</v>
      </c>
      <c r="C1065" t="s">
        <v>10</v>
      </c>
      <c r="D1065">
        <v>16.2</v>
      </c>
      <c r="E1065">
        <v>16.7</v>
      </c>
      <c r="F1065">
        <v>15.55</v>
      </c>
      <c r="G1065" s="3">
        <v>16.3</v>
      </c>
      <c r="H1065">
        <v>16.3</v>
      </c>
      <c r="I1065">
        <v>16.3</v>
      </c>
      <c r="J1065">
        <v>37818</v>
      </c>
      <c r="K1065">
        <v>602139.94999999995</v>
      </c>
      <c r="L1065" s="1">
        <v>45240</v>
      </c>
      <c r="M1065">
        <v>106</v>
      </c>
      <c r="N1065" t="s">
        <v>2353</v>
      </c>
      <c r="O1065" s="5">
        <v>45240</v>
      </c>
      <c r="P1065" s="5">
        <v>43777</v>
      </c>
    </row>
    <row r="1066" spans="1:16" x14ac:dyDescent="0.25">
      <c r="A1066" t="s">
        <v>2354</v>
      </c>
      <c r="B1066" t="str">
        <v>Indian Terrain Fashions Limited</v>
      </c>
      <c r="C1066" t="s">
        <v>14</v>
      </c>
      <c r="D1066">
        <v>55.9</v>
      </c>
      <c r="E1066">
        <v>59</v>
      </c>
      <c r="F1066">
        <v>55.25</v>
      </c>
      <c r="G1066" s="3">
        <v>58.2</v>
      </c>
      <c r="H1066">
        <v>57.55</v>
      </c>
      <c r="I1066">
        <v>55.5</v>
      </c>
      <c r="J1066">
        <v>247413</v>
      </c>
      <c r="K1066">
        <v>14211083.5</v>
      </c>
      <c r="L1066" s="1">
        <v>45240</v>
      </c>
      <c r="M1066">
        <v>1750</v>
      </c>
      <c r="N1066" t="s">
        <v>2356</v>
      </c>
      <c r="O1066" s="5">
        <v>45240</v>
      </c>
      <c r="P1066" s="5">
        <v>43777</v>
      </c>
    </row>
    <row r="1067" spans="1:16" x14ac:dyDescent="0.25">
      <c r="A1067" t="s">
        <v>2357</v>
      </c>
      <c r="B1067" t="str">
        <v>IndusInd Bank Limited</v>
      </c>
      <c r="C1067" t="s">
        <v>14</v>
      </c>
      <c r="D1067">
        <v>1499.95</v>
      </c>
      <c r="E1067">
        <v>1509.45</v>
      </c>
      <c r="F1067">
        <v>1493.15</v>
      </c>
      <c r="G1067" s="3">
        <v>1498.8</v>
      </c>
      <c r="H1067">
        <v>1499.85</v>
      </c>
      <c r="I1067">
        <v>1507.35</v>
      </c>
      <c r="J1067">
        <v>2247500</v>
      </c>
      <c r="K1067">
        <v>3374228359.75</v>
      </c>
      <c r="L1067" s="1">
        <v>45240</v>
      </c>
      <c r="M1067">
        <v>81391</v>
      </c>
      <c r="N1067" t="s">
        <v>2359</v>
      </c>
      <c r="O1067" s="5">
        <v>45240</v>
      </c>
      <c r="P1067" s="5">
        <v>43777</v>
      </c>
    </row>
    <row r="1068" spans="1:16" x14ac:dyDescent="0.25">
      <c r="A1068" t="s">
        <v>2360</v>
      </c>
      <c r="B1068" t="str">
        <v>Indus Towers Limited</v>
      </c>
      <c r="C1068" t="s">
        <v>14</v>
      </c>
      <c r="D1068">
        <v>183.8</v>
      </c>
      <c r="E1068">
        <v>185.65</v>
      </c>
      <c r="F1068">
        <v>182.15</v>
      </c>
      <c r="G1068" s="3">
        <v>183.4</v>
      </c>
      <c r="H1068">
        <v>183.4</v>
      </c>
      <c r="I1068">
        <v>183.85</v>
      </c>
      <c r="J1068">
        <v>3223741</v>
      </c>
      <c r="K1068">
        <v>592439941.75</v>
      </c>
      <c r="L1068" s="1">
        <v>45240</v>
      </c>
      <c r="M1068">
        <v>25918</v>
      </c>
      <c r="N1068" t="s">
        <v>2362</v>
      </c>
      <c r="O1068" s="5">
        <v>45240</v>
      </c>
      <c r="P1068" s="5">
        <v>43777</v>
      </c>
    </row>
    <row r="1069" spans="1:16" x14ac:dyDescent="0.25">
      <c r="A1069" t="s">
        <v>2363</v>
      </c>
      <c r="B1069" t="str">
        <v>Infibeam Avenues Limited</v>
      </c>
      <c r="C1069" t="s">
        <v>14</v>
      </c>
      <c r="D1069">
        <v>19.95</v>
      </c>
      <c r="E1069">
        <v>20.149999999999999</v>
      </c>
      <c r="F1069">
        <v>19.75</v>
      </c>
      <c r="G1069" s="3">
        <v>20</v>
      </c>
      <c r="H1069">
        <v>20.100000000000001</v>
      </c>
      <c r="I1069">
        <v>20.05</v>
      </c>
      <c r="J1069">
        <v>15837013</v>
      </c>
      <c r="K1069">
        <v>316110875.69999999</v>
      </c>
      <c r="L1069" s="1">
        <v>45240</v>
      </c>
      <c r="M1069">
        <v>12521</v>
      </c>
      <c r="N1069" t="s">
        <v>2365</v>
      </c>
      <c r="O1069" s="5">
        <v>45240</v>
      </c>
      <c r="P1069" s="5">
        <v>43777</v>
      </c>
    </row>
    <row r="1070" spans="1:16" x14ac:dyDescent="0.25">
      <c r="A1070" t="s">
        <v>6486</v>
      </c>
      <c r="B1070" t="str">
        <v>Not Found</v>
      </c>
      <c r="C1070" t="s">
        <v>5788</v>
      </c>
      <c r="D1070">
        <v>248.7</v>
      </c>
      <c r="E1070">
        <v>253.25</v>
      </c>
      <c r="F1070">
        <v>244</v>
      </c>
      <c r="G1070" s="3">
        <v>248.75</v>
      </c>
      <c r="H1070">
        <v>248.5</v>
      </c>
      <c r="I1070">
        <v>246.4</v>
      </c>
      <c r="J1070">
        <v>7000</v>
      </c>
      <c r="K1070">
        <v>1735950</v>
      </c>
      <c r="L1070" s="1">
        <v>45240</v>
      </c>
      <c r="M1070">
        <v>13</v>
      </c>
      <c r="N1070" t="s">
        <v>6485</v>
      </c>
      <c r="O1070" s="5">
        <v>45240</v>
      </c>
      <c r="P1070" s="5">
        <v>43777</v>
      </c>
    </row>
    <row r="1071" spans="1:16" x14ac:dyDescent="0.25">
      <c r="A1071" t="s">
        <v>2366</v>
      </c>
      <c r="B1071" t="str">
        <v>InfoBeans Technologies Limited</v>
      </c>
      <c r="C1071" t="s">
        <v>14</v>
      </c>
      <c r="D1071">
        <v>405.1</v>
      </c>
      <c r="E1071">
        <v>416.5</v>
      </c>
      <c r="F1071">
        <v>404</v>
      </c>
      <c r="G1071" s="3">
        <v>406.55</v>
      </c>
      <c r="H1071">
        <v>406.05</v>
      </c>
      <c r="I1071">
        <v>407.15</v>
      </c>
      <c r="J1071">
        <v>14986</v>
      </c>
      <c r="K1071">
        <v>6100189.5999999996</v>
      </c>
      <c r="L1071" s="1">
        <v>45240</v>
      </c>
      <c r="M1071">
        <v>1690</v>
      </c>
      <c r="N1071" t="s">
        <v>2368</v>
      </c>
      <c r="O1071" s="5">
        <v>45240</v>
      </c>
      <c r="P1071" s="5">
        <v>43777</v>
      </c>
    </row>
    <row r="1072" spans="1:16" x14ac:dyDescent="0.25">
      <c r="A1072" t="s">
        <v>6484</v>
      </c>
      <c r="B1072" t="str">
        <v>Not Found</v>
      </c>
      <c r="C1072" t="s">
        <v>5788</v>
      </c>
      <c r="D1072">
        <v>246</v>
      </c>
      <c r="E1072">
        <v>261.5</v>
      </c>
      <c r="F1072">
        <v>240</v>
      </c>
      <c r="G1072" s="3">
        <v>241.65</v>
      </c>
      <c r="H1072">
        <v>240</v>
      </c>
      <c r="I1072">
        <v>247.25</v>
      </c>
      <c r="J1072">
        <v>151200</v>
      </c>
      <c r="K1072">
        <v>38083200</v>
      </c>
      <c r="L1072" s="1">
        <v>45240</v>
      </c>
      <c r="M1072">
        <v>159</v>
      </c>
      <c r="N1072" t="s">
        <v>6483</v>
      </c>
      <c r="O1072" s="5">
        <v>45240</v>
      </c>
      <c r="P1072" s="5">
        <v>43777</v>
      </c>
    </row>
    <row r="1073" spans="1:16" x14ac:dyDescent="0.25">
      <c r="A1073" t="s">
        <v>2369</v>
      </c>
      <c r="B1073" t="str">
        <v>Infomedia Press Limited</v>
      </c>
      <c r="C1073" t="s">
        <v>10</v>
      </c>
      <c r="D1073">
        <v>5.25</v>
      </c>
      <c r="E1073">
        <v>5.25</v>
      </c>
      <c r="F1073">
        <v>4.75</v>
      </c>
      <c r="G1073" s="3">
        <v>4.75</v>
      </c>
      <c r="H1073">
        <v>4.75</v>
      </c>
      <c r="I1073">
        <v>5</v>
      </c>
      <c r="J1073">
        <v>4792</v>
      </c>
      <c r="K1073">
        <v>23081.599999999999</v>
      </c>
      <c r="L1073" s="1">
        <v>45240</v>
      </c>
      <c r="M1073">
        <v>21</v>
      </c>
      <c r="N1073" t="s">
        <v>2371</v>
      </c>
      <c r="O1073" s="5">
        <v>45240</v>
      </c>
      <c r="P1073" s="5">
        <v>43777</v>
      </c>
    </row>
    <row r="1074" spans="1:16" x14ac:dyDescent="0.25">
      <c r="A1074" t="s">
        <v>6482</v>
      </c>
      <c r="B1074" t="str">
        <v>Not Found</v>
      </c>
      <c r="C1074" t="s">
        <v>14</v>
      </c>
      <c r="D1074">
        <v>652.05999999999995</v>
      </c>
      <c r="E1074">
        <v>654</v>
      </c>
      <c r="F1074">
        <v>650.01</v>
      </c>
      <c r="G1074" s="3">
        <v>653.75</v>
      </c>
      <c r="H1074">
        <v>654</v>
      </c>
      <c r="I1074">
        <v>652.05999999999995</v>
      </c>
      <c r="J1074">
        <v>2390</v>
      </c>
      <c r="K1074">
        <v>1558534.47</v>
      </c>
      <c r="L1074" s="1">
        <v>45240</v>
      </c>
      <c r="M1074">
        <v>209</v>
      </c>
      <c r="N1074" t="s">
        <v>6481</v>
      </c>
      <c r="O1074" s="5">
        <v>45240</v>
      </c>
      <c r="P1074" s="5">
        <v>43777</v>
      </c>
    </row>
    <row r="1075" spans="1:16" x14ac:dyDescent="0.25">
      <c r="A1075" t="s">
        <v>2372</v>
      </c>
      <c r="B1075" t="str">
        <v>Infosys Limited</v>
      </c>
      <c r="C1075" t="s">
        <v>14</v>
      </c>
      <c r="D1075">
        <v>1369.95</v>
      </c>
      <c r="E1075">
        <v>1373.15</v>
      </c>
      <c r="F1075">
        <v>1361</v>
      </c>
      <c r="G1075" s="3">
        <v>1368.85</v>
      </c>
      <c r="H1075">
        <v>1370.4</v>
      </c>
      <c r="I1075">
        <v>1374.8</v>
      </c>
      <c r="J1075">
        <v>2943649</v>
      </c>
      <c r="K1075">
        <v>4021487680.4499998</v>
      </c>
      <c r="L1075" s="1">
        <v>45240</v>
      </c>
      <c r="M1075">
        <v>126698</v>
      </c>
      <c r="N1075" t="s">
        <v>2374</v>
      </c>
      <c r="O1075" s="5">
        <v>45240</v>
      </c>
      <c r="P1075" s="5">
        <v>43777</v>
      </c>
    </row>
    <row r="1076" spans="1:16" x14ac:dyDescent="0.25">
      <c r="A1076" t="s">
        <v>2375</v>
      </c>
      <c r="B1076" t="str">
        <v>Ingersoll Rand (India) Limited</v>
      </c>
      <c r="C1076" t="s">
        <v>14</v>
      </c>
      <c r="D1076">
        <v>2995</v>
      </c>
      <c r="E1076">
        <v>2998</v>
      </c>
      <c r="F1076">
        <v>2869.95</v>
      </c>
      <c r="G1076" s="3">
        <v>2892.35</v>
      </c>
      <c r="H1076">
        <v>2909</v>
      </c>
      <c r="I1076">
        <v>2975.95</v>
      </c>
      <c r="J1076">
        <v>34566</v>
      </c>
      <c r="K1076">
        <v>101286967.15000001</v>
      </c>
      <c r="L1076" s="1">
        <v>45240</v>
      </c>
      <c r="M1076">
        <v>8026</v>
      </c>
      <c r="N1076" t="s">
        <v>2377</v>
      </c>
      <c r="O1076" s="5">
        <v>45240</v>
      </c>
      <c r="P1076" s="5">
        <v>43777</v>
      </c>
    </row>
    <row r="1077" spans="1:16" x14ac:dyDescent="0.25">
      <c r="A1077" t="s">
        <v>6480</v>
      </c>
      <c r="B1077" t="str">
        <v>Not Found</v>
      </c>
      <c r="C1077" t="s">
        <v>5788</v>
      </c>
      <c r="D1077">
        <v>620</v>
      </c>
      <c r="E1077">
        <v>620</v>
      </c>
      <c r="F1077">
        <v>576</v>
      </c>
      <c r="G1077" s="3">
        <v>596.95000000000005</v>
      </c>
      <c r="H1077">
        <v>576</v>
      </c>
      <c r="I1077">
        <v>605.79999999999995</v>
      </c>
      <c r="J1077">
        <v>4400</v>
      </c>
      <c r="K1077">
        <v>2632520</v>
      </c>
      <c r="L1077" s="1">
        <v>45240</v>
      </c>
      <c r="M1077">
        <v>17</v>
      </c>
      <c r="N1077" t="s">
        <v>6479</v>
      </c>
      <c r="O1077" s="5">
        <v>45240</v>
      </c>
      <c r="P1077" s="5">
        <v>43777</v>
      </c>
    </row>
    <row r="1078" spans="1:16" x14ac:dyDescent="0.25">
      <c r="A1078" t="s">
        <v>6478</v>
      </c>
      <c r="B1078" t="str">
        <v>Not Found</v>
      </c>
      <c r="C1078" t="s">
        <v>5788</v>
      </c>
      <c r="D1078">
        <v>4.9000000000000004</v>
      </c>
      <c r="E1078">
        <v>5.0999999999999996</v>
      </c>
      <c r="F1078">
        <v>4.6500000000000004</v>
      </c>
      <c r="G1078" s="3">
        <v>5.05</v>
      </c>
      <c r="H1078">
        <v>5.0999999999999996</v>
      </c>
      <c r="I1078">
        <v>4.9000000000000004</v>
      </c>
      <c r="J1078">
        <v>57000</v>
      </c>
      <c r="K1078">
        <v>276900</v>
      </c>
      <c r="L1078" s="1">
        <v>45240</v>
      </c>
      <c r="M1078">
        <v>18</v>
      </c>
      <c r="N1078" t="s">
        <v>6477</v>
      </c>
      <c r="O1078" s="5">
        <v>45240</v>
      </c>
      <c r="P1078" s="5">
        <v>43777</v>
      </c>
    </row>
    <row r="1079" spans="1:16" x14ac:dyDescent="0.25">
      <c r="A1079" t="s">
        <v>2378</v>
      </c>
      <c r="B1079" t="str">
        <v>Inox Green Energy Services Limited</v>
      </c>
      <c r="C1079" t="s">
        <v>14</v>
      </c>
      <c r="D1079">
        <v>66.599999999999994</v>
      </c>
      <c r="E1079">
        <v>69.2</v>
      </c>
      <c r="F1079">
        <v>66.099999999999994</v>
      </c>
      <c r="G1079" s="3">
        <v>66.400000000000006</v>
      </c>
      <c r="H1079">
        <v>66.5</v>
      </c>
      <c r="I1079">
        <v>66.95</v>
      </c>
      <c r="J1079">
        <v>1110296</v>
      </c>
      <c r="K1079">
        <v>74780041.400000006</v>
      </c>
      <c r="L1079" s="1">
        <v>45240</v>
      </c>
      <c r="M1079">
        <v>5131</v>
      </c>
      <c r="N1079" t="s">
        <v>2380</v>
      </c>
      <c r="O1079" s="5">
        <v>45240</v>
      </c>
      <c r="P1079" s="5">
        <v>43777</v>
      </c>
    </row>
    <row r="1080" spans="1:16" x14ac:dyDescent="0.25">
      <c r="A1080" t="s">
        <v>2381</v>
      </c>
      <c r="B1080" t="str">
        <v>Inox Wind Limited</v>
      </c>
      <c r="C1080" t="s">
        <v>14</v>
      </c>
      <c r="D1080">
        <v>239</v>
      </c>
      <c r="E1080">
        <v>242</v>
      </c>
      <c r="F1080">
        <v>233.95</v>
      </c>
      <c r="G1080" s="3">
        <v>237.75</v>
      </c>
      <c r="H1080">
        <v>237.25</v>
      </c>
      <c r="I1080">
        <v>239</v>
      </c>
      <c r="J1080">
        <v>1616672</v>
      </c>
      <c r="K1080">
        <v>385259284.55000001</v>
      </c>
      <c r="L1080" s="1">
        <v>45240</v>
      </c>
      <c r="M1080">
        <v>13767</v>
      </c>
      <c r="N1080" t="s">
        <v>2383</v>
      </c>
      <c r="O1080" s="5">
        <v>45240</v>
      </c>
      <c r="P1080" s="5">
        <v>43777</v>
      </c>
    </row>
    <row r="1081" spans="1:16" x14ac:dyDescent="0.25">
      <c r="A1081" t="s">
        <v>2384</v>
      </c>
      <c r="B1081" t="str">
        <v>Insecticides (India) Limited</v>
      </c>
      <c r="C1081" t="s">
        <v>14</v>
      </c>
      <c r="D1081">
        <v>516.85</v>
      </c>
      <c r="E1081">
        <v>517</v>
      </c>
      <c r="F1081">
        <v>509.15</v>
      </c>
      <c r="G1081" s="3">
        <v>512.25</v>
      </c>
      <c r="H1081">
        <v>513</v>
      </c>
      <c r="I1081">
        <v>514.25</v>
      </c>
      <c r="J1081">
        <v>48947</v>
      </c>
      <c r="K1081">
        <v>25170933</v>
      </c>
      <c r="L1081" s="1">
        <v>45240</v>
      </c>
      <c r="M1081">
        <v>2369</v>
      </c>
      <c r="N1081" t="s">
        <v>2386</v>
      </c>
      <c r="O1081" s="5">
        <v>45240</v>
      </c>
      <c r="P1081" s="5">
        <v>43777</v>
      </c>
    </row>
    <row r="1082" spans="1:16" x14ac:dyDescent="0.25">
      <c r="A1082" t="s">
        <v>6476</v>
      </c>
      <c r="B1082" t="str">
        <v>Not Found</v>
      </c>
      <c r="C1082" t="s">
        <v>5788</v>
      </c>
      <c r="D1082">
        <v>69</v>
      </c>
      <c r="E1082">
        <v>70.400000000000006</v>
      </c>
      <c r="F1082">
        <v>66.5</v>
      </c>
      <c r="G1082" s="3">
        <v>69.7</v>
      </c>
      <c r="H1082">
        <v>70</v>
      </c>
      <c r="I1082">
        <v>69.3</v>
      </c>
      <c r="J1082">
        <v>86000</v>
      </c>
      <c r="K1082">
        <v>5945200</v>
      </c>
      <c r="L1082" s="1">
        <v>45240</v>
      </c>
      <c r="M1082">
        <v>37</v>
      </c>
      <c r="N1082" t="s">
        <v>6475</v>
      </c>
      <c r="O1082" s="5">
        <v>45240</v>
      </c>
      <c r="P1082" s="5">
        <v>43777</v>
      </c>
    </row>
    <row r="1083" spans="1:16" x14ac:dyDescent="0.25">
      <c r="A1083" t="s">
        <v>2387</v>
      </c>
      <c r="B1083" t="str">
        <v>Inspirisys Solutions Limited</v>
      </c>
      <c r="C1083" t="s">
        <v>14</v>
      </c>
      <c r="D1083">
        <v>77.05</v>
      </c>
      <c r="E1083">
        <v>77.05</v>
      </c>
      <c r="F1083">
        <v>73.95</v>
      </c>
      <c r="G1083" s="3">
        <v>77.05</v>
      </c>
      <c r="H1083">
        <v>77.05</v>
      </c>
      <c r="I1083">
        <v>73.400000000000006</v>
      </c>
      <c r="J1083">
        <v>211089</v>
      </c>
      <c r="K1083">
        <v>16228636.75</v>
      </c>
      <c r="L1083" s="1">
        <v>45240</v>
      </c>
      <c r="M1083">
        <v>449</v>
      </c>
      <c r="N1083" t="s">
        <v>2389</v>
      </c>
      <c r="O1083" s="5">
        <v>45240</v>
      </c>
      <c r="P1083" s="5">
        <v>43777</v>
      </c>
    </row>
    <row r="1084" spans="1:16" x14ac:dyDescent="0.25">
      <c r="A1084" t="s">
        <v>2390</v>
      </c>
      <c r="B1084" t="str">
        <v>Intellect Design Arena Limited</v>
      </c>
      <c r="C1084" t="s">
        <v>14</v>
      </c>
      <c r="D1084">
        <v>658.2</v>
      </c>
      <c r="E1084">
        <v>670</v>
      </c>
      <c r="F1084">
        <v>658.2</v>
      </c>
      <c r="G1084" s="3">
        <v>661.25</v>
      </c>
      <c r="H1084">
        <v>660.6</v>
      </c>
      <c r="I1084">
        <v>665.3</v>
      </c>
      <c r="J1084">
        <v>114297</v>
      </c>
      <c r="K1084">
        <v>75848473.799999997</v>
      </c>
      <c r="L1084" s="1">
        <v>45240</v>
      </c>
      <c r="M1084">
        <v>6809</v>
      </c>
      <c r="N1084" t="s">
        <v>2392</v>
      </c>
      <c r="O1084" s="5">
        <v>45240</v>
      </c>
      <c r="P1084" s="5">
        <v>43777</v>
      </c>
    </row>
    <row r="1085" spans="1:16" x14ac:dyDescent="0.25">
      <c r="A1085" t="s">
        <v>2393</v>
      </c>
      <c r="B1085" t="str">
        <v>Intense Technologies Limited</v>
      </c>
      <c r="C1085" t="s">
        <v>14</v>
      </c>
      <c r="D1085">
        <v>100.05</v>
      </c>
      <c r="E1085">
        <v>102.95</v>
      </c>
      <c r="F1085">
        <v>99.75</v>
      </c>
      <c r="G1085" s="3">
        <v>100.2</v>
      </c>
      <c r="H1085">
        <v>100.15</v>
      </c>
      <c r="I1085">
        <v>101.3</v>
      </c>
      <c r="J1085">
        <v>238837</v>
      </c>
      <c r="K1085">
        <v>24145399.600000001</v>
      </c>
      <c r="L1085" s="1">
        <v>45240</v>
      </c>
      <c r="M1085">
        <v>2737</v>
      </c>
      <c r="N1085" t="s">
        <v>2395</v>
      </c>
      <c r="O1085" s="5">
        <v>45240</v>
      </c>
      <c r="P1085" s="5">
        <v>43777</v>
      </c>
    </row>
    <row r="1086" spans="1:16" x14ac:dyDescent="0.25">
      <c r="A1086" t="s">
        <v>2396</v>
      </c>
      <c r="B1086" t="str">
        <v>International Conveyors Limited</v>
      </c>
      <c r="C1086" t="s">
        <v>14</v>
      </c>
      <c r="D1086">
        <v>77.150000000000006</v>
      </c>
      <c r="E1086">
        <v>79.75</v>
      </c>
      <c r="F1086">
        <v>77</v>
      </c>
      <c r="G1086" s="3">
        <v>78.7</v>
      </c>
      <c r="H1086">
        <v>78.8</v>
      </c>
      <c r="I1086">
        <v>77.099999999999994</v>
      </c>
      <c r="J1086">
        <v>327959</v>
      </c>
      <c r="K1086">
        <v>25856719.100000001</v>
      </c>
      <c r="L1086" s="1">
        <v>45240</v>
      </c>
      <c r="M1086">
        <v>2817</v>
      </c>
      <c r="N1086" t="s">
        <v>2398</v>
      </c>
      <c r="O1086" s="5">
        <v>45240</v>
      </c>
      <c r="P1086" s="5">
        <v>43777</v>
      </c>
    </row>
    <row r="1087" spans="1:16" x14ac:dyDescent="0.25">
      <c r="A1087" t="s">
        <v>2399</v>
      </c>
      <c r="B1087" t="str">
        <v>Inventure Growth &amp; Securities Limited</v>
      </c>
      <c r="C1087" t="s">
        <v>14</v>
      </c>
      <c r="D1087">
        <v>2.15</v>
      </c>
      <c r="E1087">
        <v>2.2000000000000002</v>
      </c>
      <c r="F1087">
        <v>2.1</v>
      </c>
      <c r="G1087" s="3">
        <v>2.15</v>
      </c>
      <c r="H1087">
        <v>2.2000000000000002</v>
      </c>
      <c r="I1087">
        <v>2.2000000000000002</v>
      </c>
      <c r="J1087">
        <v>1826743</v>
      </c>
      <c r="K1087">
        <v>3941051.85</v>
      </c>
      <c r="L1087" s="1">
        <v>45240</v>
      </c>
      <c r="M1087">
        <v>1020</v>
      </c>
      <c r="N1087" t="s">
        <v>2401</v>
      </c>
      <c r="O1087" s="5">
        <v>45240</v>
      </c>
      <c r="P1087" s="5">
        <v>43777</v>
      </c>
    </row>
    <row r="1088" spans="1:16" x14ac:dyDescent="0.25">
      <c r="A1088" t="s">
        <v>2402</v>
      </c>
      <c r="B1088" t="str">
        <v>Indian Overseas Bank</v>
      </c>
      <c r="C1088" t="s">
        <v>14</v>
      </c>
      <c r="D1088">
        <v>39.25</v>
      </c>
      <c r="E1088">
        <v>39.5</v>
      </c>
      <c r="F1088">
        <v>39</v>
      </c>
      <c r="G1088" s="3">
        <v>39.35</v>
      </c>
      <c r="H1088">
        <v>39.5</v>
      </c>
      <c r="I1088">
        <v>39.65</v>
      </c>
      <c r="J1088">
        <v>11093277</v>
      </c>
      <c r="K1088">
        <v>435413295.94999999</v>
      </c>
      <c r="L1088" s="1">
        <v>45240</v>
      </c>
      <c r="M1088">
        <v>16066</v>
      </c>
      <c r="N1088" t="s">
        <v>2404</v>
      </c>
      <c r="O1088" s="5">
        <v>45240</v>
      </c>
      <c r="P1088" s="5">
        <v>43777</v>
      </c>
    </row>
    <row r="1089" spans="1:16" x14ac:dyDescent="0.25">
      <c r="A1089" t="s">
        <v>2405</v>
      </c>
      <c r="B1089" t="str">
        <v>Indian Oil Corporation Limited</v>
      </c>
      <c r="C1089" t="s">
        <v>14</v>
      </c>
      <c r="D1089">
        <v>97.85</v>
      </c>
      <c r="E1089">
        <v>98.85</v>
      </c>
      <c r="F1089">
        <v>97.4</v>
      </c>
      <c r="G1089" s="3">
        <v>98.05</v>
      </c>
      <c r="H1089">
        <v>98.25</v>
      </c>
      <c r="I1089">
        <v>102.95</v>
      </c>
      <c r="J1089">
        <v>28403392</v>
      </c>
      <c r="K1089">
        <v>2785711488.6999998</v>
      </c>
      <c r="L1089" s="1">
        <v>45240</v>
      </c>
      <c r="M1089">
        <v>91406</v>
      </c>
      <c r="N1089" t="s">
        <v>2407</v>
      </c>
      <c r="O1089" s="5">
        <v>45240</v>
      </c>
      <c r="P1089" s="5">
        <v>43777</v>
      </c>
    </row>
    <row r="1090" spans="1:16" x14ac:dyDescent="0.25">
      <c r="A1090" t="s">
        <v>2408</v>
      </c>
      <c r="B1090" t="str">
        <v>IOL Chemicals and Pharmaceuticals Limited</v>
      </c>
      <c r="C1090" t="s">
        <v>14</v>
      </c>
      <c r="D1090">
        <v>432</v>
      </c>
      <c r="E1090">
        <v>435.9</v>
      </c>
      <c r="F1090">
        <v>427.05</v>
      </c>
      <c r="G1090" s="3">
        <v>429.75</v>
      </c>
      <c r="H1090">
        <v>429</v>
      </c>
      <c r="I1090">
        <v>428.65</v>
      </c>
      <c r="J1090">
        <v>197105</v>
      </c>
      <c r="K1090">
        <v>84938950.450000003</v>
      </c>
      <c r="L1090" s="1">
        <v>45240</v>
      </c>
      <c r="M1090">
        <v>8350</v>
      </c>
      <c r="N1090" t="s">
        <v>2410</v>
      </c>
      <c r="O1090" s="5">
        <v>45240</v>
      </c>
      <c r="P1090" s="5">
        <v>43777</v>
      </c>
    </row>
    <row r="1091" spans="1:16" x14ac:dyDescent="0.25">
      <c r="A1091" t="s">
        <v>2411</v>
      </c>
      <c r="B1091" t="str">
        <v>ION Exchange (India) Limited</v>
      </c>
      <c r="C1091" t="s">
        <v>14</v>
      </c>
      <c r="D1091">
        <v>578</v>
      </c>
      <c r="E1091">
        <v>582.95000000000005</v>
      </c>
      <c r="F1091">
        <v>548.54999999999995</v>
      </c>
      <c r="G1091" s="3">
        <v>554.9</v>
      </c>
      <c r="H1091">
        <v>560</v>
      </c>
      <c r="I1091">
        <v>578</v>
      </c>
      <c r="J1091">
        <v>694416</v>
      </c>
      <c r="K1091">
        <v>388034167.35000002</v>
      </c>
      <c r="L1091" s="1">
        <v>45240</v>
      </c>
      <c r="M1091">
        <v>14416</v>
      </c>
      <c r="N1091" t="s">
        <v>2413</v>
      </c>
      <c r="O1091" s="5">
        <v>45240</v>
      </c>
      <c r="P1091" s="5">
        <v>43777</v>
      </c>
    </row>
    <row r="1092" spans="1:16" x14ac:dyDescent="0.25">
      <c r="A1092" t="s">
        <v>2414</v>
      </c>
      <c r="B1092" t="str">
        <v>IPCA Laboratories Limited</v>
      </c>
      <c r="C1092" t="s">
        <v>14</v>
      </c>
      <c r="D1092">
        <v>1045.2</v>
      </c>
      <c r="E1092">
        <v>1058</v>
      </c>
      <c r="F1092">
        <v>1031</v>
      </c>
      <c r="G1092" s="3">
        <v>1050.75</v>
      </c>
      <c r="H1092">
        <v>1052.1500000000001</v>
      </c>
      <c r="I1092">
        <v>1046.4000000000001</v>
      </c>
      <c r="J1092">
        <v>1089417</v>
      </c>
      <c r="K1092">
        <v>1142061827.9000001</v>
      </c>
      <c r="L1092" s="1">
        <v>45240</v>
      </c>
      <c r="M1092">
        <v>47579</v>
      </c>
      <c r="N1092" t="s">
        <v>2416</v>
      </c>
      <c r="O1092" s="5">
        <v>45240</v>
      </c>
      <c r="P1092" s="5">
        <v>43777</v>
      </c>
    </row>
    <row r="1093" spans="1:16" x14ac:dyDescent="0.25">
      <c r="A1093" t="s">
        <v>2417</v>
      </c>
      <c r="B1093" t="str">
        <v>India Pesticides Limited</v>
      </c>
      <c r="C1093" t="s">
        <v>14</v>
      </c>
      <c r="D1093">
        <v>284.5</v>
      </c>
      <c r="E1093">
        <v>287.7</v>
      </c>
      <c r="F1093">
        <v>282</v>
      </c>
      <c r="G1093" s="3">
        <v>282.89999999999998</v>
      </c>
      <c r="H1093">
        <v>283.5</v>
      </c>
      <c r="I1093">
        <v>284.64999999999998</v>
      </c>
      <c r="J1093">
        <v>422075</v>
      </c>
      <c r="K1093">
        <v>119865967.8</v>
      </c>
      <c r="L1093" s="1">
        <v>45240</v>
      </c>
      <c r="M1093">
        <v>4298</v>
      </c>
      <c r="N1093" t="s">
        <v>2419</v>
      </c>
      <c r="O1093" s="5">
        <v>45240</v>
      </c>
      <c r="P1093" s="5">
        <v>43777</v>
      </c>
    </row>
    <row r="1094" spans="1:16" x14ac:dyDescent="0.25">
      <c r="A1094" t="s">
        <v>6474</v>
      </c>
      <c r="B1094" t="str">
        <v>Not Found</v>
      </c>
      <c r="C1094" t="s">
        <v>5788</v>
      </c>
      <c r="D1094">
        <v>172.45</v>
      </c>
      <c r="E1094">
        <v>172.45</v>
      </c>
      <c r="F1094">
        <v>172.45</v>
      </c>
      <c r="G1094" s="3">
        <v>172.45</v>
      </c>
      <c r="H1094">
        <v>172.45</v>
      </c>
      <c r="I1094">
        <v>165</v>
      </c>
      <c r="J1094">
        <v>2000</v>
      </c>
      <c r="K1094">
        <v>344900</v>
      </c>
      <c r="L1094" s="1">
        <v>45240</v>
      </c>
      <c r="M1094">
        <v>1</v>
      </c>
      <c r="N1094" t="s">
        <v>6473</v>
      </c>
      <c r="O1094" s="5">
        <v>45240</v>
      </c>
      <c r="P1094" s="5">
        <v>43777</v>
      </c>
    </row>
    <row r="1095" spans="1:16" x14ac:dyDescent="0.25">
      <c r="A1095" t="s">
        <v>2420</v>
      </c>
      <c r="B1095" t="str">
        <v>IRB Infrastructure Developers Limited</v>
      </c>
      <c r="C1095" t="s">
        <v>14</v>
      </c>
      <c r="D1095">
        <v>35.25</v>
      </c>
      <c r="E1095">
        <v>35.299999999999997</v>
      </c>
      <c r="F1095">
        <v>34.700000000000003</v>
      </c>
      <c r="G1095" s="3">
        <v>34.9</v>
      </c>
      <c r="H1095">
        <v>34.9</v>
      </c>
      <c r="I1095">
        <v>35.4</v>
      </c>
      <c r="J1095">
        <v>13714863</v>
      </c>
      <c r="K1095">
        <v>479076500.05000001</v>
      </c>
      <c r="L1095" s="1">
        <v>45240</v>
      </c>
      <c r="M1095">
        <v>14862</v>
      </c>
      <c r="N1095" t="s">
        <v>2422</v>
      </c>
      <c r="O1095" s="5">
        <v>45240</v>
      </c>
      <c r="P1095" s="5">
        <v>43777</v>
      </c>
    </row>
    <row r="1096" spans="1:16" x14ac:dyDescent="0.25">
      <c r="A1096" t="s">
        <v>6472</v>
      </c>
      <c r="B1096" t="str">
        <v>Not Found</v>
      </c>
      <c r="C1096" t="s">
        <v>6171</v>
      </c>
      <c r="D1096">
        <v>69.31</v>
      </c>
      <c r="E1096">
        <v>70.25</v>
      </c>
      <c r="F1096">
        <v>69.31</v>
      </c>
      <c r="G1096" s="3">
        <v>70.099999999999994</v>
      </c>
      <c r="H1096">
        <v>70.25</v>
      </c>
      <c r="I1096">
        <v>69.8</v>
      </c>
      <c r="J1096">
        <v>277272</v>
      </c>
      <c r="K1096">
        <v>19413666.390000001</v>
      </c>
      <c r="L1096" s="1">
        <v>45240</v>
      </c>
      <c r="M1096">
        <v>1318</v>
      </c>
      <c r="N1096" t="s">
        <v>6471</v>
      </c>
      <c r="O1096" s="5">
        <v>45240</v>
      </c>
      <c r="P1096" s="5">
        <v>43777</v>
      </c>
    </row>
    <row r="1097" spans="1:16" x14ac:dyDescent="0.25">
      <c r="A1097" t="s">
        <v>2423</v>
      </c>
      <c r="B1097" t="str">
        <v>Ircon International Limited</v>
      </c>
      <c r="C1097" t="s">
        <v>14</v>
      </c>
      <c r="D1097">
        <v>154.5</v>
      </c>
      <c r="E1097">
        <v>156.65</v>
      </c>
      <c r="F1097">
        <v>151.69999999999999</v>
      </c>
      <c r="G1097" s="3">
        <v>153.5</v>
      </c>
      <c r="H1097">
        <v>153.1</v>
      </c>
      <c r="I1097">
        <v>153.35</v>
      </c>
      <c r="J1097">
        <v>8664493</v>
      </c>
      <c r="K1097">
        <v>1332807688.1500001</v>
      </c>
      <c r="L1097" s="1">
        <v>45240</v>
      </c>
      <c r="M1097">
        <v>38690</v>
      </c>
      <c r="N1097" t="s">
        <v>2425</v>
      </c>
      <c r="O1097" s="5">
        <v>45240</v>
      </c>
      <c r="P1097" s="5">
        <v>43777</v>
      </c>
    </row>
    <row r="1098" spans="1:16" x14ac:dyDescent="0.25">
      <c r="A1098" t="s">
        <v>2426</v>
      </c>
      <c r="B1098" t="str">
        <v>Indian Railway Catering And Tourism Corporation Limited</v>
      </c>
      <c r="C1098" t="s">
        <v>14</v>
      </c>
      <c r="D1098">
        <v>669.9</v>
      </c>
      <c r="E1098">
        <v>676.1</v>
      </c>
      <c r="F1098">
        <v>665.8</v>
      </c>
      <c r="G1098" s="3">
        <v>672.45</v>
      </c>
      <c r="H1098">
        <v>674</v>
      </c>
      <c r="I1098">
        <v>670.55</v>
      </c>
      <c r="J1098">
        <v>711757</v>
      </c>
      <c r="K1098">
        <v>478619207.35000002</v>
      </c>
      <c r="L1098" s="1">
        <v>45240</v>
      </c>
      <c r="M1098">
        <v>21887</v>
      </c>
      <c r="N1098" t="s">
        <v>2428</v>
      </c>
      <c r="O1098" s="5">
        <v>45240</v>
      </c>
      <c r="P1098" s="5">
        <v>43777</v>
      </c>
    </row>
    <row r="1099" spans="1:16" x14ac:dyDescent="0.25">
      <c r="A1099" t="s">
        <v>6470</v>
      </c>
      <c r="B1099" t="str">
        <v>Not Found</v>
      </c>
      <c r="C1099" t="s">
        <v>6174</v>
      </c>
      <c r="D1099">
        <v>1190.1300000000001</v>
      </c>
      <c r="E1099">
        <v>1190.1300000000001</v>
      </c>
      <c r="F1099">
        <v>1190.1300000000001</v>
      </c>
      <c r="G1099" s="3">
        <v>1190.1300000000001</v>
      </c>
      <c r="H1099">
        <v>1190.1300000000001</v>
      </c>
      <c r="I1099">
        <v>1200.83</v>
      </c>
      <c r="J1099">
        <v>1</v>
      </c>
      <c r="K1099">
        <v>1190.1300000000001</v>
      </c>
      <c r="L1099" s="1">
        <v>45240</v>
      </c>
      <c r="M1099">
        <v>1</v>
      </c>
      <c r="N1099" t="s">
        <v>6469</v>
      </c>
      <c r="O1099" s="5">
        <v>45240</v>
      </c>
      <c r="P1099" s="5">
        <v>43777</v>
      </c>
    </row>
    <row r="1100" spans="1:16" x14ac:dyDescent="0.25">
      <c r="A1100" t="s">
        <v>2429</v>
      </c>
      <c r="B1100" t="str">
        <v>Indian Railway Finance Corporation Limited</v>
      </c>
      <c r="C1100" t="s">
        <v>14</v>
      </c>
      <c r="D1100">
        <v>74.400000000000006</v>
      </c>
      <c r="E1100">
        <v>74.400000000000006</v>
      </c>
      <c r="F1100">
        <v>73.25</v>
      </c>
      <c r="G1100" s="3">
        <v>74.099999999999994</v>
      </c>
      <c r="H1100">
        <v>74.05</v>
      </c>
      <c r="I1100">
        <v>74.599999999999994</v>
      </c>
      <c r="J1100">
        <v>20115569</v>
      </c>
      <c r="K1100">
        <v>1486413210.2</v>
      </c>
      <c r="L1100" s="1">
        <v>45240</v>
      </c>
      <c r="M1100">
        <v>54178</v>
      </c>
      <c r="N1100" t="s">
        <v>2431</v>
      </c>
      <c r="O1100" s="5">
        <v>45240</v>
      </c>
      <c r="P1100" s="5">
        <v>43777</v>
      </c>
    </row>
    <row r="1101" spans="1:16" x14ac:dyDescent="0.25">
      <c r="A1101" t="s">
        <v>2429</v>
      </c>
      <c r="B1101" t="str">
        <v>Indian Railway Finance Corporation Limited</v>
      </c>
      <c r="C1101" t="s">
        <v>5843</v>
      </c>
      <c r="D1101">
        <v>1100</v>
      </c>
      <c r="E1101">
        <v>1133</v>
      </c>
      <c r="F1101">
        <v>1100</v>
      </c>
      <c r="G1101" s="3">
        <v>1133</v>
      </c>
      <c r="H1101">
        <v>1133</v>
      </c>
      <c r="I1101">
        <v>1133.0999999999999</v>
      </c>
      <c r="J1101">
        <v>60</v>
      </c>
      <c r="K1101">
        <v>67551</v>
      </c>
      <c r="L1101" s="1">
        <v>45240</v>
      </c>
      <c r="M1101">
        <v>2</v>
      </c>
      <c r="N1101" t="s">
        <v>6468</v>
      </c>
      <c r="O1101" s="5">
        <v>45240</v>
      </c>
      <c r="P1101" s="5">
        <v>43777</v>
      </c>
    </row>
    <row r="1102" spans="1:16" x14ac:dyDescent="0.25">
      <c r="A1102" t="s">
        <v>2429</v>
      </c>
      <c r="B1102" t="str">
        <v>Indian Railway Finance Corporation Limited</v>
      </c>
      <c r="C1102" t="s">
        <v>6207</v>
      </c>
      <c r="D1102">
        <v>1072</v>
      </c>
      <c r="E1102">
        <v>1072</v>
      </c>
      <c r="F1102">
        <v>1072</v>
      </c>
      <c r="G1102" s="3">
        <v>1072</v>
      </c>
      <c r="H1102">
        <v>1072</v>
      </c>
      <c r="I1102">
        <v>1072</v>
      </c>
      <c r="J1102">
        <v>5</v>
      </c>
      <c r="K1102">
        <v>5360</v>
      </c>
      <c r="L1102" s="1">
        <v>45240</v>
      </c>
      <c r="M1102">
        <v>1</v>
      </c>
      <c r="N1102" t="s">
        <v>6467</v>
      </c>
      <c r="O1102" s="5">
        <v>45240</v>
      </c>
      <c r="P1102" s="5">
        <v>43777</v>
      </c>
    </row>
    <row r="1103" spans="1:16" x14ac:dyDescent="0.25">
      <c r="A1103" t="s">
        <v>2429</v>
      </c>
      <c r="B1103" t="str">
        <v>Indian Railway Finance Corporation Limited</v>
      </c>
      <c r="C1103" t="s">
        <v>6130</v>
      </c>
      <c r="D1103">
        <v>1060</v>
      </c>
      <c r="E1103">
        <v>1060</v>
      </c>
      <c r="F1103">
        <v>1054</v>
      </c>
      <c r="G1103" s="3">
        <v>1054</v>
      </c>
      <c r="H1103">
        <v>1054</v>
      </c>
      <c r="I1103">
        <v>1058</v>
      </c>
      <c r="J1103">
        <v>1350</v>
      </c>
      <c r="K1103">
        <v>1427884.25</v>
      </c>
      <c r="L1103" s="1">
        <v>45240</v>
      </c>
      <c r="M1103">
        <v>9</v>
      </c>
      <c r="N1103" t="s">
        <v>6466</v>
      </c>
      <c r="O1103" s="5">
        <v>45240</v>
      </c>
      <c r="P1103" s="5">
        <v>43777</v>
      </c>
    </row>
    <row r="1104" spans="1:16" x14ac:dyDescent="0.25">
      <c r="A1104" t="s">
        <v>2429</v>
      </c>
      <c r="B1104" t="str">
        <v>Indian Railway Finance Corporation Limited</v>
      </c>
      <c r="C1104" t="s">
        <v>6247</v>
      </c>
      <c r="D1104">
        <v>1202.92</v>
      </c>
      <c r="E1104">
        <v>1202.92</v>
      </c>
      <c r="F1104">
        <v>1187.0999999999999</v>
      </c>
      <c r="G1104" s="3">
        <v>1187.1199999999999</v>
      </c>
      <c r="H1104">
        <v>1187.0999999999999</v>
      </c>
      <c r="I1104">
        <v>1195</v>
      </c>
      <c r="J1104">
        <v>161</v>
      </c>
      <c r="K1104">
        <v>192721.77</v>
      </c>
      <c r="L1104" s="1">
        <v>45240</v>
      </c>
      <c r="M1104">
        <v>5</v>
      </c>
      <c r="N1104" t="s">
        <v>6465</v>
      </c>
      <c r="O1104" s="5">
        <v>45240</v>
      </c>
      <c r="P1104" s="5">
        <v>43777</v>
      </c>
    </row>
    <row r="1105" spans="1:16" x14ac:dyDescent="0.25">
      <c r="A1105" t="s">
        <v>2429</v>
      </c>
      <c r="B1105" t="str">
        <v>Indian Railway Finance Corporation Limited</v>
      </c>
      <c r="C1105" t="s">
        <v>6240</v>
      </c>
      <c r="D1105">
        <v>1209</v>
      </c>
      <c r="E1105">
        <v>1211</v>
      </c>
      <c r="F1105">
        <v>1209</v>
      </c>
      <c r="G1105" s="3">
        <v>1211</v>
      </c>
      <c r="H1105">
        <v>1211</v>
      </c>
      <c r="I1105">
        <v>1230</v>
      </c>
      <c r="J1105">
        <v>164</v>
      </c>
      <c r="K1105">
        <v>198476</v>
      </c>
      <c r="L1105" s="1">
        <v>45240</v>
      </c>
      <c r="M1105">
        <v>4</v>
      </c>
      <c r="N1105" t="s">
        <v>6464</v>
      </c>
      <c r="O1105" s="5">
        <v>45240</v>
      </c>
      <c r="P1105" s="5">
        <v>43777</v>
      </c>
    </row>
    <row r="1106" spans="1:16" x14ac:dyDescent="0.25">
      <c r="A1106" t="s">
        <v>2429</v>
      </c>
      <c r="B1106" t="str">
        <v>Indian Railway Finance Corporation Limited</v>
      </c>
      <c r="C1106" t="s">
        <v>5872</v>
      </c>
      <c r="D1106">
        <v>1220</v>
      </c>
      <c r="E1106">
        <v>1220</v>
      </c>
      <c r="F1106">
        <v>1220</v>
      </c>
      <c r="G1106" s="3">
        <v>1220</v>
      </c>
      <c r="H1106">
        <v>1220</v>
      </c>
      <c r="I1106">
        <v>1220</v>
      </c>
      <c r="J1106">
        <v>3</v>
      </c>
      <c r="K1106">
        <v>3660</v>
      </c>
      <c r="L1106" s="1">
        <v>45240</v>
      </c>
      <c r="M1106">
        <v>1</v>
      </c>
      <c r="N1106" t="s">
        <v>6463</v>
      </c>
      <c r="O1106" s="5">
        <v>45240</v>
      </c>
      <c r="P1106" s="5">
        <v>43777</v>
      </c>
    </row>
    <row r="1107" spans="1:16" x14ac:dyDescent="0.25">
      <c r="A1107" t="s">
        <v>2429</v>
      </c>
      <c r="B1107" t="str">
        <v>Indian Railway Finance Corporation Limited</v>
      </c>
      <c r="C1107" t="s">
        <v>5870</v>
      </c>
      <c r="D1107">
        <v>1126</v>
      </c>
      <c r="E1107">
        <v>1126</v>
      </c>
      <c r="F1107">
        <v>1126</v>
      </c>
      <c r="G1107" s="3">
        <v>1126</v>
      </c>
      <c r="H1107">
        <v>1126</v>
      </c>
      <c r="I1107">
        <v>1119.1400000000001</v>
      </c>
      <c r="J1107">
        <v>1</v>
      </c>
      <c r="K1107">
        <v>1126</v>
      </c>
      <c r="L1107" s="1">
        <v>45240</v>
      </c>
      <c r="M1107">
        <v>1</v>
      </c>
      <c r="N1107" t="s">
        <v>6462</v>
      </c>
      <c r="O1107" s="5">
        <v>45240</v>
      </c>
      <c r="P1107" s="5">
        <v>43777</v>
      </c>
    </row>
    <row r="1108" spans="1:16" x14ac:dyDescent="0.25">
      <c r="A1108" t="s">
        <v>2429</v>
      </c>
      <c r="B1108" t="str">
        <v>Indian Railway Finance Corporation Limited</v>
      </c>
      <c r="C1108" t="s">
        <v>6461</v>
      </c>
      <c r="D1108">
        <v>1185</v>
      </c>
      <c r="E1108">
        <v>1185</v>
      </c>
      <c r="F1108">
        <v>1185</v>
      </c>
      <c r="G1108" s="3">
        <v>1185</v>
      </c>
      <c r="H1108">
        <v>1185</v>
      </c>
      <c r="I1108">
        <v>1180.1099999999999</v>
      </c>
      <c r="J1108">
        <v>10</v>
      </c>
      <c r="K1108">
        <v>11850</v>
      </c>
      <c r="L1108" s="1">
        <v>45240</v>
      </c>
      <c r="M1108">
        <v>1</v>
      </c>
      <c r="N1108" t="s">
        <v>6460</v>
      </c>
      <c r="O1108" s="5">
        <v>45240</v>
      </c>
      <c r="P1108" s="5">
        <v>43777</v>
      </c>
    </row>
    <row r="1109" spans="1:16" x14ac:dyDescent="0.25">
      <c r="A1109" t="s">
        <v>2429</v>
      </c>
      <c r="B1109" t="str">
        <v>Indian Railway Finance Corporation Limited</v>
      </c>
      <c r="C1109" t="s">
        <v>6459</v>
      </c>
      <c r="D1109">
        <v>1139.99</v>
      </c>
      <c r="E1109">
        <v>1144.99</v>
      </c>
      <c r="F1109">
        <v>1135.01</v>
      </c>
      <c r="G1109" s="3">
        <v>1136.48</v>
      </c>
      <c r="H1109">
        <v>1136.2</v>
      </c>
      <c r="I1109">
        <v>1139.99</v>
      </c>
      <c r="J1109">
        <v>2160</v>
      </c>
      <c r="K1109">
        <v>2457424.7799999998</v>
      </c>
      <c r="L1109" s="1">
        <v>45240</v>
      </c>
      <c r="M1109">
        <v>20</v>
      </c>
      <c r="N1109" t="s">
        <v>6458</v>
      </c>
      <c r="O1109" s="5">
        <v>45240</v>
      </c>
      <c r="P1109" s="5">
        <v>43777</v>
      </c>
    </row>
    <row r="1110" spans="1:16" x14ac:dyDescent="0.25">
      <c r="A1110" t="s">
        <v>2432</v>
      </c>
      <c r="B1110" t="str">
        <v>Iris Business Services Limited</v>
      </c>
      <c r="C1110" t="s">
        <v>14</v>
      </c>
      <c r="D1110">
        <v>124</v>
      </c>
      <c r="E1110">
        <v>125.8</v>
      </c>
      <c r="F1110">
        <v>120.45</v>
      </c>
      <c r="G1110" s="3">
        <v>121.55</v>
      </c>
      <c r="H1110">
        <v>121.2</v>
      </c>
      <c r="I1110">
        <v>122.25</v>
      </c>
      <c r="J1110">
        <v>125190</v>
      </c>
      <c r="K1110">
        <v>15347921</v>
      </c>
      <c r="L1110" s="1">
        <v>45240</v>
      </c>
      <c r="M1110">
        <v>3654</v>
      </c>
      <c r="N1110" t="s">
        <v>2434</v>
      </c>
      <c r="O1110" s="5">
        <v>45240</v>
      </c>
      <c r="P1110" s="5">
        <v>43777</v>
      </c>
    </row>
    <row r="1111" spans="1:16" x14ac:dyDescent="0.25">
      <c r="A1111" t="s">
        <v>2435</v>
      </c>
      <c r="B1111" t="str">
        <v>Iris Clothings Limited</v>
      </c>
      <c r="C1111" t="s">
        <v>14</v>
      </c>
      <c r="D1111">
        <v>87.5</v>
      </c>
      <c r="E1111">
        <v>88.4</v>
      </c>
      <c r="F1111">
        <v>86.1</v>
      </c>
      <c r="G1111" s="3">
        <v>86.5</v>
      </c>
      <c r="H1111">
        <v>86.5</v>
      </c>
      <c r="I1111">
        <v>87.1</v>
      </c>
      <c r="J1111">
        <v>42959</v>
      </c>
      <c r="K1111">
        <v>3735296.5</v>
      </c>
      <c r="L1111" s="1">
        <v>45240</v>
      </c>
      <c r="M1111">
        <v>674</v>
      </c>
      <c r="N1111" t="s">
        <v>2437</v>
      </c>
      <c r="O1111" s="5">
        <v>45240</v>
      </c>
      <c r="P1111" s="5">
        <v>43777</v>
      </c>
    </row>
    <row r="1112" spans="1:16" x14ac:dyDescent="0.25">
      <c r="A1112" t="s">
        <v>2438</v>
      </c>
      <c r="B1112" t="str">
        <v>IRM Energy Limited</v>
      </c>
      <c r="C1112" t="s">
        <v>14</v>
      </c>
      <c r="D1112">
        <v>459.95</v>
      </c>
      <c r="E1112">
        <v>459.95</v>
      </c>
      <c r="F1112">
        <v>448.45</v>
      </c>
      <c r="G1112" s="3">
        <v>449.35</v>
      </c>
      <c r="H1112">
        <v>450</v>
      </c>
      <c r="I1112">
        <v>460.7</v>
      </c>
      <c r="J1112">
        <v>136837</v>
      </c>
      <c r="K1112">
        <v>61831253.399999999</v>
      </c>
      <c r="L1112" s="1">
        <v>45240</v>
      </c>
      <c r="M1112">
        <v>6560</v>
      </c>
      <c r="N1112" t="s">
        <v>2440</v>
      </c>
      <c r="O1112" s="5">
        <v>45240</v>
      </c>
      <c r="P1112" s="5">
        <v>43777</v>
      </c>
    </row>
    <row r="1113" spans="1:16" x14ac:dyDescent="0.25">
      <c r="A1113" t="s">
        <v>2441</v>
      </c>
      <c r="B1113" t="str">
        <v>ICICI Securities Limited</v>
      </c>
      <c r="C1113" t="s">
        <v>14</v>
      </c>
      <c r="D1113">
        <v>663.35</v>
      </c>
      <c r="E1113">
        <v>663.35</v>
      </c>
      <c r="F1113">
        <v>650.35</v>
      </c>
      <c r="G1113" s="3">
        <v>656.35</v>
      </c>
      <c r="H1113">
        <v>655</v>
      </c>
      <c r="I1113">
        <v>660</v>
      </c>
      <c r="J1113">
        <v>120230</v>
      </c>
      <c r="K1113">
        <v>78752223.5</v>
      </c>
      <c r="L1113" s="1">
        <v>45240</v>
      </c>
      <c r="M1113">
        <v>5889</v>
      </c>
      <c r="N1113" t="s">
        <v>2443</v>
      </c>
      <c r="O1113" s="5">
        <v>45240</v>
      </c>
      <c r="P1113" s="5">
        <v>43777</v>
      </c>
    </row>
    <row r="1114" spans="1:16" x14ac:dyDescent="0.25">
      <c r="A1114" t="s">
        <v>2444</v>
      </c>
      <c r="B1114" t="str">
        <v>Intrasoft Technologies Limited</v>
      </c>
      <c r="C1114" t="s">
        <v>14</v>
      </c>
      <c r="D1114">
        <v>123.15</v>
      </c>
      <c r="E1114">
        <v>126.45</v>
      </c>
      <c r="F1114">
        <v>123.15</v>
      </c>
      <c r="G1114" s="3">
        <v>123.8</v>
      </c>
      <c r="H1114">
        <v>123.55</v>
      </c>
      <c r="I1114">
        <v>126.55</v>
      </c>
      <c r="J1114">
        <v>9822</v>
      </c>
      <c r="K1114">
        <v>1224313.3500000001</v>
      </c>
      <c r="L1114" s="1">
        <v>45240</v>
      </c>
      <c r="M1114">
        <v>318</v>
      </c>
      <c r="N1114" t="s">
        <v>2446</v>
      </c>
      <c r="O1114" s="5">
        <v>45240</v>
      </c>
      <c r="P1114" s="5">
        <v>43777</v>
      </c>
    </row>
    <row r="1115" spans="1:16" x14ac:dyDescent="0.25">
      <c r="A1115" t="s">
        <v>2447</v>
      </c>
      <c r="B1115" t="str">
        <v>Isgec Heavy Engineering Limited</v>
      </c>
      <c r="C1115" t="s">
        <v>14</v>
      </c>
      <c r="D1115">
        <v>753.05</v>
      </c>
      <c r="E1115">
        <v>753.05</v>
      </c>
      <c r="F1115">
        <v>730.25</v>
      </c>
      <c r="G1115" s="3">
        <v>733.05</v>
      </c>
      <c r="H1115">
        <v>744</v>
      </c>
      <c r="I1115">
        <v>744.6</v>
      </c>
      <c r="J1115">
        <v>32845</v>
      </c>
      <c r="K1115">
        <v>24330149.699999999</v>
      </c>
      <c r="L1115" s="1">
        <v>45240</v>
      </c>
      <c r="M1115">
        <v>4456</v>
      </c>
      <c r="N1115" t="s">
        <v>2449</v>
      </c>
      <c r="O1115" s="5">
        <v>45240</v>
      </c>
      <c r="P1115" s="5">
        <v>43777</v>
      </c>
    </row>
    <row r="1116" spans="1:16" x14ac:dyDescent="0.25">
      <c r="A1116" t="s">
        <v>6457</v>
      </c>
      <c r="B1116" t="str">
        <v>Not Found</v>
      </c>
      <c r="C1116" t="s">
        <v>5853</v>
      </c>
      <c r="D1116">
        <v>64.099999999999994</v>
      </c>
      <c r="E1116">
        <v>70.8</v>
      </c>
      <c r="F1116">
        <v>64.099999999999994</v>
      </c>
      <c r="G1116" s="3">
        <v>70.8</v>
      </c>
      <c r="H1116">
        <v>70.8</v>
      </c>
      <c r="I1116">
        <v>67.45</v>
      </c>
      <c r="J1116">
        <v>76800</v>
      </c>
      <c r="K1116">
        <v>5222560</v>
      </c>
      <c r="L1116" s="1">
        <v>45240</v>
      </c>
      <c r="M1116">
        <v>33</v>
      </c>
      <c r="N1116" t="s">
        <v>6456</v>
      </c>
      <c r="O1116" s="5">
        <v>45240</v>
      </c>
      <c r="P1116" s="5">
        <v>43777</v>
      </c>
    </row>
    <row r="1117" spans="1:16" x14ac:dyDescent="0.25">
      <c r="A1117" t="s">
        <v>2450</v>
      </c>
      <c r="B1117" t="str">
        <v>ISMT Limited</v>
      </c>
      <c r="C1117" t="s">
        <v>14</v>
      </c>
      <c r="D1117">
        <v>86.35</v>
      </c>
      <c r="E1117">
        <v>87.2</v>
      </c>
      <c r="F1117">
        <v>84.4</v>
      </c>
      <c r="G1117" s="3">
        <v>85.45</v>
      </c>
      <c r="H1117">
        <v>85.55</v>
      </c>
      <c r="I1117">
        <v>86.95</v>
      </c>
      <c r="J1117">
        <v>509448</v>
      </c>
      <c r="K1117">
        <v>43548281.799999997</v>
      </c>
      <c r="L1117" s="1">
        <v>45240</v>
      </c>
      <c r="M1117">
        <v>3825</v>
      </c>
      <c r="N1117" t="s">
        <v>2452</v>
      </c>
      <c r="O1117" s="5">
        <v>45240</v>
      </c>
      <c r="P1117" s="5">
        <v>43777</v>
      </c>
    </row>
    <row r="1118" spans="1:16" x14ac:dyDescent="0.25">
      <c r="A1118" t="s">
        <v>6455</v>
      </c>
      <c r="B1118" t="str">
        <v>Not Found</v>
      </c>
      <c r="C1118" t="s">
        <v>14</v>
      </c>
      <c r="D1118">
        <v>32.9</v>
      </c>
      <c r="E1118">
        <v>32.9</v>
      </c>
      <c r="F1118">
        <v>32.299999999999997</v>
      </c>
      <c r="G1118" s="3">
        <v>32.43</v>
      </c>
      <c r="H1118">
        <v>32.46</v>
      </c>
      <c r="I1118">
        <v>32.51</v>
      </c>
      <c r="J1118">
        <v>1814442</v>
      </c>
      <c r="K1118">
        <v>58743788.439999998</v>
      </c>
      <c r="L1118" s="1">
        <v>45240</v>
      </c>
      <c r="M1118">
        <v>11541</v>
      </c>
      <c r="N1118" t="s">
        <v>6454</v>
      </c>
      <c r="O1118" s="5">
        <v>45240</v>
      </c>
      <c r="P1118" s="5">
        <v>43777</v>
      </c>
    </row>
    <row r="1119" spans="1:16" x14ac:dyDescent="0.25">
      <c r="A1119" t="s">
        <v>2453</v>
      </c>
      <c r="B1119" t="str">
        <v>ITC Limited</v>
      </c>
      <c r="C1119" t="s">
        <v>14</v>
      </c>
      <c r="D1119">
        <v>434.4</v>
      </c>
      <c r="E1119">
        <v>438</v>
      </c>
      <c r="F1119">
        <v>432.5</v>
      </c>
      <c r="G1119" s="3">
        <v>436.55</v>
      </c>
      <c r="H1119">
        <v>437.95</v>
      </c>
      <c r="I1119">
        <v>434.4</v>
      </c>
      <c r="J1119">
        <v>4079205</v>
      </c>
      <c r="K1119">
        <v>1775212626.75</v>
      </c>
      <c r="L1119" s="1">
        <v>45240</v>
      </c>
      <c r="M1119">
        <v>99710</v>
      </c>
      <c r="N1119" t="s">
        <v>2455</v>
      </c>
      <c r="O1119" s="5">
        <v>45240</v>
      </c>
      <c r="P1119" s="5">
        <v>43777</v>
      </c>
    </row>
    <row r="1120" spans="1:16" x14ac:dyDescent="0.25">
      <c r="A1120" t="s">
        <v>2456</v>
      </c>
      <c r="B1120" t="str">
        <v>India Tourism Development Corporation Limited</v>
      </c>
      <c r="C1120" t="s">
        <v>14</v>
      </c>
      <c r="D1120">
        <v>424.7</v>
      </c>
      <c r="E1120">
        <v>424.7</v>
      </c>
      <c r="F1120">
        <v>418.05</v>
      </c>
      <c r="G1120" s="3">
        <v>421.4</v>
      </c>
      <c r="H1120">
        <v>422.1</v>
      </c>
      <c r="I1120">
        <v>424.9</v>
      </c>
      <c r="J1120">
        <v>38367</v>
      </c>
      <c r="K1120">
        <v>16166938.800000001</v>
      </c>
      <c r="L1120" s="1">
        <v>45240</v>
      </c>
      <c r="M1120">
        <v>2612</v>
      </c>
      <c r="N1120" t="s">
        <v>2458</v>
      </c>
      <c r="O1120" s="5">
        <v>45240</v>
      </c>
      <c r="P1120" s="5">
        <v>43777</v>
      </c>
    </row>
    <row r="1121" spans="1:16" x14ac:dyDescent="0.25">
      <c r="A1121" t="s">
        <v>2459</v>
      </c>
      <c r="B1121" t="str">
        <v>ITD Cementation India Limited</v>
      </c>
      <c r="C1121" t="s">
        <v>14</v>
      </c>
      <c r="D1121">
        <v>220</v>
      </c>
      <c r="E1121">
        <v>232.65</v>
      </c>
      <c r="F1121">
        <v>218.3</v>
      </c>
      <c r="G1121" s="3">
        <v>229.5</v>
      </c>
      <c r="H1121">
        <v>229.5</v>
      </c>
      <c r="I1121">
        <v>220.1</v>
      </c>
      <c r="J1121">
        <v>3078095</v>
      </c>
      <c r="K1121">
        <v>703619721.35000002</v>
      </c>
      <c r="L1121" s="1">
        <v>45240</v>
      </c>
      <c r="M1121">
        <v>32164</v>
      </c>
      <c r="N1121" t="s">
        <v>2461</v>
      </c>
      <c r="O1121" s="5">
        <v>45240</v>
      </c>
      <c r="P1121" s="5">
        <v>43777</v>
      </c>
    </row>
    <row r="1122" spans="1:16" x14ac:dyDescent="0.25">
      <c r="A1122" t="s">
        <v>6453</v>
      </c>
      <c r="B1122" t="str">
        <v>Not Found</v>
      </c>
      <c r="C1122" t="s">
        <v>14</v>
      </c>
      <c r="D1122">
        <v>30.92</v>
      </c>
      <c r="E1122">
        <v>30.93</v>
      </c>
      <c r="F1122">
        <v>30.51</v>
      </c>
      <c r="G1122" s="3">
        <v>30.85</v>
      </c>
      <c r="H1122">
        <v>30.85</v>
      </c>
      <c r="I1122">
        <v>30.82</v>
      </c>
      <c r="J1122">
        <v>1819</v>
      </c>
      <c r="K1122">
        <v>55982.21</v>
      </c>
      <c r="L1122" s="1">
        <v>45240</v>
      </c>
      <c r="M1122">
        <v>35</v>
      </c>
      <c r="N1122" t="s">
        <v>6452</v>
      </c>
      <c r="O1122" s="5">
        <v>45240</v>
      </c>
      <c r="P1122" s="5">
        <v>43777</v>
      </c>
    </row>
    <row r="1123" spans="1:16" x14ac:dyDescent="0.25">
      <c r="A1123" t="s">
        <v>2462</v>
      </c>
      <c r="B1123" t="str">
        <v>ITI Limited</v>
      </c>
      <c r="C1123" t="s">
        <v>14</v>
      </c>
      <c r="D1123">
        <v>261.95</v>
      </c>
      <c r="E1123">
        <v>266.5</v>
      </c>
      <c r="F1123">
        <v>257.05</v>
      </c>
      <c r="G1123" s="3">
        <v>258.89999999999998</v>
      </c>
      <c r="H1123">
        <v>258.14999999999998</v>
      </c>
      <c r="I1123">
        <v>261.7</v>
      </c>
      <c r="J1123">
        <v>1050549</v>
      </c>
      <c r="K1123">
        <v>274596431.25</v>
      </c>
      <c r="L1123" s="1">
        <v>45240</v>
      </c>
      <c r="M1123">
        <v>12374</v>
      </c>
      <c r="N1123" t="s">
        <v>2464</v>
      </c>
      <c r="O1123" s="5">
        <v>45240</v>
      </c>
      <c r="P1123" s="5">
        <v>43777</v>
      </c>
    </row>
    <row r="1124" spans="1:16" x14ac:dyDescent="0.25">
      <c r="A1124" t="s">
        <v>2465</v>
      </c>
      <c r="B1124" t="str">
        <v>IL&amp;FS Investment Managers Limited</v>
      </c>
      <c r="C1124" t="s">
        <v>14</v>
      </c>
      <c r="D1124">
        <v>9.15</v>
      </c>
      <c r="E1124">
        <v>9.4</v>
      </c>
      <c r="F1124">
        <v>8.6999999999999993</v>
      </c>
      <c r="G1124" s="3">
        <v>8.75</v>
      </c>
      <c r="H1124">
        <v>8.75</v>
      </c>
      <c r="I1124">
        <v>9.3000000000000007</v>
      </c>
      <c r="J1124">
        <v>1237319</v>
      </c>
      <c r="K1124">
        <v>11080892.050000001</v>
      </c>
      <c r="L1124" s="1">
        <v>45240</v>
      </c>
      <c r="M1124">
        <v>2045</v>
      </c>
      <c r="N1124" t="s">
        <v>2467</v>
      </c>
      <c r="O1124" s="5">
        <v>45240</v>
      </c>
      <c r="P1124" s="5">
        <v>43777</v>
      </c>
    </row>
    <row r="1125" spans="1:16" x14ac:dyDescent="0.25">
      <c r="A1125" t="s">
        <v>2468</v>
      </c>
      <c r="B1125" t="str">
        <v>IVP Limited</v>
      </c>
      <c r="C1125" t="s">
        <v>14</v>
      </c>
      <c r="D1125">
        <v>182.2</v>
      </c>
      <c r="E1125">
        <v>189</v>
      </c>
      <c r="F1125">
        <v>180.8</v>
      </c>
      <c r="G1125" s="3">
        <v>184.7</v>
      </c>
      <c r="H1125">
        <v>182.5</v>
      </c>
      <c r="I1125">
        <v>182.35</v>
      </c>
      <c r="J1125">
        <v>45349</v>
      </c>
      <c r="K1125">
        <v>8416955.5999999996</v>
      </c>
      <c r="L1125" s="1">
        <v>45240</v>
      </c>
      <c r="M1125">
        <v>985</v>
      </c>
      <c r="N1125" t="s">
        <v>2470</v>
      </c>
      <c r="O1125" s="5">
        <v>45240</v>
      </c>
      <c r="P1125" s="5">
        <v>43777</v>
      </c>
    </row>
    <row r="1126" spans="1:16" x14ac:dyDescent="0.25">
      <c r="A1126" t="s">
        <v>6451</v>
      </c>
      <c r="B1126" t="str">
        <v>Not Found</v>
      </c>
      <c r="C1126" t="s">
        <v>14</v>
      </c>
      <c r="D1126">
        <v>5360.05</v>
      </c>
      <c r="E1126">
        <v>5368</v>
      </c>
      <c r="F1126">
        <v>5360</v>
      </c>
      <c r="G1126" s="3">
        <v>5367.95</v>
      </c>
      <c r="H1126">
        <v>5368</v>
      </c>
      <c r="I1126">
        <v>5325.05</v>
      </c>
      <c r="J1126">
        <v>69</v>
      </c>
      <c r="K1126">
        <v>370220.65</v>
      </c>
      <c r="L1126" s="1">
        <v>45240</v>
      </c>
      <c r="M1126">
        <v>36</v>
      </c>
      <c r="N1126" t="s">
        <v>6450</v>
      </c>
      <c r="O1126" s="5">
        <v>45240</v>
      </c>
      <c r="P1126" s="5">
        <v>43777</v>
      </c>
    </row>
    <row r="1127" spans="1:16" x14ac:dyDescent="0.25">
      <c r="A1127" t="s">
        <v>6449</v>
      </c>
      <c r="B1127" t="str">
        <v>Not Found</v>
      </c>
      <c r="C1127" t="s">
        <v>14</v>
      </c>
      <c r="D1127">
        <v>2156.02</v>
      </c>
      <c r="E1127">
        <v>2156.02</v>
      </c>
      <c r="F1127">
        <v>2156.02</v>
      </c>
      <c r="G1127" s="3">
        <v>2156.02</v>
      </c>
      <c r="H1127">
        <v>2156.02</v>
      </c>
      <c r="I1127">
        <v>2156.02</v>
      </c>
      <c r="J1127">
        <v>3</v>
      </c>
      <c r="K1127">
        <v>6468.06</v>
      </c>
      <c r="L1127" s="1">
        <v>45240</v>
      </c>
      <c r="M1127">
        <v>1</v>
      </c>
      <c r="N1127" t="s">
        <v>6448</v>
      </c>
      <c r="O1127" s="5">
        <v>45240</v>
      </c>
      <c r="P1127" s="5">
        <v>43777</v>
      </c>
    </row>
    <row r="1128" spans="1:16" x14ac:dyDescent="0.25">
      <c r="A1128" t="s">
        <v>2471</v>
      </c>
      <c r="B1128" t="str">
        <v>Inox Wind Energy Limited</v>
      </c>
      <c r="C1128" t="s">
        <v>14</v>
      </c>
      <c r="D1128">
        <v>3298.85</v>
      </c>
      <c r="E1128">
        <v>3320.9</v>
      </c>
      <c r="F1128">
        <v>3216.25</v>
      </c>
      <c r="G1128" s="3">
        <v>3261.15</v>
      </c>
      <c r="H1128">
        <v>3251</v>
      </c>
      <c r="I1128">
        <v>3263.2</v>
      </c>
      <c r="J1128">
        <v>2652</v>
      </c>
      <c r="K1128">
        <v>8650259.1500000004</v>
      </c>
      <c r="L1128" s="1">
        <v>45240</v>
      </c>
      <c r="M1128">
        <v>654</v>
      </c>
      <c r="N1128" t="s">
        <v>2473</v>
      </c>
      <c r="O1128" s="5">
        <v>45240</v>
      </c>
      <c r="P1128" s="5">
        <v>43777</v>
      </c>
    </row>
    <row r="1129" spans="1:16" x14ac:dyDescent="0.25">
      <c r="A1129" t="s">
        <v>2474</v>
      </c>
      <c r="B1129" t="str">
        <v>IZMO Limited</v>
      </c>
      <c r="C1129" t="s">
        <v>10</v>
      </c>
      <c r="D1129">
        <v>236</v>
      </c>
      <c r="E1129">
        <v>240</v>
      </c>
      <c r="F1129">
        <v>225</v>
      </c>
      <c r="G1129" s="3">
        <v>235.2</v>
      </c>
      <c r="H1129">
        <v>238.7</v>
      </c>
      <c r="I1129">
        <v>230.45</v>
      </c>
      <c r="J1129">
        <v>97478</v>
      </c>
      <c r="K1129">
        <v>22813104.300000001</v>
      </c>
      <c r="L1129" s="1">
        <v>45240</v>
      </c>
      <c r="M1129">
        <v>589</v>
      </c>
      <c r="N1129" t="s">
        <v>2476</v>
      </c>
      <c r="O1129" s="5">
        <v>45240</v>
      </c>
      <c r="P1129" s="5">
        <v>43777</v>
      </c>
    </row>
    <row r="1130" spans="1:16" x14ac:dyDescent="0.25">
      <c r="A1130" t="s">
        <v>2477</v>
      </c>
      <c r="B1130" t="str">
        <v>The Jammu &amp; Kashmir Bank Limited</v>
      </c>
      <c r="C1130" t="s">
        <v>14</v>
      </c>
      <c r="D1130">
        <v>107.25</v>
      </c>
      <c r="E1130">
        <v>108.8</v>
      </c>
      <c r="F1130">
        <v>105.8</v>
      </c>
      <c r="G1130" s="3">
        <v>108.45</v>
      </c>
      <c r="H1130">
        <v>108.55</v>
      </c>
      <c r="I1130">
        <v>107.35</v>
      </c>
      <c r="J1130">
        <v>2187692</v>
      </c>
      <c r="K1130">
        <v>234548976.30000001</v>
      </c>
      <c r="L1130" s="1">
        <v>45240</v>
      </c>
      <c r="M1130">
        <v>8481</v>
      </c>
      <c r="N1130" t="s">
        <v>2479</v>
      </c>
      <c r="O1130" s="5">
        <v>45240</v>
      </c>
      <c r="P1130" s="5">
        <v>43777</v>
      </c>
    </row>
    <row r="1131" spans="1:16" x14ac:dyDescent="0.25">
      <c r="A1131" t="s">
        <v>2480</v>
      </c>
      <c r="B1131" t="str">
        <v>Jagran Prakashan Limited</v>
      </c>
      <c r="C1131" t="s">
        <v>14</v>
      </c>
      <c r="D1131">
        <v>98.25</v>
      </c>
      <c r="E1131">
        <v>98.25</v>
      </c>
      <c r="F1131">
        <v>95.25</v>
      </c>
      <c r="G1131" s="3">
        <v>96.8</v>
      </c>
      <c r="H1131">
        <v>96.8</v>
      </c>
      <c r="I1131">
        <v>97.8</v>
      </c>
      <c r="J1131">
        <v>210161</v>
      </c>
      <c r="K1131">
        <v>20335254.699999999</v>
      </c>
      <c r="L1131" s="1">
        <v>45240</v>
      </c>
      <c r="M1131">
        <v>3269</v>
      </c>
      <c r="N1131" t="s">
        <v>2482</v>
      </c>
      <c r="O1131" s="5">
        <v>45240</v>
      </c>
      <c r="P1131" s="5">
        <v>43777</v>
      </c>
    </row>
    <row r="1132" spans="1:16" x14ac:dyDescent="0.25">
      <c r="A1132" t="s">
        <v>2483</v>
      </c>
      <c r="B1132" t="str">
        <v>Jagsonpal Pharmaceuticals Limited</v>
      </c>
      <c r="C1132" t="s">
        <v>14</v>
      </c>
      <c r="D1132">
        <v>393.65</v>
      </c>
      <c r="E1132">
        <v>404</v>
      </c>
      <c r="F1132">
        <v>392.55</v>
      </c>
      <c r="G1132" s="3">
        <v>400.2</v>
      </c>
      <c r="H1132">
        <v>400</v>
      </c>
      <c r="I1132">
        <v>393.25</v>
      </c>
      <c r="J1132">
        <v>17824</v>
      </c>
      <c r="K1132">
        <v>7110127.3499999996</v>
      </c>
      <c r="L1132" s="1">
        <v>45240</v>
      </c>
      <c r="M1132">
        <v>1289</v>
      </c>
      <c r="N1132" t="s">
        <v>2485</v>
      </c>
      <c r="O1132" s="5">
        <v>45240</v>
      </c>
      <c r="P1132" s="5">
        <v>43777</v>
      </c>
    </row>
    <row r="1133" spans="1:16" x14ac:dyDescent="0.25">
      <c r="A1133" t="s">
        <v>2486</v>
      </c>
      <c r="B1133" t="str">
        <v>Jai Balaji Industries Limited</v>
      </c>
      <c r="C1133" t="s">
        <v>10</v>
      </c>
      <c r="D1133">
        <v>600</v>
      </c>
      <c r="E1133">
        <v>609.79999999999995</v>
      </c>
      <c r="F1133">
        <v>573.65</v>
      </c>
      <c r="G1133" s="3">
        <v>573.65</v>
      </c>
      <c r="H1133">
        <v>573.65</v>
      </c>
      <c r="I1133">
        <v>603.79999999999995</v>
      </c>
      <c r="J1133">
        <v>298105</v>
      </c>
      <c r="K1133">
        <v>173582450.84999999</v>
      </c>
      <c r="L1133" s="1">
        <v>45240</v>
      </c>
      <c r="M1133">
        <v>2397</v>
      </c>
      <c r="N1133" t="s">
        <v>2488</v>
      </c>
      <c r="O1133" s="5">
        <v>45240</v>
      </c>
      <c r="P1133" s="5">
        <v>43777</v>
      </c>
    </row>
    <row r="1134" spans="1:16" x14ac:dyDescent="0.25">
      <c r="A1134" t="s">
        <v>2489</v>
      </c>
      <c r="B1134" t="str">
        <v>Jai Corp Limited</v>
      </c>
      <c r="C1134" t="s">
        <v>14</v>
      </c>
      <c r="D1134">
        <v>293.35000000000002</v>
      </c>
      <c r="E1134">
        <v>297.39999999999998</v>
      </c>
      <c r="F1134">
        <v>287.05</v>
      </c>
      <c r="G1134" s="3">
        <v>289.14999999999998</v>
      </c>
      <c r="H1134">
        <v>288.3</v>
      </c>
      <c r="I1134">
        <v>294.05</v>
      </c>
      <c r="J1134">
        <v>663059</v>
      </c>
      <c r="K1134">
        <v>193709542.09999999</v>
      </c>
      <c r="L1134" s="1">
        <v>45240</v>
      </c>
      <c r="M1134">
        <v>8202</v>
      </c>
      <c r="N1134" t="s">
        <v>2491</v>
      </c>
      <c r="O1134" s="5">
        <v>45240</v>
      </c>
      <c r="P1134" s="5">
        <v>43777</v>
      </c>
    </row>
    <row r="1135" spans="1:16" x14ac:dyDescent="0.25">
      <c r="A1135" t="s">
        <v>6447</v>
      </c>
      <c r="B1135" t="str">
        <v>Not Found</v>
      </c>
      <c r="C1135" t="s">
        <v>5788</v>
      </c>
      <c r="D1135">
        <v>130.15</v>
      </c>
      <c r="E1135">
        <v>138.85</v>
      </c>
      <c r="F1135">
        <v>130.15</v>
      </c>
      <c r="G1135" s="3">
        <v>138.85</v>
      </c>
      <c r="H1135">
        <v>138.85</v>
      </c>
      <c r="I1135">
        <v>137</v>
      </c>
      <c r="J1135">
        <v>5000</v>
      </c>
      <c r="K1135">
        <v>668450</v>
      </c>
      <c r="L1135" s="1">
        <v>45240</v>
      </c>
      <c r="M1135">
        <v>5</v>
      </c>
      <c r="N1135" t="s">
        <v>6446</v>
      </c>
      <c r="O1135" s="5">
        <v>45240</v>
      </c>
      <c r="P1135" s="5">
        <v>43777</v>
      </c>
    </row>
    <row r="1136" spans="1:16" x14ac:dyDescent="0.25">
      <c r="A1136" t="s">
        <v>2492</v>
      </c>
      <c r="B1136" t="str">
        <v>Nandani Creation Limited</v>
      </c>
      <c r="C1136" t="s">
        <v>14</v>
      </c>
      <c r="D1136">
        <v>79</v>
      </c>
      <c r="E1136">
        <v>79.900000000000006</v>
      </c>
      <c r="F1136">
        <v>78.150000000000006</v>
      </c>
      <c r="G1136" s="3">
        <v>78.349999999999994</v>
      </c>
      <c r="H1136">
        <v>78.150000000000006</v>
      </c>
      <c r="I1136">
        <v>78.150000000000006</v>
      </c>
      <c r="J1136">
        <v>4249</v>
      </c>
      <c r="K1136">
        <v>335245.05</v>
      </c>
      <c r="L1136" s="1">
        <v>45240</v>
      </c>
      <c r="M1136">
        <v>85</v>
      </c>
      <c r="N1136" t="s">
        <v>2494</v>
      </c>
      <c r="O1136" s="5">
        <v>45240</v>
      </c>
      <c r="P1136" s="5">
        <v>43777</v>
      </c>
    </row>
    <row r="1137" spans="1:16" x14ac:dyDescent="0.25">
      <c r="A1137" t="s">
        <v>6445</v>
      </c>
      <c r="B1137" t="str">
        <v>Not Found</v>
      </c>
      <c r="C1137" t="s">
        <v>5788</v>
      </c>
      <c r="D1137">
        <v>4.7</v>
      </c>
      <c r="E1137">
        <v>4.7</v>
      </c>
      <c r="F1137">
        <v>4.7</v>
      </c>
      <c r="G1137" s="3">
        <v>4.7</v>
      </c>
      <c r="H1137">
        <v>4.7</v>
      </c>
      <c r="I1137">
        <v>4.7</v>
      </c>
      <c r="J1137">
        <v>3000</v>
      </c>
      <c r="K1137">
        <v>14100</v>
      </c>
      <c r="L1137" s="1">
        <v>45240</v>
      </c>
      <c r="M1137">
        <v>1</v>
      </c>
      <c r="N1137" t="s">
        <v>6444</v>
      </c>
      <c r="O1137" s="5">
        <v>45240</v>
      </c>
      <c r="P1137" s="5">
        <v>43777</v>
      </c>
    </row>
    <row r="1138" spans="1:16" x14ac:dyDescent="0.25">
      <c r="A1138" t="s">
        <v>2495</v>
      </c>
      <c r="B1138" t="str">
        <v>Jamna Auto Industries Limited</v>
      </c>
      <c r="C1138" t="s">
        <v>14</v>
      </c>
      <c r="D1138">
        <v>111.85</v>
      </c>
      <c r="E1138">
        <v>112.7</v>
      </c>
      <c r="F1138">
        <v>110.9</v>
      </c>
      <c r="G1138" s="3">
        <v>111.6</v>
      </c>
      <c r="H1138">
        <v>111.6</v>
      </c>
      <c r="I1138">
        <v>112.2</v>
      </c>
      <c r="J1138">
        <v>884413</v>
      </c>
      <c r="K1138">
        <v>98641751</v>
      </c>
      <c r="L1138" s="1">
        <v>45240</v>
      </c>
      <c r="M1138">
        <v>6920</v>
      </c>
      <c r="N1138" t="s">
        <v>2497</v>
      </c>
      <c r="O1138" s="5">
        <v>45240</v>
      </c>
      <c r="P1138" s="5">
        <v>43777</v>
      </c>
    </row>
    <row r="1139" spans="1:16" x14ac:dyDescent="0.25">
      <c r="A1139" t="s">
        <v>2498</v>
      </c>
      <c r="B1139" t="str">
        <v>Jash Engineering Limited</v>
      </c>
      <c r="C1139" t="s">
        <v>14</v>
      </c>
      <c r="D1139">
        <v>1374</v>
      </c>
      <c r="E1139">
        <v>1387.95</v>
      </c>
      <c r="F1139">
        <v>1345.05</v>
      </c>
      <c r="G1139" s="3">
        <v>1352.1</v>
      </c>
      <c r="H1139">
        <v>1347</v>
      </c>
      <c r="I1139">
        <v>1377.75</v>
      </c>
      <c r="J1139">
        <v>3861</v>
      </c>
      <c r="K1139">
        <v>5268393.05</v>
      </c>
      <c r="L1139" s="1">
        <v>45240</v>
      </c>
      <c r="M1139">
        <v>516</v>
      </c>
      <c r="N1139" t="s">
        <v>2500</v>
      </c>
      <c r="O1139" s="5">
        <v>45240</v>
      </c>
      <c r="P1139" s="5">
        <v>43777</v>
      </c>
    </row>
    <row r="1140" spans="1:16" x14ac:dyDescent="0.25">
      <c r="A1140" t="s">
        <v>2501</v>
      </c>
      <c r="B1140" t="str">
        <v>Jayant Agro Organics Limited</v>
      </c>
      <c r="C1140" t="s">
        <v>14</v>
      </c>
      <c r="D1140">
        <v>207.05</v>
      </c>
      <c r="E1140">
        <v>211.45</v>
      </c>
      <c r="F1140">
        <v>204.3</v>
      </c>
      <c r="G1140" s="3">
        <v>205.85</v>
      </c>
      <c r="H1140">
        <v>205.5</v>
      </c>
      <c r="I1140">
        <v>208.4</v>
      </c>
      <c r="J1140">
        <v>27776</v>
      </c>
      <c r="K1140">
        <v>5767996.6500000004</v>
      </c>
      <c r="L1140" s="1">
        <v>45240</v>
      </c>
      <c r="M1140">
        <v>846</v>
      </c>
      <c r="N1140" t="s">
        <v>2503</v>
      </c>
      <c r="O1140" s="5">
        <v>45240</v>
      </c>
      <c r="P1140" s="5">
        <v>43777</v>
      </c>
    </row>
    <row r="1141" spans="1:16" x14ac:dyDescent="0.25">
      <c r="A1141" t="s">
        <v>2504</v>
      </c>
      <c r="B1141" t="str">
        <v>Jay Bharat Maruti Limited</v>
      </c>
      <c r="C1141" t="s">
        <v>14</v>
      </c>
      <c r="D1141">
        <v>105.5</v>
      </c>
      <c r="E1141">
        <v>106.5</v>
      </c>
      <c r="F1141">
        <v>104</v>
      </c>
      <c r="G1141" s="3">
        <v>105.3</v>
      </c>
      <c r="H1141">
        <v>105.5</v>
      </c>
      <c r="I1141">
        <v>105.55</v>
      </c>
      <c r="J1141">
        <v>29198</v>
      </c>
      <c r="K1141">
        <v>3062058.45</v>
      </c>
      <c r="L1141" s="1">
        <v>45240</v>
      </c>
      <c r="M1141">
        <v>840</v>
      </c>
      <c r="N1141" t="s">
        <v>2506</v>
      </c>
      <c r="O1141" s="5">
        <v>45240</v>
      </c>
      <c r="P1141" s="5">
        <v>43777</v>
      </c>
    </row>
    <row r="1142" spans="1:16" x14ac:dyDescent="0.25">
      <c r="A1142" t="s">
        <v>2507</v>
      </c>
      <c r="B1142" t="str">
        <v>Jayaswal Neco Industries Limited</v>
      </c>
      <c r="C1142" t="s">
        <v>14</v>
      </c>
      <c r="D1142">
        <v>37.700000000000003</v>
      </c>
      <c r="E1142">
        <v>37.9</v>
      </c>
      <c r="F1142">
        <v>37.200000000000003</v>
      </c>
      <c r="G1142" s="3">
        <v>37.5</v>
      </c>
      <c r="H1142">
        <v>37.549999999999997</v>
      </c>
      <c r="I1142">
        <v>37.549999999999997</v>
      </c>
      <c r="J1142">
        <v>56886</v>
      </c>
      <c r="K1142">
        <v>2144655.6</v>
      </c>
      <c r="L1142" s="1">
        <v>45240</v>
      </c>
      <c r="M1142">
        <v>493</v>
      </c>
      <c r="N1142" t="s">
        <v>2509</v>
      </c>
      <c r="O1142" s="5">
        <v>45240</v>
      </c>
      <c r="P1142" s="5">
        <v>43777</v>
      </c>
    </row>
    <row r="1143" spans="1:16" x14ac:dyDescent="0.25">
      <c r="A1143" t="s">
        <v>2510</v>
      </c>
      <c r="B1143" t="str">
        <v>Jayshree Tea &amp; Industries Limited</v>
      </c>
      <c r="C1143" t="s">
        <v>14</v>
      </c>
      <c r="D1143">
        <v>97.8</v>
      </c>
      <c r="E1143">
        <v>98.3</v>
      </c>
      <c r="F1143">
        <v>95.55</v>
      </c>
      <c r="G1143" s="3">
        <v>96.55</v>
      </c>
      <c r="H1143">
        <v>97</v>
      </c>
      <c r="I1143">
        <v>97.75</v>
      </c>
      <c r="J1143">
        <v>37537</v>
      </c>
      <c r="K1143">
        <v>3640630.85</v>
      </c>
      <c r="L1143" s="1">
        <v>45240</v>
      </c>
      <c r="M1143">
        <v>705</v>
      </c>
      <c r="N1143" t="s">
        <v>2512</v>
      </c>
      <c r="O1143" s="5">
        <v>45240</v>
      </c>
      <c r="P1143" s="5">
        <v>43777</v>
      </c>
    </row>
    <row r="1144" spans="1:16" x14ac:dyDescent="0.25">
      <c r="A1144" t="s">
        <v>2513</v>
      </c>
      <c r="B1144" t="str">
        <v>JB Chemicals &amp; Pharmaceuticals Limited</v>
      </c>
      <c r="C1144" t="s">
        <v>14</v>
      </c>
      <c r="D1144">
        <v>1502</v>
      </c>
      <c r="E1144">
        <v>1510</v>
      </c>
      <c r="F1144">
        <v>1486</v>
      </c>
      <c r="G1144" s="3">
        <v>1502.45</v>
      </c>
      <c r="H1144">
        <v>1505</v>
      </c>
      <c r="I1144">
        <v>1503.3</v>
      </c>
      <c r="J1144">
        <v>70067</v>
      </c>
      <c r="K1144">
        <v>105297630</v>
      </c>
      <c r="L1144" s="1">
        <v>45240</v>
      </c>
      <c r="M1144">
        <v>9106</v>
      </c>
      <c r="N1144" t="s">
        <v>2515</v>
      </c>
      <c r="O1144" s="5">
        <v>45240</v>
      </c>
      <c r="P1144" s="5">
        <v>43777</v>
      </c>
    </row>
    <row r="1145" spans="1:16" x14ac:dyDescent="0.25">
      <c r="A1145" t="s">
        <v>2516</v>
      </c>
      <c r="B1145" t="str">
        <v>JBM Auto Limited</v>
      </c>
      <c r="C1145" t="s">
        <v>10</v>
      </c>
      <c r="D1145">
        <v>1216.8</v>
      </c>
      <c r="E1145">
        <v>1216.8</v>
      </c>
      <c r="F1145">
        <v>1178</v>
      </c>
      <c r="G1145" s="3">
        <v>1193.0999999999999</v>
      </c>
      <c r="H1145">
        <v>1197.9000000000001</v>
      </c>
      <c r="I1145">
        <v>1207.05</v>
      </c>
      <c r="J1145">
        <v>26290</v>
      </c>
      <c r="K1145">
        <v>31325245</v>
      </c>
      <c r="L1145" s="1">
        <v>45240</v>
      </c>
      <c r="M1145">
        <v>2122</v>
      </c>
      <c r="N1145" t="s">
        <v>2518</v>
      </c>
      <c r="O1145" s="5">
        <v>45240</v>
      </c>
      <c r="P1145" s="5">
        <v>43777</v>
      </c>
    </row>
    <row r="1146" spans="1:16" x14ac:dyDescent="0.25">
      <c r="A1146" t="s">
        <v>2519</v>
      </c>
      <c r="B1146" t="str">
        <v>Johnson Controls - Hitachi Air Conditioning India Limited</v>
      </c>
      <c r="C1146" t="s">
        <v>14</v>
      </c>
      <c r="D1146">
        <v>1079.9000000000001</v>
      </c>
      <c r="E1146">
        <v>1218.8</v>
      </c>
      <c r="F1146">
        <v>1075.05</v>
      </c>
      <c r="G1146" s="3">
        <v>1194.95</v>
      </c>
      <c r="H1146">
        <v>1197.25</v>
      </c>
      <c r="I1146">
        <v>1078.5999999999999</v>
      </c>
      <c r="J1146">
        <v>235280</v>
      </c>
      <c r="K1146">
        <v>275436539.35000002</v>
      </c>
      <c r="L1146" s="1">
        <v>45240</v>
      </c>
      <c r="M1146">
        <v>24822</v>
      </c>
      <c r="N1146" t="s">
        <v>2521</v>
      </c>
      <c r="O1146" s="5">
        <v>45240</v>
      </c>
      <c r="P1146" s="5">
        <v>43777</v>
      </c>
    </row>
    <row r="1147" spans="1:16" x14ac:dyDescent="0.25">
      <c r="A1147" t="s">
        <v>2522</v>
      </c>
      <c r="B1147" t="str">
        <v>Jet Airways (India) Limited</v>
      </c>
      <c r="C1147" t="s">
        <v>786</v>
      </c>
      <c r="D1147">
        <v>54.6</v>
      </c>
      <c r="E1147">
        <v>55.65</v>
      </c>
      <c r="F1147">
        <v>54.6</v>
      </c>
      <c r="G1147" s="3">
        <v>55.65</v>
      </c>
      <c r="H1147">
        <v>55.65</v>
      </c>
      <c r="I1147">
        <v>54.6</v>
      </c>
      <c r="J1147">
        <v>4256</v>
      </c>
      <c r="K1147">
        <v>234539.2</v>
      </c>
      <c r="L1147" s="1">
        <v>45240</v>
      </c>
      <c r="M1147">
        <v>58</v>
      </c>
      <c r="N1147" t="s">
        <v>2524</v>
      </c>
      <c r="O1147" s="5">
        <v>45240</v>
      </c>
      <c r="P1147" s="5">
        <v>43777</v>
      </c>
    </row>
    <row r="1148" spans="1:16" x14ac:dyDescent="0.25">
      <c r="A1148" t="s">
        <v>2525</v>
      </c>
      <c r="B1148" t="str">
        <v>Jet Freight Logistics Limited</v>
      </c>
      <c r="C1148" t="s">
        <v>14</v>
      </c>
      <c r="D1148">
        <v>13.15</v>
      </c>
      <c r="E1148">
        <v>13.2</v>
      </c>
      <c r="F1148">
        <v>11.9</v>
      </c>
      <c r="G1148" s="3">
        <v>12.15</v>
      </c>
      <c r="H1148">
        <v>11.95</v>
      </c>
      <c r="I1148">
        <v>12.95</v>
      </c>
      <c r="J1148">
        <v>406517</v>
      </c>
      <c r="K1148">
        <v>5117831.3499999996</v>
      </c>
      <c r="L1148" s="1">
        <v>45240</v>
      </c>
      <c r="M1148">
        <v>989</v>
      </c>
      <c r="N1148" t="s">
        <v>2527</v>
      </c>
      <c r="O1148" s="5">
        <v>45240</v>
      </c>
      <c r="P1148" s="5">
        <v>43777</v>
      </c>
    </row>
    <row r="1149" spans="1:16" x14ac:dyDescent="0.25">
      <c r="A1149" t="s">
        <v>6443</v>
      </c>
      <c r="B1149" t="str">
        <v>Not Found</v>
      </c>
      <c r="C1149" t="s">
        <v>5788</v>
      </c>
      <c r="D1149">
        <v>45.05</v>
      </c>
      <c r="E1149">
        <v>45.05</v>
      </c>
      <c r="F1149">
        <v>45.05</v>
      </c>
      <c r="G1149" s="3">
        <v>45.05</v>
      </c>
      <c r="H1149">
        <v>45.05</v>
      </c>
      <c r="I1149">
        <v>48.5</v>
      </c>
      <c r="J1149">
        <v>4000</v>
      </c>
      <c r="K1149">
        <v>180200</v>
      </c>
      <c r="L1149" s="1">
        <v>45240</v>
      </c>
      <c r="M1149">
        <v>2</v>
      </c>
      <c r="N1149" t="s">
        <v>6442</v>
      </c>
      <c r="O1149" s="5">
        <v>45240</v>
      </c>
      <c r="P1149" s="5">
        <v>43777</v>
      </c>
    </row>
    <row r="1150" spans="1:16" x14ac:dyDescent="0.25">
      <c r="A1150" t="s">
        <v>2528</v>
      </c>
      <c r="B1150" t="str">
        <v>JHS Svendgaard Laboratories Limited</v>
      </c>
      <c r="C1150" t="s">
        <v>14</v>
      </c>
      <c r="D1150">
        <v>22.2</v>
      </c>
      <c r="E1150">
        <v>23.3</v>
      </c>
      <c r="F1150">
        <v>21.5</v>
      </c>
      <c r="G1150" s="3">
        <v>23.3</v>
      </c>
      <c r="H1150">
        <v>23.3</v>
      </c>
      <c r="I1150">
        <v>22.2</v>
      </c>
      <c r="J1150">
        <v>366873</v>
      </c>
      <c r="K1150">
        <v>8471509.3000000007</v>
      </c>
      <c r="L1150" s="1">
        <v>45240</v>
      </c>
      <c r="M1150">
        <v>557</v>
      </c>
      <c r="N1150" t="s">
        <v>2530</v>
      </c>
      <c r="O1150" s="5">
        <v>45240</v>
      </c>
      <c r="P1150" s="5">
        <v>43777</v>
      </c>
    </row>
    <row r="1151" spans="1:16" x14ac:dyDescent="0.25">
      <c r="A1151" t="s">
        <v>2531</v>
      </c>
      <c r="B1151" t="str">
        <v>Jindal Photo Limited</v>
      </c>
      <c r="C1151" t="s">
        <v>14</v>
      </c>
      <c r="D1151">
        <v>645</v>
      </c>
      <c r="E1151">
        <v>683.75</v>
      </c>
      <c r="F1151">
        <v>621.54999999999995</v>
      </c>
      <c r="G1151" s="3">
        <v>683.75</v>
      </c>
      <c r="H1151">
        <v>683.75</v>
      </c>
      <c r="I1151">
        <v>621.6</v>
      </c>
      <c r="J1151">
        <v>74714</v>
      </c>
      <c r="K1151">
        <v>50051913.850000001</v>
      </c>
      <c r="L1151" s="1">
        <v>45240</v>
      </c>
      <c r="M1151">
        <v>2980</v>
      </c>
      <c r="N1151" t="s">
        <v>2533</v>
      </c>
      <c r="O1151" s="5">
        <v>45240</v>
      </c>
      <c r="P1151" s="5">
        <v>43777</v>
      </c>
    </row>
    <row r="1152" spans="1:16" x14ac:dyDescent="0.25">
      <c r="A1152" t="s">
        <v>2534</v>
      </c>
      <c r="B1152" t="str">
        <v>Jindal Poly Films Limited</v>
      </c>
      <c r="C1152" t="s">
        <v>14</v>
      </c>
      <c r="D1152">
        <v>638.5</v>
      </c>
      <c r="E1152">
        <v>647</v>
      </c>
      <c r="F1152">
        <v>635.15</v>
      </c>
      <c r="G1152" s="3">
        <v>641.9</v>
      </c>
      <c r="H1152">
        <v>640</v>
      </c>
      <c r="I1152">
        <v>639.20000000000005</v>
      </c>
      <c r="J1152">
        <v>21326</v>
      </c>
      <c r="K1152">
        <v>13695701.199999999</v>
      </c>
      <c r="L1152" s="1">
        <v>45240</v>
      </c>
      <c r="M1152">
        <v>2096</v>
      </c>
      <c r="N1152" t="s">
        <v>2536</v>
      </c>
      <c r="O1152" s="5">
        <v>45240</v>
      </c>
      <c r="P1152" s="5">
        <v>43777</v>
      </c>
    </row>
    <row r="1153" spans="1:16" x14ac:dyDescent="0.25">
      <c r="A1153" t="s">
        <v>2537</v>
      </c>
      <c r="B1153" t="str">
        <v>Jindal Saw Limited</v>
      </c>
      <c r="C1153" t="s">
        <v>14</v>
      </c>
      <c r="D1153">
        <v>470.6</v>
      </c>
      <c r="E1153">
        <v>496</v>
      </c>
      <c r="F1153">
        <v>470</v>
      </c>
      <c r="G1153" s="3">
        <v>487.75</v>
      </c>
      <c r="H1153">
        <v>489.9</v>
      </c>
      <c r="I1153">
        <v>468.65</v>
      </c>
      <c r="J1153">
        <v>1537458</v>
      </c>
      <c r="K1153">
        <v>748000994.20000005</v>
      </c>
      <c r="L1153" s="1">
        <v>45240</v>
      </c>
      <c r="M1153">
        <v>36175</v>
      </c>
      <c r="N1153" t="s">
        <v>2539</v>
      </c>
      <c r="O1153" s="5">
        <v>45240</v>
      </c>
      <c r="P1153" s="5">
        <v>43777</v>
      </c>
    </row>
    <row r="1154" spans="1:16" x14ac:dyDescent="0.25">
      <c r="A1154" t="s">
        <v>2540</v>
      </c>
      <c r="B1154" t="str">
        <v>Jindal Steel &amp; Power Limited</v>
      </c>
      <c r="C1154" t="s">
        <v>14</v>
      </c>
      <c r="D1154">
        <v>623.54999999999995</v>
      </c>
      <c r="E1154">
        <v>637.85</v>
      </c>
      <c r="F1154">
        <v>621.6</v>
      </c>
      <c r="G1154" s="3">
        <v>636.9</v>
      </c>
      <c r="H1154">
        <v>635.9</v>
      </c>
      <c r="I1154">
        <v>624.70000000000005</v>
      </c>
      <c r="J1154">
        <v>1839288</v>
      </c>
      <c r="K1154">
        <v>1161837938.3</v>
      </c>
      <c r="L1154" s="1">
        <v>45240</v>
      </c>
      <c r="M1154">
        <v>32074</v>
      </c>
      <c r="N1154" t="s">
        <v>2542</v>
      </c>
      <c r="O1154" s="5">
        <v>45240</v>
      </c>
      <c r="P1154" s="5">
        <v>43777</v>
      </c>
    </row>
    <row r="1155" spans="1:16" x14ac:dyDescent="0.25">
      <c r="A1155" t="s">
        <v>2543</v>
      </c>
      <c r="B1155" t="str">
        <v>Jindal Drilling And Industries Limited</v>
      </c>
      <c r="C1155" t="s">
        <v>14</v>
      </c>
      <c r="D1155">
        <v>673.9</v>
      </c>
      <c r="E1155">
        <v>689</v>
      </c>
      <c r="F1155">
        <v>650</v>
      </c>
      <c r="G1155" s="3">
        <v>682.75</v>
      </c>
      <c r="H1155">
        <v>685.7</v>
      </c>
      <c r="I1155">
        <v>677.3</v>
      </c>
      <c r="J1155">
        <v>65505</v>
      </c>
      <c r="K1155">
        <v>44452479.100000001</v>
      </c>
      <c r="L1155" s="1">
        <v>45240</v>
      </c>
      <c r="M1155">
        <v>6375</v>
      </c>
      <c r="N1155" t="s">
        <v>2545</v>
      </c>
      <c r="O1155" s="5">
        <v>45240</v>
      </c>
      <c r="P1155" s="5">
        <v>43777</v>
      </c>
    </row>
    <row r="1156" spans="1:16" x14ac:dyDescent="0.25">
      <c r="A1156" t="s">
        <v>2546</v>
      </c>
      <c r="B1156" t="str">
        <v>Jindal Worldwide Limited</v>
      </c>
      <c r="C1156" t="s">
        <v>14</v>
      </c>
      <c r="D1156">
        <v>334.9</v>
      </c>
      <c r="E1156">
        <v>341.65</v>
      </c>
      <c r="F1156">
        <v>334</v>
      </c>
      <c r="G1156" s="3">
        <v>337.8</v>
      </c>
      <c r="H1156">
        <v>336.15</v>
      </c>
      <c r="I1156">
        <v>334.45</v>
      </c>
      <c r="J1156">
        <v>35984</v>
      </c>
      <c r="K1156">
        <v>12155062.15</v>
      </c>
      <c r="L1156" s="1">
        <v>45240</v>
      </c>
      <c r="M1156">
        <v>3041</v>
      </c>
      <c r="N1156" t="s">
        <v>2548</v>
      </c>
      <c r="O1156" s="5">
        <v>45240</v>
      </c>
      <c r="P1156" s="5">
        <v>43777</v>
      </c>
    </row>
    <row r="1157" spans="1:16" x14ac:dyDescent="0.25">
      <c r="A1157" t="s">
        <v>2549</v>
      </c>
      <c r="B1157" t="str">
        <v>Jio Financial Services Limited</v>
      </c>
      <c r="C1157" t="s">
        <v>14</v>
      </c>
      <c r="D1157">
        <v>214.85</v>
      </c>
      <c r="E1157">
        <v>222.95</v>
      </c>
      <c r="F1157">
        <v>214.35</v>
      </c>
      <c r="G1157" s="3">
        <v>221.95</v>
      </c>
      <c r="H1157">
        <v>222.5</v>
      </c>
      <c r="I1157">
        <v>215.15</v>
      </c>
      <c r="J1157">
        <v>18467219</v>
      </c>
      <c r="K1157">
        <v>4050673724.1999998</v>
      </c>
      <c r="L1157" s="1">
        <v>45240</v>
      </c>
      <c r="M1157">
        <v>108156</v>
      </c>
      <c r="N1157" t="s">
        <v>2551</v>
      </c>
      <c r="O1157" s="5">
        <v>45240</v>
      </c>
      <c r="P1157" s="5">
        <v>43777</v>
      </c>
    </row>
    <row r="1158" spans="1:16" x14ac:dyDescent="0.25">
      <c r="A1158" t="s">
        <v>2552</v>
      </c>
      <c r="B1158" t="str">
        <v>Jain Irrigation Systems Limited</v>
      </c>
      <c r="C1158" t="s">
        <v>10</v>
      </c>
      <c r="D1158">
        <v>30.4</v>
      </c>
      <c r="E1158">
        <v>31.95</v>
      </c>
      <c r="F1158">
        <v>29.5</v>
      </c>
      <c r="G1158" s="3">
        <v>31.95</v>
      </c>
      <c r="H1158">
        <v>31.95</v>
      </c>
      <c r="I1158">
        <v>30.45</v>
      </c>
      <c r="J1158">
        <v>29102</v>
      </c>
      <c r="K1158">
        <v>879793.75</v>
      </c>
      <c r="L1158" s="1">
        <v>45240</v>
      </c>
      <c r="M1158">
        <v>96</v>
      </c>
      <c r="N1158" t="s">
        <v>2554</v>
      </c>
      <c r="O1158" s="5">
        <v>45240</v>
      </c>
      <c r="P1158" s="5">
        <v>43777</v>
      </c>
    </row>
    <row r="1159" spans="1:16" x14ac:dyDescent="0.25">
      <c r="A1159" t="s">
        <v>2555</v>
      </c>
      <c r="B1159" t="str">
        <v>Jain Irrigation Systems Limited</v>
      </c>
      <c r="C1159" t="s">
        <v>14</v>
      </c>
      <c r="D1159">
        <v>56.05</v>
      </c>
      <c r="E1159">
        <v>61.75</v>
      </c>
      <c r="F1159">
        <v>55.05</v>
      </c>
      <c r="G1159" s="3">
        <v>60.55</v>
      </c>
      <c r="H1159">
        <v>60.5</v>
      </c>
      <c r="I1159">
        <v>57.3</v>
      </c>
      <c r="J1159">
        <v>9550081</v>
      </c>
      <c r="K1159">
        <v>562163878.75</v>
      </c>
      <c r="L1159" s="1">
        <v>45240</v>
      </c>
      <c r="M1159">
        <v>25409</v>
      </c>
      <c r="N1159" t="s">
        <v>2556</v>
      </c>
      <c r="O1159" s="5">
        <v>45240</v>
      </c>
      <c r="P1159" s="5">
        <v>43777</v>
      </c>
    </row>
    <row r="1160" spans="1:16" x14ac:dyDescent="0.25">
      <c r="A1160" t="s">
        <v>2557</v>
      </c>
      <c r="B1160" t="str">
        <v>JITF Infralogistics Limited</v>
      </c>
      <c r="C1160" t="s">
        <v>10</v>
      </c>
      <c r="D1160">
        <v>533.5</v>
      </c>
      <c r="E1160">
        <v>533.5</v>
      </c>
      <c r="F1160">
        <v>533.5</v>
      </c>
      <c r="G1160" s="3">
        <v>533.5</v>
      </c>
      <c r="H1160">
        <v>533.5</v>
      </c>
      <c r="I1160">
        <v>508.1</v>
      </c>
      <c r="J1160">
        <v>16371</v>
      </c>
      <c r="K1160">
        <v>8733928.5</v>
      </c>
      <c r="L1160" s="1">
        <v>45240</v>
      </c>
      <c r="M1160">
        <v>168</v>
      </c>
      <c r="N1160" t="s">
        <v>2559</v>
      </c>
      <c r="O1160" s="5">
        <v>45240</v>
      </c>
      <c r="P1160" s="5">
        <v>43777</v>
      </c>
    </row>
    <row r="1161" spans="1:16" x14ac:dyDescent="0.25">
      <c r="A1161" t="s">
        <v>6441</v>
      </c>
      <c r="B1161" t="str">
        <v>Not Found</v>
      </c>
      <c r="C1161" t="s">
        <v>5788</v>
      </c>
      <c r="D1161">
        <v>17.149999999999999</v>
      </c>
      <c r="E1161">
        <v>17.55</v>
      </c>
      <c r="F1161">
        <v>17</v>
      </c>
      <c r="G1161" s="3">
        <v>17.100000000000001</v>
      </c>
      <c r="H1161">
        <v>17</v>
      </c>
      <c r="I1161">
        <v>17.5</v>
      </c>
      <c r="J1161">
        <v>90000</v>
      </c>
      <c r="K1161">
        <v>1554300</v>
      </c>
      <c r="L1161" s="1">
        <v>45240</v>
      </c>
      <c r="M1161">
        <v>14</v>
      </c>
      <c r="N1161" t="s">
        <v>6440</v>
      </c>
      <c r="O1161" s="5">
        <v>45240</v>
      </c>
      <c r="P1161" s="5">
        <v>43777</v>
      </c>
    </row>
    <row r="1162" spans="1:16" x14ac:dyDescent="0.25">
      <c r="A1162" t="s">
        <v>2560</v>
      </c>
      <c r="B1162" t="str">
        <v>JK Cement Limited</v>
      </c>
      <c r="C1162" t="s">
        <v>14</v>
      </c>
      <c r="D1162">
        <v>3390.4</v>
      </c>
      <c r="E1162">
        <v>3471</v>
      </c>
      <c r="F1162">
        <v>3369.1</v>
      </c>
      <c r="G1162" s="3">
        <v>3463.5</v>
      </c>
      <c r="H1162">
        <v>3461.45</v>
      </c>
      <c r="I1162">
        <v>3390.4</v>
      </c>
      <c r="J1162">
        <v>133511</v>
      </c>
      <c r="K1162">
        <v>458575291.39999998</v>
      </c>
      <c r="L1162" s="1">
        <v>45240</v>
      </c>
      <c r="M1162">
        <v>14791</v>
      </c>
      <c r="N1162" t="s">
        <v>2562</v>
      </c>
      <c r="O1162" s="5">
        <v>45240</v>
      </c>
      <c r="P1162" s="5">
        <v>43777</v>
      </c>
    </row>
    <row r="1163" spans="1:16" x14ac:dyDescent="0.25">
      <c r="A1163" t="s">
        <v>2563</v>
      </c>
      <c r="B1163" t="str">
        <v>J.Kumar Infraprojects Limited</v>
      </c>
      <c r="C1163" t="s">
        <v>14</v>
      </c>
      <c r="D1163">
        <v>432</v>
      </c>
      <c r="E1163">
        <v>436.95</v>
      </c>
      <c r="F1163">
        <v>425.15</v>
      </c>
      <c r="G1163" s="3">
        <v>428.1</v>
      </c>
      <c r="H1163">
        <v>427.25</v>
      </c>
      <c r="I1163">
        <v>433.1</v>
      </c>
      <c r="J1163">
        <v>125927</v>
      </c>
      <c r="K1163">
        <v>54227871.549999997</v>
      </c>
      <c r="L1163" s="1">
        <v>45240</v>
      </c>
      <c r="M1163">
        <v>9318</v>
      </c>
      <c r="N1163" t="s">
        <v>2565</v>
      </c>
      <c r="O1163" s="5">
        <v>45240</v>
      </c>
      <c r="P1163" s="5">
        <v>43777</v>
      </c>
    </row>
    <row r="1164" spans="1:16" x14ac:dyDescent="0.25">
      <c r="A1164" t="s">
        <v>2566</v>
      </c>
      <c r="B1164" t="str">
        <v>JK Lakshmi Cement Limited</v>
      </c>
      <c r="C1164" t="s">
        <v>14</v>
      </c>
      <c r="D1164">
        <v>781.05</v>
      </c>
      <c r="E1164">
        <v>796.95</v>
      </c>
      <c r="F1164">
        <v>761.1</v>
      </c>
      <c r="G1164" s="3">
        <v>777.35</v>
      </c>
      <c r="H1164">
        <v>773.25</v>
      </c>
      <c r="I1164">
        <v>780.3</v>
      </c>
      <c r="J1164">
        <v>291419</v>
      </c>
      <c r="K1164">
        <v>229081139.80000001</v>
      </c>
      <c r="L1164" s="1">
        <v>45240</v>
      </c>
      <c r="M1164">
        <v>14148</v>
      </c>
      <c r="N1164" t="s">
        <v>2568</v>
      </c>
      <c r="O1164" s="5">
        <v>45240</v>
      </c>
      <c r="P1164" s="5">
        <v>43777</v>
      </c>
    </row>
    <row r="1165" spans="1:16" x14ac:dyDescent="0.25">
      <c r="A1165" t="s">
        <v>2569</v>
      </c>
      <c r="B1165" t="str">
        <v>JK Paper Limited</v>
      </c>
      <c r="C1165" t="s">
        <v>14</v>
      </c>
      <c r="D1165">
        <v>372.65</v>
      </c>
      <c r="E1165">
        <v>381.9</v>
      </c>
      <c r="F1165">
        <v>371</v>
      </c>
      <c r="G1165" s="3">
        <v>377.4</v>
      </c>
      <c r="H1165">
        <v>376.75</v>
      </c>
      <c r="I1165">
        <v>372.65</v>
      </c>
      <c r="J1165">
        <v>592247</v>
      </c>
      <c r="K1165">
        <v>223436721</v>
      </c>
      <c r="L1165" s="1">
        <v>45240</v>
      </c>
      <c r="M1165">
        <v>12070</v>
      </c>
      <c r="N1165" t="s">
        <v>2571</v>
      </c>
      <c r="O1165" s="5">
        <v>45240</v>
      </c>
      <c r="P1165" s="5">
        <v>43777</v>
      </c>
    </row>
    <row r="1166" spans="1:16" x14ac:dyDescent="0.25">
      <c r="A1166" t="s">
        <v>2572</v>
      </c>
      <c r="B1166" t="str">
        <v>JK Tyre &amp; Industries Limited</v>
      </c>
      <c r="C1166" t="s">
        <v>14</v>
      </c>
      <c r="D1166">
        <v>351</v>
      </c>
      <c r="E1166">
        <v>362.95</v>
      </c>
      <c r="F1166">
        <v>350.2</v>
      </c>
      <c r="G1166" s="3">
        <v>357.4</v>
      </c>
      <c r="H1166">
        <v>356.7</v>
      </c>
      <c r="I1166">
        <v>350.3</v>
      </c>
      <c r="J1166">
        <v>3283392</v>
      </c>
      <c r="K1166">
        <v>1175953069.2</v>
      </c>
      <c r="L1166" s="1">
        <v>45240</v>
      </c>
      <c r="M1166">
        <v>33842</v>
      </c>
      <c r="N1166" t="s">
        <v>2574</v>
      </c>
      <c r="O1166" s="5">
        <v>45240</v>
      </c>
      <c r="P1166" s="5">
        <v>43777</v>
      </c>
    </row>
    <row r="1167" spans="1:16" x14ac:dyDescent="0.25">
      <c r="A1167" t="s">
        <v>2575</v>
      </c>
      <c r="B1167" t="str">
        <v>Jupiter Life Line Hospitals Limited</v>
      </c>
      <c r="C1167" t="s">
        <v>14</v>
      </c>
      <c r="D1167">
        <v>1006.1</v>
      </c>
      <c r="E1167">
        <v>1038.7</v>
      </c>
      <c r="F1167">
        <v>1006.1</v>
      </c>
      <c r="G1167" s="3">
        <v>1028.8499999999999</v>
      </c>
      <c r="H1167">
        <v>1034.8</v>
      </c>
      <c r="I1167">
        <v>1017.8</v>
      </c>
      <c r="J1167">
        <v>71006</v>
      </c>
      <c r="K1167">
        <v>72512571.349999994</v>
      </c>
      <c r="L1167" s="1">
        <v>45240</v>
      </c>
      <c r="M1167">
        <v>12651</v>
      </c>
      <c r="N1167" t="s">
        <v>2577</v>
      </c>
      <c r="O1167" s="5">
        <v>45240</v>
      </c>
      <c r="P1167" s="5">
        <v>43777</v>
      </c>
    </row>
    <row r="1168" spans="1:16" x14ac:dyDescent="0.25">
      <c r="A1168" t="s">
        <v>2578</v>
      </c>
      <c r="B1168" t="str">
        <v>Jullundur Motor Agency (Delhi) Limited</v>
      </c>
      <c r="C1168" t="s">
        <v>14</v>
      </c>
      <c r="D1168">
        <v>80.8</v>
      </c>
      <c r="E1168">
        <v>80.8</v>
      </c>
      <c r="F1168">
        <v>78.150000000000006</v>
      </c>
      <c r="G1168" s="3">
        <v>79.8</v>
      </c>
      <c r="H1168">
        <v>80.099999999999994</v>
      </c>
      <c r="I1168">
        <v>79.349999999999994</v>
      </c>
      <c r="J1168">
        <v>44929</v>
      </c>
      <c r="K1168">
        <v>3566213.45</v>
      </c>
      <c r="L1168" s="1">
        <v>45240</v>
      </c>
      <c r="M1168">
        <v>858</v>
      </c>
      <c r="N1168" t="s">
        <v>2580</v>
      </c>
      <c r="O1168" s="5">
        <v>45240</v>
      </c>
      <c r="P1168" s="5">
        <v>43777</v>
      </c>
    </row>
    <row r="1169" spans="1:16" x14ac:dyDescent="0.25">
      <c r="A1169" t="s">
        <v>2581</v>
      </c>
      <c r="B1169" t="str">
        <v>JM Financial Limited</v>
      </c>
      <c r="C1169" t="s">
        <v>14</v>
      </c>
      <c r="D1169">
        <v>81.7</v>
      </c>
      <c r="E1169">
        <v>82.5</v>
      </c>
      <c r="F1169">
        <v>80.150000000000006</v>
      </c>
      <c r="G1169" s="3">
        <v>81.05</v>
      </c>
      <c r="H1169">
        <v>81.5</v>
      </c>
      <c r="I1169">
        <v>81.7</v>
      </c>
      <c r="J1169">
        <v>2082280</v>
      </c>
      <c r="K1169">
        <v>169948121.40000001</v>
      </c>
      <c r="L1169" s="1">
        <v>45240</v>
      </c>
      <c r="M1169">
        <v>9045</v>
      </c>
      <c r="N1169" t="s">
        <v>2583</v>
      </c>
      <c r="O1169" s="5">
        <v>45240</v>
      </c>
      <c r="P1169" s="5">
        <v>43777</v>
      </c>
    </row>
    <row r="1170" spans="1:16" x14ac:dyDescent="0.25">
      <c r="A1170" t="s">
        <v>2584</v>
      </c>
      <c r="B1170" t="str">
        <v>Jocil Limited</v>
      </c>
      <c r="C1170" t="s">
        <v>14</v>
      </c>
      <c r="D1170">
        <v>200.5</v>
      </c>
      <c r="E1170">
        <v>208</v>
      </c>
      <c r="F1170">
        <v>197.35</v>
      </c>
      <c r="G1170" s="3">
        <v>203.7</v>
      </c>
      <c r="H1170">
        <v>204.5</v>
      </c>
      <c r="I1170">
        <v>196.5</v>
      </c>
      <c r="J1170">
        <v>28148</v>
      </c>
      <c r="K1170">
        <v>5742781.25</v>
      </c>
      <c r="L1170" s="1">
        <v>45240</v>
      </c>
      <c r="M1170">
        <v>830</v>
      </c>
      <c r="N1170" t="s">
        <v>2586</v>
      </c>
      <c r="O1170" s="5">
        <v>45240</v>
      </c>
      <c r="P1170" s="5">
        <v>43777</v>
      </c>
    </row>
    <row r="1171" spans="1:16" x14ac:dyDescent="0.25">
      <c r="A1171" t="s">
        <v>2587</v>
      </c>
      <c r="B1171" t="str">
        <v>Jaiprakash Associates Limited</v>
      </c>
      <c r="C1171" t="s">
        <v>14</v>
      </c>
      <c r="D1171">
        <v>18.5</v>
      </c>
      <c r="E1171">
        <v>19.350000000000001</v>
      </c>
      <c r="F1171">
        <v>17.75</v>
      </c>
      <c r="G1171" s="3">
        <v>18.399999999999999</v>
      </c>
      <c r="H1171">
        <v>18.45</v>
      </c>
      <c r="I1171">
        <v>18.5</v>
      </c>
      <c r="J1171">
        <v>47079349</v>
      </c>
      <c r="K1171">
        <v>877447890.39999998</v>
      </c>
      <c r="L1171" s="1">
        <v>45240</v>
      </c>
      <c r="M1171">
        <v>24929</v>
      </c>
      <c r="N1171" t="s">
        <v>2589</v>
      </c>
      <c r="O1171" s="5">
        <v>45240</v>
      </c>
      <c r="P1171" s="5">
        <v>43777</v>
      </c>
    </row>
    <row r="1172" spans="1:16" x14ac:dyDescent="0.25">
      <c r="A1172" t="s">
        <v>2590</v>
      </c>
      <c r="B1172" t="str">
        <v>Jindal Poly Investment and Finance Company Limited</v>
      </c>
      <c r="C1172" t="s">
        <v>14</v>
      </c>
      <c r="D1172">
        <v>650</v>
      </c>
      <c r="E1172">
        <v>725.35</v>
      </c>
      <c r="F1172">
        <v>650</v>
      </c>
      <c r="G1172" s="3">
        <v>699.45</v>
      </c>
      <c r="H1172">
        <v>699.7</v>
      </c>
      <c r="I1172">
        <v>649.20000000000005</v>
      </c>
      <c r="J1172">
        <v>101298</v>
      </c>
      <c r="K1172">
        <v>71184716.349999994</v>
      </c>
      <c r="L1172" s="1">
        <v>45240</v>
      </c>
      <c r="M1172">
        <v>8781</v>
      </c>
      <c r="N1172" t="s">
        <v>2592</v>
      </c>
      <c r="O1172" s="5">
        <v>45240</v>
      </c>
      <c r="P1172" s="5">
        <v>43777</v>
      </c>
    </row>
    <row r="1173" spans="1:16" x14ac:dyDescent="0.25">
      <c r="A1173" t="s">
        <v>2593</v>
      </c>
      <c r="B1173" t="str">
        <v>Jaiprakash Power Ventures Limited</v>
      </c>
      <c r="C1173" t="s">
        <v>14</v>
      </c>
      <c r="D1173">
        <v>14.5</v>
      </c>
      <c r="E1173">
        <v>15.15</v>
      </c>
      <c r="F1173">
        <v>13.9</v>
      </c>
      <c r="G1173" s="3">
        <v>14.2</v>
      </c>
      <c r="H1173">
        <v>14.25</v>
      </c>
      <c r="I1173">
        <v>14.4</v>
      </c>
      <c r="J1173">
        <v>193032675</v>
      </c>
      <c r="K1173">
        <v>2808490691.0999999</v>
      </c>
      <c r="L1173" s="1">
        <v>45240</v>
      </c>
      <c r="M1173">
        <v>113008</v>
      </c>
      <c r="N1173" t="s">
        <v>2595</v>
      </c>
      <c r="O1173" s="5">
        <v>45240</v>
      </c>
      <c r="P1173" s="5">
        <v>43777</v>
      </c>
    </row>
    <row r="1174" spans="1:16" x14ac:dyDescent="0.25">
      <c r="A1174" t="s">
        <v>2596</v>
      </c>
      <c r="B1174" t="str">
        <v>Jindal Stainless Limited</v>
      </c>
      <c r="C1174" t="s">
        <v>14</v>
      </c>
      <c r="D1174">
        <v>460</v>
      </c>
      <c r="E1174">
        <v>484.35</v>
      </c>
      <c r="F1174">
        <v>457.4</v>
      </c>
      <c r="G1174" s="3">
        <v>474.6</v>
      </c>
      <c r="H1174">
        <v>474</v>
      </c>
      <c r="I1174">
        <v>460.2</v>
      </c>
      <c r="J1174">
        <v>1252337</v>
      </c>
      <c r="K1174">
        <v>584945753</v>
      </c>
      <c r="L1174" s="1">
        <v>45240</v>
      </c>
      <c r="M1174">
        <v>45087</v>
      </c>
      <c r="N1174" t="s">
        <v>2598</v>
      </c>
      <c r="O1174" s="5">
        <v>45240</v>
      </c>
      <c r="P1174" s="5">
        <v>43777</v>
      </c>
    </row>
    <row r="1175" spans="1:16" x14ac:dyDescent="0.25">
      <c r="A1175" t="s">
        <v>6439</v>
      </c>
      <c r="B1175" t="str">
        <v>Not Found</v>
      </c>
      <c r="C1175" t="s">
        <v>5853</v>
      </c>
      <c r="D1175">
        <v>710</v>
      </c>
      <c r="E1175">
        <v>710</v>
      </c>
      <c r="F1175">
        <v>687</v>
      </c>
      <c r="G1175" s="3">
        <v>687</v>
      </c>
      <c r="H1175">
        <v>687</v>
      </c>
      <c r="I1175">
        <v>703.5</v>
      </c>
      <c r="J1175">
        <v>1260</v>
      </c>
      <c r="K1175">
        <v>880560</v>
      </c>
      <c r="L1175" s="1">
        <v>45240</v>
      </c>
      <c r="M1175">
        <v>7</v>
      </c>
      <c r="N1175" t="s">
        <v>6438</v>
      </c>
      <c r="O1175" s="5">
        <v>45240</v>
      </c>
      <c r="P1175" s="5">
        <v>43777</v>
      </c>
    </row>
    <row r="1176" spans="1:16" x14ac:dyDescent="0.25">
      <c r="A1176" t="s">
        <v>2599</v>
      </c>
      <c r="B1176" t="str">
        <v>JSW Energy Limited</v>
      </c>
      <c r="C1176" t="s">
        <v>14</v>
      </c>
      <c r="D1176">
        <v>383.3</v>
      </c>
      <c r="E1176">
        <v>387.4</v>
      </c>
      <c r="F1176">
        <v>378.5</v>
      </c>
      <c r="G1176" s="3">
        <v>382.7</v>
      </c>
      <c r="H1176">
        <v>381.75</v>
      </c>
      <c r="I1176">
        <v>384.7</v>
      </c>
      <c r="J1176">
        <v>1890134</v>
      </c>
      <c r="K1176">
        <v>722019639.35000002</v>
      </c>
      <c r="L1176" s="1">
        <v>45240</v>
      </c>
      <c r="M1176">
        <v>22228</v>
      </c>
      <c r="N1176" t="s">
        <v>2601</v>
      </c>
      <c r="O1176" s="5">
        <v>45240</v>
      </c>
      <c r="P1176" s="5">
        <v>43777</v>
      </c>
    </row>
    <row r="1177" spans="1:16" x14ac:dyDescent="0.25">
      <c r="A1177" t="s">
        <v>2602</v>
      </c>
      <c r="B1177" t="str">
        <v>JSW Holdings Limited</v>
      </c>
      <c r="C1177" t="s">
        <v>14</v>
      </c>
      <c r="D1177">
        <v>4545.6499999999996</v>
      </c>
      <c r="E1177">
        <v>4699.8999999999996</v>
      </c>
      <c r="F1177">
        <v>4534.75</v>
      </c>
      <c r="G1177" s="3">
        <v>4638.1499999999996</v>
      </c>
      <c r="H1177">
        <v>4690</v>
      </c>
      <c r="I1177">
        <v>4527.55</v>
      </c>
      <c r="J1177">
        <v>3176</v>
      </c>
      <c r="K1177">
        <v>14652067.75</v>
      </c>
      <c r="L1177" s="1">
        <v>45240</v>
      </c>
      <c r="M1177">
        <v>781</v>
      </c>
      <c r="N1177" t="s">
        <v>2604</v>
      </c>
      <c r="O1177" s="5">
        <v>45240</v>
      </c>
      <c r="P1177" s="5">
        <v>43777</v>
      </c>
    </row>
    <row r="1178" spans="1:16" x14ac:dyDescent="0.25">
      <c r="A1178" t="s">
        <v>2605</v>
      </c>
      <c r="B1178" t="str">
        <v>JSW Infrastructure Limited</v>
      </c>
      <c r="C1178" t="s">
        <v>14</v>
      </c>
      <c r="D1178">
        <v>199.35</v>
      </c>
      <c r="E1178">
        <v>206.6</v>
      </c>
      <c r="F1178">
        <v>194.85</v>
      </c>
      <c r="G1178" s="3">
        <v>197</v>
      </c>
      <c r="H1178">
        <v>196.85</v>
      </c>
      <c r="I1178">
        <v>199.4</v>
      </c>
      <c r="J1178">
        <v>7928580</v>
      </c>
      <c r="K1178">
        <v>1579418718.05</v>
      </c>
      <c r="L1178" s="1">
        <v>45240</v>
      </c>
      <c r="M1178">
        <v>53044</v>
      </c>
      <c r="N1178" t="s">
        <v>2607</v>
      </c>
      <c r="O1178" s="5">
        <v>45240</v>
      </c>
      <c r="P1178" s="5">
        <v>43777</v>
      </c>
    </row>
    <row r="1179" spans="1:16" x14ac:dyDescent="0.25">
      <c r="A1179" t="s">
        <v>2608</v>
      </c>
      <c r="B1179" t="str">
        <v>JSW Steel Limited</v>
      </c>
      <c r="C1179" t="s">
        <v>14</v>
      </c>
      <c r="D1179">
        <v>751.9</v>
      </c>
      <c r="E1179">
        <v>759</v>
      </c>
      <c r="F1179">
        <v>745.05</v>
      </c>
      <c r="G1179" s="3">
        <v>754.75</v>
      </c>
      <c r="H1179">
        <v>753.15</v>
      </c>
      <c r="I1179">
        <v>750.85</v>
      </c>
      <c r="J1179">
        <v>1108868</v>
      </c>
      <c r="K1179">
        <v>836349953</v>
      </c>
      <c r="L1179" s="1">
        <v>45240</v>
      </c>
      <c r="M1179">
        <v>44976</v>
      </c>
      <c r="N1179" t="s">
        <v>2610</v>
      </c>
      <c r="O1179" s="5">
        <v>45240</v>
      </c>
      <c r="P1179" s="5">
        <v>43777</v>
      </c>
    </row>
    <row r="1180" spans="1:16" x14ac:dyDescent="0.25">
      <c r="A1180" t="s">
        <v>2611</v>
      </c>
      <c r="B1180" t="str">
        <v>Jtekt India Limited</v>
      </c>
      <c r="C1180" t="s">
        <v>14</v>
      </c>
      <c r="D1180">
        <v>141</v>
      </c>
      <c r="E1180">
        <v>141.69999999999999</v>
      </c>
      <c r="F1180">
        <v>136.4</v>
      </c>
      <c r="G1180" s="3">
        <v>137.05000000000001</v>
      </c>
      <c r="H1180">
        <v>137.1</v>
      </c>
      <c r="I1180">
        <v>140.44999999999999</v>
      </c>
      <c r="J1180">
        <v>138874</v>
      </c>
      <c r="K1180">
        <v>19248686.449999999</v>
      </c>
      <c r="L1180" s="1">
        <v>45240</v>
      </c>
      <c r="M1180">
        <v>3455</v>
      </c>
      <c r="N1180" t="s">
        <v>2613</v>
      </c>
      <c r="O1180" s="5">
        <v>45240</v>
      </c>
      <c r="P1180" s="5">
        <v>43777</v>
      </c>
    </row>
    <row r="1181" spans="1:16" x14ac:dyDescent="0.25">
      <c r="A1181" t="s">
        <v>2614</v>
      </c>
      <c r="B1181" t="str">
        <v>JTL INDUSTRIES LIMITED</v>
      </c>
      <c r="C1181" t="s">
        <v>14</v>
      </c>
      <c r="D1181">
        <v>220.9</v>
      </c>
      <c r="E1181">
        <v>223.25</v>
      </c>
      <c r="F1181">
        <v>219.7</v>
      </c>
      <c r="G1181" s="3">
        <v>221.5</v>
      </c>
      <c r="H1181">
        <v>222</v>
      </c>
      <c r="I1181">
        <v>221.05</v>
      </c>
      <c r="J1181">
        <v>169377</v>
      </c>
      <c r="K1181">
        <v>37517253.200000003</v>
      </c>
      <c r="L1181" s="1">
        <v>45240</v>
      </c>
      <c r="M1181">
        <v>4328</v>
      </c>
      <c r="N1181" t="s">
        <v>2616</v>
      </c>
      <c r="O1181" s="5">
        <v>45240</v>
      </c>
      <c r="P1181" s="5">
        <v>43777</v>
      </c>
    </row>
    <row r="1182" spans="1:16" x14ac:dyDescent="0.25">
      <c r="A1182" t="s">
        <v>2617</v>
      </c>
      <c r="B1182" t="str">
        <v>Jubilant Foodworks Limited</v>
      </c>
      <c r="C1182" t="s">
        <v>14</v>
      </c>
      <c r="D1182">
        <v>505.5</v>
      </c>
      <c r="E1182">
        <v>509.4</v>
      </c>
      <c r="F1182">
        <v>504.8</v>
      </c>
      <c r="G1182" s="3">
        <v>507.6</v>
      </c>
      <c r="H1182">
        <v>507.5</v>
      </c>
      <c r="I1182">
        <v>505.75</v>
      </c>
      <c r="J1182">
        <v>469008</v>
      </c>
      <c r="K1182">
        <v>237880281.34999999</v>
      </c>
      <c r="L1182" s="1">
        <v>45240</v>
      </c>
      <c r="M1182">
        <v>14049</v>
      </c>
      <c r="N1182" t="s">
        <v>2619</v>
      </c>
      <c r="O1182" s="5">
        <v>45240</v>
      </c>
      <c r="P1182" s="5">
        <v>43777</v>
      </c>
    </row>
    <row r="1183" spans="1:16" x14ac:dyDescent="0.25">
      <c r="A1183" t="s">
        <v>2620</v>
      </c>
      <c r="B1183" t="str">
        <v>Jubilant Industries Limited</v>
      </c>
      <c r="C1183" t="s">
        <v>14</v>
      </c>
      <c r="D1183">
        <v>575.45000000000005</v>
      </c>
      <c r="E1183">
        <v>629.75</v>
      </c>
      <c r="F1183">
        <v>575.45000000000005</v>
      </c>
      <c r="G1183" s="3">
        <v>624.5</v>
      </c>
      <c r="H1183">
        <v>620</v>
      </c>
      <c r="I1183">
        <v>579.85</v>
      </c>
      <c r="J1183">
        <v>133268</v>
      </c>
      <c r="K1183">
        <v>82083135.5</v>
      </c>
      <c r="L1183" s="1">
        <v>45240</v>
      </c>
      <c r="M1183">
        <v>12211</v>
      </c>
      <c r="N1183" t="s">
        <v>2622</v>
      </c>
      <c r="O1183" s="5">
        <v>45240</v>
      </c>
      <c r="P1183" s="5">
        <v>43777</v>
      </c>
    </row>
    <row r="1184" spans="1:16" x14ac:dyDescent="0.25">
      <c r="A1184" t="s">
        <v>2623</v>
      </c>
      <c r="B1184" t="str">
        <v>Jubilant Ingrevia Limited</v>
      </c>
      <c r="C1184" t="s">
        <v>14</v>
      </c>
      <c r="D1184">
        <v>416</v>
      </c>
      <c r="E1184">
        <v>417.95</v>
      </c>
      <c r="F1184">
        <v>409.35</v>
      </c>
      <c r="G1184" s="3">
        <v>410.9</v>
      </c>
      <c r="H1184">
        <v>411.6</v>
      </c>
      <c r="I1184">
        <v>416</v>
      </c>
      <c r="J1184">
        <v>162088</v>
      </c>
      <c r="K1184">
        <v>66968869.100000001</v>
      </c>
      <c r="L1184" s="1">
        <v>45240</v>
      </c>
      <c r="M1184">
        <v>6328</v>
      </c>
      <c r="N1184" t="s">
        <v>2625</v>
      </c>
      <c r="O1184" s="5">
        <v>45240</v>
      </c>
      <c r="P1184" s="5">
        <v>43777</v>
      </c>
    </row>
    <row r="1185" spans="1:16" x14ac:dyDescent="0.25">
      <c r="A1185" t="s">
        <v>2626</v>
      </c>
      <c r="B1185" t="str">
        <v>Jubilant Pharmova Limited</v>
      </c>
      <c r="C1185" t="s">
        <v>14</v>
      </c>
      <c r="D1185">
        <v>401.95</v>
      </c>
      <c r="E1185">
        <v>412.4</v>
      </c>
      <c r="F1185">
        <v>397.45</v>
      </c>
      <c r="G1185" s="3">
        <v>406.65</v>
      </c>
      <c r="H1185">
        <v>405</v>
      </c>
      <c r="I1185">
        <v>401.85</v>
      </c>
      <c r="J1185">
        <v>187463</v>
      </c>
      <c r="K1185">
        <v>76102015.400000006</v>
      </c>
      <c r="L1185" s="1">
        <v>45240</v>
      </c>
      <c r="M1185">
        <v>8570</v>
      </c>
      <c r="N1185" t="s">
        <v>2628</v>
      </c>
      <c r="O1185" s="5">
        <v>45240</v>
      </c>
      <c r="P1185" s="5">
        <v>43777</v>
      </c>
    </row>
    <row r="1186" spans="1:16" x14ac:dyDescent="0.25">
      <c r="A1186" t="s">
        <v>6437</v>
      </c>
      <c r="B1186" t="str">
        <v>Not Found</v>
      </c>
      <c r="C1186" t="s">
        <v>14</v>
      </c>
      <c r="D1186">
        <v>498.7</v>
      </c>
      <c r="E1186">
        <v>498.7</v>
      </c>
      <c r="F1186">
        <v>479.3</v>
      </c>
      <c r="G1186" s="3">
        <v>485.39</v>
      </c>
      <c r="H1186">
        <v>487</v>
      </c>
      <c r="I1186">
        <v>484.16</v>
      </c>
      <c r="J1186">
        <v>92841</v>
      </c>
      <c r="K1186">
        <v>44933448.32</v>
      </c>
      <c r="L1186" s="1">
        <v>45240</v>
      </c>
      <c r="M1186">
        <v>5350</v>
      </c>
      <c r="N1186" t="s">
        <v>6436</v>
      </c>
      <c r="O1186" s="5">
        <v>45240</v>
      </c>
      <c r="P1186" s="5">
        <v>43777</v>
      </c>
    </row>
    <row r="1187" spans="1:16" x14ac:dyDescent="0.25">
      <c r="A1187" t="s">
        <v>2629</v>
      </c>
      <c r="B1187" t="str">
        <v>Just Dial Limited</v>
      </c>
      <c r="C1187" t="s">
        <v>14</v>
      </c>
      <c r="D1187">
        <v>707.6</v>
      </c>
      <c r="E1187">
        <v>714.4</v>
      </c>
      <c r="F1187">
        <v>701.6</v>
      </c>
      <c r="G1187" s="3">
        <v>706.45</v>
      </c>
      <c r="H1187">
        <v>703</v>
      </c>
      <c r="I1187">
        <v>707.6</v>
      </c>
      <c r="J1187">
        <v>79562</v>
      </c>
      <c r="K1187">
        <v>56427650.899999999</v>
      </c>
      <c r="L1187" s="1">
        <v>45240</v>
      </c>
      <c r="M1187">
        <v>4485</v>
      </c>
      <c r="N1187" t="s">
        <v>2631</v>
      </c>
      <c r="O1187" s="5">
        <v>45240</v>
      </c>
      <c r="P1187" s="5">
        <v>43777</v>
      </c>
    </row>
    <row r="1188" spans="1:16" x14ac:dyDescent="0.25">
      <c r="A1188" t="s">
        <v>2632</v>
      </c>
      <c r="B1188" t="str">
        <v>Jupiter Wagons Limited</v>
      </c>
      <c r="C1188" t="s">
        <v>14</v>
      </c>
      <c r="D1188">
        <v>318.95</v>
      </c>
      <c r="E1188">
        <v>326.5</v>
      </c>
      <c r="F1188">
        <v>315.60000000000002</v>
      </c>
      <c r="G1188" s="3">
        <v>319.89999999999998</v>
      </c>
      <c r="H1188">
        <v>320.5</v>
      </c>
      <c r="I1188">
        <v>319.39999999999998</v>
      </c>
      <c r="J1188">
        <v>560899</v>
      </c>
      <c r="K1188">
        <v>180383889.34999999</v>
      </c>
      <c r="L1188" s="1">
        <v>45240</v>
      </c>
      <c r="M1188">
        <v>9880</v>
      </c>
      <c r="N1188" t="s">
        <v>2634</v>
      </c>
      <c r="O1188" s="5">
        <v>45240</v>
      </c>
      <c r="P1188" s="5">
        <v>43777</v>
      </c>
    </row>
    <row r="1189" spans="1:16" x14ac:dyDescent="0.25">
      <c r="A1189" t="s">
        <v>2635</v>
      </c>
      <c r="B1189" t="str">
        <v>Jyothy Labs Limited</v>
      </c>
      <c r="C1189" t="s">
        <v>14</v>
      </c>
      <c r="D1189">
        <v>414.1</v>
      </c>
      <c r="E1189">
        <v>419.8</v>
      </c>
      <c r="F1189">
        <v>412</v>
      </c>
      <c r="G1189" s="3">
        <v>414.05</v>
      </c>
      <c r="H1189">
        <v>412</v>
      </c>
      <c r="I1189">
        <v>416.55</v>
      </c>
      <c r="J1189">
        <v>786779</v>
      </c>
      <c r="K1189">
        <v>327054395.14999998</v>
      </c>
      <c r="L1189" s="1">
        <v>45240</v>
      </c>
      <c r="M1189">
        <v>35678</v>
      </c>
      <c r="N1189" t="s">
        <v>2637</v>
      </c>
      <c r="O1189" s="5">
        <v>45240</v>
      </c>
      <c r="P1189" s="5">
        <v>43777</v>
      </c>
    </row>
    <row r="1190" spans="1:16" x14ac:dyDescent="0.25">
      <c r="A1190" t="s">
        <v>2638</v>
      </c>
      <c r="B1190" t="str">
        <v>Jyoti Structures Limited</v>
      </c>
      <c r="C1190" t="s">
        <v>10</v>
      </c>
      <c r="D1190">
        <v>13.7</v>
      </c>
      <c r="E1190">
        <v>13.7</v>
      </c>
      <c r="F1190">
        <v>13.7</v>
      </c>
      <c r="G1190" s="3">
        <v>13.7</v>
      </c>
      <c r="H1190">
        <v>13.7</v>
      </c>
      <c r="I1190">
        <v>13.95</v>
      </c>
      <c r="J1190">
        <v>1255343</v>
      </c>
      <c r="K1190">
        <v>17198199.100000001</v>
      </c>
      <c r="L1190" s="1">
        <v>45240</v>
      </c>
      <c r="M1190">
        <v>344</v>
      </c>
      <c r="N1190" t="s">
        <v>2640</v>
      </c>
      <c r="O1190" s="5">
        <v>45240</v>
      </c>
      <c r="P1190" s="5">
        <v>43777</v>
      </c>
    </row>
    <row r="1191" spans="1:16" x14ac:dyDescent="0.25">
      <c r="A1191" t="s">
        <v>2641</v>
      </c>
      <c r="B1191" t="str">
        <v>Kabra Extrusion Technik Limited</v>
      </c>
      <c r="C1191" t="s">
        <v>14</v>
      </c>
      <c r="D1191">
        <v>423.95</v>
      </c>
      <c r="E1191">
        <v>434.45</v>
      </c>
      <c r="F1191">
        <v>420.05</v>
      </c>
      <c r="G1191" s="3">
        <v>426.05</v>
      </c>
      <c r="H1191">
        <v>426.6</v>
      </c>
      <c r="I1191">
        <v>423</v>
      </c>
      <c r="J1191">
        <v>29299</v>
      </c>
      <c r="K1191">
        <v>12477175.050000001</v>
      </c>
      <c r="L1191" s="1">
        <v>45240</v>
      </c>
      <c r="M1191">
        <v>2975</v>
      </c>
      <c r="N1191" t="s">
        <v>2643</v>
      </c>
      <c r="O1191" s="5">
        <v>45240</v>
      </c>
      <c r="P1191" s="5">
        <v>43777</v>
      </c>
    </row>
    <row r="1192" spans="1:16" x14ac:dyDescent="0.25">
      <c r="A1192" t="s">
        <v>2644</v>
      </c>
      <c r="B1192" t="str">
        <v>Kajaria Ceramics Limited</v>
      </c>
      <c r="C1192" t="s">
        <v>14</v>
      </c>
      <c r="D1192">
        <v>1288</v>
      </c>
      <c r="E1192">
        <v>1290.6500000000001</v>
      </c>
      <c r="F1192">
        <v>1266.95</v>
      </c>
      <c r="G1192" s="3">
        <v>1275.75</v>
      </c>
      <c r="H1192">
        <v>1277</v>
      </c>
      <c r="I1192">
        <v>1283.9000000000001</v>
      </c>
      <c r="J1192">
        <v>41871</v>
      </c>
      <c r="K1192">
        <v>53348655.100000001</v>
      </c>
      <c r="L1192" s="1">
        <v>45240</v>
      </c>
      <c r="M1192">
        <v>5181</v>
      </c>
      <c r="N1192" t="s">
        <v>2646</v>
      </c>
      <c r="O1192" s="5">
        <v>45240</v>
      </c>
      <c r="P1192" s="5">
        <v>43777</v>
      </c>
    </row>
    <row r="1193" spans="1:16" x14ac:dyDescent="0.25">
      <c r="A1193" t="s">
        <v>2647</v>
      </c>
      <c r="B1193" t="str">
        <v>Kakatiya Cement Sugar &amp; Industries Limited</v>
      </c>
      <c r="C1193" t="s">
        <v>14</v>
      </c>
      <c r="D1193">
        <v>215.55</v>
      </c>
      <c r="E1193">
        <v>220.7</v>
      </c>
      <c r="F1193">
        <v>214.05</v>
      </c>
      <c r="G1193" s="3">
        <v>217.2</v>
      </c>
      <c r="H1193">
        <v>217</v>
      </c>
      <c r="I1193">
        <v>216.75</v>
      </c>
      <c r="J1193">
        <v>5808</v>
      </c>
      <c r="K1193">
        <v>1256694.3</v>
      </c>
      <c r="L1193" s="1">
        <v>45240</v>
      </c>
      <c r="M1193">
        <v>389</v>
      </c>
      <c r="N1193" t="s">
        <v>2649</v>
      </c>
      <c r="O1193" s="5">
        <v>45240</v>
      </c>
      <c r="P1193" s="5">
        <v>43777</v>
      </c>
    </row>
    <row r="1194" spans="1:16" x14ac:dyDescent="0.25">
      <c r="A1194" t="s">
        <v>2650</v>
      </c>
      <c r="B1194" t="str">
        <v>Sai Silks (Kalamandir) Limited</v>
      </c>
      <c r="C1194" t="s">
        <v>14</v>
      </c>
      <c r="D1194">
        <v>259.75</v>
      </c>
      <c r="E1194">
        <v>259.75</v>
      </c>
      <c r="F1194">
        <v>245</v>
      </c>
      <c r="G1194" s="3">
        <v>247.75</v>
      </c>
      <c r="H1194">
        <v>246.5</v>
      </c>
      <c r="I1194">
        <v>259.60000000000002</v>
      </c>
      <c r="J1194">
        <v>1119846</v>
      </c>
      <c r="K1194">
        <v>280282293.5</v>
      </c>
      <c r="L1194" s="1">
        <v>45240</v>
      </c>
      <c r="M1194">
        <v>14993</v>
      </c>
      <c r="N1194" t="s">
        <v>2652</v>
      </c>
      <c r="O1194" s="5">
        <v>45240</v>
      </c>
      <c r="P1194" s="5">
        <v>43777</v>
      </c>
    </row>
    <row r="1195" spans="1:16" x14ac:dyDescent="0.25">
      <c r="A1195" t="s">
        <v>2656</v>
      </c>
      <c r="B1195" t="str">
        <v>Kalyani Forge Limited</v>
      </c>
      <c r="C1195" t="s">
        <v>10</v>
      </c>
      <c r="D1195">
        <v>399.55</v>
      </c>
      <c r="E1195">
        <v>401.8</v>
      </c>
      <c r="F1195">
        <v>399.55</v>
      </c>
      <c r="G1195" s="3">
        <v>401.8</v>
      </c>
      <c r="H1195">
        <v>401.8</v>
      </c>
      <c r="I1195">
        <v>382.7</v>
      </c>
      <c r="J1195">
        <v>1289</v>
      </c>
      <c r="K1195">
        <v>517364.8</v>
      </c>
      <c r="L1195" s="1">
        <v>45240</v>
      </c>
      <c r="M1195">
        <v>22</v>
      </c>
      <c r="N1195" t="s">
        <v>2658</v>
      </c>
      <c r="O1195" s="5">
        <v>45240</v>
      </c>
      <c r="P1195" s="5">
        <v>43777</v>
      </c>
    </row>
    <row r="1196" spans="1:16" x14ac:dyDescent="0.25">
      <c r="A1196" t="s">
        <v>2659</v>
      </c>
      <c r="B1196" t="str">
        <v>Kalyan Jewellers India Limited</v>
      </c>
      <c r="C1196" t="s">
        <v>14</v>
      </c>
      <c r="D1196">
        <v>337.8</v>
      </c>
      <c r="E1196">
        <v>341.9</v>
      </c>
      <c r="F1196">
        <v>330</v>
      </c>
      <c r="G1196" s="3">
        <v>338.5</v>
      </c>
      <c r="H1196">
        <v>339.05</v>
      </c>
      <c r="I1196">
        <v>336.1</v>
      </c>
      <c r="J1196">
        <v>2785367</v>
      </c>
      <c r="K1196">
        <v>940048575.75</v>
      </c>
      <c r="L1196" s="1">
        <v>45240</v>
      </c>
      <c r="M1196">
        <v>45022</v>
      </c>
      <c r="N1196" t="s">
        <v>2661</v>
      </c>
      <c r="O1196" s="5">
        <v>45240</v>
      </c>
      <c r="P1196" s="5">
        <v>43777</v>
      </c>
    </row>
    <row r="1197" spans="1:16" x14ac:dyDescent="0.25">
      <c r="A1197" t="s">
        <v>2662</v>
      </c>
      <c r="B1197" t="str">
        <v>Kamat Hotels (I) Limited</v>
      </c>
      <c r="C1197" t="s">
        <v>14</v>
      </c>
      <c r="D1197">
        <v>200</v>
      </c>
      <c r="E1197">
        <v>200.45</v>
      </c>
      <c r="F1197">
        <v>197</v>
      </c>
      <c r="G1197" s="3">
        <v>198.35</v>
      </c>
      <c r="H1197">
        <v>198.5</v>
      </c>
      <c r="I1197">
        <v>200</v>
      </c>
      <c r="J1197">
        <v>16065</v>
      </c>
      <c r="K1197">
        <v>3194621.75</v>
      </c>
      <c r="L1197" s="1">
        <v>45240</v>
      </c>
      <c r="M1197">
        <v>234</v>
      </c>
      <c r="N1197" t="s">
        <v>2664</v>
      </c>
      <c r="O1197" s="5">
        <v>45240</v>
      </c>
      <c r="P1197" s="5">
        <v>43777</v>
      </c>
    </row>
    <row r="1198" spans="1:16" x14ac:dyDescent="0.25">
      <c r="A1198" t="s">
        <v>2665</v>
      </c>
      <c r="B1198" t="str">
        <v>Kamdhenu Limited</v>
      </c>
      <c r="C1198" t="s">
        <v>14</v>
      </c>
      <c r="D1198">
        <v>291.39999999999998</v>
      </c>
      <c r="E1198">
        <v>299.89999999999998</v>
      </c>
      <c r="F1198">
        <v>290.5</v>
      </c>
      <c r="G1198" s="3">
        <v>297.14999999999998</v>
      </c>
      <c r="H1198">
        <v>297.2</v>
      </c>
      <c r="I1198">
        <v>290.8</v>
      </c>
      <c r="J1198">
        <v>126073</v>
      </c>
      <c r="K1198">
        <v>37176695.299999997</v>
      </c>
      <c r="L1198" s="1">
        <v>45240</v>
      </c>
      <c r="M1198">
        <v>4523</v>
      </c>
      <c r="N1198" t="s">
        <v>2667</v>
      </c>
      <c r="O1198" s="5">
        <v>45240</v>
      </c>
      <c r="P1198" s="5">
        <v>43777</v>
      </c>
    </row>
    <row r="1199" spans="1:16" x14ac:dyDescent="0.25">
      <c r="A1199" t="s">
        <v>2668</v>
      </c>
      <c r="B1199" t="str">
        <v>Kamdhenu Ventures Limited</v>
      </c>
      <c r="C1199" t="s">
        <v>14</v>
      </c>
      <c r="D1199">
        <v>167.35</v>
      </c>
      <c r="E1199">
        <v>173.85</v>
      </c>
      <c r="F1199">
        <v>166.5</v>
      </c>
      <c r="G1199" s="3">
        <v>170.8</v>
      </c>
      <c r="H1199">
        <v>172</v>
      </c>
      <c r="I1199">
        <v>168.5</v>
      </c>
      <c r="J1199">
        <v>198790</v>
      </c>
      <c r="K1199">
        <v>33827142.649999999</v>
      </c>
      <c r="L1199" s="1">
        <v>45240</v>
      </c>
      <c r="M1199">
        <v>3835</v>
      </c>
      <c r="N1199" t="s">
        <v>2670</v>
      </c>
      <c r="O1199" s="5">
        <v>45240</v>
      </c>
      <c r="P1199" s="5">
        <v>43777</v>
      </c>
    </row>
    <row r="1200" spans="1:16" x14ac:dyDescent="0.25">
      <c r="A1200" t="s">
        <v>2671</v>
      </c>
      <c r="B1200" t="str">
        <v>Kanani Industries Limited</v>
      </c>
      <c r="C1200" t="s">
        <v>14</v>
      </c>
      <c r="D1200">
        <v>7.5</v>
      </c>
      <c r="E1200">
        <v>7.5</v>
      </c>
      <c r="F1200">
        <v>7.35</v>
      </c>
      <c r="G1200" s="3">
        <v>7.35</v>
      </c>
      <c r="H1200">
        <v>7.4</v>
      </c>
      <c r="I1200">
        <v>7.35</v>
      </c>
      <c r="J1200">
        <v>177116</v>
      </c>
      <c r="K1200">
        <v>1312235.1000000001</v>
      </c>
      <c r="L1200" s="1">
        <v>45240</v>
      </c>
      <c r="M1200">
        <v>787</v>
      </c>
      <c r="N1200" t="s">
        <v>2673</v>
      </c>
      <c r="O1200" s="5">
        <v>45240</v>
      </c>
      <c r="P1200" s="5">
        <v>43777</v>
      </c>
    </row>
    <row r="1201" spans="1:16" x14ac:dyDescent="0.25">
      <c r="A1201" t="s">
        <v>2674</v>
      </c>
      <c r="B1201" t="str">
        <v>Kanoria Chemicals &amp; Industries Limited</v>
      </c>
      <c r="C1201" t="s">
        <v>14</v>
      </c>
      <c r="D1201">
        <v>124</v>
      </c>
      <c r="E1201">
        <v>124</v>
      </c>
      <c r="F1201">
        <v>120.15</v>
      </c>
      <c r="G1201" s="3">
        <v>120.7</v>
      </c>
      <c r="H1201">
        <v>121</v>
      </c>
      <c r="I1201">
        <v>123.3</v>
      </c>
      <c r="J1201">
        <v>75193</v>
      </c>
      <c r="K1201">
        <v>9094715.1500000004</v>
      </c>
      <c r="L1201" s="1">
        <v>45240</v>
      </c>
      <c r="M1201">
        <v>1001</v>
      </c>
      <c r="N1201" t="s">
        <v>2676</v>
      </c>
      <c r="O1201" s="5">
        <v>45240</v>
      </c>
      <c r="P1201" s="5">
        <v>43777</v>
      </c>
    </row>
    <row r="1202" spans="1:16" x14ac:dyDescent="0.25">
      <c r="A1202" t="s">
        <v>2677</v>
      </c>
      <c r="B1202" t="str">
        <v>Kanpur Plastipack Limited</v>
      </c>
      <c r="C1202" t="s">
        <v>14</v>
      </c>
      <c r="D1202">
        <v>119.75</v>
      </c>
      <c r="E1202">
        <v>119.75</v>
      </c>
      <c r="F1202">
        <v>117.6</v>
      </c>
      <c r="G1202" s="3">
        <v>118.05</v>
      </c>
      <c r="H1202">
        <v>117.6</v>
      </c>
      <c r="I1202">
        <v>120.5</v>
      </c>
      <c r="J1202">
        <v>7028</v>
      </c>
      <c r="K1202">
        <v>833983.55</v>
      </c>
      <c r="L1202" s="1">
        <v>45240</v>
      </c>
      <c r="M1202">
        <v>315</v>
      </c>
      <c r="N1202" t="s">
        <v>2679</v>
      </c>
      <c r="O1202" s="5">
        <v>45240</v>
      </c>
      <c r="P1202" s="5">
        <v>43777</v>
      </c>
    </row>
    <row r="1203" spans="1:16" x14ac:dyDescent="0.25">
      <c r="A1203" t="s">
        <v>2680</v>
      </c>
      <c r="B1203" t="str">
        <v>Kansai Nerolac Paints Limited</v>
      </c>
      <c r="C1203" t="s">
        <v>14</v>
      </c>
      <c r="D1203">
        <v>304.95</v>
      </c>
      <c r="E1203">
        <v>305.89999999999998</v>
      </c>
      <c r="F1203">
        <v>301</v>
      </c>
      <c r="G1203" s="3">
        <v>304.39999999999998</v>
      </c>
      <c r="H1203">
        <v>304.95</v>
      </c>
      <c r="I1203">
        <v>304.60000000000002</v>
      </c>
      <c r="J1203">
        <v>111829</v>
      </c>
      <c r="K1203">
        <v>33922487.799999997</v>
      </c>
      <c r="L1203" s="1">
        <v>45240</v>
      </c>
      <c r="M1203">
        <v>5764</v>
      </c>
      <c r="N1203" t="s">
        <v>2682</v>
      </c>
      <c r="O1203" s="5">
        <v>45240</v>
      </c>
      <c r="P1203" s="5">
        <v>43777</v>
      </c>
    </row>
    <row r="1204" spans="1:16" x14ac:dyDescent="0.25">
      <c r="A1204" t="s">
        <v>2683</v>
      </c>
      <c r="B1204" t="str">
        <v>Kapston Services Limited</v>
      </c>
      <c r="C1204" t="s">
        <v>10</v>
      </c>
      <c r="D1204">
        <v>237.5</v>
      </c>
      <c r="E1204">
        <v>239.8</v>
      </c>
      <c r="F1204">
        <v>225</v>
      </c>
      <c r="G1204" s="3">
        <v>232.55</v>
      </c>
      <c r="H1204">
        <v>231</v>
      </c>
      <c r="I1204">
        <v>233.05</v>
      </c>
      <c r="J1204">
        <v>6382</v>
      </c>
      <c r="K1204">
        <v>1478450.45</v>
      </c>
      <c r="L1204" s="1">
        <v>45240</v>
      </c>
      <c r="M1204">
        <v>170</v>
      </c>
      <c r="N1204" t="s">
        <v>2685</v>
      </c>
      <c r="O1204" s="5">
        <v>45240</v>
      </c>
      <c r="P1204" s="5">
        <v>43777</v>
      </c>
    </row>
    <row r="1205" spans="1:16" x14ac:dyDescent="0.25">
      <c r="A1205" t="s">
        <v>2686</v>
      </c>
      <c r="B1205" t="str">
        <v>Karma Energy Limited</v>
      </c>
      <c r="C1205" t="s">
        <v>14</v>
      </c>
      <c r="D1205">
        <v>50</v>
      </c>
      <c r="E1205">
        <v>50.4</v>
      </c>
      <c r="F1205">
        <v>50</v>
      </c>
      <c r="G1205" s="3">
        <v>50.4</v>
      </c>
      <c r="H1205">
        <v>50.4</v>
      </c>
      <c r="I1205">
        <v>48</v>
      </c>
      <c r="J1205">
        <v>28616</v>
      </c>
      <c r="K1205">
        <v>1442197.2</v>
      </c>
      <c r="L1205" s="1">
        <v>45240</v>
      </c>
      <c r="M1205">
        <v>97</v>
      </c>
      <c r="N1205" t="s">
        <v>2688</v>
      </c>
      <c r="O1205" s="5">
        <v>45240</v>
      </c>
      <c r="P1205" s="5">
        <v>43777</v>
      </c>
    </row>
    <row r="1206" spans="1:16" x14ac:dyDescent="0.25">
      <c r="A1206" t="s">
        <v>6435</v>
      </c>
      <c r="B1206" t="str">
        <v>Not Found</v>
      </c>
      <c r="C1206" t="s">
        <v>5788</v>
      </c>
      <c r="D1206">
        <v>129.05000000000001</v>
      </c>
      <c r="E1206">
        <v>137</v>
      </c>
      <c r="F1206">
        <v>126</v>
      </c>
      <c r="G1206" s="3">
        <v>135.85</v>
      </c>
      <c r="H1206">
        <v>135</v>
      </c>
      <c r="I1206">
        <v>129.05000000000001</v>
      </c>
      <c r="J1206">
        <v>59200</v>
      </c>
      <c r="K1206">
        <v>7854080</v>
      </c>
      <c r="L1206" s="1">
        <v>45240</v>
      </c>
      <c r="M1206">
        <v>37</v>
      </c>
      <c r="N1206" t="s">
        <v>6434</v>
      </c>
      <c r="O1206" s="5">
        <v>45240</v>
      </c>
      <c r="P1206" s="5">
        <v>43777</v>
      </c>
    </row>
    <row r="1207" spans="1:16" x14ac:dyDescent="0.25">
      <c r="A1207" t="s">
        <v>2689</v>
      </c>
      <c r="B1207" t="str">
        <v>Karur Vysya Bank Limited</v>
      </c>
      <c r="C1207" t="s">
        <v>14</v>
      </c>
      <c r="D1207">
        <v>151.55000000000001</v>
      </c>
      <c r="E1207">
        <v>156</v>
      </c>
      <c r="F1207">
        <v>149.25</v>
      </c>
      <c r="G1207" s="3">
        <v>155.55000000000001</v>
      </c>
      <c r="H1207">
        <v>156</v>
      </c>
      <c r="I1207">
        <v>151.75</v>
      </c>
      <c r="J1207">
        <v>4787028</v>
      </c>
      <c r="K1207">
        <v>735741173.95000005</v>
      </c>
      <c r="L1207" s="1">
        <v>45240</v>
      </c>
      <c r="M1207">
        <v>25151</v>
      </c>
      <c r="N1207" t="s">
        <v>2691</v>
      </c>
      <c r="O1207" s="5">
        <v>45240</v>
      </c>
      <c r="P1207" s="5">
        <v>43777</v>
      </c>
    </row>
    <row r="1208" spans="1:16" x14ac:dyDescent="0.25">
      <c r="A1208" t="s">
        <v>2692</v>
      </c>
      <c r="B1208" t="str">
        <v>Kaushalya Infrastructure Development Corporation Limited</v>
      </c>
      <c r="C1208" t="s">
        <v>10</v>
      </c>
      <c r="D1208">
        <v>7.65</v>
      </c>
      <c r="E1208">
        <v>7.65</v>
      </c>
      <c r="F1208">
        <v>7.65</v>
      </c>
      <c r="G1208" s="3">
        <v>7.65</v>
      </c>
      <c r="H1208">
        <v>7.65</v>
      </c>
      <c r="I1208">
        <v>7.8</v>
      </c>
      <c r="J1208">
        <v>2413</v>
      </c>
      <c r="K1208">
        <v>18459.45</v>
      </c>
      <c r="L1208" s="1">
        <v>45240</v>
      </c>
      <c r="M1208">
        <v>20</v>
      </c>
      <c r="N1208" t="s">
        <v>2694</v>
      </c>
      <c r="O1208" s="5">
        <v>45240</v>
      </c>
      <c r="P1208" s="5">
        <v>43777</v>
      </c>
    </row>
    <row r="1209" spans="1:16" x14ac:dyDescent="0.25">
      <c r="A1209" t="s">
        <v>2695</v>
      </c>
      <c r="B1209" t="str">
        <v>Kavveri Telecom Products Limited</v>
      </c>
      <c r="C1209" t="s">
        <v>14</v>
      </c>
      <c r="D1209">
        <v>11.3</v>
      </c>
      <c r="E1209">
        <v>11.3</v>
      </c>
      <c r="F1209">
        <v>10.6</v>
      </c>
      <c r="G1209" s="3">
        <v>11.3</v>
      </c>
      <c r="H1209">
        <v>11.3</v>
      </c>
      <c r="I1209">
        <v>10.8</v>
      </c>
      <c r="J1209">
        <v>363980</v>
      </c>
      <c r="K1209">
        <v>4075147.7</v>
      </c>
      <c r="L1209" s="1">
        <v>45240</v>
      </c>
      <c r="M1209">
        <v>343</v>
      </c>
      <c r="N1209" t="s">
        <v>2697</v>
      </c>
      <c r="O1209" s="5">
        <v>45240</v>
      </c>
      <c r="P1209" s="5">
        <v>43777</v>
      </c>
    </row>
    <row r="1210" spans="1:16" x14ac:dyDescent="0.25">
      <c r="A1210" t="s">
        <v>2698</v>
      </c>
      <c r="B1210" t="str">
        <v>Kaya Limited</v>
      </c>
      <c r="C1210" t="s">
        <v>14</v>
      </c>
      <c r="D1210">
        <v>362.55</v>
      </c>
      <c r="E1210">
        <v>362.55</v>
      </c>
      <c r="F1210">
        <v>341</v>
      </c>
      <c r="G1210" s="3">
        <v>346.15</v>
      </c>
      <c r="H1210">
        <v>345.9</v>
      </c>
      <c r="I1210">
        <v>357.2</v>
      </c>
      <c r="J1210">
        <v>17462</v>
      </c>
      <c r="K1210">
        <v>6111202.3499999996</v>
      </c>
      <c r="L1210" s="1">
        <v>45240</v>
      </c>
      <c r="M1210">
        <v>1536</v>
      </c>
      <c r="N1210" t="s">
        <v>2700</v>
      </c>
      <c r="O1210" s="5">
        <v>45240</v>
      </c>
      <c r="P1210" s="5">
        <v>43777</v>
      </c>
    </row>
    <row r="1211" spans="1:16" x14ac:dyDescent="0.25">
      <c r="A1211" t="s">
        <v>2701</v>
      </c>
      <c r="B1211" t="str">
        <v>Kaynes Technology India Limited</v>
      </c>
      <c r="C1211" t="s">
        <v>14</v>
      </c>
      <c r="D1211">
        <v>2484.0500000000002</v>
      </c>
      <c r="E1211">
        <v>2499.85</v>
      </c>
      <c r="F1211">
        <v>2369.65</v>
      </c>
      <c r="G1211" s="3">
        <v>2448.1999999999998</v>
      </c>
      <c r="H1211">
        <v>2451</v>
      </c>
      <c r="I1211">
        <v>2484.0500000000002</v>
      </c>
      <c r="J1211">
        <v>44770</v>
      </c>
      <c r="K1211">
        <v>110512836.3</v>
      </c>
      <c r="L1211" s="1">
        <v>45240</v>
      </c>
      <c r="M1211">
        <v>7056</v>
      </c>
      <c r="N1211" t="s">
        <v>2703</v>
      </c>
      <c r="O1211" s="5">
        <v>45240</v>
      </c>
      <c r="P1211" s="5">
        <v>43777</v>
      </c>
    </row>
    <row r="1212" spans="1:16" x14ac:dyDescent="0.25">
      <c r="A1212" t="s">
        <v>2704</v>
      </c>
      <c r="B1212" t="str">
        <v>KBC Global Limited</v>
      </c>
      <c r="C1212" t="s">
        <v>14</v>
      </c>
      <c r="D1212">
        <v>2.2000000000000002</v>
      </c>
      <c r="E1212">
        <v>2.2000000000000002</v>
      </c>
      <c r="F1212">
        <v>2.15</v>
      </c>
      <c r="G1212" s="3">
        <v>2.15</v>
      </c>
      <c r="H1212">
        <v>2.15</v>
      </c>
      <c r="I1212">
        <v>2.25</v>
      </c>
      <c r="J1212">
        <v>27770453</v>
      </c>
      <c r="K1212">
        <v>59724474.75</v>
      </c>
      <c r="L1212" s="1">
        <v>45240</v>
      </c>
      <c r="M1212">
        <v>3717</v>
      </c>
      <c r="N1212" t="s">
        <v>2706</v>
      </c>
      <c r="O1212" s="5">
        <v>45240</v>
      </c>
      <c r="P1212" s="5">
        <v>43777</v>
      </c>
    </row>
    <row r="1213" spans="1:16" x14ac:dyDescent="0.25">
      <c r="A1213" t="s">
        <v>2707</v>
      </c>
      <c r="B1213" t="str">
        <v>KCP Limited</v>
      </c>
      <c r="C1213" t="s">
        <v>14</v>
      </c>
      <c r="D1213">
        <v>139.69999999999999</v>
      </c>
      <c r="E1213">
        <v>148.35</v>
      </c>
      <c r="F1213">
        <v>138.6</v>
      </c>
      <c r="G1213" s="3">
        <v>146.19999999999999</v>
      </c>
      <c r="H1213">
        <v>146.5</v>
      </c>
      <c r="I1213">
        <v>140.15</v>
      </c>
      <c r="J1213">
        <v>2487058</v>
      </c>
      <c r="K1213">
        <v>360506921.94999999</v>
      </c>
      <c r="L1213" s="1">
        <v>45240</v>
      </c>
      <c r="M1213">
        <v>18982</v>
      </c>
      <c r="N1213" t="s">
        <v>2709</v>
      </c>
      <c r="O1213" s="5">
        <v>45240</v>
      </c>
      <c r="P1213" s="5">
        <v>43777</v>
      </c>
    </row>
    <row r="1214" spans="1:16" x14ac:dyDescent="0.25">
      <c r="A1214" t="s">
        <v>2710</v>
      </c>
      <c r="B1214" t="str">
        <v>KCP Sugar and Industries Corporation Limited</v>
      </c>
      <c r="C1214" t="s">
        <v>10</v>
      </c>
      <c r="D1214">
        <v>37.65</v>
      </c>
      <c r="E1214">
        <v>37.65</v>
      </c>
      <c r="F1214">
        <v>37.65</v>
      </c>
      <c r="G1214" s="3">
        <v>37.65</v>
      </c>
      <c r="H1214">
        <v>37.65</v>
      </c>
      <c r="I1214">
        <v>38.4</v>
      </c>
      <c r="J1214">
        <v>41740</v>
      </c>
      <c r="K1214">
        <v>1571511</v>
      </c>
      <c r="L1214" s="1">
        <v>45240</v>
      </c>
      <c r="M1214">
        <v>150</v>
      </c>
      <c r="N1214" t="s">
        <v>2712</v>
      </c>
      <c r="O1214" s="5">
        <v>45240</v>
      </c>
      <c r="P1214" s="5">
        <v>43777</v>
      </c>
    </row>
    <row r="1215" spans="1:16" x14ac:dyDescent="0.25">
      <c r="A1215" t="s">
        <v>2713</v>
      </c>
      <c r="B1215" t="str">
        <v>KDDL Limited</v>
      </c>
      <c r="C1215" t="s">
        <v>14</v>
      </c>
      <c r="D1215">
        <v>2406.0500000000002</v>
      </c>
      <c r="E1215">
        <v>2555</v>
      </c>
      <c r="F1215">
        <v>2406.0500000000002</v>
      </c>
      <c r="G1215" s="3">
        <v>2535</v>
      </c>
      <c r="H1215">
        <v>2520</v>
      </c>
      <c r="I1215">
        <v>2433.25</v>
      </c>
      <c r="J1215">
        <v>21727</v>
      </c>
      <c r="K1215">
        <v>54252500.450000003</v>
      </c>
      <c r="L1215" s="1">
        <v>45240</v>
      </c>
      <c r="M1215">
        <v>4990</v>
      </c>
      <c r="N1215" t="s">
        <v>2715</v>
      </c>
      <c r="O1215" s="5">
        <v>45240</v>
      </c>
      <c r="P1215" s="5">
        <v>43777</v>
      </c>
    </row>
    <row r="1216" spans="1:16" x14ac:dyDescent="0.25">
      <c r="A1216" t="s">
        <v>6433</v>
      </c>
      <c r="B1216" t="str">
        <v>Not Found</v>
      </c>
      <c r="C1216" t="s">
        <v>5788</v>
      </c>
      <c r="D1216">
        <v>323</v>
      </c>
      <c r="E1216">
        <v>325</v>
      </c>
      <c r="F1216">
        <v>311.05</v>
      </c>
      <c r="G1216" s="3">
        <v>319</v>
      </c>
      <c r="H1216">
        <v>317</v>
      </c>
      <c r="I1216">
        <v>322</v>
      </c>
      <c r="J1216">
        <v>3200</v>
      </c>
      <c r="K1216">
        <v>1023200</v>
      </c>
      <c r="L1216" s="1">
        <v>45240</v>
      </c>
      <c r="M1216">
        <v>8</v>
      </c>
      <c r="N1216" t="s">
        <v>6432</v>
      </c>
      <c r="O1216" s="5">
        <v>45240</v>
      </c>
      <c r="P1216" s="5">
        <v>43777</v>
      </c>
    </row>
    <row r="1217" spans="1:16" x14ac:dyDescent="0.25">
      <c r="A1217" t="s">
        <v>2716</v>
      </c>
      <c r="B1217" t="str">
        <v>KEC International Limited</v>
      </c>
      <c r="C1217" t="s">
        <v>14</v>
      </c>
      <c r="D1217">
        <v>574</v>
      </c>
      <c r="E1217">
        <v>582</v>
      </c>
      <c r="F1217">
        <v>571.20000000000005</v>
      </c>
      <c r="G1217" s="3">
        <v>576.75</v>
      </c>
      <c r="H1217">
        <v>576</v>
      </c>
      <c r="I1217">
        <v>576</v>
      </c>
      <c r="J1217">
        <v>208328</v>
      </c>
      <c r="K1217">
        <v>120201444.2</v>
      </c>
      <c r="L1217" s="1">
        <v>45240</v>
      </c>
      <c r="M1217">
        <v>9398</v>
      </c>
      <c r="N1217" t="s">
        <v>2718</v>
      </c>
      <c r="O1217" s="5">
        <v>45240</v>
      </c>
      <c r="P1217" s="5">
        <v>43777</v>
      </c>
    </row>
    <row r="1218" spans="1:16" x14ac:dyDescent="0.25">
      <c r="A1218" t="s">
        <v>2719</v>
      </c>
      <c r="B1218" t="str">
        <v>Kirloskar Electric Company Limited</v>
      </c>
      <c r="C1218" t="s">
        <v>14</v>
      </c>
      <c r="D1218">
        <v>125</v>
      </c>
      <c r="E1218">
        <v>129.25</v>
      </c>
      <c r="F1218">
        <v>119.05</v>
      </c>
      <c r="G1218" s="3">
        <v>121.25</v>
      </c>
      <c r="H1218">
        <v>120.85</v>
      </c>
      <c r="I1218">
        <v>122.6</v>
      </c>
      <c r="J1218">
        <v>1362098</v>
      </c>
      <c r="K1218">
        <v>169460460.25</v>
      </c>
      <c r="L1218" s="1">
        <v>45240</v>
      </c>
      <c r="M1218">
        <v>15552</v>
      </c>
      <c r="N1218" t="s">
        <v>2721</v>
      </c>
      <c r="O1218" s="5">
        <v>45240</v>
      </c>
      <c r="P1218" s="5">
        <v>43777</v>
      </c>
    </row>
    <row r="1219" spans="1:16" x14ac:dyDescent="0.25">
      <c r="A1219" t="s">
        <v>2722</v>
      </c>
      <c r="B1219" t="str">
        <v>DSJ Keep Learning Limited</v>
      </c>
      <c r="C1219" t="s">
        <v>10</v>
      </c>
      <c r="D1219">
        <v>3.65</v>
      </c>
      <c r="E1219">
        <v>3.65</v>
      </c>
      <c r="F1219">
        <v>3.65</v>
      </c>
      <c r="G1219" s="3">
        <v>3.65</v>
      </c>
      <c r="H1219">
        <v>3.65</v>
      </c>
      <c r="I1219">
        <v>3.5</v>
      </c>
      <c r="J1219">
        <v>142571</v>
      </c>
      <c r="K1219">
        <v>520384.15</v>
      </c>
      <c r="L1219" s="1">
        <v>45240</v>
      </c>
      <c r="M1219">
        <v>43</v>
      </c>
      <c r="N1219" t="s">
        <v>2724</v>
      </c>
      <c r="O1219" s="5">
        <v>45240</v>
      </c>
      <c r="P1219" s="5">
        <v>43777</v>
      </c>
    </row>
    <row r="1220" spans="1:16" x14ac:dyDescent="0.25">
      <c r="A1220" t="s">
        <v>2725</v>
      </c>
      <c r="B1220" t="str">
        <v>KEI Industries Limited</v>
      </c>
      <c r="C1220" t="s">
        <v>14</v>
      </c>
      <c r="D1220">
        <v>2507</v>
      </c>
      <c r="E1220">
        <v>2598</v>
      </c>
      <c r="F1220">
        <v>2485</v>
      </c>
      <c r="G1220" s="3">
        <v>2575.4499999999998</v>
      </c>
      <c r="H1220">
        <v>2579</v>
      </c>
      <c r="I1220">
        <v>2528.5</v>
      </c>
      <c r="J1220">
        <v>242057</v>
      </c>
      <c r="K1220">
        <v>615314815.5</v>
      </c>
      <c r="L1220" s="1">
        <v>45240</v>
      </c>
      <c r="M1220">
        <v>29401</v>
      </c>
      <c r="N1220" t="s">
        <v>2727</v>
      </c>
      <c r="O1220" s="5">
        <v>45240</v>
      </c>
      <c r="P1220" s="5">
        <v>43777</v>
      </c>
    </row>
    <row r="1221" spans="1:16" x14ac:dyDescent="0.25">
      <c r="A1221" t="s">
        <v>6431</v>
      </c>
      <c r="B1221" t="str">
        <v>Not Found</v>
      </c>
      <c r="C1221" t="s">
        <v>5788</v>
      </c>
      <c r="D1221">
        <v>77.25</v>
      </c>
      <c r="E1221">
        <v>77.45</v>
      </c>
      <c r="F1221">
        <v>74.650000000000006</v>
      </c>
      <c r="G1221" s="3">
        <v>75.75</v>
      </c>
      <c r="H1221">
        <v>75.45</v>
      </c>
      <c r="I1221">
        <v>77.2</v>
      </c>
      <c r="J1221">
        <v>26400</v>
      </c>
      <c r="K1221">
        <v>2005860</v>
      </c>
      <c r="L1221" s="1">
        <v>45240</v>
      </c>
      <c r="M1221">
        <v>21</v>
      </c>
      <c r="N1221" t="s">
        <v>6430</v>
      </c>
      <c r="O1221" s="5">
        <v>45240</v>
      </c>
      <c r="P1221" s="5">
        <v>43777</v>
      </c>
    </row>
    <row r="1222" spans="1:16" x14ac:dyDescent="0.25">
      <c r="A1222" t="s">
        <v>2728</v>
      </c>
      <c r="B1222" t="str">
        <v>Kellton Tech Solutions Limited</v>
      </c>
      <c r="C1222" t="s">
        <v>14</v>
      </c>
      <c r="D1222">
        <v>84.55</v>
      </c>
      <c r="E1222">
        <v>86</v>
      </c>
      <c r="F1222">
        <v>84</v>
      </c>
      <c r="G1222" s="3">
        <v>84.9</v>
      </c>
      <c r="H1222">
        <v>84.95</v>
      </c>
      <c r="I1222">
        <v>84.3</v>
      </c>
      <c r="J1222">
        <v>479577</v>
      </c>
      <c r="K1222">
        <v>40701110.899999999</v>
      </c>
      <c r="L1222" s="1">
        <v>45240</v>
      </c>
      <c r="M1222">
        <v>4578</v>
      </c>
      <c r="N1222" t="s">
        <v>2730</v>
      </c>
      <c r="O1222" s="5">
        <v>45240</v>
      </c>
      <c r="P1222" s="5">
        <v>43777</v>
      </c>
    </row>
    <row r="1223" spans="1:16" x14ac:dyDescent="0.25">
      <c r="A1223" t="s">
        <v>2731</v>
      </c>
      <c r="B1223" t="str">
        <v>Kernex Microsystems (India) Limited</v>
      </c>
      <c r="C1223" t="s">
        <v>10</v>
      </c>
      <c r="D1223">
        <v>654.75</v>
      </c>
      <c r="E1223">
        <v>674</v>
      </c>
      <c r="F1223">
        <v>639</v>
      </c>
      <c r="G1223" s="3">
        <v>661.95</v>
      </c>
      <c r="H1223">
        <v>662</v>
      </c>
      <c r="I1223">
        <v>654.54999999999995</v>
      </c>
      <c r="J1223">
        <v>13473</v>
      </c>
      <c r="K1223">
        <v>8908312.8000000007</v>
      </c>
      <c r="L1223" s="1">
        <v>45240</v>
      </c>
      <c r="M1223">
        <v>286</v>
      </c>
      <c r="N1223" t="s">
        <v>2733</v>
      </c>
      <c r="O1223" s="5">
        <v>45240</v>
      </c>
      <c r="P1223" s="5">
        <v>43777</v>
      </c>
    </row>
    <row r="1224" spans="1:16" x14ac:dyDescent="0.25">
      <c r="A1224" t="s">
        <v>2734</v>
      </c>
      <c r="B1224" t="str">
        <v>Kesoram Industries Limited</v>
      </c>
      <c r="C1224" t="s">
        <v>14</v>
      </c>
      <c r="D1224">
        <v>100</v>
      </c>
      <c r="E1224">
        <v>103.7</v>
      </c>
      <c r="F1224">
        <v>99.25</v>
      </c>
      <c r="G1224" s="3">
        <v>101.4</v>
      </c>
      <c r="H1224">
        <v>102.1</v>
      </c>
      <c r="I1224">
        <v>102.95</v>
      </c>
      <c r="J1224">
        <v>2423768</v>
      </c>
      <c r="K1224">
        <v>248735702.59999999</v>
      </c>
      <c r="L1224" s="1">
        <v>45240</v>
      </c>
      <c r="M1224">
        <v>4372</v>
      </c>
      <c r="N1224" t="s">
        <v>2736</v>
      </c>
      <c r="O1224" s="5">
        <v>45240</v>
      </c>
      <c r="P1224" s="5">
        <v>43777</v>
      </c>
    </row>
    <row r="1225" spans="1:16" x14ac:dyDescent="0.25">
      <c r="A1225" t="s">
        <v>2737</v>
      </c>
      <c r="B1225" t="str">
        <v>Keynote Financial Services Limited</v>
      </c>
      <c r="C1225" t="s">
        <v>10</v>
      </c>
      <c r="D1225">
        <v>122.7</v>
      </c>
      <c r="E1225">
        <v>122.7</v>
      </c>
      <c r="F1225">
        <v>118</v>
      </c>
      <c r="G1225" s="3">
        <v>120.05</v>
      </c>
      <c r="H1225">
        <v>120.4</v>
      </c>
      <c r="I1225">
        <v>119.1</v>
      </c>
      <c r="J1225">
        <v>2304</v>
      </c>
      <c r="K1225">
        <v>276905.55</v>
      </c>
      <c r="L1225" s="1">
        <v>45240</v>
      </c>
      <c r="M1225">
        <v>59</v>
      </c>
      <c r="N1225" t="s">
        <v>2739</v>
      </c>
      <c r="O1225" s="5">
        <v>45240</v>
      </c>
      <c r="P1225" s="5">
        <v>43777</v>
      </c>
    </row>
    <row r="1226" spans="1:16" x14ac:dyDescent="0.25">
      <c r="A1226" t="s">
        <v>2740</v>
      </c>
      <c r="B1226" t="str">
        <v>Kfin Technologies Limited</v>
      </c>
      <c r="C1226" t="s">
        <v>14</v>
      </c>
      <c r="D1226">
        <v>510.6</v>
      </c>
      <c r="E1226">
        <v>534.4</v>
      </c>
      <c r="F1226">
        <v>506.1</v>
      </c>
      <c r="G1226" s="3">
        <v>511.05</v>
      </c>
      <c r="H1226">
        <v>514.25</v>
      </c>
      <c r="I1226">
        <v>509.3</v>
      </c>
      <c r="J1226">
        <v>1006237</v>
      </c>
      <c r="K1226">
        <v>524581204.60000002</v>
      </c>
      <c r="L1226" s="1">
        <v>45240</v>
      </c>
      <c r="M1226">
        <v>35496</v>
      </c>
      <c r="N1226" t="s">
        <v>2742</v>
      </c>
      <c r="O1226" s="5">
        <v>45240</v>
      </c>
      <c r="P1226" s="5">
        <v>43777</v>
      </c>
    </row>
    <row r="1227" spans="1:16" x14ac:dyDescent="0.25">
      <c r="A1227" t="s">
        <v>2743</v>
      </c>
      <c r="B1227" t="str">
        <v>Khadim India Limited</v>
      </c>
      <c r="C1227" t="s">
        <v>10</v>
      </c>
      <c r="D1227">
        <v>392.15</v>
      </c>
      <c r="E1227">
        <v>399</v>
      </c>
      <c r="F1227">
        <v>377.2</v>
      </c>
      <c r="G1227" s="3">
        <v>377.2</v>
      </c>
      <c r="H1227">
        <v>377.2</v>
      </c>
      <c r="I1227">
        <v>397.05</v>
      </c>
      <c r="J1227">
        <v>38265</v>
      </c>
      <c r="K1227">
        <v>14610954.699999999</v>
      </c>
      <c r="L1227" s="1">
        <v>45240</v>
      </c>
      <c r="M1227">
        <v>747</v>
      </c>
      <c r="N1227" t="s">
        <v>2745</v>
      </c>
      <c r="O1227" s="5">
        <v>45240</v>
      </c>
      <c r="P1227" s="5">
        <v>43777</v>
      </c>
    </row>
    <row r="1228" spans="1:16" x14ac:dyDescent="0.25">
      <c r="A1228" t="s">
        <v>2746</v>
      </c>
      <c r="B1228" t="str">
        <v>Khaitan Chemicals &amp; Fertilizers Limited</v>
      </c>
      <c r="C1228" t="s">
        <v>14</v>
      </c>
      <c r="D1228">
        <v>64</v>
      </c>
      <c r="E1228">
        <v>65.25</v>
      </c>
      <c r="F1228">
        <v>64</v>
      </c>
      <c r="G1228" s="3">
        <v>64.55</v>
      </c>
      <c r="H1228">
        <v>64.8</v>
      </c>
      <c r="I1228">
        <v>64.150000000000006</v>
      </c>
      <c r="J1228">
        <v>64360</v>
      </c>
      <c r="K1228">
        <v>4160050</v>
      </c>
      <c r="L1228" s="1">
        <v>45240</v>
      </c>
      <c r="M1228">
        <v>864</v>
      </c>
      <c r="N1228" t="s">
        <v>2748</v>
      </c>
      <c r="O1228" s="5">
        <v>45240</v>
      </c>
      <c r="P1228" s="5">
        <v>43777</v>
      </c>
    </row>
    <row r="1229" spans="1:16" x14ac:dyDescent="0.25">
      <c r="A1229" t="s">
        <v>2749</v>
      </c>
      <c r="B1229" t="str">
        <v>Khaitan (India) Limited</v>
      </c>
      <c r="C1229" t="s">
        <v>14</v>
      </c>
      <c r="D1229">
        <v>55.9</v>
      </c>
      <c r="E1229">
        <v>59.8</v>
      </c>
      <c r="F1229">
        <v>55.9</v>
      </c>
      <c r="G1229" s="3">
        <v>58.1</v>
      </c>
      <c r="H1229">
        <v>59.8</v>
      </c>
      <c r="I1229">
        <v>58.8</v>
      </c>
      <c r="J1229">
        <v>3834</v>
      </c>
      <c r="K1229">
        <v>218586.4</v>
      </c>
      <c r="L1229" s="1">
        <v>45240</v>
      </c>
      <c r="M1229">
        <v>70</v>
      </c>
      <c r="N1229" t="s">
        <v>2751</v>
      </c>
      <c r="O1229" s="5">
        <v>45240</v>
      </c>
      <c r="P1229" s="5">
        <v>43777</v>
      </c>
    </row>
    <row r="1230" spans="1:16" x14ac:dyDescent="0.25">
      <c r="A1230" t="s">
        <v>2752</v>
      </c>
      <c r="B1230" t="str">
        <v>Khandwala Securities Limited</v>
      </c>
      <c r="C1230" t="s">
        <v>14</v>
      </c>
      <c r="D1230">
        <v>23.2</v>
      </c>
      <c r="E1230">
        <v>24.45</v>
      </c>
      <c r="F1230">
        <v>23.2</v>
      </c>
      <c r="G1230" s="3">
        <v>23.65</v>
      </c>
      <c r="H1230">
        <v>23.25</v>
      </c>
      <c r="I1230">
        <v>24</v>
      </c>
      <c r="J1230">
        <v>88746</v>
      </c>
      <c r="K1230">
        <v>2128833.6</v>
      </c>
      <c r="L1230" s="1">
        <v>45240</v>
      </c>
      <c r="M1230">
        <v>1766</v>
      </c>
      <c r="N1230" t="s">
        <v>2754</v>
      </c>
      <c r="O1230" s="5">
        <v>45240</v>
      </c>
      <c r="P1230" s="5">
        <v>43777</v>
      </c>
    </row>
    <row r="1231" spans="1:16" x14ac:dyDescent="0.25">
      <c r="A1231" t="s">
        <v>6429</v>
      </c>
      <c r="B1231" t="str">
        <v>Not Found</v>
      </c>
      <c r="C1231" t="s">
        <v>5788</v>
      </c>
      <c r="D1231">
        <v>44.55</v>
      </c>
      <c r="E1231">
        <v>48.8</v>
      </c>
      <c r="F1231">
        <v>44.55</v>
      </c>
      <c r="G1231" s="3">
        <v>48.8</v>
      </c>
      <c r="H1231">
        <v>48.8</v>
      </c>
      <c r="I1231">
        <v>48.6</v>
      </c>
      <c r="J1231">
        <v>6200</v>
      </c>
      <c r="K1231">
        <v>289385</v>
      </c>
      <c r="L1231" s="1">
        <v>45240</v>
      </c>
      <c r="M1231">
        <v>2</v>
      </c>
      <c r="N1231" t="s">
        <v>6428</v>
      </c>
      <c r="O1231" s="5">
        <v>45240</v>
      </c>
      <c r="P1231" s="5">
        <v>43777</v>
      </c>
    </row>
    <row r="1232" spans="1:16" x14ac:dyDescent="0.25">
      <c r="A1232" t="s">
        <v>2755</v>
      </c>
      <c r="B1232" t="str">
        <v>Kalyani Investment Company Limited</v>
      </c>
      <c r="C1232" t="s">
        <v>14</v>
      </c>
      <c r="D1232">
        <v>2712.1</v>
      </c>
      <c r="E1232">
        <v>2744.25</v>
      </c>
      <c r="F1232">
        <v>2694.75</v>
      </c>
      <c r="G1232" s="3">
        <v>2712.05</v>
      </c>
      <c r="H1232">
        <v>2715</v>
      </c>
      <c r="I1232">
        <v>2758.7</v>
      </c>
      <c r="J1232">
        <v>2105</v>
      </c>
      <c r="K1232">
        <v>5725105.3499999996</v>
      </c>
      <c r="L1232" s="1">
        <v>45240</v>
      </c>
      <c r="M1232">
        <v>573</v>
      </c>
      <c r="N1232" t="s">
        <v>2757</v>
      </c>
      <c r="O1232" s="5">
        <v>45240</v>
      </c>
      <c r="P1232" s="5">
        <v>43777</v>
      </c>
    </row>
    <row r="1233" spans="1:16" x14ac:dyDescent="0.25">
      <c r="A1233" t="s">
        <v>2758</v>
      </c>
      <c r="B1233" t="str">
        <v>Kilitch Drugs (India) Limited</v>
      </c>
      <c r="C1233" t="s">
        <v>10</v>
      </c>
      <c r="D1233">
        <v>323.85000000000002</v>
      </c>
      <c r="E1233">
        <v>323.85000000000002</v>
      </c>
      <c r="F1233">
        <v>323.8</v>
      </c>
      <c r="G1233" s="3">
        <v>323.85000000000002</v>
      </c>
      <c r="H1233">
        <v>323.85000000000002</v>
      </c>
      <c r="I1233">
        <v>317.5</v>
      </c>
      <c r="J1233">
        <v>13989</v>
      </c>
      <c r="K1233">
        <v>4530157</v>
      </c>
      <c r="L1233" s="1">
        <v>45240</v>
      </c>
      <c r="M1233">
        <v>72</v>
      </c>
      <c r="N1233" t="s">
        <v>2760</v>
      </c>
      <c r="O1233" s="5">
        <v>45240</v>
      </c>
      <c r="P1233" s="5">
        <v>43777</v>
      </c>
    </row>
    <row r="1234" spans="1:16" x14ac:dyDescent="0.25">
      <c r="A1234" t="s">
        <v>2761</v>
      </c>
      <c r="B1234" t="str">
        <v>Krishna Institute of Medical Sciences Limited</v>
      </c>
      <c r="C1234" t="s">
        <v>14</v>
      </c>
      <c r="D1234">
        <v>1883.5</v>
      </c>
      <c r="E1234">
        <v>1889.75</v>
      </c>
      <c r="F1234">
        <v>1864.3</v>
      </c>
      <c r="G1234" s="3">
        <v>1868.6</v>
      </c>
      <c r="H1234">
        <v>1869.2</v>
      </c>
      <c r="I1234">
        <v>1889</v>
      </c>
      <c r="J1234">
        <v>71884</v>
      </c>
      <c r="K1234">
        <v>134719455.75</v>
      </c>
      <c r="L1234" s="1">
        <v>45240</v>
      </c>
      <c r="M1234">
        <v>3409</v>
      </c>
      <c r="N1234" t="s">
        <v>2763</v>
      </c>
      <c r="O1234" s="5">
        <v>45240</v>
      </c>
      <c r="P1234" s="5">
        <v>43777</v>
      </c>
    </row>
    <row r="1235" spans="1:16" x14ac:dyDescent="0.25">
      <c r="A1235" t="s">
        <v>2764</v>
      </c>
      <c r="B1235" t="str">
        <v>Kingfa Science &amp; Technology (India) Limited</v>
      </c>
      <c r="C1235" t="s">
        <v>14</v>
      </c>
      <c r="D1235">
        <v>2205</v>
      </c>
      <c r="E1235">
        <v>2258.35</v>
      </c>
      <c r="F1235">
        <v>2170</v>
      </c>
      <c r="G1235" s="3">
        <v>2225.4499999999998</v>
      </c>
      <c r="H1235">
        <v>2232</v>
      </c>
      <c r="I1235">
        <v>2197.1999999999998</v>
      </c>
      <c r="J1235">
        <v>6826</v>
      </c>
      <c r="K1235">
        <v>15168192.9</v>
      </c>
      <c r="L1235" s="1">
        <v>45240</v>
      </c>
      <c r="M1235">
        <v>1601</v>
      </c>
      <c r="N1235" t="s">
        <v>2766</v>
      </c>
      <c r="O1235" s="5">
        <v>45240</v>
      </c>
      <c r="P1235" s="5">
        <v>43777</v>
      </c>
    </row>
    <row r="1236" spans="1:16" x14ac:dyDescent="0.25">
      <c r="A1236" t="s">
        <v>2767</v>
      </c>
      <c r="B1236" t="str">
        <v>KIOCL Limited</v>
      </c>
      <c r="C1236" t="s">
        <v>14</v>
      </c>
      <c r="D1236">
        <v>306.5</v>
      </c>
      <c r="E1236">
        <v>318.95</v>
      </c>
      <c r="F1236">
        <v>305.10000000000002</v>
      </c>
      <c r="G1236" s="3">
        <v>313.64999999999998</v>
      </c>
      <c r="H1236">
        <v>313.5</v>
      </c>
      <c r="I1236">
        <v>307.14999999999998</v>
      </c>
      <c r="J1236">
        <v>217044</v>
      </c>
      <c r="K1236">
        <v>67665172.25</v>
      </c>
      <c r="L1236" s="1">
        <v>45240</v>
      </c>
      <c r="M1236">
        <v>5025</v>
      </c>
      <c r="N1236" t="s">
        <v>2769</v>
      </c>
      <c r="O1236" s="5">
        <v>45240</v>
      </c>
      <c r="P1236" s="5">
        <v>43777</v>
      </c>
    </row>
    <row r="1237" spans="1:16" x14ac:dyDescent="0.25">
      <c r="A1237" t="s">
        <v>2770</v>
      </c>
      <c r="B1237" t="str">
        <v>Kiri Industries Limited</v>
      </c>
      <c r="C1237" t="s">
        <v>14</v>
      </c>
      <c r="D1237">
        <v>274</v>
      </c>
      <c r="E1237">
        <v>275.60000000000002</v>
      </c>
      <c r="F1237">
        <v>270.55</v>
      </c>
      <c r="G1237" s="3">
        <v>273.35000000000002</v>
      </c>
      <c r="H1237">
        <v>273.5</v>
      </c>
      <c r="I1237">
        <v>272.64999999999998</v>
      </c>
      <c r="J1237">
        <v>78949</v>
      </c>
      <c r="K1237">
        <v>21528026.050000001</v>
      </c>
      <c r="L1237" s="1">
        <v>45240</v>
      </c>
      <c r="M1237">
        <v>2197</v>
      </c>
      <c r="N1237" t="s">
        <v>2772</v>
      </c>
      <c r="O1237" s="5">
        <v>45240</v>
      </c>
      <c r="P1237" s="5">
        <v>43777</v>
      </c>
    </row>
    <row r="1238" spans="1:16" x14ac:dyDescent="0.25">
      <c r="A1238" t="s">
        <v>2773</v>
      </c>
      <c r="B1238" t="str">
        <v>Kirloskar Brothers Limited</v>
      </c>
      <c r="C1238" t="s">
        <v>14</v>
      </c>
      <c r="D1238">
        <v>830.7</v>
      </c>
      <c r="E1238">
        <v>868.95</v>
      </c>
      <c r="F1238">
        <v>830.7</v>
      </c>
      <c r="G1238" s="3">
        <v>857.5</v>
      </c>
      <c r="H1238">
        <v>853.4</v>
      </c>
      <c r="I1238">
        <v>830.7</v>
      </c>
      <c r="J1238">
        <v>88848</v>
      </c>
      <c r="K1238">
        <v>75963936.5</v>
      </c>
      <c r="L1238" s="1">
        <v>45240</v>
      </c>
      <c r="M1238">
        <v>7413</v>
      </c>
      <c r="N1238" t="s">
        <v>2775</v>
      </c>
      <c r="O1238" s="5">
        <v>45240</v>
      </c>
      <c r="P1238" s="5">
        <v>43777</v>
      </c>
    </row>
    <row r="1239" spans="1:16" x14ac:dyDescent="0.25">
      <c r="A1239" t="s">
        <v>2776</v>
      </c>
      <c r="B1239" t="str">
        <v>Kirloskar Oil Engines Limited</v>
      </c>
      <c r="C1239" t="s">
        <v>14</v>
      </c>
      <c r="D1239">
        <v>548.9</v>
      </c>
      <c r="E1239">
        <v>555</v>
      </c>
      <c r="F1239">
        <v>540.6</v>
      </c>
      <c r="G1239" s="3">
        <v>546.65</v>
      </c>
      <c r="H1239">
        <v>548</v>
      </c>
      <c r="I1239">
        <v>547.35</v>
      </c>
      <c r="J1239">
        <v>182775</v>
      </c>
      <c r="K1239">
        <v>100087635.34999999</v>
      </c>
      <c r="L1239" s="1">
        <v>45240</v>
      </c>
      <c r="M1239">
        <v>11383</v>
      </c>
      <c r="N1239" t="s">
        <v>2778</v>
      </c>
      <c r="O1239" s="5">
        <v>45240</v>
      </c>
      <c r="P1239" s="5">
        <v>43777</v>
      </c>
    </row>
    <row r="1240" spans="1:16" x14ac:dyDescent="0.25">
      <c r="A1240" t="s">
        <v>2779</v>
      </c>
      <c r="B1240" t="str">
        <v>Kirloskar Industries Limited</v>
      </c>
      <c r="C1240" t="s">
        <v>14</v>
      </c>
      <c r="D1240">
        <v>3312</v>
      </c>
      <c r="E1240">
        <v>3359</v>
      </c>
      <c r="F1240">
        <v>3252.05</v>
      </c>
      <c r="G1240" s="3">
        <v>3273.75</v>
      </c>
      <c r="H1240">
        <v>3256</v>
      </c>
      <c r="I1240">
        <v>3306</v>
      </c>
      <c r="J1240">
        <v>1931</v>
      </c>
      <c r="K1240">
        <v>6358867.8499999996</v>
      </c>
      <c r="L1240" s="1">
        <v>45240</v>
      </c>
      <c r="M1240">
        <v>571</v>
      </c>
      <c r="N1240" t="s">
        <v>2781</v>
      </c>
      <c r="O1240" s="5">
        <v>45240</v>
      </c>
      <c r="P1240" s="5">
        <v>43777</v>
      </c>
    </row>
    <row r="1241" spans="1:16" x14ac:dyDescent="0.25">
      <c r="A1241" t="s">
        <v>2782</v>
      </c>
      <c r="B1241" t="str">
        <v>Kirloskar Pneumatic Company Limited</v>
      </c>
      <c r="C1241" t="s">
        <v>14</v>
      </c>
      <c r="D1241">
        <v>553.65</v>
      </c>
      <c r="E1241">
        <v>568</v>
      </c>
      <c r="F1241">
        <v>545.85</v>
      </c>
      <c r="G1241" s="3">
        <v>549.4</v>
      </c>
      <c r="H1241">
        <v>549</v>
      </c>
      <c r="I1241">
        <v>554.20000000000005</v>
      </c>
      <c r="J1241">
        <v>65306</v>
      </c>
      <c r="K1241">
        <v>36305546.799999997</v>
      </c>
      <c r="L1241" s="1">
        <v>45240</v>
      </c>
      <c r="M1241">
        <v>7812</v>
      </c>
      <c r="N1241" t="s">
        <v>2784</v>
      </c>
      <c r="O1241" s="5">
        <v>45240</v>
      </c>
      <c r="P1241" s="5">
        <v>43777</v>
      </c>
    </row>
    <row r="1242" spans="1:16" x14ac:dyDescent="0.25">
      <c r="A1242" t="s">
        <v>2785</v>
      </c>
      <c r="B1242" t="str">
        <v>Kitex Garments Limited</v>
      </c>
      <c r="C1242" t="s">
        <v>14</v>
      </c>
      <c r="D1242">
        <v>205.7</v>
      </c>
      <c r="E1242">
        <v>207.3</v>
      </c>
      <c r="F1242">
        <v>202.1</v>
      </c>
      <c r="G1242" s="3">
        <v>203.75</v>
      </c>
      <c r="H1242">
        <v>204</v>
      </c>
      <c r="I1242">
        <v>205.7</v>
      </c>
      <c r="J1242">
        <v>117750</v>
      </c>
      <c r="K1242">
        <v>23986475</v>
      </c>
      <c r="L1242" s="1">
        <v>45240</v>
      </c>
      <c r="M1242">
        <v>3004</v>
      </c>
      <c r="N1242" t="s">
        <v>2787</v>
      </c>
      <c r="O1242" s="5">
        <v>45240</v>
      </c>
      <c r="P1242" s="5">
        <v>43777</v>
      </c>
    </row>
    <row r="1243" spans="1:16" x14ac:dyDescent="0.25">
      <c r="A1243" t="s">
        <v>2788</v>
      </c>
      <c r="B1243" t="str">
        <v>Kewal Kiran Clothing Limited</v>
      </c>
      <c r="C1243" t="s">
        <v>14</v>
      </c>
      <c r="D1243">
        <v>760</v>
      </c>
      <c r="E1243">
        <v>775.4</v>
      </c>
      <c r="F1243">
        <v>758.05</v>
      </c>
      <c r="G1243" s="3">
        <v>763.8</v>
      </c>
      <c r="H1243">
        <v>767</v>
      </c>
      <c r="I1243">
        <v>766.8</v>
      </c>
      <c r="J1243">
        <v>16464</v>
      </c>
      <c r="K1243">
        <v>12622173.5</v>
      </c>
      <c r="L1243" s="1">
        <v>45240</v>
      </c>
      <c r="M1243">
        <v>2666</v>
      </c>
      <c r="N1243" t="s">
        <v>2790</v>
      </c>
      <c r="O1243" s="5">
        <v>45240</v>
      </c>
      <c r="P1243" s="5">
        <v>43777</v>
      </c>
    </row>
    <row r="1244" spans="1:16" x14ac:dyDescent="0.25">
      <c r="A1244" t="s">
        <v>2791</v>
      </c>
      <c r="B1244" t="str">
        <v>K.M.Sugar Mills Limited</v>
      </c>
      <c r="C1244" t="s">
        <v>14</v>
      </c>
      <c r="D1244">
        <v>32.299999999999997</v>
      </c>
      <c r="E1244">
        <v>32.85</v>
      </c>
      <c r="F1244">
        <v>32.1</v>
      </c>
      <c r="G1244" s="3">
        <v>32.549999999999997</v>
      </c>
      <c r="H1244">
        <v>32.700000000000003</v>
      </c>
      <c r="I1244">
        <v>32.15</v>
      </c>
      <c r="J1244">
        <v>494376</v>
      </c>
      <c r="K1244">
        <v>16057569.85</v>
      </c>
      <c r="L1244" s="1">
        <v>45240</v>
      </c>
      <c r="M1244">
        <v>2717</v>
      </c>
      <c r="N1244" t="s">
        <v>2793</v>
      </c>
      <c r="O1244" s="5">
        <v>45240</v>
      </c>
      <c r="P1244" s="5">
        <v>43777</v>
      </c>
    </row>
    <row r="1245" spans="1:16" x14ac:dyDescent="0.25">
      <c r="A1245" t="s">
        <v>6427</v>
      </c>
      <c r="B1245" t="str">
        <v>Not Found</v>
      </c>
      <c r="C1245" t="s">
        <v>5788</v>
      </c>
      <c r="D1245">
        <v>125</v>
      </c>
      <c r="E1245">
        <v>126.5</v>
      </c>
      <c r="F1245">
        <v>122.05</v>
      </c>
      <c r="G1245" s="3">
        <v>125.5</v>
      </c>
      <c r="H1245">
        <v>126.5</v>
      </c>
      <c r="I1245">
        <v>125.5</v>
      </c>
      <c r="J1245">
        <v>28000</v>
      </c>
      <c r="K1245">
        <v>3485240</v>
      </c>
      <c r="L1245" s="1">
        <v>45240</v>
      </c>
      <c r="M1245">
        <v>32</v>
      </c>
      <c r="N1245" t="s">
        <v>6426</v>
      </c>
      <c r="O1245" s="5">
        <v>45240</v>
      </c>
      <c r="P1245" s="5">
        <v>43777</v>
      </c>
    </row>
    <row r="1246" spans="1:16" x14ac:dyDescent="0.25">
      <c r="A1246" t="s">
        <v>2794</v>
      </c>
      <c r="B1246" t="str">
        <v>KNR Constructions Limited</v>
      </c>
      <c r="C1246" t="s">
        <v>14</v>
      </c>
      <c r="D1246">
        <v>262.35000000000002</v>
      </c>
      <c r="E1246">
        <v>266.5</v>
      </c>
      <c r="F1246">
        <v>260.2</v>
      </c>
      <c r="G1246" s="3">
        <v>264.64999999999998</v>
      </c>
      <c r="H1246">
        <v>266</v>
      </c>
      <c r="I1246">
        <v>263.10000000000002</v>
      </c>
      <c r="J1246">
        <v>655601</v>
      </c>
      <c r="K1246">
        <v>172962128.09999999</v>
      </c>
      <c r="L1246" s="1">
        <v>45240</v>
      </c>
      <c r="M1246">
        <v>12494</v>
      </c>
      <c r="N1246" t="s">
        <v>2796</v>
      </c>
      <c r="O1246" s="5">
        <v>45240</v>
      </c>
      <c r="P1246" s="5">
        <v>43777</v>
      </c>
    </row>
    <row r="1247" spans="1:16" x14ac:dyDescent="0.25">
      <c r="A1247" t="s">
        <v>6425</v>
      </c>
      <c r="B1247" t="str">
        <v>Not Found</v>
      </c>
      <c r="C1247" t="s">
        <v>5788</v>
      </c>
      <c r="D1247">
        <v>301.39999999999998</v>
      </c>
      <c r="E1247">
        <v>329</v>
      </c>
      <c r="F1247">
        <v>301.39999999999998</v>
      </c>
      <c r="G1247" s="3">
        <v>328.1</v>
      </c>
      <c r="H1247">
        <v>328.8</v>
      </c>
      <c r="I1247">
        <v>334.85</v>
      </c>
      <c r="J1247">
        <v>54400</v>
      </c>
      <c r="K1247">
        <v>16931080</v>
      </c>
      <c r="L1247" s="1">
        <v>45240</v>
      </c>
      <c r="M1247">
        <v>56</v>
      </c>
      <c r="N1247" t="s">
        <v>6424</v>
      </c>
      <c r="O1247" s="5">
        <v>45240</v>
      </c>
      <c r="P1247" s="5">
        <v>43777</v>
      </c>
    </row>
    <row r="1248" spans="1:16" x14ac:dyDescent="0.25">
      <c r="A1248" t="s">
        <v>2797</v>
      </c>
      <c r="B1248" t="str">
        <v>Kohinoor Foods Limited</v>
      </c>
      <c r="C1248" t="s">
        <v>14</v>
      </c>
      <c r="D1248">
        <v>39</v>
      </c>
      <c r="E1248">
        <v>39.5</v>
      </c>
      <c r="F1248">
        <v>38.200000000000003</v>
      </c>
      <c r="G1248" s="3">
        <v>39</v>
      </c>
      <c r="H1248">
        <v>38.85</v>
      </c>
      <c r="I1248">
        <v>38.75</v>
      </c>
      <c r="J1248">
        <v>183744</v>
      </c>
      <c r="K1248">
        <v>7138776.4500000002</v>
      </c>
      <c r="L1248" s="1">
        <v>45240</v>
      </c>
      <c r="M1248">
        <v>1588</v>
      </c>
      <c r="N1248" t="s">
        <v>2799</v>
      </c>
      <c r="O1248" s="5">
        <v>45240</v>
      </c>
      <c r="P1248" s="5">
        <v>43777</v>
      </c>
    </row>
    <row r="1249" spans="1:16" x14ac:dyDescent="0.25">
      <c r="A1249" t="s">
        <v>2800</v>
      </c>
      <c r="B1249" t="str">
        <v>Kokuyo Camlin Limited</v>
      </c>
      <c r="C1249" t="s">
        <v>14</v>
      </c>
      <c r="D1249">
        <v>128.69999999999999</v>
      </c>
      <c r="E1249">
        <v>131.44999999999999</v>
      </c>
      <c r="F1249">
        <v>126.35</v>
      </c>
      <c r="G1249" s="3">
        <v>131.1</v>
      </c>
      <c r="H1249">
        <v>131.44999999999999</v>
      </c>
      <c r="I1249">
        <v>126.8</v>
      </c>
      <c r="J1249">
        <v>98400</v>
      </c>
      <c r="K1249">
        <v>12660929.35</v>
      </c>
      <c r="L1249" s="1">
        <v>45240</v>
      </c>
      <c r="M1249">
        <v>1071</v>
      </c>
      <c r="N1249" t="s">
        <v>2802</v>
      </c>
      <c r="O1249" s="5">
        <v>45240</v>
      </c>
      <c r="P1249" s="5">
        <v>43777</v>
      </c>
    </row>
    <row r="1250" spans="1:16" x14ac:dyDescent="0.25">
      <c r="A1250" t="s">
        <v>2803</v>
      </c>
      <c r="B1250" t="str">
        <v>Kolte - Patil Developers Limited</v>
      </c>
      <c r="C1250" t="s">
        <v>14</v>
      </c>
      <c r="D1250">
        <v>493.7</v>
      </c>
      <c r="E1250">
        <v>495.95</v>
      </c>
      <c r="F1250">
        <v>480.5</v>
      </c>
      <c r="G1250" s="3">
        <v>483</v>
      </c>
      <c r="H1250">
        <v>483.7</v>
      </c>
      <c r="I1250">
        <v>492.85</v>
      </c>
      <c r="J1250">
        <v>94713</v>
      </c>
      <c r="K1250">
        <v>46135029.700000003</v>
      </c>
      <c r="L1250" s="1">
        <v>45240</v>
      </c>
      <c r="M1250">
        <v>6042</v>
      </c>
      <c r="N1250" t="s">
        <v>2805</v>
      </c>
      <c r="O1250" s="5">
        <v>45240</v>
      </c>
      <c r="P1250" s="5">
        <v>43777</v>
      </c>
    </row>
    <row r="1251" spans="1:16" x14ac:dyDescent="0.25">
      <c r="A1251" t="s">
        <v>6423</v>
      </c>
      <c r="B1251" t="str">
        <v>Not Found</v>
      </c>
      <c r="C1251" t="s">
        <v>5788</v>
      </c>
      <c r="D1251">
        <v>82.2</v>
      </c>
      <c r="E1251">
        <v>82.2</v>
      </c>
      <c r="F1251">
        <v>79.150000000000006</v>
      </c>
      <c r="G1251" s="3">
        <v>80.45</v>
      </c>
      <c r="H1251">
        <v>80.5</v>
      </c>
      <c r="I1251">
        <v>82.2</v>
      </c>
      <c r="J1251">
        <v>20400</v>
      </c>
      <c r="K1251">
        <v>1642320</v>
      </c>
      <c r="L1251" s="1">
        <v>45240</v>
      </c>
      <c r="M1251">
        <v>17</v>
      </c>
      <c r="N1251" t="s">
        <v>6422</v>
      </c>
      <c r="O1251" s="5">
        <v>45240</v>
      </c>
      <c r="P1251" s="5">
        <v>43777</v>
      </c>
    </row>
    <row r="1252" spans="1:16" x14ac:dyDescent="0.25">
      <c r="A1252" t="s">
        <v>2806</v>
      </c>
      <c r="B1252" t="str">
        <v>Kopran Limited</v>
      </c>
      <c r="C1252" t="s">
        <v>14</v>
      </c>
      <c r="D1252">
        <v>228.25</v>
      </c>
      <c r="E1252">
        <v>235.7</v>
      </c>
      <c r="F1252">
        <v>227.35</v>
      </c>
      <c r="G1252" s="3">
        <v>231</v>
      </c>
      <c r="H1252">
        <v>231.8</v>
      </c>
      <c r="I1252">
        <v>228.65</v>
      </c>
      <c r="J1252">
        <v>251344</v>
      </c>
      <c r="K1252">
        <v>58365912.799999997</v>
      </c>
      <c r="L1252" s="1">
        <v>45240</v>
      </c>
      <c r="M1252">
        <v>6890</v>
      </c>
      <c r="N1252" t="s">
        <v>2808</v>
      </c>
      <c r="O1252" s="5">
        <v>45240</v>
      </c>
      <c r="P1252" s="5">
        <v>43777</v>
      </c>
    </row>
    <row r="1253" spans="1:16" x14ac:dyDescent="0.25">
      <c r="A1253" t="s">
        <v>6421</v>
      </c>
      <c r="B1253" t="str">
        <v>Not Found</v>
      </c>
      <c r="C1253" t="s">
        <v>5788</v>
      </c>
      <c r="D1253">
        <v>321</v>
      </c>
      <c r="E1253">
        <v>351.8</v>
      </c>
      <c r="F1253">
        <v>299.25</v>
      </c>
      <c r="G1253" s="3">
        <v>347.4</v>
      </c>
      <c r="H1253">
        <v>345</v>
      </c>
      <c r="I1253">
        <v>330.25</v>
      </c>
      <c r="J1253">
        <v>44500</v>
      </c>
      <c r="K1253">
        <v>15005400</v>
      </c>
      <c r="L1253" s="1">
        <v>45240</v>
      </c>
      <c r="M1253">
        <v>79</v>
      </c>
      <c r="N1253" t="s">
        <v>6420</v>
      </c>
      <c r="O1253" s="5">
        <v>45240</v>
      </c>
      <c r="P1253" s="5">
        <v>43777</v>
      </c>
    </row>
    <row r="1254" spans="1:16" x14ac:dyDescent="0.25">
      <c r="A1254" t="s">
        <v>6419</v>
      </c>
      <c r="B1254" t="str">
        <v>Not Found</v>
      </c>
      <c r="C1254" t="s">
        <v>14</v>
      </c>
      <c r="D1254">
        <v>35.5</v>
      </c>
      <c r="E1254">
        <v>36</v>
      </c>
      <c r="F1254">
        <v>35.17</v>
      </c>
      <c r="G1254" s="3">
        <v>35.94</v>
      </c>
      <c r="H1254">
        <v>35.950000000000003</v>
      </c>
      <c r="I1254">
        <v>35.65</v>
      </c>
      <c r="J1254">
        <v>206353</v>
      </c>
      <c r="K1254">
        <v>7397411.29</v>
      </c>
      <c r="L1254" s="1">
        <v>45240</v>
      </c>
      <c r="M1254">
        <v>757</v>
      </c>
      <c r="N1254" t="s">
        <v>6418</v>
      </c>
      <c r="O1254" s="5">
        <v>45240</v>
      </c>
      <c r="P1254" s="5">
        <v>43777</v>
      </c>
    </row>
    <row r="1255" spans="1:16" x14ac:dyDescent="0.25">
      <c r="A1255" t="s">
        <v>2809</v>
      </c>
      <c r="B1255" t="str">
        <v>Kotak Mahindra Bank Limited</v>
      </c>
      <c r="C1255" t="s">
        <v>14</v>
      </c>
      <c r="D1255">
        <v>1734.6</v>
      </c>
      <c r="E1255">
        <v>1749.25</v>
      </c>
      <c r="F1255">
        <v>1734.6</v>
      </c>
      <c r="G1255" s="3">
        <v>1745.45</v>
      </c>
      <c r="H1255">
        <v>1746.2</v>
      </c>
      <c r="I1255">
        <v>1744.95</v>
      </c>
      <c r="J1255">
        <v>1634799</v>
      </c>
      <c r="K1255">
        <v>2845015619.1500001</v>
      </c>
      <c r="L1255" s="1">
        <v>45240</v>
      </c>
      <c r="M1255">
        <v>87989</v>
      </c>
      <c r="N1255" t="s">
        <v>2811</v>
      </c>
      <c r="O1255" s="5">
        <v>45240</v>
      </c>
      <c r="P1255" s="5">
        <v>43777</v>
      </c>
    </row>
    <row r="1256" spans="1:16" x14ac:dyDescent="0.25">
      <c r="A1256" t="s">
        <v>6417</v>
      </c>
      <c r="B1256" t="str">
        <v>Not Found</v>
      </c>
      <c r="C1256" t="s">
        <v>14</v>
      </c>
      <c r="D1256">
        <v>444.71</v>
      </c>
      <c r="E1256">
        <v>447.67</v>
      </c>
      <c r="F1256">
        <v>443.84</v>
      </c>
      <c r="G1256" s="3">
        <v>446.5</v>
      </c>
      <c r="H1256">
        <v>447.67</v>
      </c>
      <c r="I1256">
        <v>445.71</v>
      </c>
      <c r="J1256">
        <v>10129</v>
      </c>
      <c r="K1256">
        <v>4509007.3499999996</v>
      </c>
      <c r="L1256" s="1">
        <v>45240</v>
      </c>
      <c r="M1256">
        <v>222</v>
      </c>
      <c r="N1256" t="s">
        <v>6416</v>
      </c>
      <c r="O1256" s="5">
        <v>45240</v>
      </c>
      <c r="P1256" s="5">
        <v>43777</v>
      </c>
    </row>
    <row r="1257" spans="1:16" x14ac:dyDescent="0.25">
      <c r="A1257" t="s">
        <v>6415</v>
      </c>
      <c r="B1257" t="str">
        <v>Not Found</v>
      </c>
      <c r="C1257" t="s">
        <v>14</v>
      </c>
      <c r="D1257">
        <v>85.99</v>
      </c>
      <c r="E1257">
        <v>86.29</v>
      </c>
      <c r="F1257">
        <v>85.99</v>
      </c>
      <c r="G1257" s="3">
        <v>86</v>
      </c>
      <c r="H1257">
        <v>86</v>
      </c>
      <c r="I1257">
        <v>86.03</v>
      </c>
      <c r="J1257">
        <v>200</v>
      </c>
      <c r="K1257">
        <v>17217.349999999999</v>
      </c>
      <c r="L1257" s="1">
        <v>45240</v>
      </c>
      <c r="M1257">
        <v>8</v>
      </c>
      <c r="N1257" t="s">
        <v>6414</v>
      </c>
      <c r="O1257" s="5">
        <v>45240</v>
      </c>
      <c r="P1257" s="5">
        <v>43777</v>
      </c>
    </row>
    <row r="1258" spans="1:16" x14ac:dyDescent="0.25">
      <c r="A1258" t="s">
        <v>6413</v>
      </c>
      <c r="B1258" t="str">
        <v>Not Found</v>
      </c>
      <c r="C1258" t="s">
        <v>14</v>
      </c>
      <c r="D1258">
        <v>51.63</v>
      </c>
      <c r="E1258">
        <v>52.1</v>
      </c>
      <c r="F1258">
        <v>51.46</v>
      </c>
      <c r="G1258" s="3">
        <v>51.58</v>
      </c>
      <c r="H1258">
        <v>51.58</v>
      </c>
      <c r="I1258">
        <v>51.33</v>
      </c>
      <c r="J1258">
        <v>476484</v>
      </c>
      <c r="K1258">
        <v>24580434.309999999</v>
      </c>
      <c r="L1258" s="1">
        <v>45240</v>
      </c>
      <c r="M1258">
        <v>2111</v>
      </c>
      <c r="N1258" t="s">
        <v>6412</v>
      </c>
      <c r="O1258" s="5">
        <v>45240</v>
      </c>
      <c r="P1258" s="5">
        <v>43777</v>
      </c>
    </row>
    <row r="1259" spans="1:16" x14ac:dyDescent="0.25">
      <c r="A1259" t="s">
        <v>6411</v>
      </c>
      <c r="B1259" t="str">
        <v>Not Found</v>
      </c>
      <c r="C1259" t="s">
        <v>14</v>
      </c>
      <c r="D1259">
        <v>32.54</v>
      </c>
      <c r="E1259">
        <v>32.54</v>
      </c>
      <c r="F1259">
        <v>32.08</v>
      </c>
      <c r="G1259" s="3">
        <v>32.299999999999997</v>
      </c>
      <c r="H1259">
        <v>32.33</v>
      </c>
      <c r="I1259">
        <v>32.32</v>
      </c>
      <c r="J1259">
        <v>61169</v>
      </c>
      <c r="K1259">
        <v>1969841.32</v>
      </c>
      <c r="L1259" s="1">
        <v>45240</v>
      </c>
      <c r="M1259">
        <v>482</v>
      </c>
      <c r="N1259" t="s">
        <v>6410</v>
      </c>
      <c r="O1259" s="5">
        <v>45240</v>
      </c>
      <c r="P1259" s="5">
        <v>43777</v>
      </c>
    </row>
    <row r="1260" spans="1:16" x14ac:dyDescent="0.25">
      <c r="A1260" t="s">
        <v>6409</v>
      </c>
      <c r="B1260" t="str">
        <v>Not Found</v>
      </c>
      <c r="C1260" t="s">
        <v>14</v>
      </c>
      <c r="D1260">
        <v>1000.01</v>
      </c>
      <c r="E1260">
        <v>1000.01</v>
      </c>
      <c r="F1260">
        <v>999.99</v>
      </c>
      <c r="G1260" s="3">
        <v>1000</v>
      </c>
      <c r="H1260">
        <v>1000.01</v>
      </c>
      <c r="I1260">
        <v>1000</v>
      </c>
      <c r="J1260">
        <v>42</v>
      </c>
      <c r="K1260">
        <v>42000.12</v>
      </c>
      <c r="L1260" s="1">
        <v>45240</v>
      </c>
      <c r="M1260">
        <v>5</v>
      </c>
      <c r="N1260" t="s">
        <v>6408</v>
      </c>
      <c r="O1260" s="5">
        <v>45240</v>
      </c>
      <c r="P1260" s="5">
        <v>43777</v>
      </c>
    </row>
    <row r="1261" spans="1:16" x14ac:dyDescent="0.25">
      <c r="A1261" t="s">
        <v>6407</v>
      </c>
      <c r="B1261" t="str">
        <v>Not Found</v>
      </c>
      <c r="C1261" t="s">
        <v>14</v>
      </c>
      <c r="D1261">
        <v>15.59</v>
      </c>
      <c r="E1261">
        <v>15.6</v>
      </c>
      <c r="F1261">
        <v>15.46</v>
      </c>
      <c r="G1261" s="3">
        <v>15.53</v>
      </c>
      <c r="H1261">
        <v>15.5</v>
      </c>
      <c r="I1261">
        <v>15.59</v>
      </c>
      <c r="J1261">
        <v>7042</v>
      </c>
      <c r="K1261">
        <v>109294.95</v>
      </c>
      <c r="L1261" s="1">
        <v>45240</v>
      </c>
      <c r="M1261">
        <v>74</v>
      </c>
      <c r="N1261" t="s">
        <v>6406</v>
      </c>
      <c r="O1261" s="5">
        <v>45240</v>
      </c>
      <c r="P1261" s="5">
        <v>43777</v>
      </c>
    </row>
    <row r="1262" spans="1:16" x14ac:dyDescent="0.25">
      <c r="A1262" t="s">
        <v>6405</v>
      </c>
      <c r="B1262" t="str">
        <v>Not Found</v>
      </c>
      <c r="C1262" t="s">
        <v>14</v>
      </c>
      <c r="D1262">
        <v>116.26</v>
      </c>
      <c r="E1262">
        <v>117.15</v>
      </c>
      <c r="F1262">
        <v>115.91</v>
      </c>
      <c r="G1262" s="3">
        <v>116.92</v>
      </c>
      <c r="H1262">
        <v>117.01</v>
      </c>
      <c r="I1262">
        <v>116.65</v>
      </c>
      <c r="J1262">
        <v>10156</v>
      </c>
      <c r="K1262">
        <v>1184240.3999999999</v>
      </c>
      <c r="L1262" s="1">
        <v>45240</v>
      </c>
      <c r="M1262">
        <v>253</v>
      </c>
      <c r="N1262" t="s">
        <v>6404</v>
      </c>
      <c r="O1262" s="5">
        <v>45240</v>
      </c>
      <c r="P1262" s="5">
        <v>43777</v>
      </c>
    </row>
    <row r="1263" spans="1:16" x14ac:dyDescent="0.25">
      <c r="A1263" t="s">
        <v>6403</v>
      </c>
      <c r="B1263" t="str">
        <v>Not Found</v>
      </c>
      <c r="C1263" t="s">
        <v>14</v>
      </c>
      <c r="D1263">
        <v>22.22</v>
      </c>
      <c r="E1263">
        <v>22.44</v>
      </c>
      <c r="F1263">
        <v>22.09</v>
      </c>
      <c r="G1263" s="3">
        <v>22.32</v>
      </c>
      <c r="H1263">
        <v>22.44</v>
      </c>
      <c r="I1263">
        <v>22.35</v>
      </c>
      <c r="J1263">
        <v>4913</v>
      </c>
      <c r="K1263">
        <v>109174.25</v>
      </c>
      <c r="L1263" s="1">
        <v>45240</v>
      </c>
      <c r="M1263">
        <v>55</v>
      </c>
      <c r="N1263" t="s">
        <v>6402</v>
      </c>
      <c r="O1263" s="5">
        <v>45240</v>
      </c>
      <c r="P1263" s="5">
        <v>43777</v>
      </c>
    </row>
    <row r="1264" spans="1:16" x14ac:dyDescent="0.25">
      <c r="A1264" t="s">
        <v>6401</v>
      </c>
      <c r="B1264" t="str">
        <v>Not Found</v>
      </c>
      <c r="C1264" t="s">
        <v>14</v>
      </c>
      <c r="D1264">
        <v>208.96</v>
      </c>
      <c r="E1264">
        <v>209.54</v>
      </c>
      <c r="F1264">
        <v>207.56</v>
      </c>
      <c r="G1264" s="3">
        <v>209.27</v>
      </c>
      <c r="H1264">
        <v>209.54</v>
      </c>
      <c r="I1264">
        <v>208.81</v>
      </c>
      <c r="J1264">
        <v>8403</v>
      </c>
      <c r="K1264">
        <v>1753365.41</v>
      </c>
      <c r="L1264" s="1">
        <v>45240</v>
      </c>
      <c r="M1264">
        <v>328</v>
      </c>
      <c r="N1264" t="s">
        <v>6400</v>
      </c>
      <c r="O1264" s="5">
        <v>45240</v>
      </c>
      <c r="P1264" s="5">
        <v>43777</v>
      </c>
    </row>
    <row r="1265" spans="1:16" x14ac:dyDescent="0.25">
      <c r="A1265" t="s">
        <v>6399</v>
      </c>
      <c r="B1265" t="str">
        <v>Not Found</v>
      </c>
      <c r="C1265" t="s">
        <v>14</v>
      </c>
      <c r="D1265">
        <v>117.4</v>
      </c>
      <c r="E1265">
        <v>118</v>
      </c>
      <c r="F1265">
        <v>114.42</v>
      </c>
      <c r="G1265" s="3">
        <v>115.4</v>
      </c>
      <c r="H1265">
        <v>116</v>
      </c>
      <c r="I1265">
        <v>115.22</v>
      </c>
      <c r="J1265">
        <v>10739</v>
      </c>
      <c r="K1265">
        <v>1235856.24</v>
      </c>
      <c r="L1265" s="1">
        <v>45240</v>
      </c>
      <c r="M1265">
        <v>258</v>
      </c>
      <c r="N1265" t="s">
        <v>6398</v>
      </c>
      <c r="O1265" s="5">
        <v>45240</v>
      </c>
      <c r="P1265" s="5">
        <v>43777</v>
      </c>
    </row>
    <row r="1266" spans="1:16" x14ac:dyDescent="0.25">
      <c r="A1266" t="s">
        <v>6397</v>
      </c>
      <c r="B1266" t="str">
        <v>Not Found</v>
      </c>
      <c r="C1266" t="s">
        <v>14</v>
      </c>
      <c r="D1266">
        <v>499.93</v>
      </c>
      <c r="E1266">
        <v>500.66</v>
      </c>
      <c r="F1266">
        <v>496.17</v>
      </c>
      <c r="G1266" s="3">
        <v>499.63</v>
      </c>
      <c r="H1266">
        <v>500</v>
      </c>
      <c r="I1266">
        <v>499.92</v>
      </c>
      <c r="J1266">
        <v>2046</v>
      </c>
      <c r="K1266">
        <v>1020865.62</v>
      </c>
      <c r="L1266" s="1">
        <v>45240</v>
      </c>
      <c r="M1266">
        <v>185</v>
      </c>
      <c r="N1266" t="s">
        <v>6396</v>
      </c>
      <c r="O1266" s="5">
        <v>45240</v>
      </c>
      <c r="P1266" s="5">
        <v>43777</v>
      </c>
    </row>
    <row r="1267" spans="1:16" x14ac:dyDescent="0.25">
      <c r="A1267" t="s">
        <v>6395</v>
      </c>
      <c r="B1267" t="str">
        <v>Not Found</v>
      </c>
      <c r="C1267" t="s">
        <v>14</v>
      </c>
      <c r="D1267">
        <v>70.2</v>
      </c>
      <c r="E1267">
        <v>70.8</v>
      </c>
      <c r="F1267">
        <v>70.2</v>
      </c>
      <c r="G1267" s="3">
        <v>70.7</v>
      </c>
      <c r="H1267">
        <v>70.7</v>
      </c>
      <c r="I1267">
        <v>70.03</v>
      </c>
      <c r="J1267">
        <v>6405</v>
      </c>
      <c r="K1267">
        <v>453146.86</v>
      </c>
      <c r="L1267" s="1">
        <v>45240</v>
      </c>
      <c r="M1267">
        <v>69</v>
      </c>
      <c r="N1267" t="s">
        <v>6394</v>
      </c>
      <c r="O1267" s="5">
        <v>45240</v>
      </c>
      <c r="P1267" s="5">
        <v>43777</v>
      </c>
    </row>
    <row r="1268" spans="1:16" x14ac:dyDescent="0.25">
      <c r="A1268" t="s">
        <v>2812</v>
      </c>
      <c r="B1268" t="str">
        <v>Kothari Sugars And Chemicals Limited</v>
      </c>
      <c r="C1268" t="s">
        <v>10</v>
      </c>
      <c r="D1268">
        <v>52.7</v>
      </c>
      <c r="E1268">
        <v>53.05</v>
      </c>
      <c r="F1268">
        <v>51.2</v>
      </c>
      <c r="G1268" s="3">
        <v>52.65</v>
      </c>
      <c r="H1268">
        <v>53</v>
      </c>
      <c r="I1268">
        <v>52.7</v>
      </c>
      <c r="J1268">
        <v>57682</v>
      </c>
      <c r="K1268">
        <v>3011220.9</v>
      </c>
      <c r="L1268" s="1">
        <v>45240</v>
      </c>
      <c r="M1268">
        <v>596</v>
      </c>
      <c r="N1268" t="s">
        <v>2814</v>
      </c>
      <c r="O1268" s="5">
        <v>45240</v>
      </c>
      <c r="P1268" s="5">
        <v>43777</v>
      </c>
    </row>
    <row r="1269" spans="1:16" x14ac:dyDescent="0.25">
      <c r="A1269" t="s">
        <v>2815</v>
      </c>
      <c r="B1269" t="str">
        <v>Kothari Petrochemicals Limited</v>
      </c>
      <c r="C1269" t="s">
        <v>14</v>
      </c>
      <c r="D1269">
        <v>139.85</v>
      </c>
      <c r="E1269">
        <v>154.65</v>
      </c>
      <c r="F1269">
        <v>136.19999999999999</v>
      </c>
      <c r="G1269" s="3">
        <v>152.19999999999999</v>
      </c>
      <c r="H1269">
        <v>152.25</v>
      </c>
      <c r="I1269">
        <v>131.44999999999999</v>
      </c>
      <c r="J1269">
        <v>3196881</v>
      </c>
      <c r="K1269">
        <v>478099223.85000002</v>
      </c>
      <c r="L1269" s="1">
        <v>45240</v>
      </c>
      <c r="M1269">
        <v>33464</v>
      </c>
      <c r="N1269" t="s">
        <v>2817</v>
      </c>
      <c r="O1269" s="5">
        <v>45240</v>
      </c>
      <c r="P1269" s="5">
        <v>43777</v>
      </c>
    </row>
    <row r="1270" spans="1:16" x14ac:dyDescent="0.25">
      <c r="A1270" t="s">
        <v>2818</v>
      </c>
      <c r="B1270" t="str">
        <v>Kothari Products Limited</v>
      </c>
      <c r="C1270" t="s">
        <v>14</v>
      </c>
      <c r="D1270">
        <v>121.65</v>
      </c>
      <c r="E1270">
        <v>123.85</v>
      </c>
      <c r="F1270">
        <v>118.5</v>
      </c>
      <c r="G1270" s="3">
        <v>122.2</v>
      </c>
      <c r="H1270">
        <v>123</v>
      </c>
      <c r="I1270">
        <v>120.95</v>
      </c>
      <c r="J1270">
        <v>6792</v>
      </c>
      <c r="K1270">
        <v>826623.55</v>
      </c>
      <c r="L1270" s="1">
        <v>45240</v>
      </c>
      <c r="M1270">
        <v>246</v>
      </c>
      <c r="N1270" t="s">
        <v>2820</v>
      </c>
      <c r="O1270" s="5">
        <v>45240</v>
      </c>
      <c r="P1270" s="5">
        <v>43777</v>
      </c>
    </row>
    <row r="1271" spans="1:16" x14ac:dyDescent="0.25">
      <c r="A1271" t="s">
        <v>6393</v>
      </c>
      <c r="B1271" t="str">
        <v>Not Found</v>
      </c>
      <c r="C1271" t="s">
        <v>5788</v>
      </c>
      <c r="D1271">
        <v>824.95</v>
      </c>
      <c r="E1271">
        <v>845</v>
      </c>
      <c r="F1271">
        <v>822</v>
      </c>
      <c r="G1271" s="3">
        <v>828.6</v>
      </c>
      <c r="H1271">
        <v>829.95</v>
      </c>
      <c r="I1271">
        <v>823.15</v>
      </c>
      <c r="J1271">
        <v>21400</v>
      </c>
      <c r="K1271">
        <v>17915440</v>
      </c>
      <c r="L1271" s="1">
        <v>45240</v>
      </c>
      <c r="M1271">
        <v>93</v>
      </c>
      <c r="N1271" t="s">
        <v>6392</v>
      </c>
      <c r="O1271" s="5">
        <v>45240</v>
      </c>
      <c r="P1271" s="5">
        <v>43777</v>
      </c>
    </row>
    <row r="1272" spans="1:16" x14ac:dyDescent="0.25">
      <c r="A1272" t="s">
        <v>2821</v>
      </c>
      <c r="B1272" t="str">
        <v>KPI Green Energy Limited</v>
      </c>
      <c r="C1272" t="s">
        <v>14</v>
      </c>
      <c r="D1272">
        <v>993.7</v>
      </c>
      <c r="E1272">
        <v>1057.2</v>
      </c>
      <c r="F1272">
        <v>980.05</v>
      </c>
      <c r="G1272" s="3">
        <v>1057.2</v>
      </c>
      <c r="H1272">
        <v>1057.2</v>
      </c>
      <c r="I1272">
        <v>961.1</v>
      </c>
      <c r="J1272">
        <v>1285651</v>
      </c>
      <c r="K1272">
        <v>1316987847.5999999</v>
      </c>
      <c r="L1272" s="1">
        <v>45240</v>
      </c>
      <c r="M1272">
        <v>39205</v>
      </c>
      <c r="N1272" t="s">
        <v>2823</v>
      </c>
      <c r="O1272" s="5">
        <v>45240</v>
      </c>
      <c r="P1272" s="5">
        <v>43777</v>
      </c>
    </row>
    <row r="1273" spans="1:16" x14ac:dyDescent="0.25">
      <c r="A1273" t="s">
        <v>2824</v>
      </c>
      <c r="B1273" t="str">
        <v>Kalpataru Projects International Limited</v>
      </c>
      <c r="C1273" t="s">
        <v>14</v>
      </c>
      <c r="D1273">
        <v>614.75</v>
      </c>
      <c r="E1273">
        <v>634.70000000000005</v>
      </c>
      <c r="F1273">
        <v>614.75</v>
      </c>
      <c r="G1273" s="3">
        <v>630.25</v>
      </c>
      <c r="H1273">
        <v>628</v>
      </c>
      <c r="I1273">
        <v>614.75</v>
      </c>
      <c r="J1273">
        <v>203744</v>
      </c>
      <c r="K1273">
        <v>127412505</v>
      </c>
      <c r="L1273" s="1">
        <v>45240</v>
      </c>
      <c r="M1273">
        <v>11228</v>
      </c>
      <c r="N1273" t="s">
        <v>2826</v>
      </c>
      <c r="O1273" s="5">
        <v>45240</v>
      </c>
      <c r="P1273" s="5">
        <v>43777</v>
      </c>
    </row>
    <row r="1274" spans="1:16" x14ac:dyDescent="0.25">
      <c r="A1274" t="s">
        <v>2827</v>
      </c>
      <c r="B1274" t="str">
        <v>KPIT Technologies Limited</v>
      </c>
      <c r="C1274" t="s">
        <v>14</v>
      </c>
      <c r="D1274">
        <v>1314.55</v>
      </c>
      <c r="E1274">
        <v>1377.35</v>
      </c>
      <c r="F1274">
        <v>1310</v>
      </c>
      <c r="G1274" s="3">
        <v>1369.2</v>
      </c>
      <c r="H1274">
        <v>1362</v>
      </c>
      <c r="I1274">
        <v>1314.7</v>
      </c>
      <c r="J1274">
        <v>1439812</v>
      </c>
      <c r="K1274">
        <v>1947812589.8</v>
      </c>
      <c r="L1274" s="1">
        <v>45240</v>
      </c>
      <c r="M1274">
        <v>62031</v>
      </c>
      <c r="N1274" t="s">
        <v>2829</v>
      </c>
      <c r="O1274" s="5">
        <v>45240</v>
      </c>
      <c r="P1274" s="5">
        <v>43777</v>
      </c>
    </row>
    <row r="1275" spans="1:16" x14ac:dyDescent="0.25">
      <c r="A1275" t="s">
        <v>2830</v>
      </c>
      <c r="B1275" t="str">
        <v>K.P.R. Mill Limited</v>
      </c>
      <c r="C1275" t="s">
        <v>14</v>
      </c>
      <c r="D1275">
        <v>786</v>
      </c>
      <c r="E1275">
        <v>787.95</v>
      </c>
      <c r="F1275">
        <v>768.1</v>
      </c>
      <c r="G1275" s="3">
        <v>771.3</v>
      </c>
      <c r="H1275">
        <v>772</v>
      </c>
      <c r="I1275">
        <v>784.65</v>
      </c>
      <c r="J1275">
        <v>95015</v>
      </c>
      <c r="K1275">
        <v>73890945.799999997</v>
      </c>
      <c r="L1275" s="1">
        <v>45240</v>
      </c>
      <c r="M1275">
        <v>6601</v>
      </c>
      <c r="N1275" t="s">
        <v>2832</v>
      </c>
      <c r="O1275" s="5">
        <v>45240</v>
      </c>
      <c r="P1275" s="5">
        <v>43777</v>
      </c>
    </row>
    <row r="1276" spans="1:16" x14ac:dyDescent="0.25">
      <c r="A1276" t="s">
        <v>2833</v>
      </c>
      <c r="B1276" t="str">
        <v>KRBL Limited</v>
      </c>
      <c r="C1276" t="s">
        <v>14</v>
      </c>
      <c r="D1276">
        <v>353.9</v>
      </c>
      <c r="E1276">
        <v>359.05</v>
      </c>
      <c r="F1276">
        <v>350</v>
      </c>
      <c r="G1276" s="3">
        <v>355.3</v>
      </c>
      <c r="H1276">
        <v>355</v>
      </c>
      <c r="I1276">
        <v>353.9</v>
      </c>
      <c r="J1276">
        <v>829465</v>
      </c>
      <c r="K1276">
        <v>293997457</v>
      </c>
      <c r="L1276" s="1">
        <v>45240</v>
      </c>
      <c r="M1276">
        <v>17038</v>
      </c>
      <c r="N1276" t="s">
        <v>2835</v>
      </c>
      <c r="O1276" s="5">
        <v>45240</v>
      </c>
      <c r="P1276" s="5">
        <v>43777</v>
      </c>
    </row>
    <row r="1277" spans="1:16" x14ac:dyDescent="0.25">
      <c r="A1277" t="s">
        <v>2836</v>
      </c>
      <c r="B1277" t="str">
        <v>Krebs Biochemicals and Industries Limited</v>
      </c>
      <c r="C1277" t="s">
        <v>14</v>
      </c>
      <c r="D1277">
        <v>84.2</v>
      </c>
      <c r="E1277">
        <v>85.4</v>
      </c>
      <c r="F1277">
        <v>81.650000000000006</v>
      </c>
      <c r="G1277" s="3">
        <v>81.8</v>
      </c>
      <c r="H1277">
        <v>81.900000000000006</v>
      </c>
      <c r="I1277">
        <v>85.95</v>
      </c>
      <c r="J1277">
        <v>22883</v>
      </c>
      <c r="K1277">
        <v>1908684.75</v>
      </c>
      <c r="L1277" s="1">
        <v>45240</v>
      </c>
      <c r="M1277">
        <v>534</v>
      </c>
      <c r="N1277" t="s">
        <v>2838</v>
      </c>
      <c r="O1277" s="5">
        <v>45240</v>
      </c>
      <c r="P1277" s="5">
        <v>43777</v>
      </c>
    </row>
    <row r="1278" spans="1:16" x14ac:dyDescent="0.25">
      <c r="A1278" t="s">
        <v>2839</v>
      </c>
      <c r="B1278" t="str">
        <v>Kridhan Infra Limited</v>
      </c>
      <c r="C1278" t="s">
        <v>10</v>
      </c>
      <c r="D1278">
        <v>2.85</v>
      </c>
      <c r="E1278">
        <v>2.85</v>
      </c>
      <c r="F1278">
        <v>2.85</v>
      </c>
      <c r="G1278" s="3">
        <v>2.85</v>
      </c>
      <c r="H1278">
        <v>2.85</v>
      </c>
      <c r="I1278">
        <v>2.75</v>
      </c>
      <c r="J1278">
        <v>44562</v>
      </c>
      <c r="K1278">
        <v>127001.7</v>
      </c>
      <c r="L1278" s="1">
        <v>45240</v>
      </c>
      <c r="M1278">
        <v>33</v>
      </c>
      <c r="N1278" t="s">
        <v>2841</v>
      </c>
      <c r="O1278" s="5">
        <v>45240</v>
      </c>
      <c r="P1278" s="5">
        <v>43777</v>
      </c>
    </row>
    <row r="1279" spans="1:16" x14ac:dyDescent="0.25">
      <c r="A1279" t="s">
        <v>2842</v>
      </c>
      <c r="B1279" t="str">
        <v>Krishana Phoschem Limited</v>
      </c>
      <c r="C1279" t="s">
        <v>14</v>
      </c>
      <c r="D1279">
        <v>250.6</v>
      </c>
      <c r="E1279">
        <v>262</v>
      </c>
      <c r="F1279">
        <v>233.9</v>
      </c>
      <c r="G1279" s="3">
        <v>238.25</v>
      </c>
      <c r="H1279">
        <v>238.1</v>
      </c>
      <c r="I1279">
        <v>251.05</v>
      </c>
      <c r="J1279">
        <v>245916</v>
      </c>
      <c r="K1279">
        <v>61065887.700000003</v>
      </c>
      <c r="L1279" s="1">
        <v>45240</v>
      </c>
      <c r="M1279">
        <v>6865</v>
      </c>
      <c r="N1279" t="s">
        <v>2844</v>
      </c>
      <c r="O1279" s="5">
        <v>45240</v>
      </c>
      <c r="P1279" s="5">
        <v>43777</v>
      </c>
    </row>
    <row r="1280" spans="1:16" x14ac:dyDescent="0.25">
      <c r="A1280" t="s">
        <v>6391</v>
      </c>
      <c r="B1280" t="str">
        <v>Not Found</v>
      </c>
      <c r="C1280" t="s">
        <v>5788</v>
      </c>
      <c r="D1280">
        <v>223.3</v>
      </c>
      <c r="E1280">
        <v>241</v>
      </c>
      <c r="F1280">
        <v>222.7</v>
      </c>
      <c r="G1280" s="3">
        <v>234.55</v>
      </c>
      <c r="H1280">
        <v>233.8</v>
      </c>
      <c r="I1280">
        <v>219</v>
      </c>
      <c r="J1280">
        <v>130500</v>
      </c>
      <c r="K1280">
        <v>30370450</v>
      </c>
      <c r="L1280" s="1">
        <v>45240</v>
      </c>
      <c r="M1280">
        <v>214</v>
      </c>
      <c r="N1280" t="s">
        <v>6390</v>
      </c>
      <c r="O1280" s="5">
        <v>45240</v>
      </c>
      <c r="P1280" s="5">
        <v>43777</v>
      </c>
    </row>
    <row r="1281" spans="1:16" x14ac:dyDescent="0.25">
      <c r="A1281" t="s">
        <v>6389</v>
      </c>
      <c r="B1281" t="str">
        <v>Not Found</v>
      </c>
      <c r="C1281" t="s">
        <v>5788</v>
      </c>
      <c r="D1281">
        <v>290</v>
      </c>
      <c r="E1281">
        <v>290</v>
      </c>
      <c r="F1281">
        <v>270.75</v>
      </c>
      <c r="G1281" s="3">
        <v>270.75</v>
      </c>
      <c r="H1281">
        <v>270.75</v>
      </c>
      <c r="I1281">
        <v>285</v>
      </c>
      <c r="J1281">
        <v>3500</v>
      </c>
      <c r="K1281">
        <v>967125</v>
      </c>
      <c r="L1281" s="1">
        <v>45240</v>
      </c>
      <c r="M1281">
        <v>7</v>
      </c>
      <c r="N1281" t="s">
        <v>6388</v>
      </c>
      <c r="O1281" s="5">
        <v>45240</v>
      </c>
      <c r="P1281" s="5">
        <v>43777</v>
      </c>
    </row>
    <row r="1282" spans="1:16" x14ac:dyDescent="0.25">
      <c r="A1282" t="s">
        <v>6387</v>
      </c>
      <c r="B1282" t="str">
        <v>Not Found</v>
      </c>
      <c r="C1282" t="s">
        <v>5788</v>
      </c>
      <c r="D1282">
        <v>297</v>
      </c>
      <c r="E1282">
        <v>301.25</v>
      </c>
      <c r="F1282">
        <v>297</v>
      </c>
      <c r="G1282" s="3">
        <v>300.10000000000002</v>
      </c>
      <c r="H1282">
        <v>301.25</v>
      </c>
      <c r="I1282">
        <v>296.7</v>
      </c>
      <c r="J1282">
        <v>20500</v>
      </c>
      <c r="K1282">
        <v>6138125</v>
      </c>
      <c r="L1282" s="1">
        <v>45240</v>
      </c>
      <c r="M1282">
        <v>34</v>
      </c>
      <c r="N1282" t="s">
        <v>6386</v>
      </c>
      <c r="O1282" s="5">
        <v>45240</v>
      </c>
      <c r="P1282" s="5">
        <v>43777</v>
      </c>
    </row>
    <row r="1283" spans="1:16" x14ac:dyDescent="0.25">
      <c r="A1283" t="s">
        <v>2845</v>
      </c>
      <c r="B1283" t="str">
        <v>Kriti Industries (India) Limited</v>
      </c>
      <c r="C1283" t="s">
        <v>14</v>
      </c>
      <c r="D1283">
        <v>95.4</v>
      </c>
      <c r="E1283">
        <v>96.6</v>
      </c>
      <c r="F1283">
        <v>92.2</v>
      </c>
      <c r="G1283" s="3">
        <v>92.75</v>
      </c>
      <c r="H1283">
        <v>93.65</v>
      </c>
      <c r="I1283">
        <v>95.35</v>
      </c>
      <c r="J1283">
        <v>79488</v>
      </c>
      <c r="K1283">
        <v>7457413.75</v>
      </c>
      <c r="L1283" s="1">
        <v>45240</v>
      </c>
      <c r="M1283">
        <v>1226</v>
      </c>
      <c r="N1283" t="s">
        <v>2847</v>
      </c>
      <c r="O1283" s="5">
        <v>45240</v>
      </c>
      <c r="P1283" s="5">
        <v>43777</v>
      </c>
    </row>
    <row r="1284" spans="1:16" x14ac:dyDescent="0.25">
      <c r="A1284" t="s">
        <v>2848</v>
      </c>
      <c r="B1284" t="str">
        <v>Kritika Wires Limited</v>
      </c>
      <c r="C1284" t="s">
        <v>10</v>
      </c>
      <c r="D1284">
        <v>22.1</v>
      </c>
      <c r="E1284">
        <v>22.1</v>
      </c>
      <c r="F1284">
        <v>22.1</v>
      </c>
      <c r="G1284" s="3">
        <v>22.1</v>
      </c>
      <c r="H1284">
        <v>22.1</v>
      </c>
      <c r="I1284">
        <v>21.7</v>
      </c>
      <c r="J1284">
        <v>89756</v>
      </c>
      <c r="K1284">
        <v>1983607.6</v>
      </c>
      <c r="L1284" s="1">
        <v>45240</v>
      </c>
      <c r="M1284">
        <v>297</v>
      </c>
      <c r="N1284" t="s">
        <v>2850</v>
      </c>
      <c r="O1284" s="5">
        <v>45240</v>
      </c>
      <c r="P1284" s="5">
        <v>43777</v>
      </c>
    </row>
    <row r="1285" spans="1:16" x14ac:dyDescent="0.25">
      <c r="A1285" t="s">
        <v>2851</v>
      </c>
      <c r="B1285" t="str">
        <v>Kriti Nutrients Limited</v>
      </c>
      <c r="C1285" t="s">
        <v>10</v>
      </c>
      <c r="D1285">
        <v>74</v>
      </c>
      <c r="E1285">
        <v>74</v>
      </c>
      <c r="F1285">
        <v>73.400000000000006</v>
      </c>
      <c r="G1285" s="3">
        <v>73.599999999999994</v>
      </c>
      <c r="H1285">
        <v>73.599999999999994</v>
      </c>
      <c r="I1285">
        <v>74</v>
      </c>
      <c r="J1285">
        <v>4500</v>
      </c>
      <c r="K1285">
        <v>331455.90000000002</v>
      </c>
      <c r="L1285" s="1">
        <v>45240</v>
      </c>
      <c r="M1285">
        <v>32</v>
      </c>
      <c r="N1285" t="s">
        <v>2853</v>
      </c>
      <c r="O1285" s="5">
        <v>45240</v>
      </c>
      <c r="P1285" s="5">
        <v>43777</v>
      </c>
    </row>
    <row r="1286" spans="1:16" x14ac:dyDescent="0.25">
      <c r="A1286" t="s">
        <v>2854</v>
      </c>
      <c r="B1286" t="str">
        <v>Krsnaa Diagnostics Limited</v>
      </c>
      <c r="C1286" t="s">
        <v>14</v>
      </c>
      <c r="D1286">
        <v>634.25</v>
      </c>
      <c r="E1286">
        <v>650</v>
      </c>
      <c r="F1286">
        <v>630</v>
      </c>
      <c r="G1286" s="3">
        <v>641.54999999999995</v>
      </c>
      <c r="H1286">
        <v>636.29999999999995</v>
      </c>
      <c r="I1286">
        <v>634.25</v>
      </c>
      <c r="J1286">
        <v>235219</v>
      </c>
      <c r="K1286">
        <v>149959837.44999999</v>
      </c>
      <c r="L1286" s="1">
        <v>45240</v>
      </c>
      <c r="M1286">
        <v>8451</v>
      </c>
      <c r="N1286" t="s">
        <v>2856</v>
      </c>
      <c r="O1286" s="5">
        <v>45240</v>
      </c>
      <c r="P1286" s="5">
        <v>43777</v>
      </c>
    </row>
    <row r="1287" spans="1:16" x14ac:dyDescent="0.25">
      <c r="A1287" t="s">
        <v>2857</v>
      </c>
      <c r="B1287" t="str">
        <v>Ksb Limited</v>
      </c>
      <c r="C1287" t="s">
        <v>14</v>
      </c>
      <c r="D1287">
        <v>3070</v>
      </c>
      <c r="E1287">
        <v>3127.9</v>
      </c>
      <c r="F1287">
        <v>3011.2</v>
      </c>
      <c r="G1287" s="3">
        <v>3041</v>
      </c>
      <c r="H1287">
        <v>3038.95</v>
      </c>
      <c r="I1287">
        <v>3092.1</v>
      </c>
      <c r="J1287">
        <v>19646</v>
      </c>
      <c r="K1287">
        <v>60313661.600000001</v>
      </c>
      <c r="L1287" s="1">
        <v>45240</v>
      </c>
      <c r="M1287">
        <v>5037</v>
      </c>
      <c r="N1287" t="s">
        <v>2859</v>
      </c>
      <c r="O1287" s="5">
        <v>45240</v>
      </c>
      <c r="P1287" s="5">
        <v>43777</v>
      </c>
    </row>
    <row r="1288" spans="1:16" x14ac:dyDescent="0.25">
      <c r="A1288" t="s">
        <v>2860</v>
      </c>
      <c r="B1288" t="str">
        <v>Kaveri Seed Company Limited</v>
      </c>
      <c r="C1288" t="s">
        <v>14</v>
      </c>
      <c r="D1288">
        <v>609.20000000000005</v>
      </c>
      <c r="E1288">
        <v>616.9</v>
      </c>
      <c r="F1288">
        <v>597.29999999999995</v>
      </c>
      <c r="G1288" s="3">
        <v>601.45000000000005</v>
      </c>
      <c r="H1288">
        <v>603.79999999999995</v>
      </c>
      <c r="I1288">
        <v>606.15</v>
      </c>
      <c r="J1288">
        <v>78979</v>
      </c>
      <c r="K1288">
        <v>47875388.899999999</v>
      </c>
      <c r="L1288" s="1">
        <v>45240</v>
      </c>
      <c r="M1288">
        <v>6457</v>
      </c>
      <c r="N1288" t="s">
        <v>2862</v>
      </c>
      <c r="O1288" s="5">
        <v>45240</v>
      </c>
      <c r="P1288" s="5">
        <v>43777</v>
      </c>
    </row>
    <row r="1289" spans="1:16" x14ac:dyDescent="0.25">
      <c r="A1289" t="s">
        <v>2863</v>
      </c>
      <c r="B1289" t="str">
        <v>Kshitij Polyline Limited</v>
      </c>
      <c r="C1289" t="s">
        <v>10</v>
      </c>
      <c r="D1289">
        <v>7.45</v>
      </c>
      <c r="E1289">
        <v>7.45</v>
      </c>
      <c r="F1289">
        <v>7.45</v>
      </c>
      <c r="G1289" s="3">
        <v>7.45</v>
      </c>
      <c r="H1289">
        <v>7.45</v>
      </c>
      <c r="I1289">
        <v>7.6</v>
      </c>
      <c r="J1289">
        <v>52801</v>
      </c>
      <c r="K1289">
        <v>393367.45</v>
      </c>
      <c r="L1289" s="1">
        <v>45240</v>
      </c>
      <c r="M1289">
        <v>225</v>
      </c>
      <c r="N1289" t="s">
        <v>2865</v>
      </c>
      <c r="O1289" s="5">
        <v>45240</v>
      </c>
      <c r="P1289" s="5">
        <v>43777</v>
      </c>
    </row>
    <row r="1290" spans="1:16" x14ac:dyDescent="0.25">
      <c r="A1290" t="s">
        <v>2866</v>
      </c>
      <c r="B1290" t="str">
        <v>Kalyani Steels Limited</v>
      </c>
      <c r="C1290" t="s">
        <v>14</v>
      </c>
      <c r="D1290">
        <v>457.15</v>
      </c>
      <c r="E1290">
        <v>462.7</v>
      </c>
      <c r="F1290">
        <v>450</v>
      </c>
      <c r="G1290" s="3">
        <v>451.6</v>
      </c>
      <c r="H1290">
        <v>453</v>
      </c>
      <c r="I1290">
        <v>456.05</v>
      </c>
      <c r="J1290">
        <v>43469</v>
      </c>
      <c r="K1290">
        <v>19827065.100000001</v>
      </c>
      <c r="L1290" s="1">
        <v>45240</v>
      </c>
      <c r="M1290">
        <v>4495</v>
      </c>
      <c r="N1290" t="s">
        <v>2868</v>
      </c>
      <c r="O1290" s="5">
        <v>45240</v>
      </c>
      <c r="P1290" s="5">
        <v>43777</v>
      </c>
    </row>
    <row r="1291" spans="1:16" x14ac:dyDescent="0.25">
      <c r="A1291" t="s">
        <v>2869</v>
      </c>
      <c r="B1291" t="str">
        <v>Ksolves India Limited</v>
      </c>
      <c r="C1291" t="s">
        <v>10</v>
      </c>
      <c r="D1291">
        <v>1055</v>
      </c>
      <c r="E1291">
        <v>1066.9000000000001</v>
      </c>
      <c r="F1291">
        <v>1050</v>
      </c>
      <c r="G1291" s="3">
        <v>1053.05</v>
      </c>
      <c r="H1291">
        <v>1054.75</v>
      </c>
      <c r="I1291">
        <v>1052.0999999999999</v>
      </c>
      <c r="J1291">
        <v>9246</v>
      </c>
      <c r="K1291">
        <v>9737751</v>
      </c>
      <c r="L1291" s="1">
        <v>45240</v>
      </c>
      <c r="M1291">
        <v>1004</v>
      </c>
      <c r="N1291" t="s">
        <v>2871</v>
      </c>
      <c r="O1291" s="5">
        <v>45240</v>
      </c>
      <c r="P1291" s="5">
        <v>43777</v>
      </c>
    </row>
    <row r="1292" spans="1:16" x14ac:dyDescent="0.25">
      <c r="A1292" t="s">
        <v>2872</v>
      </c>
      <c r="B1292" t="str">
        <v>The Karnataka Bank Limited</v>
      </c>
      <c r="C1292" t="s">
        <v>14</v>
      </c>
      <c r="D1292">
        <v>219.05</v>
      </c>
      <c r="E1292">
        <v>219.35</v>
      </c>
      <c r="F1292">
        <v>215</v>
      </c>
      <c r="G1292" s="3">
        <v>216.9</v>
      </c>
      <c r="H1292">
        <v>217.45</v>
      </c>
      <c r="I1292">
        <v>219.35</v>
      </c>
      <c r="J1292">
        <v>817314</v>
      </c>
      <c r="K1292">
        <v>177876273.69999999</v>
      </c>
      <c r="L1292" s="1">
        <v>45240</v>
      </c>
      <c r="M1292">
        <v>12152</v>
      </c>
      <c r="N1292" t="s">
        <v>2874</v>
      </c>
      <c r="O1292" s="5">
        <v>45240</v>
      </c>
      <c r="P1292" s="5">
        <v>43777</v>
      </c>
    </row>
    <row r="1293" spans="1:16" x14ac:dyDescent="0.25">
      <c r="A1293" t="s">
        <v>2875</v>
      </c>
      <c r="B1293" t="str">
        <v>Kuantum Papers Limited</v>
      </c>
      <c r="C1293" t="s">
        <v>14</v>
      </c>
      <c r="D1293">
        <v>172</v>
      </c>
      <c r="E1293">
        <v>176.8</v>
      </c>
      <c r="F1293">
        <v>170.1</v>
      </c>
      <c r="G1293" s="3">
        <v>172.85</v>
      </c>
      <c r="H1293">
        <v>171</v>
      </c>
      <c r="I1293">
        <v>174</v>
      </c>
      <c r="J1293">
        <v>114442</v>
      </c>
      <c r="K1293">
        <v>19830040.350000001</v>
      </c>
      <c r="L1293" s="1">
        <v>45240</v>
      </c>
      <c r="M1293">
        <v>3184</v>
      </c>
      <c r="N1293" t="s">
        <v>2877</v>
      </c>
      <c r="O1293" s="5">
        <v>45240</v>
      </c>
      <c r="P1293" s="5">
        <v>43777</v>
      </c>
    </row>
    <row r="1294" spans="1:16" x14ac:dyDescent="0.25">
      <c r="A1294" t="s">
        <v>2878</v>
      </c>
      <c r="B1294" t="str">
        <v>L&amp;T Finance Holdings Limited</v>
      </c>
      <c r="C1294" t="s">
        <v>14</v>
      </c>
      <c r="D1294">
        <v>140.94999999999999</v>
      </c>
      <c r="E1294">
        <v>142.1</v>
      </c>
      <c r="F1294">
        <v>138.5</v>
      </c>
      <c r="G1294" s="3">
        <v>140.80000000000001</v>
      </c>
      <c r="H1294">
        <v>141.35</v>
      </c>
      <c r="I1294">
        <v>140.94999999999999</v>
      </c>
      <c r="J1294">
        <v>7375541</v>
      </c>
      <c r="K1294">
        <v>1037757185.65</v>
      </c>
      <c r="L1294" s="1">
        <v>45240</v>
      </c>
      <c r="M1294">
        <v>41171</v>
      </c>
      <c r="N1294" t="s">
        <v>2880</v>
      </c>
      <c r="O1294" s="5">
        <v>45240</v>
      </c>
      <c r="P1294" s="5">
        <v>43777</v>
      </c>
    </row>
    <row r="1295" spans="1:16" x14ac:dyDescent="0.25">
      <c r="A1295" t="s">
        <v>6375</v>
      </c>
      <c r="B1295" t="str">
        <v>Not Found</v>
      </c>
      <c r="C1295" t="s">
        <v>6385</v>
      </c>
      <c r="D1295">
        <v>1105.0999999999999</v>
      </c>
      <c r="E1295">
        <v>1105.0999999999999</v>
      </c>
      <c r="F1295">
        <v>1105.0999999999999</v>
      </c>
      <c r="G1295" s="3">
        <v>1105.0999999999999</v>
      </c>
      <c r="H1295">
        <v>1105.0999999999999</v>
      </c>
      <c r="I1295">
        <v>1107</v>
      </c>
      <c r="J1295">
        <v>40</v>
      </c>
      <c r="K1295">
        <v>44204</v>
      </c>
      <c r="L1295" s="1">
        <v>45240</v>
      </c>
      <c r="M1295">
        <v>2</v>
      </c>
      <c r="N1295" t="s">
        <v>6384</v>
      </c>
      <c r="O1295" s="5">
        <v>45240</v>
      </c>
      <c r="P1295" s="5">
        <v>43777</v>
      </c>
    </row>
    <row r="1296" spans="1:16" x14ac:dyDescent="0.25">
      <c r="A1296" t="s">
        <v>6375</v>
      </c>
      <c r="B1296" t="str">
        <v>Not Found</v>
      </c>
      <c r="C1296" t="s">
        <v>6383</v>
      </c>
      <c r="D1296">
        <v>1070</v>
      </c>
      <c r="E1296">
        <v>1070</v>
      </c>
      <c r="F1296">
        <v>1070</v>
      </c>
      <c r="G1296" s="3">
        <v>1070</v>
      </c>
      <c r="H1296">
        <v>1070</v>
      </c>
      <c r="I1296">
        <v>1057</v>
      </c>
      <c r="J1296">
        <v>10</v>
      </c>
      <c r="K1296">
        <v>10700</v>
      </c>
      <c r="L1296" s="1">
        <v>45240</v>
      </c>
      <c r="M1296">
        <v>2</v>
      </c>
      <c r="N1296" t="s">
        <v>6382</v>
      </c>
      <c r="O1296" s="5">
        <v>45240</v>
      </c>
      <c r="P1296" s="5">
        <v>43777</v>
      </c>
    </row>
    <row r="1297" spans="1:16" x14ac:dyDescent="0.25">
      <c r="A1297" t="s">
        <v>6375</v>
      </c>
      <c r="B1297" t="str">
        <v>Not Found</v>
      </c>
      <c r="C1297" t="s">
        <v>6381</v>
      </c>
      <c r="D1297">
        <v>1034.75</v>
      </c>
      <c r="E1297">
        <v>1034.75</v>
      </c>
      <c r="F1297">
        <v>1034.75</v>
      </c>
      <c r="G1297" s="3">
        <v>1034.75</v>
      </c>
      <c r="H1297">
        <v>1034.75</v>
      </c>
      <c r="I1297">
        <v>1015</v>
      </c>
      <c r="J1297">
        <v>3</v>
      </c>
      <c r="K1297">
        <v>3104.25</v>
      </c>
      <c r="L1297" s="1">
        <v>45240</v>
      </c>
      <c r="M1297">
        <v>1</v>
      </c>
      <c r="N1297" t="s">
        <v>6380</v>
      </c>
      <c r="O1297" s="5">
        <v>45240</v>
      </c>
      <c r="P1297" s="5">
        <v>43777</v>
      </c>
    </row>
    <row r="1298" spans="1:16" x14ac:dyDescent="0.25">
      <c r="A1298" t="s">
        <v>6375</v>
      </c>
      <c r="B1298" t="str">
        <v>Not Found</v>
      </c>
      <c r="C1298" t="s">
        <v>6379</v>
      </c>
      <c r="D1298">
        <v>1080</v>
      </c>
      <c r="E1298">
        <v>1080</v>
      </c>
      <c r="F1298">
        <v>1080</v>
      </c>
      <c r="G1298" s="3">
        <v>1080</v>
      </c>
      <c r="H1298">
        <v>1080</v>
      </c>
      <c r="I1298">
        <v>1076.9000000000001</v>
      </c>
      <c r="J1298">
        <v>30</v>
      </c>
      <c r="K1298">
        <v>32400</v>
      </c>
      <c r="L1298" s="1">
        <v>45240</v>
      </c>
      <c r="M1298">
        <v>3</v>
      </c>
      <c r="N1298" t="s">
        <v>6378</v>
      </c>
      <c r="O1298" s="5">
        <v>45240</v>
      </c>
      <c r="P1298" s="5">
        <v>43777</v>
      </c>
    </row>
    <row r="1299" spans="1:16" x14ac:dyDescent="0.25">
      <c r="A1299" t="s">
        <v>6375</v>
      </c>
      <c r="B1299" t="str">
        <v>Not Found</v>
      </c>
      <c r="C1299" t="s">
        <v>6377</v>
      </c>
      <c r="D1299">
        <v>1010</v>
      </c>
      <c r="E1299">
        <v>1010</v>
      </c>
      <c r="F1299">
        <v>1002</v>
      </c>
      <c r="G1299" s="3">
        <v>1005</v>
      </c>
      <c r="H1299">
        <v>1005</v>
      </c>
      <c r="I1299">
        <v>1002</v>
      </c>
      <c r="J1299">
        <v>131</v>
      </c>
      <c r="K1299">
        <v>131754.99</v>
      </c>
      <c r="L1299" s="1">
        <v>45240</v>
      </c>
      <c r="M1299">
        <v>8</v>
      </c>
      <c r="N1299" t="s">
        <v>6376</v>
      </c>
      <c r="O1299" s="5">
        <v>45240</v>
      </c>
      <c r="P1299" s="5">
        <v>43777</v>
      </c>
    </row>
    <row r="1300" spans="1:16" x14ac:dyDescent="0.25">
      <c r="A1300" t="s">
        <v>6375</v>
      </c>
      <c r="B1300" t="str">
        <v>Not Found</v>
      </c>
      <c r="C1300" t="s">
        <v>6374</v>
      </c>
      <c r="D1300">
        <v>1086.5</v>
      </c>
      <c r="E1300">
        <v>1090</v>
      </c>
      <c r="F1300">
        <v>1084</v>
      </c>
      <c r="G1300" s="3">
        <v>1088.4100000000001</v>
      </c>
      <c r="H1300">
        <v>1088.05</v>
      </c>
      <c r="I1300">
        <v>1086</v>
      </c>
      <c r="J1300">
        <v>1719</v>
      </c>
      <c r="K1300">
        <v>1867624.7</v>
      </c>
      <c r="L1300" s="1">
        <v>45240</v>
      </c>
      <c r="M1300">
        <v>18</v>
      </c>
      <c r="N1300" t="s">
        <v>6373</v>
      </c>
      <c r="O1300" s="5">
        <v>45240</v>
      </c>
      <c r="P1300" s="5">
        <v>43777</v>
      </c>
    </row>
    <row r="1301" spans="1:16" x14ac:dyDescent="0.25">
      <c r="A1301" t="s">
        <v>2881</v>
      </c>
      <c r="B1301" t="str">
        <v>Lagnam Spintex Limited</v>
      </c>
      <c r="C1301" t="s">
        <v>14</v>
      </c>
      <c r="D1301">
        <v>77.2</v>
      </c>
      <c r="E1301">
        <v>78.900000000000006</v>
      </c>
      <c r="F1301">
        <v>73.150000000000006</v>
      </c>
      <c r="G1301" s="3">
        <v>75.25</v>
      </c>
      <c r="H1301">
        <v>75.05</v>
      </c>
      <c r="I1301">
        <v>79.05</v>
      </c>
      <c r="J1301">
        <v>125493</v>
      </c>
      <c r="K1301">
        <v>9494248.5999999996</v>
      </c>
      <c r="L1301" s="1">
        <v>45240</v>
      </c>
      <c r="M1301">
        <v>1778</v>
      </c>
      <c r="N1301" t="s">
        <v>2883</v>
      </c>
      <c r="O1301" s="5">
        <v>45240</v>
      </c>
      <c r="P1301" s="5">
        <v>43777</v>
      </c>
    </row>
    <row r="1302" spans="1:16" x14ac:dyDescent="0.25">
      <c r="A1302" t="s">
        <v>2887</v>
      </c>
      <c r="B1302" t="str">
        <v>Lorenzini Apparels Limited</v>
      </c>
      <c r="C1302" t="s">
        <v>10</v>
      </c>
      <c r="D1302">
        <v>270.5</v>
      </c>
      <c r="E1302">
        <v>276</v>
      </c>
      <c r="F1302">
        <v>269</v>
      </c>
      <c r="G1302" s="3">
        <v>271.95</v>
      </c>
      <c r="H1302">
        <v>269</v>
      </c>
      <c r="I1302">
        <v>266.35000000000002</v>
      </c>
      <c r="J1302">
        <v>3961</v>
      </c>
      <c r="K1302">
        <v>1086633</v>
      </c>
      <c r="L1302" s="1">
        <v>45240</v>
      </c>
      <c r="M1302">
        <v>37</v>
      </c>
      <c r="N1302" t="s">
        <v>2889</v>
      </c>
      <c r="O1302" s="5">
        <v>45240</v>
      </c>
      <c r="P1302" s="5">
        <v>43777</v>
      </c>
    </row>
    <row r="1303" spans="1:16" x14ac:dyDescent="0.25">
      <c r="A1303" t="s">
        <v>2890</v>
      </c>
      <c r="B1303" t="str">
        <v>Dr. Lal Path Labs Ltd.</v>
      </c>
      <c r="C1303" t="s">
        <v>14</v>
      </c>
      <c r="D1303">
        <v>2724.95</v>
      </c>
      <c r="E1303">
        <v>2729.25</v>
      </c>
      <c r="F1303">
        <v>2667.1</v>
      </c>
      <c r="G1303" s="3">
        <v>2676.9</v>
      </c>
      <c r="H1303">
        <v>2678</v>
      </c>
      <c r="I1303">
        <v>2732.55</v>
      </c>
      <c r="J1303">
        <v>262993</v>
      </c>
      <c r="K1303">
        <v>710399748.79999995</v>
      </c>
      <c r="L1303" s="1">
        <v>45240</v>
      </c>
      <c r="M1303">
        <v>34743</v>
      </c>
      <c r="N1303" t="s">
        <v>2892</v>
      </c>
      <c r="O1303" s="5">
        <v>45240</v>
      </c>
      <c r="P1303" s="5">
        <v>43777</v>
      </c>
    </row>
    <row r="1304" spans="1:16" x14ac:dyDescent="0.25">
      <c r="A1304" t="s">
        <v>2893</v>
      </c>
      <c r="B1304" t="str">
        <v>Lambodhara Textiles Limited</v>
      </c>
      <c r="C1304" t="s">
        <v>14</v>
      </c>
      <c r="D1304">
        <v>153.05000000000001</v>
      </c>
      <c r="E1304">
        <v>155.75</v>
      </c>
      <c r="F1304">
        <v>153</v>
      </c>
      <c r="G1304" s="3">
        <v>154.44999999999999</v>
      </c>
      <c r="H1304">
        <v>155</v>
      </c>
      <c r="I1304">
        <v>152.75</v>
      </c>
      <c r="J1304">
        <v>8856</v>
      </c>
      <c r="K1304">
        <v>1369555.95</v>
      </c>
      <c r="L1304" s="1">
        <v>45240</v>
      </c>
      <c r="M1304">
        <v>345</v>
      </c>
      <c r="N1304" t="s">
        <v>2895</v>
      </c>
      <c r="O1304" s="5">
        <v>45240</v>
      </c>
      <c r="P1304" s="5">
        <v>43777</v>
      </c>
    </row>
    <row r="1305" spans="1:16" x14ac:dyDescent="0.25">
      <c r="A1305" t="s">
        <v>2896</v>
      </c>
      <c r="B1305" t="str">
        <v>Landmark Cars Limited</v>
      </c>
      <c r="C1305" t="s">
        <v>14</v>
      </c>
      <c r="D1305">
        <v>687.75</v>
      </c>
      <c r="E1305">
        <v>704.2</v>
      </c>
      <c r="F1305">
        <v>674</v>
      </c>
      <c r="G1305" s="3">
        <v>700.8</v>
      </c>
      <c r="H1305">
        <v>699.5</v>
      </c>
      <c r="I1305">
        <v>684.55</v>
      </c>
      <c r="J1305">
        <v>191190</v>
      </c>
      <c r="K1305">
        <v>132158500.34999999</v>
      </c>
      <c r="L1305" s="1">
        <v>45240</v>
      </c>
      <c r="M1305">
        <v>12800</v>
      </c>
      <c r="N1305" t="s">
        <v>2898</v>
      </c>
      <c r="O1305" s="5">
        <v>45240</v>
      </c>
      <c r="P1305" s="5">
        <v>43777</v>
      </c>
    </row>
    <row r="1306" spans="1:16" x14ac:dyDescent="0.25">
      <c r="A1306" t="s">
        <v>2899</v>
      </c>
      <c r="B1306" t="str">
        <v>La Opala RG Limited</v>
      </c>
      <c r="C1306" t="s">
        <v>14</v>
      </c>
      <c r="D1306">
        <v>430.4</v>
      </c>
      <c r="E1306">
        <v>442.9</v>
      </c>
      <c r="F1306">
        <v>421.7</v>
      </c>
      <c r="G1306" s="3">
        <v>424.55</v>
      </c>
      <c r="H1306">
        <v>423.5</v>
      </c>
      <c r="I1306">
        <v>429.75</v>
      </c>
      <c r="J1306">
        <v>123662</v>
      </c>
      <c r="K1306">
        <v>53373124.600000001</v>
      </c>
      <c r="L1306" s="1">
        <v>45240</v>
      </c>
      <c r="M1306">
        <v>11936</v>
      </c>
      <c r="N1306" t="s">
        <v>2901</v>
      </c>
      <c r="O1306" s="5">
        <v>45240</v>
      </c>
      <c r="P1306" s="5">
        <v>43777</v>
      </c>
    </row>
    <row r="1307" spans="1:16" x14ac:dyDescent="0.25">
      <c r="A1307" t="s">
        <v>2902</v>
      </c>
      <c r="B1307" t="str">
        <v>Lasa Supergenerics Limited</v>
      </c>
      <c r="C1307" t="s">
        <v>14</v>
      </c>
      <c r="D1307">
        <v>25.8</v>
      </c>
      <c r="E1307">
        <v>26.35</v>
      </c>
      <c r="F1307">
        <v>25.25</v>
      </c>
      <c r="G1307" s="3">
        <v>25.65</v>
      </c>
      <c r="H1307">
        <v>25.6</v>
      </c>
      <c r="I1307">
        <v>26.25</v>
      </c>
      <c r="J1307">
        <v>20842</v>
      </c>
      <c r="K1307">
        <v>537959.05000000005</v>
      </c>
      <c r="L1307" s="1">
        <v>45240</v>
      </c>
      <c r="M1307">
        <v>306</v>
      </c>
      <c r="N1307" t="s">
        <v>2904</v>
      </c>
      <c r="O1307" s="5">
        <v>45240</v>
      </c>
      <c r="P1307" s="5">
        <v>43777</v>
      </c>
    </row>
    <row r="1308" spans="1:16" x14ac:dyDescent="0.25">
      <c r="A1308" t="s">
        <v>2905</v>
      </c>
      <c r="B1308" t="str">
        <v>Latent View Analytics Limited</v>
      </c>
      <c r="C1308" t="s">
        <v>14</v>
      </c>
      <c r="D1308">
        <v>408.1</v>
      </c>
      <c r="E1308">
        <v>411</v>
      </c>
      <c r="F1308">
        <v>407.65</v>
      </c>
      <c r="G1308" s="3">
        <v>409.4</v>
      </c>
      <c r="H1308">
        <v>410</v>
      </c>
      <c r="I1308">
        <v>410.4</v>
      </c>
      <c r="J1308">
        <v>339089</v>
      </c>
      <c r="K1308">
        <v>138827586.05000001</v>
      </c>
      <c r="L1308" s="1">
        <v>45240</v>
      </c>
      <c r="M1308">
        <v>5800</v>
      </c>
      <c r="N1308" t="s">
        <v>2907</v>
      </c>
      <c r="O1308" s="5">
        <v>45240</v>
      </c>
      <c r="P1308" s="5">
        <v>43777</v>
      </c>
    </row>
    <row r="1309" spans="1:16" x14ac:dyDescent="0.25">
      <c r="A1309" t="s">
        <v>2908</v>
      </c>
      <c r="B1309" t="str">
        <v>Latteys Industries Limited</v>
      </c>
      <c r="C1309" t="s">
        <v>14</v>
      </c>
      <c r="D1309">
        <v>35.950000000000003</v>
      </c>
      <c r="E1309">
        <v>37.25</v>
      </c>
      <c r="F1309">
        <v>34.5</v>
      </c>
      <c r="G1309" s="3">
        <v>35.700000000000003</v>
      </c>
      <c r="H1309">
        <v>36.4</v>
      </c>
      <c r="I1309">
        <v>35.950000000000003</v>
      </c>
      <c r="J1309">
        <v>139991</v>
      </c>
      <c r="K1309">
        <v>4949928.25</v>
      </c>
      <c r="L1309" s="1">
        <v>45240</v>
      </c>
      <c r="M1309">
        <v>1505</v>
      </c>
      <c r="N1309" t="s">
        <v>2910</v>
      </c>
      <c r="O1309" s="5">
        <v>45240</v>
      </c>
      <c r="P1309" s="5">
        <v>43777</v>
      </c>
    </row>
    <row r="1310" spans="1:16" x14ac:dyDescent="0.25">
      <c r="A1310" t="s">
        <v>2911</v>
      </c>
      <c r="B1310" t="str">
        <v>Laurus Labs Limited</v>
      </c>
      <c r="C1310" t="s">
        <v>14</v>
      </c>
      <c r="D1310">
        <v>369.45</v>
      </c>
      <c r="E1310">
        <v>370</v>
      </c>
      <c r="F1310">
        <v>365.4</v>
      </c>
      <c r="G1310" s="3">
        <v>368.95</v>
      </c>
      <c r="H1310">
        <v>369.85</v>
      </c>
      <c r="I1310">
        <v>369.7</v>
      </c>
      <c r="J1310">
        <v>383187</v>
      </c>
      <c r="K1310">
        <v>141142933.59999999</v>
      </c>
      <c r="L1310" s="1">
        <v>45240</v>
      </c>
      <c r="M1310">
        <v>8480</v>
      </c>
      <c r="N1310" t="s">
        <v>2913</v>
      </c>
      <c r="O1310" s="5">
        <v>45240</v>
      </c>
      <c r="P1310" s="5">
        <v>43777</v>
      </c>
    </row>
    <row r="1311" spans="1:16" x14ac:dyDescent="0.25">
      <c r="A1311" t="s">
        <v>2914</v>
      </c>
      <c r="B1311" t="str">
        <v>Laxmi Cotspin Limited</v>
      </c>
      <c r="C1311" t="s">
        <v>14</v>
      </c>
      <c r="D1311">
        <v>23.7</v>
      </c>
      <c r="E1311">
        <v>23.7</v>
      </c>
      <c r="F1311">
        <v>22.7</v>
      </c>
      <c r="G1311" s="3">
        <v>22.95</v>
      </c>
      <c r="H1311">
        <v>23</v>
      </c>
      <c r="I1311">
        <v>23.1</v>
      </c>
      <c r="J1311">
        <v>83404</v>
      </c>
      <c r="K1311">
        <v>1924683.25</v>
      </c>
      <c r="L1311" s="1">
        <v>45240</v>
      </c>
      <c r="M1311">
        <v>1138</v>
      </c>
      <c r="N1311" t="s">
        <v>2916</v>
      </c>
      <c r="O1311" s="5">
        <v>45240</v>
      </c>
      <c r="P1311" s="5">
        <v>43777</v>
      </c>
    </row>
    <row r="1312" spans="1:16" x14ac:dyDescent="0.25">
      <c r="A1312" t="s">
        <v>2917</v>
      </c>
      <c r="B1312" t="str">
        <v>Lakshmi Machine Works Limited</v>
      </c>
      <c r="C1312" t="s">
        <v>14</v>
      </c>
      <c r="D1312">
        <v>12956.8</v>
      </c>
      <c r="E1312">
        <v>12990</v>
      </c>
      <c r="F1312">
        <v>12801</v>
      </c>
      <c r="G1312" s="3">
        <v>12837.75</v>
      </c>
      <c r="H1312">
        <v>12850</v>
      </c>
      <c r="I1312">
        <v>12888.95</v>
      </c>
      <c r="J1312">
        <v>1403</v>
      </c>
      <c r="K1312">
        <v>18011986.949999999</v>
      </c>
      <c r="L1312" s="1">
        <v>45240</v>
      </c>
      <c r="M1312">
        <v>792</v>
      </c>
      <c r="N1312" t="s">
        <v>2919</v>
      </c>
      <c r="O1312" s="5">
        <v>45240</v>
      </c>
      <c r="P1312" s="5">
        <v>43777</v>
      </c>
    </row>
    <row r="1313" spans="1:16" x14ac:dyDescent="0.25">
      <c r="A1313" t="s">
        <v>2920</v>
      </c>
      <c r="B1313" t="str">
        <v>LCC Infotech Limited</v>
      </c>
      <c r="C1313" t="s">
        <v>14</v>
      </c>
      <c r="D1313">
        <v>1.75</v>
      </c>
      <c r="E1313">
        <v>1.75</v>
      </c>
      <c r="F1313">
        <v>1.7</v>
      </c>
      <c r="G1313" s="3">
        <v>1.7</v>
      </c>
      <c r="H1313">
        <v>1.7</v>
      </c>
      <c r="I1313">
        <v>1.75</v>
      </c>
      <c r="J1313">
        <v>129167</v>
      </c>
      <c r="K1313">
        <v>219634.6</v>
      </c>
      <c r="L1313" s="1">
        <v>45240</v>
      </c>
      <c r="M1313">
        <v>130</v>
      </c>
      <c r="N1313" t="s">
        <v>2922</v>
      </c>
      <c r="O1313" s="5">
        <v>45240</v>
      </c>
      <c r="P1313" s="5">
        <v>43777</v>
      </c>
    </row>
    <row r="1314" spans="1:16" x14ac:dyDescent="0.25">
      <c r="A1314" t="s">
        <v>6372</v>
      </c>
      <c r="B1314" t="str">
        <v>Not Found</v>
      </c>
      <c r="C1314" t="s">
        <v>5788</v>
      </c>
      <c r="D1314">
        <v>47.8</v>
      </c>
      <c r="E1314">
        <v>47.85</v>
      </c>
      <c r="F1314">
        <v>47</v>
      </c>
      <c r="G1314" s="3">
        <v>47</v>
      </c>
      <c r="H1314">
        <v>47</v>
      </c>
      <c r="I1314">
        <v>46.55</v>
      </c>
      <c r="J1314">
        <v>4800</v>
      </c>
      <c r="K1314">
        <v>228240</v>
      </c>
      <c r="L1314" s="1">
        <v>45240</v>
      </c>
      <c r="M1314">
        <v>3</v>
      </c>
      <c r="N1314" t="s">
        <v>6371</v>
      </c>
      <c r="O1314" s="5">
        <v>45240</v>
      </c>
      <c r="P1314" s="5">
        <v>43777</v>
      </c>
    </row>
    <row r="1315" spans="1:16" x14ac:dyDescent="0.25">
      <c r="A1315" t="s">
        <v>2923</v>
      </c>
      <c r="B1315" t="str">
        <v>Lemon Tree Hotels Limited</v>
      </c>
      <c r="C1315" t="s">
        <v>14</v>
      </c>
      <c r="D1315">
        <v>115.5</v>
      </c>
      <c r="E1315">
        <v>115.5</v>
      </c>
      <c r="F1315">
        <v>111.85</v>
      </c>
      <c r="G1315" s="3">
        <v>113.1</v>
      </c>
      <c r="H1315">
        <v>113.25</v>
      </c>
      <c r="I1315">
        <v>116.5</v>
      </c>
      <c r="J1315">
        <v>3780418</v>
      </c>
      <c r="K1315">
        <v>427893154</v>
      </c>
      <c r="L1315" s="1">
        <v>45240</v>
      </c>
      <c r="M1315">
        <v>27024</v>
      </c>
      <c r="N1315" t="s">
        <v>2925</v>
      </c>
      <c r="O1315" s="5">
        <v>45240</v>
      </c>
      <c r="P1315" s="5">
        <v>43777</v>
      </c>
    </row>
    <row r="1316" spans="1:16" x14ac:dyDescent="0.25">
      <c r="A1316" t="s">
        <v>2926</v>
      </c>
      <c r="B1316" t="str">
        <v>Lexus Granito (India) Limited</v>
      </c>
      <c r="C1316" t="s">
        <v>10</v>
      </c>
      <c r="D1316">
        <v>40.799999999999997</v>
      </c>
      <c r="E1316">
        <v>41.5</v>
      </c>
      <c r="F1316">
        <v>39.1</v>
      </c>
      <c r="G1316" s="3">
        <v>41.35</v>
      </c>
      <c r="H1316">
        <v>41.35</v>
      </c>
      <c r="I1316">
        <v>40.25</v>
      </c>
      <c r="J1316">
        <v>4002</v>
      </c>
      <c r="K1316">
        <v>162494.39999999999</v>
      </c>
      <c r="L1316" s="1">
        <v>45240</v>
      </c>
      <c r="M1316">
        <v>26</v>
      </c>
      <c r="N1316" t="s">
        <v>2928</v>
      </c>
      <c r="O1316" s="5">
        <v>45240</v>
      </c>
      <c r="P1316" s="5">
        <v>43777</v>
      </c>
    </row>
    <row r="1317" spans="1:16" x14ac:dyDescent="0.25">
      <c r="A1317" t="s">
        <v>2929</v>
      </c>
      <c r="B1317" t="str">
        <v>Lakshmi Finance &amp; Industrial Corporation Limited</v>
      </c>
      <c r="C1317" t="s">
        <v>14</v>
      </c>
      <c r="D1317">
        <v>146.80000000000001</v>
      </c>
      <c r="E1317">
        <v>149.35</v>
      </c>
      <c r="F1317">
        <v>143.05000000000001</v>
      </c>
      <c r="G1317" s="3">
        <v>145.1</v>
      </c>
      <c r="H1317">
        <v>145</v>
      </c>
      <c r="I1317">
        <v>146.69999999999999</v>
      </c>
      <c r="J1317">
        <v>4397</v>
      </c>
      <c r="K1317">
        <v>641568.35</v>
      </c>
      <c r="L1317" s="1">
        <v>45240</v>
      </c>
      <c r="M1317">
        <v>250</v>
      </c>
      <c r="N1317" t="s">
        <v>2931</v>
      </c>
      <c r="O1317" s="5">
        <v>45240</v>
      </c>
      <c r="P1317" s="5">
        <v>43777</v>
      </c>
    </row>
    <row r="1318" spans="1:16" x14ac:dyDescent="0.25">
      <c r="A1318" t="s">
        <v>2932</v>
      </c>
      <c r="B1318" t="str">
        <v>LG Balakrishnan &amp; Bros Limited</v>
      </c>
      <c r="C1318" t="s">
        <v>14</v>
      </c>
      <c r="D1318">
        <v>1105</v>
      </c>
      <c r="E1318">
        <v>1119.9000000000001</v>
      </c>
      <c r="F1318">
        <v>1090</v>
      </c>
      <c r="G1318" s="3">
        <v>1095.6500000000001</v>
      </c>
      <c r="H1318">
        <v>1092</v>
      </c>
      <c r="I1318">
        <v>1111.3499999999999</v>
      </c>
      <c r="J1318">
        <v>33016</v>
      </c>
      <c r="K1318">
        <v>36355522</v>
      </c>
      <c r="L1318" s="1">
        <v>45240</v>
      </c>
      <c r="M1318">
        <v>4103</v>
      </c>
      <c r="N1318" t="s">
        <v>2934</v>
      </c>
      <c r="O1318" s="5">
        <v>45240</v>
      </c>
      <c r="P1318" s="5">
        <v>43777</v>
      </c>
    </row>
    <row r="1319" spans="1:16" x14ac:dyDescent="0.25">
      <c r="A1319" t="s">
        <v>2935</v>
      </c>
      <c r="B1319" t="str">
        <v>LGB Forge Limited</v>
      </c>
      <c r="C1319" t="s">
        <v>14</v>
      </c>
      <c r="D1319">
        <v>10.35</v>
      </c>
      <c r="E1319">
        <v>10.35</v>
      </c>
      <c r="F1319">
        <v>9.85</v>
      </c>
      <c r="G1319" s="3">
        <v>9.9</v>
      </c>
      <c r="H1319">
        <v>9.9499999999999993</v>
      </c>
      <c r="I1319">
        <v>10.15</v>
      </c>
      <c r="J1319">
        <v>228264</v>
      </c>
      <c r="K1319">
        <v>2283220.2999999998</v>
      </c>
      <c r="L1319" s="1">
        <v>45240</v>
      </c>
      <c r="M1319">
        <v>479</v>
      </c>
      <c r="N1319" t="s">
        <v>2937</v>
      </c>
      <c r="O1319" s="5">
        <v>45240</v>
      </c>
      <c r="P1319" s="5">
        <v>43777</v>
      </c>
    </row>
    <row r="1320" spans="1:16" x14ac:dyDescent="0.25">
      <c r="A1320" t="s">
        <v>2938</v>
      </c>
      <c r="B1320" t="str">
        <v>Laxmi Goldorna House Limited</v>
      </c>
      <c r="C1320" t="s">
        <v>10</v>
      </c>
      <c r="D1320">
        <v>149.5</v>
      </c>
      <c r="E1320">
        <v>149.5</v>
      </c>
      <c r="F1320">
        <v>142.4</v>
      </c>
      <c r="G1320" s="3">
        <v>148.75</v>
      </c>
      <c r="H1320">
        <v>147.19999999999999</v>
      </c>
      <c r="I1320">
        <v>142.4</v>
      </c>
      <c r="J1320">
        <v>1336</v>
      </c>
      <c r="K1320">
        <v>199463.6</v>
      </c>
      <c r="L1320" s="1">
        <v>45240</v>
      </c>
      <c r="M1320">
        <v>25</v>
      </c>
      <c r="N1320" t="s">
        <v>2940</v>
      </c>
      <c r="O1320" s="5">
        <v>45240</v>
      </c>
      <c r="P1320" s="5">
        <v>43777</v>
      </c>
    </row>
    <row r="1321" spans="1:16" x14ac:dyDescent="0.25">
      <c r="A1321" t="s">
        <v>2941</v>
      </c>
      <c r="B1321" t="str">
        <v>Libas Consumer Products Limited</v>
      </c>
      <c r="C1321" t="s">
        <v>14</v>
      </c>
      <c r="D1321">
        <v>16.75</v>
      </c>
      <c r="E1321">
        <v>17.100000000000001</v>
      </c>
      <c r="F1321">
        <v>15.65</v>
      </c>
      <c r="G1321" s="3">
        <v>16.05</v>
      </c>
      <c r="H1321">
        <v>16.100000000000001</v>
      </c>
      <c r="I1321">
        <v>16.75</v>
      </c>
      <c r="J1321">
        <v>2036221</v>
      </c>
      <c r="K1321">
        <v>34031869.450000003</v>
      </c>
      <c r="L1321" s="1">
        <v>45240</v>
      </c>
      <c r="M1321">
        <v>4179</v>
      </c>
      <c r="N1321" t="s">
        <v>2943</v>
      </c>
      <c r="O1321" s="5">
        <v>45240</v>
      </c>
      <c r="P1321" s="5">
        <v>43777</v>
      </c>
    </row>
    <row r="1322" spans="1:16" x14ac:dyDescent="0.25">
      <c r="A1322" t="s">
        <v>2944</v>
      </c>
      <c r="B1322" t="str">
        <v>Liberty Shoes Limited</v>
      </c>
      <c r="C1322" t="s">
        <v>14</v>
      </c>
      <c r="D1322">
        <v>289</v>
      </c>
      <c r="E1322">
        <v>290.89999999999998</v>
      </c>
      <c r="F1322">
        <v>285.5</v>
      </c>
      <c r="G1322" s="3">
        <v>288</v>
      </c>
      <c r="H1322">
        <v>287.45</v>
      </c>
      <c r="I1322">
        <v>288.35000000000002</v>
      </c>
      <c r="J1322">
        <v>124579</v>
      </c>
      <c r="K1322">
        <v>35907098.149999999</v>
      </c>
      <c r="L1322" s="1">
        <v>45240</v>
      </c>
      <c r="M1322">
        <v>4427</v>
      </c>
      <c r="N1322" t="s">
        <v>2946</v>
      </c>
      <c r="O1322" s="5">
        <v>45240</v>
      </c>
      <c r="P1322" s="5">
        <v>43777</v>
      </c>
    </row>
    <row r="1323" spans="1:16" x14ac:dyDescent="0.25">
      <c r="A1323" t="s">
        <v>2947</v>
      </c>
      <c r="B1323" t="str">
        <v>LIC Housing Finance Limited</v>
      </c>
      <c r="C1323" t="s">
        <v>14</v>
      </c>
      <c r="D1323">
        <v>450</v>
      </c>
      <c r="E1323">
        <v>453.1</v>
      </c>
      <c r="F1323">
        <v>444</v>
      </c>
      <c r="G1323" s="3">
        <v>451.95</v>
      </c>
      <c r="H1323">
        <v>451.9</v>
      </c>
      <c r="I1323">
        <v>449.55</v>
      </c>
      <c r="J1323">
        <v>1203649</v>
      </c>
      <c r="K1323">
        <v>541083940</v>
      </c>
      <c r="L1323" s="1">
        <v>45240</v>
      </c>
      <c r="M1323">
        <v>21096</v>
      </c>
      <c r="N1323" t="s">
        <v>2949</v>
      </c>
      <c r="O1323" s="5">
        <v>45240</v>
      </c>
      <c r="P1323" s="5">
        <v>43777</v>
      </c>
    </row>
    <row r="1324" spans="1:16" x14ac:dyDescent="0.25">
      <c r="A1324" t="s">
        <v>2950</v>
      </c>
      <c r="B1324" t="str">
        <v>Life Insurance Corporation Of India</v>
      </c>
      <c r="C1324" t="s">
        <v>14</v>
      </c>
      <c r="D1324">
        <v>614.25</v>
      </c>
      <c r="E1324">
        <v>619.6</v>
      </c>
      <c r="F1324">
        <v>608.1</v>
      </c>
      <c r="G1324" s="3">
        <v>610.25</v>
      </c>
      <c r="H1324">
        <v>609.79999999999995</v>
      </c>
      <c r="I1324">
        <v>614.79999999999995</v>
      </c>
      <c r="J1324">
        <v>671906</v>
      </c>
      <c r="K1324">
        <v>412402370.89999998</v>
      </c>
      <c r="L1324" s="1">
        <v>45240</v>
      </c>
      <c r="M1324">
        <v>21482</v>
      </c>
      <c r="N1324" t="s">
        <v>2952</v>
      </c>
      <c r="O1324" s="5">
        <v>45240</v>
      </c>
      <c r="P1324" s="5">
        <v>43777</v>
      </c>
    </row>
    <row r="1325" spans="1:16" x14ac:dyDescent="0.25">
      <c r="A1325" t="s">
        <v>6370</v>
      </c>
      <c r="B1325" t="str">
        <v>Not Found</v>
      </c>
      <c r="C1325" t="s">
        <v>14</v>
      </c>
      <c r="D1325">
        <v>5505.65</v>
      </c>
      <c r="E1325">
        <v>5528</v>
      </c>
      <c r="F1325">
        <v>5486</v>
      </c>
      <c r="G1325" s="3">
        <v>5527.2</v>
      </c>
      <c r="H1325">
        <v>5528</v>
      </c>
      <c r="I1325">
        <v>5493.5</v>
      </c>
      <c r="J1325">
        <v>503</v>
      </c>
      <c r="K1325">
        <v>2775842.65</v>
      </c>
      <c r="L1325" s="1">
        <v>45240</v>
      </c>
      <c r="M1325">
        <v>126</v>
      </c>
      <c r="N1325" t="s">
        <v>6369</v>
      </c>
      <c r="O1325" s="5">
        <v>45240</v>
      </c>
      <c r="P1325" s="5">
        <v>43777</v>
      </c>
    </row>
    <row r="1326" spans="1:16" x14ac:dyDescent="0.25">
      <c r="A1326" t="s">
        <v>6368</v>
      </c>
      <c r="B1326" t="str">
        <v>Not Found</v>
      </c>
      <c r="C1326" t="s">
        <v>14</v>
      </c>
      <c r="D1326">
        <v>24.58</v>
      </c>
      <c r="E1326">
        <v>24.58</v>
      </c>
      <c r="F1326">
        <v>23.8</v>
      </c>
      <c r="G1326" s="3">
        <v>23.99</v>
      </c>
      <c r="H1326">
        <v>24</v>
      </c>
      <c r="I1326">
        <v>23.99</v>
      </c>
      <c r="J1326">
        <v>5076</v>
      </c>
      <c r="K1326">
        <v>121277.94</v>
      </c>
      <c r="L1326" s="1">
        <v>45240</v>
      </c>
      <c r="M1326">
        <v>52</v>
      </c>
      <c r="N1326" t="s">
        <v>6367</v>
      </c>
      <c r="O1326" s="5">
        <v>45240</v>
      </c>
      <c r="P1326" s="5">
        <v>43777</v>
      </c>
    </row>
    <row r="1327" spans="1:16" x14ac:dyDescent="0.25">
      <c r="A1327" t="s">
        <v>6366</v>
      </c>
      <c r="B1327" t="str">
        <v>Not Found</v>
      </c>
      <c r="C1327" t="s">
        <v>14</v>
      </c>
      <c r="D1327">
        <v>210.35</v>
      </c>
      <c r="E1327">
        <v>210.89</v>
      </c>
      <c r="F1327">
        <v>209.12</v>
      </c>
      <c r="G1327" s="3">
        <v>209.26</v>
      </c>
      <c r="H1327">
        <v>209.35</v>
      </c>
      <c r="I1327">
        <v>211.23</v>
      </c>
      <c r="J1327">
        <v>217</v>
      </c>
      <c r="K1327">
        <v>45603.22</v>
      </c>
      <c r="L1327" s="1">
        <v>45240</v>
      </c>
      <c r="M1327">
        <v>22</v>
      </c>
      <c r="N1327" t="s">
        <v>6365</v>
      </c>
      <c r="O1327" s="5">
        <v>45240</v>
      </c>
      <c r="P1327" s="5">
        <v>43777</v>
      </c>
    </row>
    <row r="1328" spans="1:16" x14ac:dyDescent="0.25">
      <c r="A1328" t="s">
        <v>6364</v>
      </c>
      <c r="B1328" t="str">
        <v>Not Found</v>
      </c>
      <c r="C1328" t="s">
        <v>14</v>
      </c>
      <c r="D1328">
        <v>715</v>
      </c>
      <c r="E1328">
        <v>715</v>
      </c>
      <c r="F1328">
        <v>710</v>
      </c>
      <c r="G1328" s="3">
        <v>712.54</v>
      </c>
      <c r="H1328">
        <v>715</v>
      </c>
      <c r="I1328">
        <v>720.71</v>
      </c>
      <c r="J1328">
        <v>19</v>
      </c>
      <c r="K1328">
        <v>13540.51</v>
      </c>
      <c r="L1328" s="1">
        <v>45240</v>
      </c>
      <c r="M1328">
        <v>10</v>
      </c>
      <c r="N1328" t="s">
        <v>6363</v>
      </c>
      <c r="O1328" s="5">
        <v>45240</v>
      </c>
      <c r="P1328" s="5">
        <v>43777</v>
      </c>
    </row>
    <row r="1329" spans="1:16" x14ac:dyDescent="0.25">
      <c r="A1329" t="s">
        <v>6362</v>
      </c>
      <c r="B1329" t="str">
        <v>Not Found</v>
      </c>
      <c r="C1329" t="s">
        <v>14</v>
      </c>
      <c r="D1329">
        <v>208.9</v>
      </c>
      <c r="E1329">
        <v>208.9</v>
      </c>
      <c r="F1329">
        <v>207</v>
      </c>
      <c r="G1329" s="3">
        <v>207.5</v>
      </c>
      <c r="H1329">
        <v>207.5</v>
      </c>
      <c r="I1329">
        <v>208.94</v>
      </c>
      <c r="J1329">
        <v>255</v>
      </c>
      <c r="K1329">
        <v>53063.53</v>
      </c>
      <c r="L1329" s="1">
        <v>45240</v>
      </c>
      <c r="M1329">
        <v>27</v>
      </c>
      <c r="N1329" t="s">
        <v>6361</v>
      </c>
      <c r="O1329" s="5">
        <v>45240</v>
      </c>
      <c r="P1329" s="5">
        <v>43777</v>
      </c>
    </row>
    <row r="1330" spans="1:16" x14ac:dyDescent="0.25">
      <c r="A1330" t="s">
        <v>2953</v>
      </c>
      <c r="B1330" t="str">
        <v>Likhitha Infrastructure Limited</v>
      </c>
      <c r="C1330" t="s">
        <v>14</v>
      </c>
      <c r="D1330">
        <v>297.39999999999998</v>
      </c>
      <c r="E1330">
        <v>298.89999999999998</v>
      </c>
      <c r="F1330">
        <v>295.10000000000002</v>
      </c>
      <c r="G1330" s="3">
        <v>296.8</v>
      </c>
      <c r="H1330">
        <v>297.05</v>
      </c>
      <c r="I1330">
        <v>297.35000000000002</v>
      </c>
      <c r="J1330">
        <v>81741</v>
      </c>
      <c r="K1330">
        <v>24280569.949999999</v>
      </c>
      <c r="L1330" s="1">
        <v>45240</v>
      </c>
      <c r="M1330">
        <v>3016</v>
      </c>
      <c r="N1330" t="s">
        <v>2955</v>
      </c>
      <c r="O1330" s="5">
        <v>45240</v>
      </c>
      <c r="P1330" s="5">
        <v>43777</v>
      </c>
    </row>
    <row r="1331" spans="1:16" x14ac:dyDescent="0.25">
      <c r="A1331" t="s">
        <v>2956</v>
      </c>
      <c r="B1331" t="str">
        <v>Linc Limited</v>
      </c>
      <c r="C1331" t="s">
        <v>14</v>
      </c>
      <c r="D1331">
        <v>697.25</v>
      </c>
      <c r="E1331">
        <v>712</v>
      </c>
      <c r="F1331">
        <v>692</v>
      </c>
      <c r="G1331" s="3">
        <v>700.4</v>
      </c>
      <c r="H1331">
        <v>707</v>
      </c>
      <c r="I1331">
        <v>690.35</v>
      </c>
      <c r="J1331">
        <v>63765</v>
      </c>
      <c r="K1331">
        <v>44769701.299999997</v>
      </c>
      <c r="L1331" s="1">
        <v>45240</v>
      </c>
      <c r="M1331">
        <v>4894</v>
      </c>
      <c r="N1331" t="s">
        <v>2958</v>
      </c>
      <c r="O1331" s="5">
        <v>45240</v>
      </c>
      <c r="P1331" s="5">
        <v>43777</v>
      </c>
    </row>
    <row r="1332" spans="1:16" x14ac:dyDescent="0.25">
      <c r="A1332" t="s">
        <v>2959</v>
      </c>
      <c r="B1332" t="str">
        <v>Lincoln Pharmaceuticals Limited</v>
      </c>
      <c r="C1332" t="s">
        <v>14</v>
      </c>
      <c r="D1332">
        <v>556.95000000000005</v>
      </c>
      <c r="E1332">
        <v>603</v>
      </c>
      <c r="F1332">
        <v>556.15</v>
      </c>
      <c r="G1332" s="3">
        <v>594.9</v>
      </c>
      <c r="H1332">
        <v>603</v>
      </c>
      <c r="I1332">
        <v>556.29999999999995</v>
      </c>
      <c r="J1332">
        <v>555116</v>
      </c>
      <c r="K1332">
        <v>326383252.19999999</v>
      </c>
      <c r="L1332" s="1">
        <v>45240</v>
      </c>
      <c r="M1332">
        <v>26224</v>
      </c>
      <c r="N1332" t="s">
        <v>2961</v>
      </c>
      <c r="O1332" s="5">
        <v>45240</v>
      </c>
      <c r="P1332" s="5">
        <v>43777</v>
      </c>
    </row>
    <row r="1333" spans="1:16" x14ac:dyDescent="0.25">
      <c r="A1333" t="s">
        <v>2962</v>
      </c>
      <c r="B1333" t="str">
        <v>Linde India Limited</v>
      </c>
      <c r="C1333" t="s">
        <v>14</v>
      </c>
      <c r="D1333">
        <v>6077</v>
      </c>
      <c r="E1333">
        <v>6093.95</v>
      </c>
      <c r="F1333">
        <v>5986.15</v>
      </c>
      <c r="G1333" s="3">
        <v>6043.15</v>
      </c>
      <c r="H1333">
        <v>6038.95</v>
      </c>
      <c r="I1333">
        <v>6098.25</v>
      </c>
      <c r="J1333">
        <v>23691</v>
      </c>
      <c r="K1333">
        <v>143207097.34999999</v>
      </c>
      <c r="L1333" s="1">
        <v>45240</v>
      </c>
      <c r="M1333">
        <v>7836</v>
      </c>
      <c r="N1333" t="s">
        <v>2964</v>
      </c>
      <c r="O1333" s="5">
        <v>45240</v>
      </c>
      <c r="P1333" s="5">
        <v>43777</v>
      </c>
    </row>
    <row r="1334" spans="1:16" x14ac:dyDescent="0.25">
      <c r="A1334" t="s">
        <v>6360</v>
      </c>
      <c r="B1334" t="str">
        <v>Not Found</v>
      </c>
      <c r="C1334" t="s">
        <v>14</v>
      </c>
      <c r="D1334">
        <v>999.99</v>
      </c>
      <c r="E1334">
        <v>1000</v>
      </c>
      <c r="F1334">
        <v>999.99</v>
      </c>
      <c r="G1334" s="3">
        <v>999.99</v>
      </c>
      <c r="H1334">
        <v>1000</v>
      </c>
      <c r="I1334">
        <v>999.99</v>
      </c>
      <c r="J1334">
        <v>60894</v>
      </c>
      <c r="K1334">
        <v>60893603.07</v>
      </c>
      <c r="L1334" s="1">
        <v>45240</v>
      </c>
      <c r="M1334">
        <v>62</v>
      </c>
      <c r="N1334" t="s">
        <v>6359</v>
      </c>
      <c r="O1334" s="5">
        <v>45240</v>
      </c>
      <c r="P1334" s="5">
        <v>43777</v>
      </c>
    </row>
    <row r="1335" spans="1:16" x14ac:dyDescent="0.25">
      <c r="A1335" t="s">
        <v>6358</v>
      </c>
      <c r="B1335" t="str">
        <v>Not Found</v>
      </c>
      <c r="C1335" t="s">
        <v>14</v>
      </c>
      <c r="D1335">
        <v>1030</v>
      </c>
      <c r="E1335">
        <v>1030</v>
      </c>
      <c r="F1335">
        <v>999.99</v>
      </c>
      <c r="G1335" s="3">
        <v>1000</v>
      </c>
      <c r="H1335">
        <v>1000</v>
      </c>
      <c r="I1335">
        <v>1000</v>
      </c>
      <c r="J1335">
        <v>2985803</v>
      </c>
      <c r="K1335">
        <v>2985818608.4000001</v>
      </c>
      <c r="L1335" s="1">
        <v>45240</v>
      </c>
      <c r="M1335">
        <v>9217</v>
      </c>
      <c r="N1335" t="s">
        <v>6357</v>
      </c>
      <c r="O1335" s="5">
        <v>45240</v>
      </c>
      <c r="P1335" s="5">
        <v>43777</v>
      </c>
    </row>
    <row r="1336" spans="1:16" x14ac:dyDescent="0.25">
      <c r="A1336" t="s">
        <v>6356</v>
      </c>
      <c r="B1336" t="str">
        <v>Not Found</v>
      </c>
      <c r="C1336" t="s">
        <v>14</v>
      </c>
      <c r="D1336">
        <v>1000</v>
      </c>
      <c r="E1336">
        <v>1000.01</v>
      </c>
      <c r="F1336">
        <v>999.99</v>
      </c>
      <c r="G1336" s="3">
        <v>999.99</v>
      </c>
      <c r="H1336">
        <v>1000.01</v>
      </c>
      <c r="I1336">
        <v>999.99</v>
      </c>
      <c r="J1336">
        <v>324264</v>
      </c>
      <c r="K1336">
        <v>324263939.47000003</v>
      </c>
      <c r="L1336" s="1">
        <v>45240</v>
      </c>
      <c r="M1336">
        <v>215</v>
      </c>
      <c r="N1336" t="s">
        <v>6355</v>
      </c>
      <c r="O1336" s="5">
        <v>45240</v>
      </c>
      <c r="P1336" s="5">
        <v>43777</v>
      </c>
    </row>
    <row r="1337" spans="1:16" x14ac:dyDescent="0.25">
      <c r="A1337" t="s">
        <v>6354</v>
      </c>
      <c r="B1337" t="str">
        <v>Not Found</v>
      </c>
      <c r="C1337" t="s">
        <v>14</v>
      </c>
      <c r="D1337">
        <v>999.99</v>
      </c>
      <c r="E1337">
        <v>1000.01</v>
      </c>
      <c r="F1337">
        <v>999.99</v>
      </c>
      <c r="G1337" s="3">
        <v>999.99</v>
      </c>
      <c r="H1337">
        <v>999.99</v>
      </c>
      <c r="I1337">
        <v>999.99</v>
      </c>
      <c r="J1337">
        <v>315</v>
      </c>
      <c r="K1337">
        <v>314996.90999999997</v>
      </c>
      <c r="L1337" s="1">
        <v>45240</v>
      </c>
      <c r="M1337">
        <v>8</v>
      </c>
      <c r="N1337" t="s">
        <v>6353</v>
      </c>
      <c r="O1337" s="5">
        <v>45240</v>
      </c>
      <c r="P1337" s="5">
        <v>43777</v>
      </c>
    </row>
    <row r="1338" spans="1:16" x14ac:dyDescent="0.25">
      <c r="A1338" t="s">
        <v>6352</v>
      </c>
      <c r="B1338" t="str">
        <v>Not Found</v>
      </c>
      <c r="C1338" t="s">
        <v>5788</v>
      </c>
      <c r="D1338">
        <v>77.05</v>
      </c>
      <c r="E1338">
        <v>79.849999999999994</v>
      </c>
      <c r="F1338">
        <v>77.05</v>
      </c>
      <c r="G1338" s="3">
        <v>79.7</v>
      </c>
      <c r="H1338">
        <v>79.7</v>
      </c>
      <c r="I1338">
        <v>77.05</v>
      </c>
      <c r="J1338">
        <v>7000</v>
      </c>
      <c r="K1338">
        <v>555500</v>
      </c>
      <c r="L1338" s="1">
        <v>45240</v>
      </c>
      <c r="M1338">
        <v>7</v>
      </c>
      <c r="N1338" t="s">
        <v>6351</v>
      </c>
      <c r="O1338" s="5">
        <v>45240</v>
      </c>
      <c r="P1338" s="5">
        <v>43777</v>
      </c>
    </row>
    <row r="1339" spans="1:16" x14ac:dyDescent="0.25">
      <c r="A1339" t="s">
        <v>2965</v>
      </c>
      <c r="B1339" t="str">
        <v>LLOYDS ENGINEERING WORKS LIMITED</v>
      </c>
      <c r="C1339" t="s">
        <v>10</v>
      </c>
      <c r="D1339">
        <v>45.55</v>
      </c>
      <c r="E1339">
        <v>46</v>
      </c>
      <c r="F1339">
        <v>44.75</v>
      </c>
      <c r="G1339" s="3">
        <v>45.25</v>
      </c>
      <c r="H1339">
        <v>45.45</v>
      </c>
      <c r="I1339">
        <v>45.7</v>
      </c>
      <c r="J1339">
        <v>517860</v>
      </c>
      <c r="K1339">
        <v>23492451.5</v>
      </c>
      <c r="L1339" s="1">
        <v>45240</v>
      </c>
      <c r="M1339">
        <v>2727</v>
      </c>
      <c r="N1339" t="s">
        <v>2967</v>
      </c>
      <c r="O1339" s="5">
        <v>45240</v>
      </c>
      <c r="P1339" s="5">
        <v>43777</v>
      </c>
    </row>
    <row r="1340" spans="1:16" x14ac:dyDescent="0.25">
      <c r="A1340" t="s">
        <v>2968</v>
      </c>
      <c r="B1340" t="str">
        <v>Lloyds Metals And Energy Limited</v>
      </c>
      <c r="C1340" t="s">
        <v>14</v>
      </c>
      <c r="D1340">
        <v>533</v>
      </c>
      <c r="E1340">
        <v>539.9</v>
      </c>
      <c r="F1340">
        <v>518.45000000000005</v>
      </c>
      <c r="G1340" s="3">
        <v>521.79999999999995</v>
      </c>
      <c r="H1340">
        <v>522</v>
      </c>
      <c r="I1340">
        <v>532.9</v>
      </c>
      <c r="J1340">
        <v>164701</v>
      </c>
      <c r="K1340">
        <v>86601395.75</v>
      </c>
      <c r="L1340" s="1">
        <v>45240</v>
      </c>
      <c r="M1340">
        <v>6163</v>
      </c>
      <c r="N1340" t="s">
        <v>2970</v>
      </c>
      <c r="O1340" s="5">
        <v>45240</v>
      </c>
      <c r="P1340" s="5">
        <v>43777</v>
      </c>
    </row>
    <row r="1341" spans="1:16" x14ac:dyDescent="0.25">
      <c r="A1341" t="s">
        <v>2971</v>
      </c>
      <c r="B1341" t="str">
        <v>Macrotech Developers Limited</v>
      </c>
      <c r="C1341" t="s">
        <v>14</v>
      </c>
      <c r="D1341">
        <v>848</v>
      </c>
      <c r="E1341">
        <v>875</v>
      </c>
      <c r="F1341">
        <v>837.55</v>
      </c>
      <c r="G1341" s="3">
        <v>854.1</v>
      </c>
      <c r="H1341">
        <v>855</v>
      </c>
      <c r="I1341">
        <v>849.35</v>
      </c>
      <c r="J1341">
        <v>1541176</v>
      </c>
      <c r="K1341">
        <v>1324801730.6500001</v>
      </c>
      <c r="L1341" s="1">
        <v>45240</v>
      </c>
      <c r="M1341">
        <v>50459</v>
      </c>
      <c r="N1341" t="s">
        <v>2973</v>
      </c>
      <c r="O1341" s="5">
        <v>45240</v>
      </c>
      <c r="P1341" s="5">
        <v>43777</v>
      </c>
    </row>
    <row r="1342" spans="1:16" x14ac:dyDescent="0.25">
      <c r="A1342" t="s">
        <v>2974</v>
      </c>
      <c r="B1342" t="str">
        <v>Lokesh Machines Limited</v>
      </c>
      <c r="C1342" t="s">
        <v>14</v>
      </c>
      <c r="D1342">
        <v>253</v>
      </c>
      <c r="E1342">
        <v>263.3</v>
      </c>
      <c r="F1342">
        <v>248.1</v>
      </c>
      <c r="G1342" s="3">
        <v>254.2</v>
      </c>
      <c r="H1342">
        <v>253</v>
      </c>
      <c r="I1342">
        <v>251.6</v>
      </c>
      <c r="J1342">
        <v>90501</v>
      </c>
      <c r="K1342">
        <v>23272056.100000001</v>
      </c>
      <c r="L1342" s="1">
        <v>45240</v>
      </c>
      <c r="M1342">
        <v>3361</v>
      </c>
      <c r="N1342" t="s">
        <v>2976</v>
      </c>
      <c r="O1342" s="5">
        <v>45240</v>
      </c>
      <c r="P1342" s="5">
        <v>43777</v>
      </c>
    </row>
    <row r="1343" spans="1:16" x14ac:dyDescent="0.25">
      <c r="A1343" t="s">
        <v>2977</v>
      </c>
      <c r="B1343" t="str">
        <v>Lords Chloro Alkali Limited</v>
      </c>
      <c r="C1343" t="s">
        <v>14</v>
      </c>
      <c r="D1343">
        <v>150.30000000000001</v>
      </c>
      <c r="E1343">
        <v>153.5</v>
      </c>
      <c r="F1343">
        <v>150</v>
      </c>
      <c r="G1343" s="3">
        <v>150.55000000000001</v>
      </c>
      <c r="H1343">
        <v>150.1</v>
      </c>
      <c r="I1343">
        <v>152.19999999999999</v>
      </c>
      <c r="J1343">
        <v>6979</v>
      </c>
      <c r="K1343">
        <v>1055105.3999999999</v>
      </c>
      <c r="L1343" s="1">
        <v>45240</v>
      </c>
      <c r="M1343">
        <v>267</v>
      </c>
      <c r="N1343" t="s">
        <v>2979</v>
      </c>
      <c r="O1343" s="5">
        <v>45240</v>
      </c>
      <c r="P1343" s="5">
        <v>43777</v>
      </c>
    </row>
    <row r="1344" spans="1:16" x14ac:dyDescent="0.25">
      <c r="A1344" t="s">
        <v>2980</v>
      </c>
      <c r="B1344" t="str">
        <v>Lotus Eye Hospital and Institute Limited</v>
      </c>
      <c r="C1344" t="s">
        <v>14</v>
      </c>
      <c r="D1344">
        <v>89</v>
      </c>
      <c r="E1344">
        <v>89.9</v>
      </c>
      <c r="F1344">
        <v>85.3</v>
      </c>
      <c r="G1344" s="3">
        <v>86.9</v>
      </c>
      <c r="H1344">
        <v>87.95</v>
      </c>
      <c r="I1344">
        <v>87.9</v>
      </c>
      <c r="J1344">
        <v>14812</v>
      </c>
      <c r="K1344">
        <v>1304610</v>
      </c>
      <c r="L1344" s="1">
        <v>45240</v>
      </c>
      <c r="M1344">
        <v>803</v>
      </c>
      <c r="N1344" t="s">
        <v>2982</v>
      </c>
      <c r="O1344" s="5">
        <v>45240</v>
      </c>
      <c r="P1344" s="5">
        <v>43777</v>
      </c>
    </row>
    <row r="1345" spans="1:16" x14ac:dyDescent="0.25">
      <c r="A1345" t="s">
        <v>2983</v>
      </c>
      <c r="B1345" t="str">
        <v>Lovable Lingerie Limited</v>
      </c>
      <c r="C1345" t="s">
        <v>14</v>
      </c>
      <c r="D1345">
        <v>129.25</v>
      </c>
      <c r="E1345">
        <v>133</v>
      </c>
      <c r="F1345">
        <v>129.25</v>
      </c>
      <c r="G1345" s="3">
        <v>132.75</v>
      </c>
      <c r="H1345">
        <v>132.5</v>
      </c>
      <c r="I1345">
        <v>131.25</v>
      </c>
      <c r="J1345">
        <v>36254</v>
      </c>
      <c r="K1345">
        <v>4780623.8</v>
      </c>
      <c r="L1345" s="1">
        <v>45240</v>
      </c>
      <c r="M1345">
        <v>497</v>
      </c>
      <c r="N1345" t="s">
        <v>2985</v>
      </c>
      <c r="O1345" s="5">
        <v>45240</v>
      </c>
      <c r="P1345" s="5">
        <v>43777</v>
      </c>
    </row>
    <row r="1346" spans="1:16" x14ac:dyDescent="0.25">
      <c r="A1346" t="s">
        <v>6350</v>
      </c>
      <c r="B1346" t="str">
        <v>Not Found</v>
      </c>
      <c r="C1346" t="s">
        <v>14</v>
      </c>
      <c r="D1346">
        <v>152.75</v>
      </c>
      <c r="E1346">
        <v>152.82</v>
      </c>
      <c r="F1346">
        <v>151.68</v>
      </c>
      <c r="G1346" s="3">
        <v>152.21</v>
      </c>
      <c r="H1346">
        <v>152.24</v>
      </c>
      <c r="I1346">
        <v>153.38999999999999</v>
      </c>
      <c r="J1346">
        <v>378</v>
      </c>
      <c r="K1346">
        <v>57555.26</v>
      </c>
      <c r="L1346" s="1">
        <v>45240</v>
      </c>
      <c r="M1346">
        <v>24</v>
      </c>
      <c r="N1346" t="s">
        <v>6349</v>
      </c>
      <c r="O1346" s="5">
        <v>45240</v>
      </c>
      <c r="P1346" s="5">
        <v>43777</v>
      </c>
    </row>
    <row r="1347" spans="1:16" x14ac:dyDescent="0.25">
      <c r="A1347" t="s">
        <v>2986</v>
      </c>
      <c r="B1347" t="str">
        <v>Loyal Textile Mills Limited</v>
      </c>
      <c r="C1347" t="s">
        <v>14</v>
      </c>
      <c r="D1347">
        <v>624</v>
      </c>
      <c r="E1347">
        <v>624</v>
      </c>
      <c r="F1347">
        <v>594.70000000000005</v>
      </c>
      <c r="G1347" s="3">
        <v>596.29999999999995</v>
      </c>
      <c r="H1347">
        <v>595</v>
      </c>
      <c r="I1347">
        <v>624.95000000000005</v>
      </c>
      <c r="J1347">
        <v>1797</v>
      </c>
      <c r="K1347">
        <v>1077840.6499999999</v>
      </c>
      <c r="L1347" s="1">
        <v>45240</v>
      </c>
      <c r="M1347">
        <v>422</v>
      </c>
      <c r="N1347" t="s">
        <v>2988</v>
      </c>
      <c r="O1347" s="5">
        <v>45240</v>
      </c>
      <c r="P1347" s="5">
        <v>43777</v>
      </c>
    </row>
    <row r="1348" spans="1:16" x14ac:dyDescent="0.25">
      <c r="A1348" t="s">
        <v>2989</v>
      </c>
      <c r="B1348" t="str">
        <v>Landmark Property Development Company Limited</v>
      </c>
      <c r="C1348" t="s">
        <v>10</v>
      </c>
      <c r="D1348">
        <v>8.25</v>
      </c>
      <c r="E1348">
        <v>8.4499999999999993</v>
      </c>
      <c r="F1348">
        <v>8</v>
      </c>
      <c r="G1348" s="3">
        <v>8.1999999999999993</v>
      </c>
      <c r="H1348">
        <v>8.1999999999999993</v>
      </c>
      <c r="I1348">
        <v>8.25</v>
      </c>
      <c r="J1348">
        <v>24128</v>
      </c>
      <c r="K1348">
        <v>197259.65</v>
      </c>
      <c r="L1348" s="1">
        <v>45240</v>
      </c>
      <c r="M1348">
        <v>133</v>
      </c>
      <c r="N1348" t="s">
        <v>2991</v>
      </c>
      <c r="O1348" s="5">
        <v>45240</v>
      </c>
      <c r="P1348" s="5">
        <v>43777</v>
      </c>
    </row>
    <row r="1349" spans="1:16" x14ac:dyDescent="0.25">
      <c r="A1349" t="s">
        <v>6348</v>
      </c>
      <c r="B1349" t="str">
        <v>Not Found</v>
      </c>
      <c r="C1349" t="s">
        <v>5788</v>
      </c>
      <c r="D1349">
        <v>49</v>
      </c>
      <c r="E1349">
        <v>50.25</v>
      </c>
      <c r="F1349">
        <v>49</v>
      </c>
      <c r="G1349" s="3">
        <v>50.2</v>
      </c>
      <c r="H1349">
        <v>50.2</v>
      </c>
      <c r="I1349">
        <v>48</v>
      </c>
      <c r="J1349">
        <v>21000</v>
      </c>
      <c r="K1349">
        <v>1046700</v>
      </c>
      <c r="L1349" s="1">
        <v>45240</v>
      </c>
      <c r="M1349">
        <v>7</v>
      </c>
      <c r="N1349" t="s">
        <v>6347</v>
      </c>
      <c r="O1349" s="5">
        <v>45240</v>
      </c>
      <c r="P1349" s="5">
        <v>43777</v>
      </c>
    </row>
    <row r="1350" spans="1:16" x14ac:dyDescent="0.25">
      <c r="A1350" t="s">
        <v>2992</v>
      </c>
      <c r="B1350" t="str">
        <v>Larsen &amp; Toubro Limited</v>
      </c>
      <c r="C1350" t="s">
        <v>14</v>
      </c>
      <c r="D1350">
        <v>3021.05</v>
      </c>
      <c r="E1350">
        <v>3044</v>
      </c>
      <c r="F1350">
        <v>3005.25</v>
      </c>
      <c r="G1350" s="3">
        <v>3033.25</v>
      </c>
      <c r="H1350">
        <v>3030.55</v>
      </c>
      <c r="I1350">
        <v>3024.85</v>
      </c>
      <c r="J1350">
        <v>947753</v>
      </c>
      <c r="K1350">
        <v>2870618749.6999998</v>
      </c>
      <c r="L1350" s="1">
        <v>45240</v>
      </c>
      <c r="M1350">
        <v>77016</v>
      </c>
      <c r="N1350" t="s">
        <v>2994</v>
      </c>
      <c r="O1350" s="5">
        <v>45240</v>
      </c>
      <c r="P1350" s="5">
        <v>43777</v>
      </c>
    </row>
    <row r="1351" spans="1:16" x14ac:dyDescent="0.25">
      <c r="A1351" t="s">
        <v>2995</v>
      </c>
      <c r="B1351" t="str">
        <v>LT Foods Limited</v>
      </c>
      <c r="C1351" t="s">
        <v>14</v>
      </c>
      <c r="D1351">
        <v>195</v>
      </c>
      <c r="E1351">
        <v>196.2</v>
      </c>
      <c r="F1351">
        <v>192.25</v>
      </c>
      <c r="G1351" s="3">
        <v>195.05</v>
      </c>
      <c r="H1351">
        <v>194.25</v>
      </c>
      <c r="I1351">
        <v>195.05</v>
      </c>
      <c r="J1351">
        <v>906904</v>
      </c>
      <c r="K1351">
        <v>176287187</v>
      </c>
      <c r="L1351" s="1">
        <v>45240</v>
      </c>
      <c r="M1351">
        <v>10951</v>
      </c>
      <c r="N1351" t="s">
        <v>2997</v>
      </c>
      <c r="O1351" s="5">
        <v>45240</v>
      </c>
      <c r="P1351" s="5">
        <v>43777</v>
      </c>
    </row>
    <row r="1352" spans="1:16" x14ac:dyDescent="0.25">
      <c r="A1352" t="s">
        <v>6346</v>
      </c>
      <c r="B1352" t="str">
        <v>Not Found</v>
      </c>
      <c r="C1352" t="s">
        <v>14</v>
      </c>
      <c r="D1352">
        <v>24.49</v>
      </c>
      <c r="E1352">
        <v>24.49</v>
      </c>
      <c r="F1352">
        <v>24.41</v>
      </c>
      <c r="G1352" s="3">
        <v>24.42</v>
      </c>
      <c r="H1352">
        <v>24.44</v>
      </c>
      <c r="I1352">
        <v>24.47</v>
      </c>
      <c r="J1352">
        <v>1172136</v>
      </c>
      <c r="K1352">
        <v>28628168.140000001</v>
      </c>
      <c r="L1352" s="1">
        <v>45240</v>
      </c>
      <c r="M1352">
        <v>265</v>
      </c>
      <c r="N1352" t="s">
        <v>6345</v>
      </c>
      <c r="O1352" s="5">
        <v>45240</v>
      </c>
      <c r="P1352" s="5">
        <v>43777</v>
      </c>
    </row>
    <row r="1353" spans="1:16" x14ac:dyDescent="0.25">
      <c r="A1353" t="s">
        <v>2998</v>
      </c>
      <c r="B1353" t="str">
        <v>LTIMindtree Limited</v>
      </c>
      <c r="C1353" t="s">
        <v>14</v>
      </c>
      <c r="D1353">
        <v>5241</v>
      </c>
      <c r="E1353">
        <v>5279.95</v>
      </c>
      <c r="F1353">
        <v>5182.25</v>
      </c>
      <c r="G1353" s="3">
        <v>5262.15</v>
      </c>
      <c r="H1353">
        <v>5249.9</v>
      </c>
      <c r="I1353">
        <v>5254.7</v>
      </c>
      <c r="J1353">
        <v>229733</v>
      </c>
      <c r="K1353">
        <v>1203218258.25</v>
      </c>
      <c r="L1353" s="1">
        <v>45240</v>
      </c>
      <c r="M1353">
        <v>15786</v>
      </c>
      <c r="N1353" t="s">
        <v>3000</v>
      </c>
      <c r="O1353" s="5">
        <v>45240</v>
      </c>
      <c r="P1353" s="5">
        <v>43777</v>
      </c>
    </row>
    <row r="1354" spans="1:16" x14ac:dyDescent="0.25">
      <c r="A1354" t="s">
        <v>3001</v>
      </c>
      <c r="B1354" t="str">
        <v>L&amp;T Technology Services Limited</v>
      </c>
      <c r="C1354" t="s">
        <v>14</v>
      </c>
      <c r="D1354">
        <v>4242</v>
      </c>
      <c r="E1354">
        <v>4280</v>
      </c>
      <c r="F1354">
        <v>4203</v>
      </c>
      <c r="G1354" s="3">
        <v>4275.05</v>
      </c>
      <c r="H1354">
        <v>4265</v>
      </c>
      <c r="I1354">
        <v>4253</v>
      </c>
      <c r="J1354">
        <v>52639</v>
      </c>
      <c r="K1354">
        <v>224259051.90000001</v>
      </c>
      <c r="L1354" s="1">
        <v>45240</v>
      </c>
      <c r="M1354">
        <v>8085</v>
      </c>
      <c r="N1354" t="s">
        <v>3003</v>
      </c>
      <c r="O1354" s="5">
        <v>45240</v>
      </c>
      <c r="P1354" s="5">
        <v>43777</v>
      </c>
    </row>
    <row r="1355" spans="1:16" x14ac:dyDescent="0.25">
      <c r="A1355" t="s">
        <v>3004</v>
      </c>
      <c r="B1355" t="str">
        <v>Lumax Industries Limited</v>
      </c>
      <c r="C1355" t="s">
        <v>14</v>
      </c>
      <c r="D1355">
        <v>2280.5</v>
      </c>
      <c r="E1355">
        <v>2313.85</v>
      </c>
      <c r="F1355">
        <v>2230.8000000000002</v>
      </c>
      <c r="G1355" s="3">
        <v>2296.3000000000002</v>
      </c>
      <c r="H1355">
        <v>2280.1</v>
      </c>
      <c r="I1355">
        <v>2282.0500000000002</v>
      </c>
      <c r="J1355">
        <v>14413</v>
      </c>
      <c r="K1355">
        <v>32641789.350000001</v>
      </c>
      <c r="L1355" s="1">
        <v>45240</v>
      </c>
      <c r="M1355">
        <v>2114</v>
      </c>
      <c r="N1355" t="s">
        <v>3006</v>
      </c>
      <c r="O1355" s="5">
        <v>45240</v>
      </c>
      <c r="P1355" s="5">
        <v>43777</v>
      </c>
    </row>
    <row r="1356" spans="1:16" x14ac:dyDescent="0.25">
      <c r="A1356" t="s">
        <v>3007</v>
      </c>
      <c r="B1356" t="str">
        <v>Lumax Auto Technologies Limited</v>
      </c>
      <c r="C1356" t="s">
        <v>14</v>
      </c>
      <c r="D1356">
        <v>364.9</v>
      </c>
      <c r="E1356">
        <v>373.65</v>
      </c>
      <c r="F1356">
        <v>362.5</v>
      </c>
      <c r="G1356" s="3">
        <v>369.75</v>
      </c>
      <c r="H1356">
        <v>368</v>
      </c>
      <c r="I1356">
        <v>363.45</v>
      </c>
      <c r="J1356">
        <v>84504</v>
      </c>
      <c r="K1356">
        <v>31138758.449999999</v>
      </c>
      <c r="L1356" s="1">
        <v>45240</v>
      </c>
      <c r="M1356">
        <v>5227</v>
      </c>
      <c r="N1356" t="s">
        <v>3009</v>
      </c>
      <c r="O1356" s="5">
        <v>45240</v>
      </c>
      <c r="P1356" s="5">
        <v>43777</v>
      </c>
    </row>
    <row r="1357" spans="1:16" x14ac:dyDescent="0.25">
      <c r="A1357" t="s">
        <v>3010</v>
      </c>
      <c r="B1357" t="str">
        <v>Lupin Limited</v>
      </c>
      <c r="C1357" t="s">
        <v>14</v>
      </c>
      <c r="D1357">
        <v>1206.55</v>
      </c>
      <c r="E1357">
        <v>1212.7</v>
      </c>
      <c r="F1357">
        <v>1173</v>
      </c>
      <c r="G1357" s="3">
        <v>1180.1500000000001</v>
      </c>
      <c r="H1357">
        <v>1177.5999999999999</v>
      </c>
      <c r="I1357">
        <v>1204.55</v>
      </c>
      <c r="J1357">
        <v>2115284</v>
      </c>
      <c r="K1357">
        <v>2510068440.1999998</v>
      </c>
      <c r="L1357" s="1">
        <v>45240</v>
      </c>
      <c r="M1357">
        <v>77090</v>
      </c>
      <c r="N1357" t="s">
        <v>3012</v>
      </c>
      <c r="O1357" s="5">
        <v>45240</v>
      </c>
      <c r="P1357" s="5">
        <v>43777</v>
      </c>
    </row>
    <row r="1358" spans="1:16" x14ac:dyDescent="0.25">
      <c r="A1358" t="s">
        <v>3013</v>
      </c>
      <c r="B1358" t="str">
        <v>Lux Industries Limited</v>
      </c>
      <c r="C1358" t="s">
        <v>14</v>
      </c>
      <c r="D1358">
        <v>1416</v>
      </c>
      <c r="E1358">
        <v>1448.95</v>
      </c>
      <c r="F1358">
        <v>1406.05</v>
      </c>
      <c r="G1358" s="3">
        <v>1440.05</v>
      </c>
      <c r="H1358">
        <v>1438</v>
      </c>
      <c r="I1358">
        <v>1423.25</v>
      </c>
      <c r="J1358">
        <v>67382</v>
      </c>
      <c r="K1358">
        <v>96872313.950000003</v>
      </c>
      <c r="L1358" s="1">
        <v>45240</v>
      </c>
      <c r="M1358">
        <v>6814</v>
      </c>
      <c r="N1358" t="s">
        <v>3015</v>
      </c>
      <c r="O1358" s="5">
        <v>45240</v>
      </c>
      <c r="P1358" s="5">
        <v>43777</v>
      </c>
    </row>
    <row r="1359" spans="1:16" x14ac:dyDescent="0.25">
      <c r="A1359" t="s">
        <v>3016</v>
      </c>
      <c r="B1359" t="str">
        <v>Laxmi Organic Industries Limited</v>
      </c>
      <c r="C1359" t="s">
        <v>14</v>
      </c>
      <c r="D1359">
        <v>272.7</v>
      </c>
      <c r="E1359">
        <v>275.3</v>
      </c>
      <c r="F1359">
        <v>272</v>
      </c>
      <c r="G1359" s="3">
        <v>272.8</v>
      </c>
      <c r="H1359">
        <v>274</v>
      </c>
      <c r="I1359">
        <v>273.7</v>
      </c>
      <c r="J1359">
        <v>295286</v>
      </c>
      <c r="K1359">
        <v>80597040.5</v>
      </c>
      <c r="L1359" s="1">
        <v>45240</v>
      </c>
      <c r="M1359">
        <v>5701</v>
      </c>
      <c r="N1359" t="s">
        <v>3018</v>
      </c>
      <c r="O1359" s="5">
        <v>45240</v>
      </c>
      <c r="P1359" s="5">
        <v>43777</v>
      </c>
    </row>
    <row r="1360" spans="1:16" x14ac:dyDescent="0.25">
      <c r="A1360" t="s">
        <v>3019</v>
      </c>
      <c r="B1360" t="str">
        <v>Lyka Labs Limited</v>
      </c>
      <c r="C1360" t="s">
        <v>14</v>
      </c>
      <c r="D1360">
        <v>110.05</v>
      </c>
      <c r="E1360">
        <v>110.05</v>
      </c>
      <c r="F1360">
        <v>107.6</v>
      </c>
      <c r="G1360" s="3">
        <v>109.25</v>
      </c>
      <c r="H1360">
        <v>109</v>
      </c>
      <c r="I1360">
        <v>108.4</v>
      </c>
      <c r="J1360">
        <v>54421</v>
      </c>
      <c r="K1360">
        <v>5910187.4500000002</v>
      </c>
      <c r="L1360" s="1">
        <v>45240</v>
      </c>
      <c r="M1360">
        <v>701</v>
      </c>
      <c r="N1360" t="s">
        <v>3021</v>
      </c>
      <c r="O1360" s="5">
        <v>45240</v>
      </c>
      <c r="P1360" s="5">
        <v>43777</v>
      </c>
    </row>
    <row r="1361" spans="1:16" x14ac:dyDescent="0.25">
      <c r="A1361" t="s">
        <v>3022</v>
      </c>
      <c r="B1361" t="str">
        <v>Lypsa Gems &amp; Jewellery Limited</v>
      </c>
      <c r="C1361" t="s">
        <v>14</v>
      </c>
      <c r="D1361">
        <v>5.3</v>
      </c>
      <c r="E1361">
        <v>5.35</v>
      </c>
      <c r="F1361">
        <v>5.3</v>
      </c>
      <c r="G1361" s="3">
        <v>5.3</v>
      </c>
      <c r="H1361">
        <v>5.3</v>
      </c>
      <c r="I1361">
        <v>5.3</v>
      </c>
      <c r="J1361">
        <v>13601</v>
      </c>
      <c r="K1361">
        <v>72328.05</v>
      </c>
      <c r="L1361" s="1">
        <v>45240</v>
      </c>
      <c r="M1361">
        <v>50</v>
      </c>
      <c r="N1361" t="s">
        <v>3024</v>
      </c>
      <c r="O1361" s="5">
        <v>45240</v>
      </c>
      <c r="P1361" s="5">
        <v>43777</v>
      </c>
    </row>
    <row r="1362" spans="1:16" x14ac:dyDescent="0.25">
      <c r="A1362" t="s">
        <v>3025</v>
      </c>
      <c r="B1362" t="str">
        <v>Mahindra &amp; Mahindra Limited</v>
      </c>
      <c r="C1362" t="s">
        <v>14</v>
      </c>
      <c r="D1362">
        <v>1550</v>
      </c>
      <c r="E1362">
        <v>1551</v>
      </c>
      <c r="F1362">
        <v>1515.3</v>
      </c>
      <c r="G1362" s="3">
        <v>1524.1</v>
      </c>
      <c r="H1362">
        <v>1523.5</v>
      </c>
      <c r="I1362">
        <v>1552.05</v>
      </c>
      <c r="J1362">
        <v>4872228</v>
      </c>
      <c r="K1362">
        <v>7446249607.25</v>
      </c>
      <c r="L1362" s="1">
        <v>45240</v>
      </c>
      <c r="M1362">
        <v>156757</v>
      </c>
      <c r="N1362" t="s">
        <v>3027</v>
      </c>
      <c r="O1362" s="5">
        <v>45240</v>
      </c>
      <c r="P1362" s="5">
        <v>43777</v>
      </c>
    </row>
    <row r="1363" spans="1:16" x14ac:dyDescent="0.25">
      <c r="A1363" t="s">
        <v>3028</v>
      </c>
      <c r="B1363" t="str">
        <v>Mahindra &amp; Mahindra Financial Services Limited</v>
      </c>
      <c r="C1363" t="s">
        <v>14</v>
      </c>
      <c r="D1363">
        <v>271.85000000000002</v>
      </c>
      <c r="E1363">
        <v>272.3</v>
      </c>
      <c r="F1363">
        <v>267.60000000000002</v>
      </c>
      <c r="G1363" s="3">
        <v>271.55</v>
      </c>
      <c r="H1363">
        <v>270.60000000000002</v>
      </c>
      <c r="I1363">
        <v>271.89999999999998</v>
      </c>
      <c r="J1363">
        <v>1966572</v>
      </c>
      <c r="K1363">
        <v>532816842.35000002</v>
      </c>
      <c r="L1363" s="1">
        <v>45240</v>
      </c>
      <c r="M1363">
        <v>27092</v>
      </c>
      <c r="N1363" t="s">
        <v>3030</v>
      </c>
      <c r="O1363" s="5">
        <v>45240</v>
      </c>
      <c r="P1363" s="5">
        <v>43777</v>
      </c>
    </row>
    <row r="1364" spans="1:16" x14ac:dyDescent="0.25">
      <c r="A1364" t="s">
        <v>3028</v>
      </c>
      <c r="B1364" t="str">
        <v>Mahindra &amp; Mahindra Financial Services Limited</v>
      </c>
      <c r="C1364" t="s">
        <v>6176</v>
      </c>
      <c r="D1364">
        <v>1050</v>
      </c>
      <c r="E1364">
        <v>1050</v>
      </c>
      <c r="F1364">
        <v>1050</v>
      </c>
      <c r="G1364" s="3">
        <v>1050</v>
      </c>
      <c r="H1364">
        <v>1050</v>
      </c>
      <c r="I1364">
        <v>1053.95</v>
      </c>
      <c r="J1364">
        <v>92</v>
      </c>
      <c r="K1364">
        <v>96600</v>
      </c>
      <c r="L1364" s="1">
        <v>45240</v>
      </c>
      <c r="M1364">
        <v>2</v>
      </c>
      <c r="N1364" t="s">
        <v>6344</v>
      </c>
      <c r="O1364" s="5">
        <v>45240</v>
      </c>
      <c r="P1364" s="5">
        <v>43777</v>
      </c>
    </row>
    <row r="1365" spans="1:16" x14ac:dyDescent="0.25">
      <c r="A1365" t="s">
        <v>3031</v>
      </c>
      <c r="B1365" t="str">
        <v>Maan Aluminium Limited</v>
      </c>
      <c r="C1365" t="s">
        <v>14</v>
      </c>
      <c r="D1365">
        <v>134.69999999999999</v>
      </c>
      <c r="E1365">
        <v>141.75</v>
      </c>
      <c r="F1365">
        <v>134.69999999999999</v>
      </c>
      <c r="G1365" s="3">
        <v>134.94999999999999</v>
      </c>
      <c r="H1365">
        <v>135.6</v>
      </c>
      <c r="I1365">
        <v>141.75</v>
      </c>
      <c r="J1365">
        <v>336918</v>
      </c>
      <c r="K1365">
        <v>45667986.950000003</v>
      </c>
      <c r="L1365" s="1">
        <v>45240</v>
      </c>
      <c r="M1365">
        <v>3622</v>
      </c>
      <c r="N1365" t="s">
        <v>3033</v>
      </c>
      <c r="O1365" s="5">
        <v>45240</v>
      </c>
      <c r="P1365" s="5">
        <v>43777</v>
      </c>
    </row>
    <row r="1366" spans="1:16" x14ac:dyDescent="0.25">
      <c r="A1366" t="s">
        <v>3034</v>
      </c>
      <c r="B1366" t="str">
        <v>Macpower CNC Machines Limited</v>
      </c>
      <c r="C1366" t="s">
        <v>10</v>
      </c>
      <c r="D1366">
        <v>559.35</v>
      </c>
      <c r="E1366">
        <v>559.35</v>
      </c>
      <c r="F1366">
        <v>559.35</v>
      </c>
      <c r="G1366" s="3">
        <v>559.35</v>
      </c>
      <c r="H1366">
        <v>559.35</v>
      </c>
      <c r="I1366">
        <v>570.75</v>
      </c>
      <c r="J1366">
        <v>14784</v>
      </c>
      <c r="K1366">
        <v>8269430.4000000004</v>
      </c>
      <c r="L1366" s="1">
        <v>45240</v>
      </c>
      <c r="M1366">
        <v>95</v>
      </c>
      <c r="N1366" t="s">
        <v>3036</v>
      </c>
      <c r="O1366" s="5">
        <v>45240</v>
      </c>
      <c r="P1366" s="5">
        <v>43777</v>
      </c>
    </row>
    <row r="1367" spans="1:16" x14ac:dyDescent="0.25">
      <c r="A1367" t="s">
        <v>3037</v>
      </c>
      <c r="B1367" t="str">
        <v>Madhav Marbles and Granites Limited</v>
      </c>
      <c r="C1367" t="s">
        <v>14</v>
      </c>
      <c r="D1367">
        <v>49.95</v>
      </c>
      <c r="E1367">
        <v>50.35</v>
      </c>
      <c r="F1367">
        <v>48.65</v>
      </c>
      <c r="G1367" s="3">
        <v>49</v>
      </c>
      <c r="H1367">
        <v>49.05</v>
      </c>
      <c r="I1367">
        <v>49.55</v>
      </c>
      <c r="J1367">
        <v>18611</v>
      </c>
      <c r="K1367">
        <v>918041</v>
      </c>
      <c r="L1367" s="1">
        <v>45240</v>
      </c>
      <c r="M1367">
        <v>412</v>
      </c>
      <c r="N1367" t="s">
        <v>3039</v>
      </c>
      <c r="O1367" s="5">
        <v>45240</v>
      </c>
      <c r="P1367" s="5">
        <v>43777</v>
      </c>
    </row>
    <row r="1368" spans="1:16" x14ac:dyDescent="0.25">
      <c r="A1368" t="s">
        <v>6343</v>
      </c>
      <c r="B1368" t="str">
        <v>Not Found</v>
      </c>
      <c r="C1368" t="s">
        <v>5788</v>
      </c>
      <c r="D1368">
        <v>305</v>
      </c>
      <c r="E1368">
        <v>305</v>
      </c>
      <c r="F1368">
        <v>295</v>
      </c>
      <c r="G1368" s="3">
        <v>298</v>
      </c>
      <c r="H1368">
        <v>298</v>
      </c>
      <c r="I1368">
        <v>305</v>
      </c>
      <c r="J1368">
        <v>2400</v>
      </c>
      <c r="K1368">
        <v>719700</v>
      </c>
      <c r="L1368" s="1">
        <v>45240</v>
      </c>
      <c r="M1368">
        <v>6</v>
      </c>
      <c r="N1368" t="s">
        <v>6342</v>
      </c>
      <c r="O1368" s="5">
        <v>45240</v>
      </c>
      <c r="P1368" s="5">
        <v>43777</v>
      </c>
    </row>
    <row r="1369" spans="1:16" x14ac:dyDescent="0.25">
      <c r="A1369" t="s">
        <v>3040</v>
      </c>
      <c r="B1369" t="str">
        <v>Madhucon Projects Limited</v>
      </c>
      <c r="C1369" t="s">
        <v>14</v>
      </c>
      <c r="D1369">
        <v>6.1</v>
      </c>
      <c r="E1369">
        <v>6.15</v>
      </c>
      <c r="F1369">
        <v>5.9</v>
      </c>
      <c r="G1369" s="3">
        <v>6.05</v>
      </c>
      <c r="H1369">
        <v>6.1</v>
      </c>
      <c r="I1369">
        <v>5.95</v>
      </c>
      <c r="J1369">
        <v>101480</v>
      </c>
      <c r="K1369">
        <v>614326</v>
      </c>
      <c r="L1369" s="1">
        <v>45240</v>
      </c>
      <c r="M1369">
        <v>288</v>
      </c>
      <c r="N1369" t="s">
        <v>3042</v>
      </c>
      <c r="O1369" s="5">
        <v>45240</v>
      </c>
      <c r="P1369" s="5">
        <v>43777</v>
      </c>
    </row>
    <row r="1370" spans="1:16" x14ac:dyDescent="0.25">
      <c r="A1370" t="s">
        <v>6341</v>
      </c>
      <c r="B1370" t="str">
        <v>Not Found</v>
      </c>
      <c r="C1370" t="s">
        <v>5788</v>
      </c>
      <c r="D1370">
        <v>118.25</v>
      </c>
      <c r="E1370">
        <v>118.25</v>
      </c>
      <c r="F1370">
        <v>111</v>
      </c>
      <c r="G1370" s="3">
        <v>114</v>
      </c>
      <c r="H1370">
        <v>114</v>
      </c>
      <c r="I1370">
        <v>119.15</v>
      </c>
      <c r="J1370">
        <v>88000</v>
      </c>
      <c r="K1370">
        <v>10069800</v>
      </c>
      <c r="L1370" s="1">
        <v>45240</v>
      </c>
      <c r="M1370">
        <v>42</v>
      </c>
      <c r="N1370" t="s">
        <v>6340</v>
      </c>
      <c r="O1370" s="5">
        <v>45240</v>
      </c>
      <c r="P1370" s="5">
        <v>43777</v>
      </c>
    </row>
    <row r="1371" spans="1:16" x14ac:dyDescent="0.25">
      <c r="A1371" t="s">
        <v>3043</v>
      </c>
      <c r="B1371" t="str">
        <v>Madras Fertilizers Limited</v>
      </c>
      <c r="C1371" t="s">
        <v>14</v>
      </c>
      <c r="D1371">
        <v>76.599999999999994</v>
      </c>
      <c r="E1371">
        <v>77.75</v>
      </c>
      <c r="F1371">
        <v>76.150000000000006</v>
      </c>
      <c r="G1371" s="3">
        <v>76.8</v>
      </c>
      <c r="H1371">
        <v>76.75</v>
      </c>
      <c r="I1371">
        <v>77</v>
      </c>
      <c r="J1371">
        <v>284170</v>
      </c>
      <c r="K1371">
        <v>21807134.5</v>
      </c>
      <c r="L1371" s="1">
        <v>45240</v>
      </c>
      <c r="M1371">
        <v>2791</v>
      </c>
      <c r="N1371" t="s">
        <v>3045</v>
      </c>
      <c r="O1371" s="5">
        <v>45240</v>
      </c>
      <c r="P1371" s="5">
        <v>43777</v>
      </c>
    </row>
    <row r="1372" spans="1:16" x14ac:dyDescent="0.25">
      <c r="A1372" t="s">
        <v>6339</v>
      </c>
      <c r="B1372" t="str">
        <v>Not Found</v>
      </c>
      <c r="C1372" t="s">
        <v>14</v>
      </c>
      <c r="D1372">
        <v>64.33</v>
      </c>
      <c r="E1372">
        <v>64.33</v>
      </c>
      <c r="F1372">
        <v>63.85</v>
      </c>
      <c r="G1372" s="3">
        <v>64.010000000000005</v>
      </c>
      <c r="H1372">
        <v>64.069999999999993</v>
      </c>
      <c r="I1372">
        <v>64.33</v>
      </c>
      <c r="J1372">
        <v>484562</v>
      </c>
      <c r="K1372">
        <v>31017658.539999999</v>
      </c>
      <c r="L1372" s="1">
        <v>45240</v>
      </c>
      <c r="M1372">
        <v>3680</v>
      </c>
      <c r="N1372" t="s">
        <v>6338</v>
      </c>
      <c r="O1372" s="5">
        <v>45240</v>
      </c>
      <c r="P1372" s="5">
        <v>43777</v>
      </c>
    </row>
    <row r="1373" spans="1:16" x14ac:dyDescent="0.25">
      <c r="A1373" t="s">
        <v>3046</v>
      </c>
      <c r="B1373" t="str">
        <v>Magadh Sugar &amp; Energy Limited</v>
      </c>
      <c r="C1373" t="s">
        <v>14</v>
      </c>
      <c r="D1373">
        <v>715</v>
      </c>
      <c r="E1373">
        <v>729.95</v>
      </c>
      <c r="F1373">
        <v>708.8</v>
      </c>
      <c r="G1373" s="3">
        <v>718.7</v>
      </c>
      <c r="H1373">
        <v>714.5</v>
      </c>
      <c r="I1373">
        <v>712.2</v>
      </c>
      <c r="J1373">
        <v>26559</v>
      </c>
      <c r="K1373">
        <v>19089197.800000001</v>
      </c>
      <c r="L1373" s="1">
        <v>45240</v>
      </c>
      <c r="M1373">
        <v>3414</v>
      </c>
      <c r="N1373" t="s">
        <v>3048</v>
      </c>
      <c r="O1373" s="5">
        <v>45240</v>
      </c>
      <c r="P1373" s="5">
        <v>43777</v>
      </c>
    </row>
    <row r="1374" spans="1:16" x14ac:dyDescent="0.25">
      <c r="A1374" t="s">
        <v>3049</v>
      </c>
      <c r="B1374" t="str">
        <v>Magnum Ventures Limited</v>
      </c>
      <c r="C1374" t="s">
        <v>10</v>
      </c>
      <c r="D1374">
        <v>49.8</v>
      </c>
      <c r="E1374">
        <v>52</v>
      </c>
      <c r="F1374">
        <v>49.8</v>
      </c>
      <c r="G1374" s="3">
        <v>51.3</v>
      </c>
      <c r="H1374">
        <v>50.8</v>
      </c>
      <c r="I1374">
        <v>49.85</v>
      </c>
      <c r="J1374">
        <v>38498</v>
      </c>
      <c r="K1374">
        <v>1966009.1</v>
      </c>
      <c r="L1374" s="1">
        <v>45240</v>
      </c>
      <c r="M1374">
        <v>207</v>
      </c>
      <c r="N1374" t="s">
        <v>3051</v>
      </c>
      <c r="O1374" s="5">
        <v>45240</v>
      </c>
      <c r="P1374" s="5">
        <v>43777</v>
      </c>
    </row>
    <row r="1375" spans="1:16" x14ac:dyDescent="0.25">
      <c r="A1375" t="s">
        <v>6337</v>
      </c>
      <c r="B1375" t="str">
        <v>Not Found</v>
      </c>
      <c r="C1375" t="s">
        <v>5788</v>
      </c>
      <c r="D1375">
        <v>136.55000000000001</v>
      </c>
      <c r="E1375">
        <v>143.05000000000001</v>
      </c>
      <c r="F1375">
        <v>136.05000000000001</v>
      </c>
      <c r="G1375" s="3">
        <v>141.69999999999999</v>
      </c>
      <c r="H1375">
        <v>141.75</v>
      </c>
      <c r="I1375">
        <v>130.05000000000001</v>
      </c>
      <c r="J1375">
        <v>174000</v>
      </c>
      <c r="K1375">
        <v>24501300</v>
      </c>
      <c r="L1375" s="1">
        <v>45240</v>
      </c>
      <c r="M1375">
        <v>82</v>
      </c>
      <c r="N1375" t="s">
        <v>6336</v>
      </c>
      <c r="O1375" s="5">
        <v>45240</v>
      </c>
      <c r="P1375" s="5">
        <v>43777</v>
      </c>
    </row>
    <row r="1376" spans="1:16" x14ac:dyDescent="0.25">
      <c r="A1376" t="s">
        <v>3052</v>
      </c>
      <c r="B1376" t="str">
        <v>Bank of Maharashtra</v>
      </c>
      <c r="C1376" t="s">
        <v>14</v>
      </c>
      <c r="D1376">
        <v>43.3</v>
      </c>
      <c r="E1376">
        <v>43.35</v>
      </c>
      <c r="F1376">
        <v>42.75</v>
      </c>
      <c r="G1376" s="3">
        <v>43.15</v>
      </c>
      <c r="H1376">
        <v>43.2</v>
      </c>
      <c r="I1376">
        <v>43.35</v>
      </c>
      <c r="J1376">
        <v>9751541</v>
      </c>
      <c r="K1376">
        <v>419753813.60000002</v>
      </c>
      <c r="L1376" s="1">
        <v>45240</v>
      </c>
      <c r="M1376">
        <v>14093</v>
      </c>
      <c r="N1376" t="s">
        <v>3054</v>
      </c>
      <c r="O1376" s="5">
        <v>45240</v>
      </c>
      <c r="P1376" s="5">
        <v>43777</v>
      </c>
    </row>
    <row r="1377" spans="1:16" x14ac:dyDescent="0.25">
      <c r="A1377" t="s">
        <v>3055</v>
      </c>
      <c r="B1377" t="str">
        <v>Maha Rashtra Apex Corporation Limited</v>
      </c>
      <c r="C1377" t="s">
        <v>14</v>
      </c>
      <c r="D1377">
        <v>155.75</v>
      </c>
      <c r="E1377">
        <v>155.75</v>
      </c>
      <c r="F1377">
        <v>144.9</v>
      </c>
      <c r="G1377" s="3">
        <v>146.65</v>
      </c>
      <c r="H1377">
        <v>147.80000000000001</v>
      </c>
      <c r="I1377">
        <v>155.75</v>
      </c>
      <c r="J1377">
        <v>25885</v>
      </c>
      <c r="K1377">
        <v>3858240.65</v>
      </c>
      <c r="L1377" s="1">
        <v>45240</v>
      </c>
      <c r="M1377">
        <v>1683</v>
      </c>
      <c r="N1377" t="s">
        <v>3057</v>
      </c>
      <c r="O1377" s="5">
        <v>45240</v>
      </c>
      <c r="P1377" s="5">
        <v>43777</v>
      </c>
    </row>
    <row r="1378" spans="1:16" x14ac:dyDescent="0.25">
      <c r="A1378" t="s">
        <v>3058</v>
      </c>
      <c r="B1378" t="str">
        <v>Mahamaya Steel Industries Limited</v>
      </c>
      <c r="C1378" t="s">
        <v>14</v>
      </c>
      <c r="D1378">
        <v>79.349999999999994</v>
      </c>
      <c r="E1378">
        <v>79.349999999999994</v>
      </c>
      <c r="F1378">
        <v>75.599999999999994</v>
      </c>
      <c r="G1378" s="3">
        <v>76.5</v>
      </c>
      <c r="H1378">
        <v>76.650000000000006</v>
      </c>
      <c r="I1378">
        <v>78.2</v>
      </c>
      <c r="J1378">
        <v>35218</v>
      </c>
      <c r="K1378">
        <v>2716667.9</v>
      </c>
      <c r="L1378" s="1">
        <v>45240</v>
      </c>
      <c r="M1378">
        <v>761</v>
      </c>
      <c r="N1378" t="s">
        <v>3060</v>
      </c>
      <c r="O1378" s="5">
        <v>45240</v>
      </c>
      <c r="P1378" s="5">
        <v>43777</v>
      </c>
    </row>
    <row r="1379" spans="1:16" x14ac:dyDescent="0.25">
      <c r="A1379" t="s">
        <v>3061</v>
      </c>
      <c r="B1379" t="str">
        <v>Mahindra EPC Irrigation Limited</v>
      </c>
      <c r="C1379" t="s">
        <v>14</v>
      </c>
      <c r="D1379">
        <v>114.65</v>
      </c>
      <c r="E1379">
        <v>115.8</v>
      </c>
      <c r="F1379">
        <v>114</v>
      </c>
      <c r="G1379" s="3">
        <v>114.45</v>
      </c>
      <c r="H1379">
        <v>114.55</v>
      </c>
      <c r="I1379">
        <v>112.95</v>
      </c>
      <c r="J1379">
        <v>36328</v>
      </c>
      <c r="K1379">
        <v>4177139.55</v>
      </c>
      <c r="L1379" s="1">
        <v>45240</v>
      </c>
      <c r="M1379">
        <v>997</v>
      </c>
      <c r="N1379" t="s">
        <v>3063</v>
      </c>
      <c r="O1379" s="5">
        <v>45240</v>
      </c>
      <c r="P1379" s="5">
        <v>43777</v>
      </c>
    </row>
    <row r="1380" spans="1:16" x14ac:dyDescent="0.25">
      <c r="A1380" t="s">
        <v>3064</v>
      </c>
      <c r="B1380" t="str">
        <v>Maheshwari Logistics Limited</v>
      </c>
      <c r="C1380" t="s">
        <v>14</v>
      </c>
      <c r="D1380">
        <v>85.95</v>
      </c>
      <c r="E1380">
        <v>88.2</v>
      </c>
      <c r="F1380">
        <v>84.3</v>
      </c>
      <c r="G1380" s="3">
        <v>85.15</v>
      </c>
      <c r="H1380">
        <v>84.9</v>
      </c>
      <c r="I1380">
        <v>85.15</v>
      </c>
      <c r="J1380">
        <v>97739</v>
      </c>
      <c r="K1380">
        <v>8389221.3499999996</v>
      </c>
      <c r="L1380" s="1">
        <v>45240</v>
      </c>
      <c r="M1380">
        <v>1747</v>
      </c>
      <c r="N1380" t="s">
        <v>3066</v>
      </c>
      <c r="O1380" s="5">
        <v>45240</v>
      </c>
      <c r="P1380" s="5">
        <v>43777</v>
      </c>
    </row>
    <row r="1381" spans="1:16" x14ac:dyDescent="0.25">
      <c r="A1381" t="s">
        <v>6335</v>
      </c>
      <c r="B1381" t="str">
        <v>Not Found</v>
      </c>
      <c r="C1381" t="s">
        <v>5788</v>
      </c>
      <c r="D1381">
        <v>92</v>
      </c>
      <c r="E1381">
        <v>93.95</v>
      </c>
      <c r="F1381">
        <v>90</v>
      </c>
      <c r="G1381" s="3">
        <v>93.25</v>
      </c>
      <c r="H1381">
        <v>93.95</v>
      </c>
      <c r="I1381">
        <v>93.85</v>
      </c>
      <c r="J1381">
        <v>15000</v>
      </c>
      <c r="K1381">
        <v>1385625</v>
      </c>
      <c r="L1381" s="1">
        <v>45240</v>
      </c>
      <c r="M1381">
        <v>10</v>
      </c>
      <c r="N1381" t="s">
        <v>6334</v>
      </c>
      <c r="O1381" s="5">
        <v>45240</v>
      </c>
      <c r="P1381" s="5">
        <v>43777</v>
      </c>
    </row>
    <row r="1382" spans="1:16" x14ac:dyDescent="0.25">
      <c r="A1382" t="s">
        <v>6333</v>
      </c>
      <c r="B1382" t="str">
        <v>Not Found</v>
      </c>
      <c r="C1382" t="s">
        <v>14</v>
      </c>
      <c r="D1382">
        <v>13.92</v>
      </c>
      <c r="E1382">
        <v>14.05</v>
      </c>
      <c r="F1382">
        <v>13.85</v>
      </c>
      <c r="G1382" s="3">
        <v>13.93</v>
      </c>
      <c r="H1382">
        <v>13.95</v>
      </c>
      <c r="I1382">
        <v>14.04</v>
      </c>
      <c r="J1382">
        <v>414181</v>
      </c>
      <c r="K1382">
        <v>5777834.6299999999</v>
      </c>
      <c r="L1382" s="1">
        <v>45240</v>
      </c>
      <c r="M1382">
        <v>861</v>
      </c>
      <c r="N1382" t="s">
        <v>6332</v>
      </c>
      <c r="O1382" s="5">
        <v>45240</v>
      </c>
      <c r="P1382" s="5">
        <v>43777</v>
      </c>
    </row>
    <row r="1383" spans="1:16" x14ac:dyDescent="0.25">
      <c r="A1383" t="s">
        <v>3067</v>
      </c>
      <c r="B1383" t="str">
        <v>Mahindra Lifespace Developers Limited</v>
      </c>
      <c r="C1383" t="s">
        <v>14</v>
      </c>
      <c r="D1383">
        <v>505</v>
      </c>
      <c r="E1383">
        <v>511.25</v>
      </c>
      <c r="F1383">
        <v>501</v>
      </c>
      <c r="G1383" s="3">
        <v>506.7</v>
      </c>
      <c r="H1383">
        <v>508.6</v>
      </c>
      <c r="I1383">
        <v>508.85</v>
      </c>
      <c r="J1383">
        <v>54372</v>
      </c>
      <c r="K1383">
        <v>27541670.050000001</v>
      </c>
      <c r="L1383" s="1">
        <v>45240</v>
      </c>
      <c r="M1383">
        <v>3765</v>
      </c>
      <c r="N1383" t="s">
        <v>3069</v>
      </c>
      <c r="O1383" s="5">
        <v>45240</v>
      </c>
      <c r="P1383" s="5">
        <v>43777</v>
      </c>
    </row>
    <row r="1384" spans="1:16" x14ac:dyDescent="0.25">
      <c r="A1384" t="s">
        <v>3070</v>
      </c>
      <c r="B1384" t="str">
        <v>Mahindra Logistics Limited</v>
      </c>
      <c r="C1384" t="s">
        <v>14</v>
      </c>
      <c r="D1384">
        <v>365.45</v>
      </c>
      <c r="E1384">
        <v>365.45</v>
      </c>
      <c r="F1384">
        <v>358</v>
      </c>
      <c r="G1384" s="3">
        <v>359.1</v>
      </c>
      <c r="H1384">
        <v>358.9</v>
      </c>
      <c r="I1384">
        <v>365.8</v>
      </c>
      <c r="J1384">
        <v>115935</v>
      </c>
      <c r="K1384">
        <v>41831302.200000003</v>
      </c>
      <c r="L1384" s="1">
        <v>45240</v>
      </c>
      <c r="M1384">
        <v>4017</v>
      </c>
      <c r="N1384" t="s">
        <v>3072</v>
      </c>
      <c r="O1384" s="5">
        <v>45240</v>
      </c>
      <c r="P1384" s="5">
        <v>43777</v>
      </c>
    </row>
    <row r="1385" spans="1:16" x14ac:dyDescent="0.25">
      <c r="A1385" t="s">
        <v>3073</v>
      </c>
      <c r="B1385" t="str">
        <v>Maharashtra Scooters Limited</v>
      </c>
      <c r="C1385" t="s">
        <v>14</v>
      </c>
      <c r="D1385">
        <v>7798.95</v>
      </c>
      <c r="E1385">
        <v>7809.95</v>
      </c>
      <c r="F1385">
        <v>7701</v>
      </c>
      <c r="G1385" s="3">
        <v>7727.4</v>
      </c>
      <c r="H1385">
        <v>7730</v>
      </c>
      <c r="I1385">
        <v>7773.05</v>
      </c>
      <c r="J1385">
        <v>1327</v>
      </c>
      <c r="K1385">
        <v>10260780.25</v>
      </c>
      <c r="L1385" s="1">
        <v>45240</v>
      </c>
      <c r="M1385">
        <v>557</v>
      </c>
      <c r="N1385" t="s">
        <v>3075</v>
      </c>
      <c r="O1385" s="5">
        <v>45240</v>
      </c>
      <c r="P1385" s="5">
        <v>43777</v>
      </c>
    </row>
    <row r="1386" spans="1:16" x14ac:dyDescent="0.25">
      <c r="A1386" t="s">
        <v>3076</v>
      </c>
      <c r="B1386" t="str">
        <v>Maharashtra Seamless Limited</v>
      </c>
      <c r="C1386" t="s">
        <v>14</v>
      </c>
      <c r="D1386">
        <v>804.05</v>
      </c>
      <c r="E1386">
        <v>816.6</v>
      </c>
      <c r="F1386">
        <v>792.55</v>
      </c>
      <c r="G1386" s="3">
        <v>804.3</v>
      </c>
      <c r="H1386">
        <v>805</v>
      </c>
      <c r="I1386">
        <v>807.95</v>
      </c>
      <c r="J1386">
        <v>225179</v>
      </c>
      <c r="K1386">
        <v>181105972.59999999</v>
      </c>
      <c r="L1386" s="1">
        <v>45240</v>
      </c>
      <c r="M1386">
        <v>12306</v>
      </c>
      <c r="N1386" t="s">
        <v>3078</v>
      </c>
      <c r="O1386" s="5">
        <v>45240</v>
      </c>
      <c r="P1386" s="5">
        <v>43777</v>
      </c>
    </row>
    <row r="1387" spans="1:16" x14ac:dyDescent="0.25">
      <c r="A1387" t="s">
        <v>3079</v>
      </c>
      <c r="B1387" t="str">
        <v>Maithan Alloys Limited</v>
      </c>
      <c r="C1387" t="s">
        <v>14</v>
      </c>
      <c r="D1387">
        <v>1019.45</v>
      </c>
      <c r="E1387">
        <v>1029.3</v>
      </c>
      <c r="F1387">
        <v>1011.65</v>
      </c>
      <c r="G1387" s="3">
        <v>1014.4</v>
      </c>
      <c r="H1387">
        <v>1018</v>
      </c>
      <c r="I1387">
        <v>1019.45</v>
      </c>
      <c r="J1387">
        <v>29174</v>
      </c>
      <c r="K1387">
        <v>29713104.850000001</v>
      </c>
      <c r="L1387" s="1">
        <v>45240</v>
      </c>
      <c r="M1387">
        <v>4221</v>
      </c>
      <c r="N1387" t="s">
        <v>3081</v>
      </c>
      <c r="O1387" s="5">
        <v>45240</v>
      </c>
      <c r="P1387" s="5">
        <v>43777</v>
      </c>
    </row>
    <row r="1388" spans="1:16" x14ac:dyDescent="0.25">
      <c r="A1388" t="s">
        <v>6331</v>
      </c>
      <c r="B1388" t="str">
        <v>Not Found</v>
      </c>
      <c r="C1388" t="s">
        <v>5853</v>
      </c>
      <c r="D1388">
        <v>132.5</v>
      </c>
      <c r="E1388">
        <v>132.5</v>
      </c>
      <c r="F1388">
        <v>132.5</v>
      </c>
      <c r="G1388" s="3">
        <v>132.5</v>
      </c>
      <c r="H1388">
        <v>132.5</v>
      </c>
      <c r="I1388">
        <v>139.44999999999999</v>
      </c>
      <c r="J1388">
        <v>16000</v>
      </c>
      <c r="K1388">
        <v>2120000</v>
      </c>
      <c r="L1388" s="1">
        <v>45240</v>
      </c>
      <c r="M1388">
        <v>4</v>
      </c>
      <c r="N1388" t="s">
        <v>6330</v>
      </c>
      <c r="O1388" s="5">
        <v>45240</v>
      </c>
      <c r="P1388" s="5">
        <v>43777</v>
      </c>
    </row>
    <row r="1389" spans="1:16" x14ac:dyDescent="0.25">
      <c r="A1389" t="s">
        <v>6329</v>
      </c>
      <c r="B1389" t="str">
        <v>Not Found</v>
      </c>
      <c r="C1389" t="s">
        <v>14</v>
      </c>
      <c r="D1389">
        <v>95.7</v>
      </c>
      <c r="E1389">
        <v>98.82</v>
      </c>
      <c r="F1389">
        <v>95.7</v>
      </c>
      <c r="G1389" s="3">
        <v>98.44</v>
      </c>
      <c r="H1389">
        <v>98.48</v>
      </c>
      <c r="I1389">
        <v>98.64</v>
      </c>
      <c r="J1389">
        <v>15958</v>
      </c>
      <c r="K1389">
        <v>1570403.47</v>
      </c>
      <c r="L1389" s="1">
        <v>45240</v>
      </c>
      <c r="M1389">
        <v>204</v>
      </c>
      <c r="N1389" t="s">
        <v>6328</v>
      </c>
      <c r="O1389" s="5">
        <v>45240</v>
      </c>
      <c r="P1389" s="5">
        <v>43777</v>
      </c>
    </row>
    <row r="1390" spans="1:16" x14ac:dyDescent="0.25">
      <c r="A1390" t="s">
        <v>6327</v>
      </c>
      <c r="B1390" t="str">
        <v>Not Found</v>
      </c>
      <c r="C1390" t="s">
        <v>5853</v>
      </c>
      <c r="D1390">
        <v>92</v>
      </c>
      <c r="E1390">
        <v>95.55</v>
      </c>
      <c r="F1390">
        <v>92</v>
      </c>
      <c r="G1390" s="3">
        <v>94.95</v>
      </c>
      <c r="H1390">
        <v>95</v>
      </c>
      <c r="I1390">
        <v>91</v>
      </c>
      <c r="J1390">
        <v>15000</v>
      </c>
      <c r="K1390">
        <v>1421850</v>
      </c>
      <c r="L1390" s="1">
        <v>45240</v>
      </c>
      <c r="M1390">
        <v>8</v>
      </c>
      <c r="N1390" t="s">
        <v>6326</v>
      </c>
      <c r="O1390" s="5">
        <v>45240</v>
      </c>
      <c r="P1390" s="5">
        <v>43777</v>
      </c>
    </row>
    <row r="1391" spans="1:16" x14ac:dyDescent="0.25">
      <c r="A1391" t="s">
        <v>6325</v>
      </c>
      <c r="B1391" t="str">
        <v>Not Found</v>
      </c>
      <c r="C1391" t="s">
        <v>5788</v>
      </c>
      <c r="D1391">
        <v>60</v>
      </c>
      <c r="E1391">
        <v>60</v>
      </c>
      <c r="F1391">
        <v>57.5</v>
      </c>
      <c r="G1391" s="3">
        <v>58.8</v>
      </c>
      <c r="H1391">
        <v>58.8</v>
      </c>
      <c r="I1391">
        <v>57.35</v>
      </c>
      <c r="J1391">
        <v>91200</v>
      </c>
      <c r="K1391">
        <v>5372720</v>
      </c>
      <c r="L1391" s="1">
        <v>45240</v>
      </c>
      <c r="M1391">
        <v>57</v>
      </c>
      <c r="N1391" t="s">
        <v>6324</v>
      </c>
      <c r="O1391" s="5">
        <v>45240</v>
      </c>
      <c r="P1391" s="5">
        <v>43777</v>
      </c>
    </row>
    <row r="1392" spans="1:16" x14ac:dyDescent="0.25">
      <c r="A1392" t="s">
        <v>3082</v>
      </c>
      <c r="B1392" t="str">
        <v>Mallcom (India) Limited</v>
      </c>
      <c r="C1392" t="s">
        <v>14</v>
      </c>
      <c r="D1392">
        <v>1065</v>
      </c>
      <c r="E1392">
        <v>1087.6500000000001</v>
      </c>
      <c r="F1392">
        <v>1065</v>
      </c>
      <c r="G1392" s="3">
        <v>1076.6500000000001</v>
      </c>
      <c r="H1392">
        <v>1073.5</v>
      </c>
      <c r="I1392">
        <v>1071.75</v>
      </c>
      <c r="J1392">
        <v>5834</v>
      </c>
      <c r="K1392">
        <v>6270390.2000000002</v>
      </c>
      <c r="L1392" s="1">
        <v>45240</v>
      </c>
      <c r="M1392">
        <v>450</v>
      </c>
      <c r="N1392" t="s">
        <v>3084</v>
      </c>
      <c r="O1392" s="5">
        <v>45240</v>
      </c>
      <c r="P1392" s="5">
        <v>43777</v>
      </c>
    </row>
    <row r="1393" spans="1:16" x14ac:dyDescent="0.25">
      <c r="A1393" t="s">
        <v>3085</v>
      </c>
      <c r="B1393" t="str">
        <v>Malu Paper Mills Limited</v>
      </c>
      <c r="C1393" t="s">
        <v>14</v>
      </c>
      <c r="D1393">
        <v>38.1</v>
      </c>
      <c r="E1393">
        <v>39.450000000000003</v>
      </c>
      <c r="F1393">
        <v>37.700000000000003</v>
      </c>
      <c r="G1393" s="3">
        <v>38.4</v>
      </c>
      <c r="H1393">
        <v>38.299999999999997</v>
      </c>
      <c r="I1393">
        <v>38.25</v>
      </c>
      <c r="J1393">
        <v>33118</v>
      </c>
      <c r="K1393">
        <v>1278858.75</v>
      </c>
      <c r="L1393" s="1">
        <v>45240</v>
      </c>
      <c r="M1393">
        <v>349</v>
      </c>
      <c r="N1393" t="s">
        <v>3087</v>
      </c>
      <c r="O1393" s="5">
        <v>45240</v>
      </c>
      <c r="P1393" s="5">
        <v>43777</v>
      </c>
    </row>
    <row r="1394" spans="1:16" x14ac:dyDescent="0.25">
      <c r="A1394" t="s">
        <v>3088</v>
      </c>
      <c r="B1394" t="str">
        <v>Manaksia Aluminium Company Limited</v>
      </c>
      <c r="C1394" t="s">
        <v>14</v>
      </c>
      <c r="D1394">
        <v>26.25</v>
      </c>
      <c r="E1394">
        <v>27.5</v>
      </c>
      <c r="F1394">
        <v>26.1</v>
      </c>
      <c r="G1394" s="3">
        <v>26.5</v>
      </c>
      <c r="H1394">
        <v>26.1</v>
      </c>
      <c r="I1394">
        <v>26.95</v>
      </c>
      <c r="J1394">
        <v>88049</v>
      </c>
      <c r="K1394">
        <v>2352987.35</v>
      </c>
      <c r="L1394" s="1">
        <v>45240</v>
      </c>
      <c r="M1394">
        <v>892</v>
      </c>
      <c r="N1394" t="s">
        <v>3090</v>
      </c>
      <c r="O1394" s="5">
        <v>45240</v>
      </c>
      <c r="P1394" s="5">
        <v>43777</v>
      </c>
    </row>
    <row r="1395" spans="1:16" x14ac:dyDescent="0.25">
      <c r="A1395" t="s">
        <v>3091</v>
      </c>
      <c r="B1395" t="str">
        <v>Manaksia Coated Metals &amp; Industries Limited</v>
      </c>
      <c r="C1395" t="s">
        <v>10</v>
      </c>
      <c r="D1395">
        <v>26.65</v>
      </c>
      <c r="E1395">
        <v>27.1</v>
      </c>
      <c r="F1395">
        <v>26.1</v>
      </c>
      <c r="G1395" s="3">
        <v>26.6</v>
      </c>
      <c r="H1395">
        <v>26.8</v>
      </c>
      <c r="I1395">
        <v>26.35</v>
      </c>
      <c r="J1395">
        <v>46797</v>
      </c>
      <c r="K1395">
        <v>1249631.6000000001</v>
      </c>
      <c r="L1395" s="1">
        <v>45240</v>
      </c>
      <c r="M1395">
        <v>261</v>
      </c>
      <c r="N1395" t="s">
        <v>3093</v>
      </c>
      <c r="O1395" s="5">
        <v>45240</v>
      </c>
      <c r="P1395" s="5">
        <v>43777</v>
      </c>
    </row>
    <row r="1396" spans="1:16" x14ac:dyDescent="0.25">
      <c r="A1396" t="s">
        <v>3094</v>
      </c>
      <c r="B1396" t="str">
        <v>Manaksia Limited</v>
      </c>
      <c r="C1396" t="s">
        <v>14</v>
      </c>
      <c r="D1396">
        <v>137</v>
      </c>
      <c r="E1396">
        <v>137.19999999999999</v>
      </c>
      <c r="F1396">
        <v>133.94999999999999</v>
      </c>
      <c r="G1396" s="3">
        <v>135.15</v>
      </c>
      <c r="H1396">
        <v>135.5</v>
      </c>
      <c r="I1396">
        <v>136.55000000000001</v>
      </c>
      <c r="J1396">
        <v>49116</v>
      </c>
      <c r="K1396">
        <v>6641187.3499999996</v>
      </c>
      <c r="L1396" s="1">
        <v>45240</v>
      </c>
      <c r="M1396">
        <v>1147</v>
      </c>
      <c r="N1396" t="s">
        <v>3096</v>
      </c>
      <c r="O1396" s="5">
        <v>45240</v>
      </c>
      <c r="P1396" s="5">
        <v>43777</v>
      </c>
    </row>
    <row r="1397" spans="1:16" x14ac:dyDescent="0.25">
      <c r="A1397" t="s">
        <v>3097</v>
      </c>
      <c r="B1397" t="str">
        <v>Manaksia Steels Limited</v>
      </c>
      <c r="C1397" t="s">
        <v>14</v>
      </c>
      <c r="D1397">
        <v>45</v>
      </c>
      <c r="E1397">
        <v>45.65</v>
      </c>
      <c r="F1397">
        <v>44.45</v>
      </c>
      <c r="G1397" s="3">
        <v>44.55</v>
      </c>
      <c r="H1397">
        <v>44.85</v>
      </c>
      <c r="I1397">
        <v>44.75</v>
      </c>
      <c r="J1397">
        <v>63458</v>
      </c>
      <c r="K1397">
        <v>2845820.45</v>
      </c>
      <c r="L1397" s="1">
        <v>45240</v>
      </c>
      <c r="M1397">
        <v>448</v>
      </c>
      <c r="N1397" t="s">
        <v>3099</v>
      </c>
      <c r="O1397" s="5">
        <v>45240</v>
      </c>
      <c r="P1397" s="5">
        <v>43777</v>
      </c>
    </row>
    <row r="1398" spans="1:16" x14ac:dyDescent="0.25">
      <c r="A1398" t="s">
        <v>3100</v>
      </c>
      <c r="B1398" t="str">
        <v>Manali Petrochemicals Limited</v>
      </c>
      <c r="C1398" t="s">
        <v>14</v>
      </c>
      <c r="D1398">
        <v>66</v>
      </c>
      <c r="E1398">
        <v>66.650000000000006</v>
      </c>
      <c r="F1398">
        <v>65.900000000000006</v>
      </c>
      <c r="G1398" s="3">
        <v>66.3</v>
      </c>
      <c r="H1398">
        <v>66.400000000000006</v>
      </c>
      <c r="I1398">
        <v>65.8</v>
      </c>
      <c r="J1398">
        <v>249484</v>
      </c>
      <c r="K1398">
        <v>16532392.949999999</v>
      </c>
      <c r="L1398" s="1">
        <v>45240</v>
      </c>
      <c r="M1398">
        <v>2181</v>
      </c>
      <c r="N1398" t="s">
        <v>3102</v>
      </c>
      <c r="O1398" s="5">
        <v>45240</v>
      </c>
      <c r="P1398" s="5">
        <v>43777</v>
      </c>
    </row>
    <row r="1399" spans="1:16" x14ac:dyDescent="0.25">
      <c r="A1399" t="s">
        <v>3103</v>
      </c>
      <c r="B1399" t="str">
        <v>Manappuram Finance Limited</v>
      </c>
      <c r="C1399" t="s">
        <v>14</v>
      </c>
      <c r="D1399">
        <v>138.69999999999999</v>
      </c>
      <c r="E1399">
        <v>138.69999999999999</v>
      </c>
      <c r="F1399">
        <v>134.4</v>
      </c>
      <c r="G1399" s="3">
        <v>136.05000000000001</v>
      </c>
      <c r="H1399">
        <v>136.1</v>
      </c>
      <c r="I1399">
        <v>139.30000000000001</v>
      </c>
      <c r="J1399">
        <v>6528381</v>
      </c>
      <c r="K1399">
        <v>887252767.20000005</v>
      </c>
      <c r="L1399" s="1">
        <v>45240</v>
      </c>
      <c r="M1399">
        <v>33853</v>
      </c>
      <c r="N1399" t="s">
        <v>3105</v>
      </c>
      <c r="O1399" s="5">
        <v>45240</v>
      </c>
      <c r="P1399" s="5">
        <v>43777</v>
      </c>
    </row>
    <row r="1400" spans="1:16" x14ac:dyDescent="0.25">
      <c r="A1400" t="s">
        <v>3106</v>
      </c>
      <c r="B1400" t="str">
        <v>Mangalam Drugs And Organics Limited</v>
      </c>
      <c r="C1400" t="s">
        <v>14</v>
      </c>
      <c r="D1400">
        <v>99.6</v>
      </c>
      <c r="E1400">
        <v>100.65</v>
      </c>
      <c r="F1400">
        <v>99</v>
      </c>
      <c r="G1400" s="3">
        <v>99.5</v>
      </c>
      <c r="H1400">
        <v>99.75</v>
      </c>
      <c r="I1400">
        <v>99.6</v>
      </c>
      <c r="J1400">
        <v>22811</v>
      </c>
      <c r="K1400">
        <v>2280533.25</v>
      </c>
      <c r="L1400" s="1">
        <v>45240</v>
      </c>
      <c r="M1400">
        <v>420</v>
      </c>
      <c r="N1400" t="s">
        <v>3108</v>
      </c>
      <c r="O1400" s="5">
        <v>45240</v>
      </c>
      <c r="P1400" s="5">
        <v>43777</v>
      </c>
    </row>
    <row r="1401" spans="1:16" x14ac:dyDescent="0.25">
      <c r="A1401" t="s">
        <v>3109</v>
      </c>
      <c r="B1401" t="str">
        <v>Mangalore Chemicals &amp; Fertilizers Limited</v>
      </c>
      <c r="C1401" t="s">
        <v>14</v>
      </c>
      <c r="D1401">
        <v>112.35</v>
      </c>
      <c r="E1401">
        <v>116.4</v>
      </c>
      <c r="F1401">
        <v>112.25</v>
      </c>
      <c r="G1401" s="3">
        <v>114.65</v>
      </c>
      <c r="H1401">
        <v>114.3</v>
      </c>
      <c r="I1401">
        <v>112.25</v>
      </c>
      <c r="J1401">
        <v>895658</v>
      </c>
      <c r="K1401">
        <v>103160387.09999999</v>
      </c>
      <c r="L1401" s="1">
        <v>45240</v>
      </c>
      <c r="M1401">
        <v>5635</v>
      </c>
      <c r="N1401" t="s">
        <v>3111</v>
      </c>
      <c r="O1401" s="5">
        <v>45240</v>
      </c>
      <c r="P1401" s="5">
        <v>43777</v>
      </c>
    </row>
    <row r="1402" spans="1:16" x14ac:dyDescent="0.25">
      <c r="A1402" t="s">
        <v>3112</v>
      </c>
      <c r="B1402" t="str">
        <v>Mangalam Cement Limited</v>
      </c>
      <c r="C1402" t="s">
        <v>14</v>
      </c>
      <c r="D1402">
        <v>410.25</v>
      </c>
      <c r="E1402">
        <v>420</v>
      </c>
      <c r="F1402">
        <v>410</v>
      </c>
      <c r="G1402" s="3">
        <v>413.35</v>
      </c>
      <c r="H1402">
        <v>412</v>
      </c>
      <c r="I1402">
        <v>410.05</v>
      </c>
      <c r="J1402">
        <v>67143</v>
      </c>
      <c r="K1402">
        <v>27937635.850000001</v>
      </c>
      <c r="L1402" s="1">
        <v>45240</v>
      </c>
      <c r="M1402">
        <v>5016</v>
      </c>
      <c r="N1402" t="s">
        <v>3114</v>
      </c>
      <c r="O1402" s="5">
        <v>45240</v>
      </c>
      <c r="P1402" s="5">
        <v>43777</v>
      </c>
    </row>
    <row r="1403" spans="1:16" x14ac:dyDescent="0.25">
      <c r="A1403" t="s">
        <v>3115</v>
      </c>
      <c r="B1403" t="str">
        <v>Man Industries (India) Limited</v>
      </c>
      <c r="C1403" t="s">
        <v>14</v>
      </c>
      <c r="D1403">
        <v>242</v>
      </c>
      <c r="E1403">
        <v>252.75</v>
      </c>
      <c r="F1403">
        <v>235.25</v>
      </c>
      <c r="G1403" s="3">
        <v>243</v>
      </c>
      <c r="H1403">
        <v>243</v>
      </c>
      <c r="I1403">
        <v>241.95</v>
      </c>
      <c r="J1403">
        <v>915638</v>
      </c>
      <c r="K1403">
        <v>223996208.55000001</v>
      </c>
      <c r="L1403" s="1">
        <v>45240</v>
      </c>
      <c r="M1403">
        <v>13241</v>
      </c>
      <c r="N1403" t="s">
        <v>3117</v>
      </c>
      <c r="O1403" s="5">
        <v>45240</v>
      </c>
      <c r="P1403" s="5">
        <v>43777</v>
      </c>
    </row>
    <row r="1404" spans="1:16" x14ac:dyDescent="0.25">
      <c r="A1404" t="s">
        <v>3118</v>
      </c>
      <c r="B1404" t="str">
        <v>Man Infraconstruction Limited</v>
      </c>
      <c r="C1404" t="s">
        <v>14</v>
      </c>
      <c r="D1404">
        <v>143.19999999999999</v>
      </c>
      <c r="E1404">
        <v>145.5</v>
      </c>
      <c r="F1404">
        <v>141</v>
      </c>
      <c r="G1404" s="3">
        <v>142.55000000000001</v>
      </c>
      <c r="H1404">
        <v>142.4</v>
      </c>
      <c r="I1404">
        <v>142.69999999999999</v>
      </c>
      <c r="J1404">
        <v>1067132</v>
      </c>
      <c r="K1404">
        <v>153442989.40000001</v>
      </c>
      <c r="L1404" s="1">
        <v>45240</v>
      </c>
      <c r="M1404">
        <v>9119</v>
      </c>
      <c r="N1404" t="s">
        <v>3120</v>
      </c>
      <c r="O1404" s="5">
        <v>45240</v>
      </c>
      <c r="P1404" s="5">
        <v>43777</v>
      </c>
    </row>
    <row r="1405" spans="1:16" x14ac:dyDescent="0.25">
      <c r="A1405" t="s">
        <v>3121</v>
      </c>
      <c r="B1405" t="str">
        <v>Mankind Pharma Limited</v>
      </c>
      <c r="C1405" t="s">
        <v>14</v>
      </c>
      <c r="D1405">
        <v>1820</v>
      </c>
      <c r="E1405">
        <v>1852</v>
      </c>
      <c r="F1405">
        <v>1810</v>
      </c>
      <c r="G1405" s="3">
        <v>1833.3</v>
      </c>
      <c r="H1405">
        <v>1823.05</v>
      </c>
      <c r="I1405">
        <v>1817.1</v>
      </c>
      <c r="J1405">
        <v>102103</v>
      </c>
      <c r="K1405">
        <v>187768982.19999999</v>
      </c>
      <c r="L1405" s="1">
        <v>45240</v>
      </c>
      <c r="M1405">
        <v>7791</v>
      </c>
      <c r="N1405" t="s">
        <v>3123</v>
      </c>
      <c r="O1405" s="5">
        <v>45240</v>
      </c>
      <c r="P1405" s="5">
        <v>43777</v>
      </c>
    </row>
    <row r="1406" spans="1:16" x14ac:dyDescent="0.25">
      <c r="A1406" t="s">
        <v>3124</v>
      </c>
      <c r="B1406" t="str">
        <v>Manomay Tex India Limited</v>
      </c>
      <c r="C1406" t="s">
        <v>14</v>
      </c>
      <c r="D1406">
        <v>120.05</v>
      </c>
      <c r="E1406">
        <v>128.65</v>
      </c>
      <c r="F1406">
        <v>120.05</v>
      </c>
      <c r="G1406" s="3">
        <v>124.65</v>
      </c>
      <c r="H1406">
        <v>124.65</v>
      </c>
      <c r="I1406">
        <v>124.9</v>
      </c>
      <c r="J1406">
        <v>2103</v>
      </c>
      <c r="K1406">
        <v>265771.55</v>
      </c>
      <c r="L1406" s="1">
        <v>45240</v>
      </c>
      <c r="M1406">
        <v>100</v>
      </c>
      <c r="N1406" t="s">
        <v>3126</v>
      </c>
      <c r="O1406" s="5">
        <v>45240</v>
      </c>
      <c r="P1406" s="5">
        <v>43777</v>
      </c>
    </row>
    <row r="1407" spans="1:16" x14ac:dyDescent="0.25">
      <c r="A1407" t="s">
        <v>3127</v>
      </c>
      <c r="B1407" t="str">
        <v>Manorama Industries Limited</v>
      </c>
      <c r="C1407" t="s">
        <v>14</v>
      </c>
      <c r="D1407">
        <v>2061</v>
      </c>
      <c r="E1407">
        <v>2127.9499999999998</v>
      </c>
      <c r="F1407">
        <v>2055.25</v>
      </c>
      <c r="G1407" s="3">
        <v>2076.3000000000002</v>
      </c>
      <c r="H1407">
        <v>2080</v>
      </c>
      <c r="I1407">
        <v>2163.4</v>
      </c>
      <c r="J1407">
        <v>10531</v>
      </c>
      <c r="K1407">
        <v>21912336.75</v>
      </c>
      <c r="L1407" s="1">
        <v>45240</v>
      </c>
      <c r="M1407">
        <v>1528</v>
      </c>
      <c r="N1407" t="s">
        <v>3129</v>
      </c>
      <c r="O1407" s="5">
        <v>45240</v>
      </c>
      <c r="P1407" s="5">
        <v>43777</v>
      </c>
    </row>
    <row r="1408" spans="1:16" x14ac:dyDescent="0.25">
      <c r="A1408" t="s">
        <v>3130</v>
      </c>
      <c r="B1408" t="str">
        <v>Mangalam Organics Limited</v>
      </c>
      <c r="C1408" t="s">
        <v>14</v>
      </c>
      <c r="D1408">
        <v>400</v>
      </c>
      <c r="E1408">
        <v>401.05</v>
      </c>
      <c r="F1408">
        <v>386.05</v>
      </c>
      <c r="G1408" s="3">
        <v>395.35</v>
      </c>
      <c r="H1408">
        <v>398</v>
      </c>
      <c r="I1408">
        <v>395.15</v>
      </c>
      <c r="J1408">
        <v>7970</v>
      </c>
      <c r="K1408">
        <v>3170271.2</v>
      </c>
      <c r="L1408" s="1">
        <v>45240</v>
      </c>
      <c r="M1408">
        <v>214</v>
      </c>
      <c r="N1408" t="s">
        <v>3132</v>
      </c>
      <c r="O1408" s="5">
        <v>45240</v>
      </c>
      <c r="P1408" s="5">
        <v>43777</v>
      </c>
    </row>
    <row r="1409" spans="1:16" x14ac:dyDescent="0.25">
      <c r="A1409" t="s">
        <v>3133</v>
      </c>
      <c r="B1409" t="str">
        <v>Manugraph India Limited</v>
      </c>
      <c r="C1409" t="s">
        <v>10</v>
      </c>
      <c r="D1409">
        <v>21.65</v>
      </c>
      <c r="E1409">
        <v>22.5</v>
      </c>
      <c r="F1409">
        <v>21.55</v>
      </c>
      <c r="G1409" s="3">
        <v>21.8</v>
      </c>
      <c r="H1409">
        <v>21.7</v>
      </c>
      <c r="I1409">
        <v>22.55</v>
      </c>
      <c r="J1409">
        <v>18658</v>
      </c>
      <c r="K1409">
        <v>406398.9</v>
      </c>
      <c r="L1409" s="1">
        <v>45240</v>
      </c>
      <c r="M1409">
        <v>105</v>
      </c>
      <c r="N1409" t="s">
        <v>3135</v>
      </c>
      <c r="O1409" s="5">
        <v>45240</v>
      </c>
      <c r="P1409" s="5">
        <v>43777</v>
      </c>
    </row>
    <row r="1410" spans="1:16" x14ac:dyDescent="0.25">
      <c r="A1410" t="s">
        <v>3136</v>
      </c>
      <c r="B1410" t="str">
        <v>Vedant Fashions Limited</v>
      </c>
      <c r="C1410" t="s">
        <v>14</v>
      </c>
      <c r="D1410">
        <v>1332.45</v>
      </c>
      <c r="E1410">
        <v>1336.1</v>
      </c>
      <c r="F1410">
        <v>1320.5</v>
      </c>
      <c r="G1410" s="3">
        <v>1332.7</v>
      </c>
      <c r="H1410">
        <v>1328.5</v>
      </c>
      <c r="I1410">
        <v>1333.55</v>
      </c>
      <c r="J1410">
        <v>30812</v>
      </c>
      <c r="K1410">
        <v>41027099.149999999</v>
      </c>
      <c r="L1410" s="1">
        <v>45240</v>
      </c>
      <c r="M1410">
        <v>5709</v>
      </c>
      <c r="N1410" t="s">
        <v>3138</v>
      </c>
      <c r="O1410" s="5">
        <v>45240</v>
      </c>
      <c r="P1410" s="5">
        <v>43777</v>
      </c>
    </row>
    <row r="1411" spans="1:16" x14ac:dyDescent="0.25">
      <c r="A1411" t="s">
        <v>3139</v>
      </c>
      <c r="B1411" t="str">
        <v>C.E. Info Systems Limited</v>
      </c>
      <c r="C1411" t="s">
        <v>14</v>
      </c>
      <c r="D1411">
        <v>2060.3000000000002</v>
      </c>
      <c r="E1411">
        <v>2099.8000000000002</v>
      </c>
      <c r="F1411">
        <v>2041.1</v>
      </c>
      <c r="G1411" s="3">
        <v>2057.5500000000002</v>
      </c>
      <c r="H1411">
        <v>2059</v>
      </c>
      <c r="I1411">
        <v>2060.3000000000002</v>
      </c>
      <c r="J1411">
        <v>88722</v>
      </c>
      <c r="K1411">
        <v>183881973.65000001</v>
      </c>
      <c r="L1411" s="1">
        <v>45240</v>
      </c>
      <c r="M1411">
        <v>10216</v>
      </c>
      <c r="N1411" t="s">
        <v>3141</v>
      </c>
      <c r="O1411" s="5">
        <v>45240</v>
      </c>
      <c r="P1411" s="5">
        <v>43777</v>
      </c>
    </row>
    <row r="1412" spans="1:16" x14ac:dyDescent="0.25">
      <c r="A1412" t="s">
        <v>3142</v>
      </c>
      <c r="B1412" t="str">
        <v>Maral Overseas Limited</v>
      </c>
      <c r="C1412" t="s">
        <v>14</v>
      </c>
      <c r="D1412">
        <v>66.3</v>
      </c>
      <c r="E1412">
        <v>68.599999999999994</v>
      </c>
      <c r="F1412">
        <v>66.3</v>
      </c>
      <c r="G1412" s="3">
        <v>67.400000000000006</v>
      </c>
      <c r="H1412">
        <v>66.7</v>
      </c>
      <c r="I1412">
        <v>67.599999999999994</v>
      </c>
      <c r="J1412">
        <v>30469</v>
      </c>
      <c r="K1412">
        <v>2063457.2</v>
      </c>
      <c r="L1412" s="1">
        <v>45240</v>
      </c>
      <c r="M1412">
        <v>1407</v>
      </c>
      <c r="N1412" t="s">
        <v>3144</v>
      </c>
      <c r="O1412" s="5">
        <v>45240</v>
      </c>
      <c r="P1412" s="5">
        <v>43777</v>
      </c>
    </row>
    <row r="1413" spans="1:16" x14ac:dyDescent="0.25">
      <c r="A1413" t="s">
        <v>3145</v>
      </c>
      <c r="B1413" t="str">
        <v>Marathon Nextgen Realty Limited</v>
      </c>
      <c r="C1413" t="s">
        <v>14</v>
      </c>
      <c r="D1413">
        <v>464.25</v>
      </c>
      <c r="E1413">
        <v>464.25</v>
      </c>
      <c r="F1413">
        <v>440.1</v>
      </c>
      <c r="G1413" s="3">
        <v>445.15</v>
      </c>
      <c r="H1413">
        <v>445.9</v>
      </c>
      <c r="I1413">
        <v>463.5</v>
      </c>
      <c r="J1413">
        <v>60537</v>
      </c>
      <c r="K1413">
        <v>27165171.449999999</v>
      </c>
      <c r="L1413" s="1">
        <v>45240</v>
      </c>
      <c r="M1413">
        <v>6056</v>
      </c>
      <c r="N1413" t="s">
        <v>3147</v>
      </c>
      <c r="O1413" s="5">
        <v>45240</v>
      </c>
      <c r="P1413" s="5">
        <v>43777</v>
      </c>
    </row>
    <row r="1414" spans="1:16" x14ac:dyDescent="0.25">
      <c r="A1414" t="s">
        <v>6323</v>
      </c>
      <c r="B1414" t="str">
        <v>Not Found</v>
      </c>
      <c r="C1414" t="s">
        <v>5788</v>
      </c>
      <c r="D1414">
        <v>63</v>
      </c>
      <c r="E1414">
        <v>64.3</v>
      </c>
      <c r="F1414">
        <v>60</v>
      </c>
      <c r="G1414" s="3">
        <v>62.2</v>
      </c>
      <c r="H1414">
        <v>63.1</v>
      </c>
      <c r="I1414">
        <v>61.75</v>
      </c>
      <c r="J1414">
        <v>96000</v>
      </c>
      <c r="K1414">
        <v>5944950</v>
      </c>
      <c r="L1414" s="1">
        <v>45240</v>
      </c>
      <c r="M1414">
        <v>32</v>
      </c>
      <c r="N1414" t="s">
        <v>6322</v>
      </c>
      <c r="O1414" s="5">
        <v>45240</v>
      </c>
      <c r="P1414" s="5">
        <v>43777</v>
      </c>
    </row>
    <row r="1415" spans="1:16" x14ac:dyDescent="0.25">
      <c r="A1415" t="s">
        <v>3148</v>
      </c>
      <c r="B1415" t="str">
        <v>Marico Limited</v>
      </c>
      <c r="C1415" t="s">
        <v>14</v>
      </c>
      <c r="D1415">
        <v>520.45000000000005</v>
      </c>
      <c r="E1415">
        <v>522.95000000000005</v>
      </c>
      <c r="F1415">
        <v>516.25</v>
      </c>
      <c r="G1415" s="3">
        <v>521.25</v>
      </c>
      <c r="H1415">
        <v>520.1</v>
      </c>
      <c r="I1415">
        <v>520.45000000000005</v>
      </c>
      <c r="J1415">
        <v>1054801</v>
      </c>
      <c r="K1415">
        <v>547710363.35000002</v>
      </c>
      <c r="L1415" s="1">
        <v>45240</v>
      </c>
      <c r="M1415">
        <v>18534</v>
      </c>
      <c r="N1415" t="s">
        <v>3150</v>
      </c>
      <c r="O1415" s="5">
        <v>45240</v>
      </c>
      <c r="P1415" s="5">
        <v>43777</v>
      </c>
    </row>
    <row r="1416" spans="1:16" x14ac:dyDescent="0.25">
      <c r="A1416" t="s">
        <v>3151</v>
      </c>
      <c r="B1416" t="str">
        <v>Marine Electricals (India) Limited</v>
      </c>
      <c r="C1416" t="s">
        <v>10</v>
      </c>
      <c r="D1416">
        <v>82</v>
      </c>
      <c r="E1416">
        <v>82.85</v>
      </c>
      <c r="F1416">
        <v>80.599999999999994</v>
      </c>
      <c r="G1416" s="3">
        <v>82.1</v>
      </c>
      <c r="H1416">
        <v>81.75</v>
      </c>
      <c r="I1416">
        <v>80.599999999999994</v>
      </c>
      <c r="J1416">
        <v>226558</v>
      </c>
      <c r="K1416">
        <v>18547664</v>
      </c>
      <c r="L1416" s="1">
        <v>45240</v>
      </c>
      <c r="M1416">
        <v>1115</v>
      </c>
      <c r="N1416" t="s">
        <v>3153</v>
      </c>
      <c r="O1416" s="5">
        <v>45240</v>
      </c>
      <c r="P1416" s="5">
        <v>43777</v>
      </c>
    </row>
    <row r="1417" spans="1:16" x14ac:dyDescent="0.25">
      <c r="A1417" t="s">
        <v>3154</v>
      </c>
      <c r="B1417" t="str">
        <v>Marksans Pharma Limited</v>
      </c>
      <c r="C1417" t="s">
        <v>14</v>
      </c>
      <c r="D1417">
        <v>125.85</v>
      </c>
      <c r="E1417">
        <v>132.19999999999999</v>
      </c>
      <c r="F1417">
        <v>125</v>
      </c>
      <c r="G1417" s="3">
        <v>130.35</v>
      </c>
      <c r="H1417">
        <v>129.9</v>
      </c>
      <c r="I1417">
        <v>123.85</v>
      </c>
      <c r="J1417">
        <v>14091599</v>
      </c>
      <c r="K1417">
        <v>1823714478.25</v>
      </c>
      <c r="L1417" s="1">
        <v>45240</v>
      </c>
      <c r="M1417">
        <v>67605</v>
      </c>
      <c r="N1417" t="s">
        <v>3156</v>
      </c>
      <c r="O1417" s="5">
        <v>45240</v>
      </c>
      <c r="P1417" s="5">
        <v>43777</v>
      </c>
    </row>
    <row r="1418" spans="1:16" x14ac:dyDescent="0.25">
      <c r="A1418" t="s">
        <v>3157</v>
      </c>
      <c r="B1418" t="str">
        <v>Marshall Machines Limited</v>
      </c>
      <c r="C1418" t="s">
        <v>14</v>
      </c>
      <c r="D1418">
        <v>46.9</v>
      </c>
      <c r="E1418">
        <v>48.95</v>
      </c>
      <c r="F1418">
        <v>46.4</v>
      </c>
      <c r="G1418" s="3">
        <v>48.25</v>
      </c>
      <c r="H1418">
        <v>48</v>
      </c>
      <c r="I1418">
        <v>47</v>
      </c>
      <c r="J1418">
        <v>390464</v>
      </c>
      <c r="K1418">
        <v>18813546.699999999</v>
      </c>
      <c r="L1418" s="1">
        <v>45240</v>
      </c>
      <c r="M1418">
        <v>1049</v>
      </c>
      <c r="N1418" t="s">
        <v>3159</v>
      </c>
      <c r="O1418" s="5">
        <v>45240</v>
      </c>
      <c r="P1418" s="5">
        <v>43777</v>
      </c>
    </row>
    <row r="1419" spans="1:16" x14ac:dyDescent="0.25">
      <c r="A1419" t="s">
        <v>3160</v>
      </c>
      <c r="B1419" t="str">
        <v>Maruti Suzuki India Limited</v>
      </c>
      <c r="C1419" t="s">
        <v>14</v>
      </c>
      <c r="D1419">
        <v>10375</v>
      </c>
      <c r="E1419">
        <v>10416.4</v>
      </c>
      <c r="F1419">
        <v>10320</v>
      </c>
      <c r="G1419" s="3">
        <v>10388.799999999999</v>
      </c>
      <c r="H1419">
        <v>10395</v>
      </c>
      <c r="I1419">
        <v>10400.35</v>
      </c>
      <c r="J1419">
        <v>206395</v>
      </c>
      <c r="K1419">
        <v>2141711755.25</v>
      </c>
      <c r="L1419" s="1">
        <v>45240</v>
      </c>
      <c r="M1419">
        <v>33950</v>
      </c>
      <c r="N1419" t="s">
        <v>3162</v>
      </c>
      <c r="O1419" s="5">
        <v>45240</v>
      </c>
      <c r="P1419" s="5">
        <v>43777</v>
      </c>
    </row>
    <row r="1420" spans="1:16" x14ac:dyDescent="0.25">
      <c r="A1420" t="s">
        <v>3163</v>
      </c>
      <c r="B1420" t="str">
        <v>MAS Financial Services Limited</v>
      </c>
      <c r="C1420" t="s">
        <v>14</v>
      </c>
      <c r="D1420">
        <v>896</v>
      </c>
      <c r="E1420">
        <v>915</v>
      </c>
      <c r="F1420">
        <v>896</v>
      </c>
      <c r="G1420" s="3">
        <v>911.1</v>
      </c>
      <c r="H1420">
        <v>914</v>
      </c>
      <c r="I1420">
        <v>899.85</v>
      </c>
      <c r="J1420">
        <v>25978</v>
      </c>
      <c r="K1420">
        <v>23624212.800000001</v>
      </c>
      <c r="L1420" s="1">
        <v>45240</v>
      </c>
      <c r="M1420">
        <v>4760</v>
      </c>
      <c r="N1420" t="s">
        <v>3165</v>
      </c>
      <c r="O1420" s="5">
        <v>45240</v>
      </c>
      <c r="P1420" s="5">
        <v>43777</v>
      </c>
    </row>
    <row r="1421" spans="1:16" x14ac:dyDescent="0.25">
      <c r="A1421" t="s">
        <v>6321</v>
      </c>
      <c r="B1421" t="str">
        <v>Not Found</v>
      </c>
      <c r="C1421" t="s">
        <v>14</v>
      </c>
      <c r="D1421">
        <v>32.450000000000003</v>
      </c>
      <c r="E1421">
        <v>32.950000000000003</v>
      </c>
      <c r="F1421">
        <v>32.44</v>
      </c>
      <c r="G1421" s="3">
        <v>32.659999999999997</v>
      </c>
      <c r="H1421">
        <v>32.74</v>
      </c>
      <c r="I1421">
        <v>32.700000000000003</v>
      </c>
      <c r="J1421">
        <v>76135</v>
      </c>
      <c r="K1421">
        <v>2478995.65</v>
      </c>
      <c r="L1421" s="1">
        <v>45240</v>
      </c>
      <c r="M1421">
        <v>565</v>
      </c>
      <c r="N1421" t="s">
        <v>6320</v>
      </c>
      <c r="O1421" s="5">
        <v>45240</v>
      </c>
      <c r="P1421" s="5">
        <v>43777</v>
      </c>
    </row>
    <row r="1422" spans="1:16" x14ac:dyDescent="0.25">
      <c r="A1422" t="s">
        <v>3169</v>
      </c>
      <c r="B1422" t="str">
        <v>Mastek Limited</v>
      </c>
      <c r="C1422" t="s">
        <v>14</v>
      </c>
      <c r="D1422">
        <v>2224.9499999999998</v>
      </c>
      <c r="E1422">
        <v>2254.9499999999998</v>
      </c>
      <c r="F1422">
        <v>2216</v>
      </c>
      <c r="G1422" s="3">
        <v>2236.5500000000002</v>
      </c>
      <c r="H1422">
        <v>2223</v>
      </c>
      <c r="I1422">
        <v>2221.15</v>
      </c>
      <c r="J1422">
        <v>21327</v>
      </c>
      <c r="K1422">
        <v>47591702.5</v>
      </c>
      <c r="L1422" s="1">
        <v>45240</v>
      </c>
      <c r="M1422">
        <v>3777</v>
      </c>
      <c r="N1422" t="s">
        <v>3171</v>
      </c>
      <c r="O1422" s="5">
        <v>45240</v>
      </c>
      <c r="P1422" s="5">
        <v>43777</v>
      </c>
    </row>
    <row r="1423" spans="1:16" x14ac:dyDescent="0.25">
      <c r="A1423" t="s">
        <v>6319</v>
      </c>
      <c r="B1423" t="str">
        <v>Not Found</v>
      </c>
      <c r="C1423" t="s">
        <v>5788</v>
      </c>
      <c r="D1423">
        <v>144</v>
      </c>
      <c r="E1423">
        <v>144.5</v>
      </c>
      <c r="F1423">
        <v>141</v>
      </c>
      <c r="G1423" s="3">
        <v>141</v>
      </c>
      <c r="H1423">
        <v>141</v>
      </c>
      <c r="I1423">
        <v>144.9</v>
      </c>
      <c r="J1423">
        <v>33000</v>
      </c>
      <c r="K1423">
        <v>4665300</v>
      </c>
      <c r="L1423" s="1">
        <v>45240</v>
      </c>
      <c r="M1423">
        <v>5</v>
      </c>
      <c r="N1423" t="s">
        <v>6318</v>
      </c>
      <c r="O1423" s="5">
        <v>45240</v>
      </c>
      <c r="P1423" s="5">
        <v>43777</v>
      </c>
    </row>
    <row r="1424" spans="1:16" x14ac:dyDescent="0.25">
      <c r="A1424" t="s">
        <v>3172</v>
      </c>
      <c r="B1424" t="str">
        <v>Matrimony.Com Limited</v>
      </c>
      <c r="C1424" t="s">
        <v>14</v>
      </c>
      <c r="D1424">
        <v>574.65</v>
      </c>
      <c r="E1424">
        <v>580</v>
      </c>
      <c r="F1424">
        <v>567</v>
      </c>
      <c r="G1424" s="3">
        <v>573</v>
      </c>
      <c r="H1424">
        <v>575.35</v>
      </c>
      <c r="I1424">
        <v>571.75</v>
      </c>
      <c r="J1424">
        <v>7941</v>
      </c>
      <c r="K1424">
        <v>4550295.2</v>
      </c>
      <c r="L1424" s="1">
        <v>45240</v>
      </c>
      <c r="M1424">
        <v>1015</v>
      </c>
      <c r="N1424" t="s">
        <v>3174</v>
      </c>
      <c r="O1424" s="5">
        <v>45240</v>
      </c>
      <c r="P1424" s="5">
        <v>43777</v>
      </c>
    </row>
    <row r="1425" spans="1:16" x14ac:dyDescent="0.25">
      <c r="A1425" t="s">
        <v>3175</v>
      </c>
      <c r="B1425" t="str">
        <v>Mawana Sugars Limited</v>
      </c>
      <c r="C1425" t="s">
        <v>14</v>
      </c>
      <c r="D1425">
        <v>98.65</v>
      </c>
      <c r="E1425">
        <v>100.25</v>
      </c>
      <c r="F1425">
        <v>94.1</v>
      </c>
      <c r="G1425" s="3">
        <v>99.6</v>
      </c>
      <c r="H1425">
        <v>99.4</v>
      </c>
      <c r="I1425">
        <v>98.45</v>
      </c>
      <c r="J1425">
        <v>309563</v>
      </c>
      <c r="K1425">
        <v>30586045.5</v>
      </c>
      <c r="L1425" s="1">
        <v>45240</v>
      </c>
      <c r="M1425">
        <v>3279</v>
      </c>
      <c r="N1425" t="s">
        <v>3177</v>
      </c>
      <c r="O1425" s="5">
        <v>45240</v>
      </c>
      <c r="P1425" s="5">
        <v>43777</v>
      </c>
    </row>
    <row r="1426" spans="1:16" x14ac:dyDescent="0.25">
      <c r="A1426" t="s">
        <v>3178</v>
      </c>
      <c r="B1426" t="str">
        <v>Max Estates Limited</v>
      </c>
      <c r="C1426" t="s">
        <v>10</v>
      </c>
      <c r="D1426">
        <v>283.95</v>
      </c>
      <c r="E1426">
        <v>289</v>
      </c>
      <c r="F1426">
        <v>275</v>
      </c>
      <c r="G1426" s="3">
        <v>282.05</v>
      </c>
      <c r="H1426">
        <v>283.5</v>
      </c>
      <c r="I1426">
        <v>284.45</v>
      </c>
      <c r="J1426">
        <v>28240</v>
      </c>
      <c r="K1426">
        <v>7975250.7999999998</v>
      </c>
      <c r="L1426" s="1">
        <v>45240</v>
      </c>
      <c r="M1426">
        <v>232</v>
      </c>
      <c r="N1426" t="s">
        <v>3180</v>
      </c>
      <c r="O1426" s="5">
        <v>45240</v>
      </c>
      <c r="P1426" s="5">
        <v>43777</v>
      </c>
    </row>
    <row r="1427" spans="1:16" x14ac:dyDescent="0.25">
      <c r="A1427" t="s">
        <v>3181</v>
      </c>
      <c r="B1427" t="str">
        <v>Max Healthcare Institute Limited</v>
      </c>
      <c r="C1427" t="s">
        <v>14</v>
      </c>
      <c r="D1427">
        <v>593.25</v>
      </c>
      <c r="E1427">
        <v>596.6</v>
      </c>
      <c r="F1427">
        <v>586.20000000000005</v>
      </c>
      <c r="G1427" s="3">
        <v>592.9</v>
      </c>
      <c r="H1427">
        <v>591.4</v>
      </c>
      <c r="I1427">
        <v>593.25</v>
      </c>
      <c r="J1427">
        <v>589487</v>
      </c>
      <c r="K1427">
        <v>347772012.60000002</v>
      </c>
      <c r="L1427" s="1">
        <v>45240</v>
      </c>
      <c r="M1427">
        <v>18085</v>
      </c>
      <c r="N1427" t="s">
        <v>3183</v>
      </c>
      <c r="O1427" s="5">
        <v>45240</v>
      </c>
      <c r="P1427" s="5">
        <v>43777</v>
      </c>
    </row>
    <row r="1428" spans="1:16" x14ac:dyDescent="0.25">
      <c r="A1428" t="s">
        <v>3184</v>
      </c>
      <c r="B1428" t="str">
        <v>Max India Limited</v>
      </c>
      <c r="C1428" t="s">
        <v>14</v>
      </c>
      <c r="D1428">
        <v>145.75</v>
      </c>
      <c r="E1428">
        <v>150.94999999999999</v>
      </c>
      <c r="F1428">
        <v>143.80000000000001</v>
      </c>
      <c r="G1428" s="3">
        <v>144.55000000000001</v>
      </c>
      <c r="H1428">
        <v>143.80000000000001</v>
      </c>
      <c r="I1428">
        <v>145.75</v>
      </c>
      <c r="J1428">
        <v>54418</v>
      </c>
      <c r="K1428">
        <v>7946640.7999999998</v>
      </c>
      <c r="L1428" s="1">
        <v>45240</v>
      </c>
      <c r="M1428">
        <v>1113</v>
      </c>
      <c r="N1428" t="s">
        <v>3186</v>
      </c>
      <c r="O1428" s="5">
        <v>45240</v>
      </c>
      <c r="P1428" s="5">
        <v>43777</v>
      </c>
    </row>
    <row r="1429" spans="1:16" x14ac:dyDescent="0.25">
      <c r="A1429" t="s">
        <v>3187</v>
      </c>
      <c r="B1429" t="str">
        <v>Mayur Uniquoters Ltd</v>
      </c>
      <c r="C1429" t="s">
        <v>14</v>
      </c>
      <c r="D1429">
        <v>519.15</v>
      </c>
      <c r="E1429">
        <v>529.20000000000005</v>
      </c>
      <c r="F1429">
        <v>512.35</v>
      </c>
      <c r="G1429" s="3">
        <v>514.95000000000005</v>
      </c>
      <c r="H1429">
        <v>512.6</v>
      </c>
      <c r="I1429">
        <v>519.15</v>
      </c>
      <c r="J1429">
        <v>61025</v>
      </c>
      <c r="K1429">
        <v>31634095.149999999</v>
      </c>
      <c r="L1429" s="1">
        <v>45240</v>
      </c>
      <c r="M1429">
        <v>5906</v>
      </c>
      <c r="N1429" t="s">
        <v>3189</v>
      </c>
      <c r="O1429" s="5">
        <v>45240</v>
      </c>
      <c r="P1429" s="5">
        <v>43777</v>
      </c>
    </row>
    <row r="1430" spans="1:16" x14ac:dyDescent="0.25">
      <c r="A1430" t="s">
        <v>3190</v>
      </c>
      <c r="B1430" t="str">
        <v>Mazda Limited</v>
      </c>
      <c r="C1430" t="s">
        <v>14</v>
      </c>
      <c r="D1430">
        <v>1325.05</v>
      </c>
      <c r="E1430">
        <v>1327.45</v>
      </c>
      <c r="F1430">
        <v>1290</v>
      </c>
      <c r="G1430" s="3">
        <v>1295.05</v>
      </c>
      <c r="H1430">
        <v>1291</v>
      </c>
      <c r="I1430">
        <v>1379.8</v>
      </c>
      <c r="J1430">
        <v>38522</v>
      </c>
      <c r="K1430">
        <v>50261004.5</v>
      </c>
      <c r="L1430" s="1">
        <v>45240</v>
      </c>
      <c r="M1430">
        <v>4115</v>
      </c>
      <c r="N1430" t="s">
        <v>3192</v>
      </c>
      <c r="O1430" s="5">
        <v>45240</v>
      </c>
      <c r="P1430" s="5">
        <v>43777</v>
      </c>
    </row>
    <row r="1431" spans="1:16" x14ac:dyDescent="0.25">
      <c r="A1431" t="s">
        <v>3193</v>
      </c>
      <c r="B1431" t="str">
        <v>Mazagon Dock Shipbuilders Limited</v>
      </c>
      <c r="C1431" t="s">
        <v>14</v>
      </c>
      <c r="D1431">
        <v>2000.6</v>
      </c>
      <c r="E1431">
        <v>2008.4</v>
      </c>
      <c r="F1431">
        <v>1973</v>
      </c>
      <c r="G1431" s="3">
        <v>1983.65</v>
      </c>
      <c r="H1431">
        <v>1982.9</v>
      </c>
      <c r="I1431">
        <v>1996.45</v>
      </c>
      <c r="J1431">
        <v>699546</v>
      </c>
      <c r="K1431">
        <v>1391335156.05</v>
      </c>
      <c r="L1431" s="1">
        <v>45240</v>
      </c>
      <c r="M1431">
        <v>30381</v>
      </c>
      <c r="N1431" t="s">
        <v>3195</v>
      </c>
      <c r="O1431" s="5">
        <v>45240</v>
      </c>
      <c r="P1431" s="5">
        <v>43777</v>
      </c>
    </row>
    <row r="1432" spans="1:16" x14ac:dyDescent="0.25">
      <c r="A1432" t="s">
        <v>3196</v>
      </c>
      <c r="B1432" t="str">
        <v>Madhya Bharat Agro Products Limited</v>
      </c>
      <c r="C1432" t="s">
        <v>14</v>
      </c>
      <c r="D1432">
        <v>275</v>
      </c>
      <c r="E1432">
        <v>275</v>
      </c>
      <c r="F1432">
        <v>268.05</v>
      </c>
      <c r="G1432" s="3">
        <v>270.60000000000002</v>
      </c>
      <c r="H1432">
        <v>273.35000000000002</v>
      </c>
      <c r="I1432">
        <v>271.89999999999998</v>
      </c>
      <c r="J1432">
        <v>12136</v>
      </c>
      <c r="K1432">
        <v>3302718.65</v>
      </c>
      <c r="L1432" s="1">
        <v>45240</v>
      </c>
      <c r="M1432">
        <v>681</v>
      </c>
      <c r="N1432" t="s">
        <v>3198</v>
      </c>
      <c r="O1432" s="5">
        <v>45240</v>
      </c>
      <c r="P1432" s="5">
        <v>43777</v>
      </c>
    </row>
    <row r="1433" spans="1:16" x14ac:dyDescent="0.25">
      <c r="A1433" t="s">
        <v>3199</v>
      </c>
      <c r="B1433" t="str">
        <v>MBL Infrastructure Limited</v>
      </c>
      <c r="C1433" t="s">
        <v>14</v>
      </c>
      <c r="D1433">
        <v>49</v>
      </c>
      <c r="E1433">
        <v>51.35</v>
      </c>
      <c r="F1433">
        <v>46.65</v>
      </c>
      <c r="G1433" s="3">
        <v>51.35</v>
      </c>
      <c r="H1433">
        <v>51.35</v>
      </c>
      <c r="I1433">
        <v>48.95</v>
      </c>
      <c r="J1433">
        <v>1251116</v>
      </c>
      <c r="K1433">
        <v>63232149.549999997</v>
      </c>
      <c r="L1433" s="1">
        <v>45240</v>
      </c>
      <c r="M1433">
        <v>3707</v>
      </c>
      <c r="N1433" t="s">
        <v>3201</v>
      </c>
      <c r="O1433" s="5">
        <v>45240</v>
      </c>
      <c r="P1433" s="5">
        <v>43777</v>
      </c>
    </row>
    <row r="1434" spans="1:16" x14ac:dyDescent="0.25">
      <c r="A1434" t="s">
        <v>3202</v>
      </c>
      <c r="B1434" t="str">
        <v>United Spirits Limited</v>
      </c>
      <c r="C1434" t="s">
        <v>14</v>
      </c>
      <c r="D1434">
        <v>1080</v>
      </c>
      <c r="E1434">
        <v>1080</v>
      </c>
      <c r="F1434">
        <v>1023.95</v>
      </c>
      <c r="G1434" s="3">
        <v>1044.3499999999999</v>
      </c>
      <c r="H1434">
        <v>1046.45</v>
      </c>
      <c r="I1434">
        <v>1097.0999999999999</v>
      </c>
      <c r="J1434">
        <v>4108910</v>
      </c>
      <c r="K1434">
        <v>4265569959.4499998</v>
      </c>
      <c r="L1434" s="1">
        <v>45240</v>
      </c>
      <c r="M1434">
        <v>138929</v>
      </c>
      <c r="N1434" t="s">
        <v>3204</v>
      </c>
      <c r="O1434" s="5">
        <v>45240</v>
      </c>
      <c r="P1434" s="5">
        <v>43777</v>
      </c>
    </row>
    <row r="1435" spans="1:16" x14ac:dyDescent="0.25">
      <c r="A1435" t="s">
        <v>3205</v>
      </c>
      <c r="B1435" t="str">
        <v>Madhav Copper Limited</v>
      </c>
      <c r="C1435" t="s">
        <v>14</v>
      </c>
      <c r="D1435">
        <v>27.9</v>
      </c>
      <c r="E1435">
        <v>28.8</v>
      </c>
      <c r="F1435">
        <v>26.65</v>
      </c>
      <c r="G1435" s="3">
        <v>27.6</v>
      </c>
      <c r="H1435">
        <v>27.5</v>
      </c>
      <c r="I1435">
        <v>27.45</v>
      </c>
      <c r="J1435">
        <v>121998</v>
      </c>
      <c r="K1435">
        <v>3401001.25</v>
      </c>
      <c r="L1435" s="1">
        <v>45240</v>
      </c>
      <c r="M1435">
        <v>737</v>
      </c>
      <c r="N1435" t="s">
        <v>3207</v>
      </c>
      <c r="O1435" s="5">
        <v>45240</v>
      </c>
      <c r="P1435" s="5">
        <v>43777</v>
      </c>
    </row>
    <row r="1436" spans="1:16" x14ac:dyDescent="0.25">
      <c r="A1436" t="s">
        <v>3208</v>
      </c>
      <c r="B1436" t="str">
        <v>Mcleod Russel India Limited</v>
      </c>
      <c r="C1436" t="s">
        <v>14</v>
      </c>
      <c r="D1436">
        <v>19.25</v>
      </c>
      <c r="E1436">
        <v>20.3</v>
      </c>
      <c r="F1436">
        <v>19.05</v>
      </c>
      <c r="G1436" s="3">
        <v>20</v>
      </c>
      <c r="H1436">
        <v>19.899999999999999</v>
      </c>
      <c r="I1436">
        <v>19.350000000000001</v>
      </c>
      <c r="J1436">
        <v>1424686</v>
      </c>
      <c r="K1436">
        <v>28491939.25</v>
      </c>
      <c r="L1436" s="1">
        <v>45240</v>
      </c>
      <c r="M1436">
        <v>1544</v>
      </c>
      <c r="N1436" t="s">
        <v>3210</v>
      </c>
      <c r="O1436" s="5">
        <v>45240</v>
      </c>
      <c r="P1436" s="5">
        <v>43777</v>
      </c>
    </row>
    <row r="1437" spans="1:16" x14ac:dyDescent="0.25">
      <c r="A1437" t="s">
        <v>6317</v>
      </c>
      <c r="B1437" t="str">
        <v>Not Found</v>
      </c>
      <c r="C1437" t="s">
        <v>5788</v>
      </c>
      <c r="D1437">
        <v>153.15</v>
      </c>
      <c r="E1437">
        <v>153.15</v>
      </c>
      <c r="F1437">
        <v>152.80000000000001</v>
      </c>
      <c r="G1437" s="3">
        <v>152.80000000000001</v>
      </c>
      <c r="H1437">
        <v>152.80000000000001</v>
      </c>
      <c r="I1437">
        <v>145.9</v>
      </c>
      <c r="J1437">
        <v>10000</v>
      </c>
      <c r="K1437">
        <v>1531000</v>
      </c>
      <c r="L1437" s="1">
        <v>45240</v>
      </c>
      <c r="M1437">
        <v>6</v>
      </c>
      <c r="N1437" t="s">
        <v>6316</v>
      </c>
      <c r="O1437" s="5">
        <v>45240</v>
      </c>
      <c r="P1437" s="5">
        <v>43777</v>
      </c>
    </row>
    <row r="1438" spans="1:16" x14ac:dyDescent="0.25">
      <c r="A1438" t="s">
        <v>3211</v>
      </c>
      <c r="B1438" t="str">
        <v>Multi Commodity Exchange of India Limited</v>
      </c>
      <c r="C1438" t="s">
        <v>14</v>
      </c>
      <c r="D1438">
        <v>2452</v>
      </c>
      <c r="E1438">
        <v>2654</v>
      </c>
      <c r="F1438">
        <v>2430.0500000000002</v>
      </c>
      <c r="G1438" s="3">
        <v>2603.9</v>
      </c>
      <c r="H1438">
        <v>2611.9499999999998</v>
      </c>
      <c r="I1438">
        <v>2475.3000000000002</v>
      </c>
      <c r="J1438">
        <v>3662702</v>
      </c>
      <c r="K1438">
        <v>9422375540.2000008</v>
      </c>
      <c r="L1438" s="1">
        <v>45240</v>
      </c>
      <c r="M1438">
        <v>151272</v>
      </c>
      <c r="N1438" t="s">
        <v>3213</v>
      </c>
      <c r="O1438" s="5">
        <v>45240</v>
      </c>
      <c r="P1438" s="5">
        <v>43777</v>
      </c>
    </row>
    <row r="1439" spans="1:16" x14ac:dyDescent="0.25">
      <c r="A1439" t="s">
        <v>6315</v>
      </c>
      <c r="B1439" t="str">
        <v>Not Found</v>
      </c>
      <c r="C1439" t="s">
        <v>5788</v>
      </c>
      <c r="D1439">
        <v>55.7</v>
      </c>
      <c r="E1439">
        <v>60.1</v>
      </c>
      <c r="F1439">
        <v>55.7</v>
      </c>
      <c r="G1439" s="3">
        <v>60.1</v>
      </c>
      <c r="H1439">
        <v>60.1</v>
      </c>
      <c r="I1439">
        <v>54.65</v>
      </c>
      <c r="J1439">
        <v>50000</v>
      </c>
      <c r="K1439">
        <v>2966300</v>
      </c>
      <c r="L1439" s="1">
        <v>45240</v>
      </c>
      <c r="M1439">
        <v>24</v>
      </c>
      <c r="N1439" t="s">
        <v>6314</v>
      </c>
      <c r="O1439" s="5">
        <v>45240</v>
      </c>
      <c r="P1439" s="5">
        <v>43777</v>
      </c>
    </row>
    <row r="1440" spans="1:16" x14ac:dyDescent="0.25">
      <c r="A1440" t="s">
        <v>3214</v>
      </c>
      <c r="B1440" t="str">
        <v>Global Health Limited</v>
      </c>
      <c r="C1440" t="s">
        <v>14</v>
      </c>
      <c r="D1440">
        <v>862</v>
      </c>
      <c r="E1440">
        <v>934.95</v>
      </c>
      <c r="F1440">
        <v>842.1</v>
      </c>
      <c r="G1440" s="3">
        <v>902.8</v>
      </c>
      <c r="H1440">
        <v>911</v>
      </c>
      <c r="I1440">
        <v>859.75</v>
      </c>
      <c r="J1440">
        <v>627201</v>
      </c>
      <c r="K1440">
        <v>551203637.85000002</v>
      </c>
      <c r="L1440" s="1">
        <v>45240</v>
      </c>
      <c r="M1440">
        <v>35214</v>
      </c>
      <c r="N1440" t="s">
        <v>3216</v>
      </c>
      <c r="O1440" s="5">
        <v>45240</v>
      </c>
      <c r="P1440" s="5">
        <v>43777</v>
      </c>
    </row>
    <row r="1441" spans="1:16" x14ac:dyDescent="0.25">
      <c r="A1441" t="s">
        <v>3217</v>
      </c>
      <c r="B1441" t="str">
        <v>Medicamen Biotech Limited</v>
      </c>
      <c r="C1441" t="s">
        <v>14</v>
      </c>
      <c r="D1441">
        <v>650.45000000000005</v>
      </c>
      <c r="E1441">
        <v>676</v>
      </c>
      <c r="F1441">
        <v>650.45000000000005</v>
      </c>
      <c r="G1441" s="3">
        <v>659.2</v>
      </c>
      <c r="H1441">
        <v>656.05</v>
      </c>
      <c r="I1441">
        <v>660.35</v>
      </c>
      <c r="J1441">
        <v>5835</v>
      </c>
      <c r="K1441">
        <v>3876961.75</v>
      </c>
      <c r="L1441" s="1">
        <v>45240</v>
      </c>
      <c r="M1441">
        <v>355</v>
      </c>
      <c r="N1441" t="s">
        <v>3219</v>
      </c>
      <c r="O1441" s="5">
        <v>45240</v>
      </c>
      <c r="P1441" s="5">
        <v>43777</v>
      </c>
    </row>
    <row r="1442" spans="1:16" x14ac:dyDescent="0.25">
      <c r="A1442" t="s">
        <v>3220</v>
      </c>
      <c r="B1442" t="str">
        <v>Medico Remedies Limited</v>
      </c>
      <c r="C1442" t="s">
        <v>14</v>
      </c>
      <c r="D1442">
        <v>74.2</v>
      </c>
      <c r="E1442">
        <v>77.900000000000006</v>
      </c>
      <c r="F1442">
        <v>74.2</v>
      </c>
      <c r="G1442" s="3">
        <v>77.349999999999994</v>
      </c>
      <c r="H1442">
        <v>77</v>
      </c>
      <c r="I1442">
        <v>76.8</v>
      </c>
      <c r="J1442">
        <v>213860</v>
      </c>
      <c r="K1442">
        <v>16468171.35</v>
      </c>
      <c r="L1442" s="1">
        <v>45240</v>
      </c>
      <c r="M1442">
        <v>791</v>
      </c>
      <c r="N1442" t="s">
        <v>3222</v>
      </c>
      <c r="O1442" s="5">
        <v>45240</v>
      </c>
      <c r="P1442" s="5">
        <v>43777</v>
      </c>
    </row>
    <row r="1443" spans="1:16" x14ac:dyDescent="0.25">
      <c r="A1443" t="s">
        <v>3223</v>
      </c>
      <c r="B1443" t="str">
        <v>Medplus Health Services Limited</v>
      </c>
      <c r="C1443" t="s">
        <v>14</v>
      </c>
      <c r="D1443">
        <v>815</v>
      </c>
      <c r="E1443">
        <v>818.6</v>
      </c>
      <c r="F1443">
        <v>777.95</v>
      </c>
      <c r="G1443" s="3">
        <v>806.6</v>
      </c>
      <c r="H1443">
        <v>809</v>
      </c>
      <c r="I1443">
        <v>795.85</v>
      </c>
      <c r="J1443">
        <v>168650</v>
      </c>
      <c r="K1443">
        <v>136371287.44999999</v>
      </c>
      <c r="L1443" s="1">
        <v>45240</v>
      </c>
      <c r="M1443">
        <v>12080</v>
      </c>
      <c r="N1443" t="s">
        <v>3225</v>
      </c>
      <c r="O1443" s="5">
        <v>45240</v>
      </c>
      <c r="P1443" s="5">
        <v>43777</v>
      </c>
    </row>
    <row r="1444" spans="1:16" x14ac:dyDescent="0.25">
      <c r="A1444" t="s">
        <v>6313</v>
      </c>
      <c r="B1444" t="str">
        <v>Not Found</v>
      </c>
      <c r="C1444" t="s">
        <v>5788</v>
      </c>
      <c r="D1444">
        <v>39.950000000000003</v>
      </c>
      <c r="E1444">
        <v>39.950000000000003</v>
      </c>
      <c r="F1444">
        <v>38</v>
      </c>
      <c r="G1444" s="3">
        <v>38</v>
      </c>
      <c r="H1444">
        <v>38</v>
      </c>
      <c r="I1444">
        <v>39</v>
      </c>
      <c r="J1444">
        <v>9000</v>
      </c>
      <c r="K1444">
        <v>351000</v>
      </c>
      <c r="L1444" s="1">
        <v>45240</v>
      </c>
      <c r="M1444">
        <v>3</v>
      </c>
      <c r="N1444" t="s">
        <v>6312</v>
      </c>
      <c r="O1444" s="5">
        <v>45240</v>
      </c>
      <c r="P1444" s="5">
        <v>43777</v>
      </c>
    </row>
    <row r="1445" spans="1:16" x14ac:dyDescent="0.25">
      <c r="A1445" t="s">
        <v>3226</v>
      </c>
      <c r="B1445" t="str">
        <v>Megasoft Limited</v>
      </c>
      <c r="C1445" t="s">
        <v>10</v>
      </c>
      <c r="D1445">
        <v>50.1</v>
      </c>
      <c r="E1445">
        <v>50.1</v>
      </c>
      <c r="F1445">
        <v>50.1</v>
      </c>
      <c r="G1445" s="3">
        <v>50.1</v>
      </c>
      <c r="H1445">
        <v>50.1</v>
      </c>
      <c r="I1445">
        <v>51.1</v>
      </c>
      <c r="J1445">
        <v>31782</v>
      </c>
      <c r="K1445">
        <v>1592278.2</v>
      </c>
      <c r="L1445" s="1">
        <v>45240</v>
      </c>
      <c r="M1445">
        <v>58</v>
      </c>
      <c r="N1445" t="s">
        <v>3228</v>
      </c>
      <c r="O1445" s="5">
        <v>45240</v>
      </c>
      <c r="P1445" s="5">
        <v>43777</v>
      </c>
    </row>
    <row r="1446" spans="1:16" x14ac:dyDescent="0.25">
      <c r="A1446" t="s">
        <v>3229</v>
      </c>
      <c r="B1446" t="str">
        <v>Megastar Foods Limited</v>
      </c>
      <c r="C1446" t="s">
        <v>14</v>
      </c>
      <c r="D1446">
        <v>312</v>
      </c>
      <c r="E1446">
        <v>319.39999999999998</v>
      </c>
      <c r="F1446">
        <v>308.35000000000002</v>
      </c>
      <c r="G1446" s="3">
        <v>316.05</v>
      </c>
      <c r="H1446">
        <v>318</v>
      </c>
      <c r="I1446">
        <v>308.7</v>
      </c>
      <c r="J1446">
        <v>6592</v>
      </c>
      <c r="K1446">
        <v>2076390.3999999999</v>
      </c>
      <c r="L1446" s="1">
        <v>45240</v>
      </c>
      <c r="M1446">
        <v>872</v>
      </c>
      <c r="N1446" t="s">
        <v>3231</v>
      </c>
      <c r="O1446" s="5">
        <v>45240</v>
      </c>
      <c r="P1446" s="5">
        <v>43777</v>
      </c>
    </row>
    <row r="1447" spans="1:16" x14ac:dyDescent="0.25">
      <c r="A1447" t="s">
        <v>3232</v>
      </c>
      <c r="B1447" t="str">
        <v>Melstar Information Technologies Limited</v>
      </c>
      <c r="C1447" t="s">
        <v>786</v>
      </c>
      <c r="D1447">
        <v>2.65</v>
      </c>
      <c r="E1447">
        <v>2.75</v>
      </c>
      <c r="F1447">
        <v>2.65</v>
      </c>
      <c r="G1447" s="3">
        <v>2.75</v>
      </c>
      <c r="H1447">
        <v>2.75</v>
      </c>
      <c r="I1447">
        <v>2.65</v>
      </c>
      <c r="J1447">
        <v>12180</v>
      </c>
      <c r="K1447">
        <v>33370</v>
      </c>
      <c r="L1447" s="1">
        <v>45240</v>
      </c>
      <c r="M1447">
        <v>9</v>
      </c>
      <c r="N1447" t="s">
        <v>3234</v>
      </c>
      <c r="O1447" s="5">
        <v>45240</v>
      </c>
      <c r="P1447" s="5">
        <v>43777</v>
      </c>
    </row>
    <row r="1448" spans="1:16" x14ac:dyDescent="0.25">
      <c r="A1448" t="s">
        <v>3235</v>
      </c>
      <c r="B1448" t="str">
        <v>Menon Bearings Limited</v>
      </c>
      <c r="C1448" t="s">
        <v>14</v>
      </c>
      <c r="D1448">
        <v>134.9</v>
      </c>
      <c r="E1448">
        <v>136.05000000000001</v>
      </c>
      <c r="F1448">
        <v>130</v>
      </c>
      <c r="G1448" s="3">
        <v>131.25</v>
      </c>
      <c r="H1448">
        <v>131.19999999999999</v>
      </c>
      <c r="I1448">
        <v>135.9</v>
      </c>
      <c r="J1448">
        <v>240238</v>
      </c>
      <c r="K1448">
        <v>31853722.25</v>
      </c>
      <c r="L1448" s="1">
        <v>45240</v>
      </c>
      <c r="M1448">
        <v>4247</v>
      </c>
      <c r="N1448" t="s">
        <v>3237</v>
      </c>
      <c r="O1448" s="5">
        <v>45240</v>
      </c>
      <c r="P1448" s="5">
        <v>43777</v>
      </c>
    </row>
    <row r="1449" spans="1:16" x14ac:dyDescent="0.25">
      <c r="A1449" t="s">
        <v>3238</v>
      </c>
      <c r="B1449" t="str">
        <v>MEP Infrastructure Developers Limited</v>
      </c>
      <c r="C1449" t="s">
        <v>14</v>
      </c>
      <c r="D1449">
        <v>13.5</v>
      </c>
      <c r="E1449">
        <v>13.5</v>
      </c>
      <c r="F1449">
        <v>13.05</v>
      </c>
      <c r="G1449" s="3">
        <v>13.15</v>
      </c>
      <c r="H1449">
        <v>13.15</v>
      </c>
      <c r="I1449">
        <v>13.4</v>
      </c>
      <c r="J1449">
        <v>435418</v>
      </c>
      <c r="K1449">
        <v>5759878.6500000004</v>
      </c>
      <c r="L1449" s="1">
        <v>45240</v>
      </c>
      <c r="M1449">
        <v>484</v>
      </c>
      <c r="N1449" t="s">
        <v>3240</v>
      </c>
      <c r="O1449" s="5">
        <v>45240</v>
      </c>
      <c r="P1449" s="5">
        <v>43777</v>
      </c>
    </row>
    <row r="1450" spans="1:16" x14ac:dyDescent="0.25">
      <c r="A1450" t="s">
        <v>3241</v>
      </c>
      <c r="B1450" t="str">
        <v>Metalyst Forgings Limited</v>
      </c>
      <c r="C1450" t="s">
        <v>786</v>
      </c>
      <c r="D1450">
        <v>3.6</v>
      </c>
      <c r="E1450">
        <v>3.7</v>
      </c>
      <c r="F1450">
        <v>3.45</v>
      </c>
      <c r="G1450" s="3">
        <v>3.45</v>
      </c>
      <c r="H1450">
        <v>3.45</v>
      </c>
      <c r="I1450">
        <v>3.6</v>
      </c>
      <c r="J1450">
        <v>1210</v>
      </c>
      <c r="K1450">
        <v>4210.6000000000004</v>
      </c>
      <c r="L1450" s="1">
        <v>45240</v>
      </c>
      <c r="M1450">
        <v>12</v>
      </c>
      <c r="N1450" t="s">
        <v>3243</v>
      </c>
      <c r="O1450" s="5">
        <v>45240</v>
      </c>
      <c r="P1450" s="5">
        <v>43777</v>
      </c>
    </row>
    <row r="1451" spans="1:16" x14ac:dyDescent="0.25">
      <c r="A1451" t="s">
        <v>3244</v>
      </c>
      <c r="B1451" t="str">
        <v>Metro Brands Limited</v>
      </c>
      <c r="C1451" t="s">
        <v>14</v>
      </c>
      <c r="D1451">
        <v>1287.95</v>
      </c>
      <c r="E1451">
        <v>1319.55</v>
      </c>
      <c r="F1451">
        <v>1270.2</v>
      </c>
      <c r="G1451" s="3">
        <v>1299.1500000000001</v>
      </c>
      <c r="H1451">
        <v>1294.4000000000001</v>
      </c>
      <c r="I1451">
        <v>1288.3499999999999</v>
      </c>
      <c r="J1451">
        <v>117290</v>
      </c>
      <c r="K1451">
        <v>152676440.84999999</v>
      </c>
      <c r="L1451" s="1">
        <v>45240</v>
      </c>
      <c r="M1451">
        <v>15649</v>
      </c>
      <c r="N1451" t="s">
        <v>3246</v>
      </c>
      <c r="O1451" s="5">
        <v>45240</v>
      </c>
      <c r="P1451" s="5">
        <v>43777</v>
      </c>
    </row>
    <row r="1452" spans="1:16" x14ac:dyDescent="0.25">
      <c r="A1452" t="s">
        <v>3247</v>
      </c>
      <c r="B1452" t="str">
        <v>Metropolis Healthcare Limited</v>
      </c>
      <c r="C1452" t="s">
        <v>14</v>
      </c>
      <c r="D1452">
        <v>1623.75</v>
      </c>
      <c r="E1452">
        <v>1635</v>
      </c>
      <c r="F1452">
        <v>1597.1</v>
      </c>
      <c r="G1452" s="3">
        <v>1624.9</v>
      </c>
      <c r="H1452">
        <v>1624.95</v>
      </c>
      <c r="I1452">
        <v>1623.75</v>
      </c>
      <c r="J1452">
        <v>364844</v>
      </c>
      <c r="K1452">
        <v>590038812.14999998</v>
      </c>
      <c r="L1452" s="1">
        <v>45240</v>
      </c>
      <c r="M1452">
        <v>20460</v>
      </c>
      <c r="N1452" t="s">
        <v>3249</v>
      </c>
      <c r="O1452" s="5">
        <v>45240</v>
      </c>
      <c r="P1452" s="5">
        <v>43777</v>
      </c>
    </row>
    <row r="1453" spans="1:16" x14ac:dyDescent="0.25">
      <c r="A1453" t="s">
        <v>3250</v>
      </c>
      <c r="B1453" t="str">
        <v>Max Financial Services Limited</v>
      </c>
      <c r="C1453" t="s">
        <v>14</v>
      </c>
      <c r="D1453">
        <v>928.6</v>
      </c>
      <c r="E1453">
        <v>940</v>
      </c>
      <c r="F1453">
        <v>918.65</v>
      </c>
      <c r="G1453" s="3">
        <v>936.9</v>
      </c>
      <c r="H1453">
        <v>931</v>
      </c>
      <c r="I1453">
        <v>929.25</v>
      </c>
      <c r="J1453">
        <v>389872</v>
      </c>
      <c r="K1453">
        <v>363045895.35000002</v>
      </c>
      <c r="L1453" s="1">
        <v>45240</v>
      </c>
      <c r="M1453">
        <v>27694</v>
      </c>
      <c r="N1453" t="s">
        <v>3252</v>
      </c>
      <c r="O1453" s="5">
        <v>45240</v>
      </c>
      <c r="P1453" s="5">
        <v>43777</v>
      </c>
    </row>
    <row r="1454" spans="1:16" x14ac:dyDescent="0.25">
      <c r="A1454" t="s">
        <v>3253</v>
      </c>
      <c r="B1454" t="str">
        <v>Mangalam Global Enterprise Limited</v>
      </c>
      <c r="C1454" t="s">
        <v>14</v>
      </c>
      <c r="D1454">
        <v>17.5</v>
      </c>
      <c r="E1454">
        <v>17.5</v>
      </c>
      <c r="F1454">
        <v>16.649999999999999</v>
      </c>
      <c r="G1454" s="3">
        <v>17.100000000000001</v>
      </c>
      <c r="H1454">
        <v>17</v>
      </c>
      <c r="I1454">
        <v>16.95</v>
      </c>
      <c r="J1454">
        <v>80556</v>
      </c>
      <c r="K1454">
        <v>1372175.4</v>
      </c>
      <c r="L1454" s="1">
        <v>45240</v>
      </c>
      <c r="M1454">
        <v>378</v>
      </c>
      <c r="N1454" t="s">
        <v>3255</v>
      </c>
      <c r="O1454" s="5">
        <v>45240</v>
      </c>
      <c r="P1454" s="5">
        <v>43777</v>
      </c>
    </row>
    <row r="1455" spans="1:16" x14ac:dyDescent="0.25">
      <c r="A1455" t="s">
        <v>3256</v>
      </c>
      <c r="B1455" t="str">
        <v>Mahanagar Gas Limited</v>
      </c>
      <c r="C1455" t="s">
        <v>14</v>
      </c>
      <c r="D1455">
        <v>1030</v>
      </c>
      <c r="E1455">
        <v>1046.6500000000001</v>
      </c>
      <c r="F1455">
        <v>1019.6</v>
      </c>
      <c r="G1455" s="3">
        <v>1041.8</v>
      </c>
      <c r="H1455">
        <v>1038.95</v>
      </c>
      <c r="I1455">
        <v>1028.7</v>
      </c>
      <c r="J1455">
        <v>574853</v>
      </c>
      <c r="K1455">
        <v>596566184.5</v>
      </c>
      <c r="L1455" s="1">
        <v>45240</v>
      </c>
      <c r="M1455">
        <v>32490</v>
      </c>
      <c r="N1455" t="s">
        <v>3258</v>
      </c>
      <c r="O1455" s="5">
        <v>45240</v>
      </c>
      <c r="P1455" s="5">
        <v>43777</v>
      </c>
    </row>
    <row r="1456" spans="1:16" x14ac:dyDescent="0.25">
      <c r="A1456" t="s">
        <v>6311</v>
      </c>
      <c r="B1456" t="str">
        <v>Not Found</v>
      </c>
      <c r="C1456" t="s">
        <v>5788</v>
      </c>
      <c r="D1456">
        <v>72.5</v>
      </c>
      <c r="E1456">
        <v>73.95</v>
      </c>
      <c r="F1456">
        <v>72.05</v>
      </c>
      <c r="G1456" s="3">
        <v>72.150000000000006</v>
      </c>
      <c r="H1456">
        <v>72.05</v>
      </c>
      <c r="I1456">
        <v>73.900000000000006</v>
      </c>
      <c r="J1456">
        <v>24000</v>
      </c>
      <c r="K1456">
        <v>1741500</v>
      </c>
      <c r="L1456" s="1">
        <v>45240</v>
      </c>
      <c r="M1456">
        <v>14</v>
      </c>
      <c r="N1456" t="s">
        <v>6310</v>
      </c>
      <c r="O1456" s="5">
        <v>45240</v>
      </c>
      <c r="P1456" s="5">
        <v>43777</v>
      </c>
    </row>
    <row r="1457" spans="1:16" x14ac:dyDescent="0.25">
      <c r="A1457" t="s">
        <v>3259</v>
      </c>
      <c r="B1457" t="str">
        <v>Mahalaxmi Rubtech Limited</v>
      </c>
      <c r="C1457" t="s">
        <v>14</v>
      </c>
      <c r="D1457">
        <v>220</v>
      </c>
      <c r="E1457">
        <v>247</v>
      </c>
      <c r="F1457">
        <v>220</v>
      </c>
      <c r="G1457" s="3">
        <v>235.8</v>
      </c>
      <c r="H1457">
        <v>233</v>
      </c>
      <c r="I1457">
        <v>215.65</v>
      </c>
      <c r="J1457">
        <v>39510</v>
      </c>
      <c r="K1457">
        <v>9457605.4499999993</v>
      </c>
      <c r="L1457" s="1">
        <v>45240</v>
      </c>
      <c r="M1457">
        <v>1720</v>
      </c>
      <c r="N1457" t="s">
        <v>3261</v>
      </c>
      <c r="O1457" s="5">
        <v>45240</v>
      </c>
      <c r="P1457" s="5">
        <v>43777</v>
      </c>
    </row>
    <row r="1458" spans="1:16" x14ac:dyDescent="0.25">
      <c r="A1458" t="s">
        <v>3262</v>
      </c>
      <c r="B1458" t="str">
        <v>Mahindra Holidays &amp; Resorts India Limited</v>
      </c>
      <c r="C1458" t="s">
        <v>14</v>
      </c>
      <c r="D1458">
        <v>398.1</v>
      </c>
      <c r="E1458">
        <v>404.8</v>
      </c>
      <c r="F1458">
        <v>397.35</v>
      </c>
      <c r="G1458" s="3">
        <v>403.65</v>
      </c>
      <c r="H1458">
        <v>403</v>
      </c>
      <c r="I1458">
        <v>400.1</v>
      </c>
      <c r="J1458">
        <v>129451</v>
      </c>
      <c r="K1458">
        <v>52117813.549999997</v>
      </c>
      <c r="L1458" s="1">
        <v>45240</v>
      </c>
      <c r="M1458">
        <v>4681</v>
      </c>
      <c r="N1458" t="s">
        <v>3264</v>
      </c>
      <c r="O1458" s="5">
        <v>45240</v>
      </c>
      <c r="P1458" s="5">
        <v>43777</v>
      </c>
    </row>
    <row r="1459" spans="1:16" x14ac:dyDescent="0.25">
      <c r="A1459" t="s">
        <v>3265</v>
      </c>
      <c r="B1459" t="str">
        <v>MIC Electronics Limited</v>
      </c>
      <c r="C1459" t="s">
        <v>10</v>
      </c>
      <c r="D1459">
        <v>40.700000000000003</v>
      </c>
      <c r="E1459">
        <v>40.700000000000003</v>
      </c>
      <c r="F1459">
        <v>38.700000000000003</v>
      </c>
      <c r="G1459" s="3">
        <v>39</v>
      </c>
      <c r="H1459">
        <v>39</v>
      </c>
      <c r="I1459">
        <v>40.700000000000003</v>
      </c>
      <c r="J1459">
        <v>321549</v>
      </c>
      <c r="K1459">
        <v>12603426.75</v>
      </c>
      <c r="L1459" s="1">
        <v>45240</v>
      </c>
      <c r="M1459">
        <v>1498</v>
      </c>
      <c r="N1459" t="s">
        <v>3267</v>
      </c>
      <c r="O1459" s="5">
        <v>45240</v>
      </c>
      <c r="P1459" s="5">
        <v>43777</v>
      </c>
    </row>
    <row r="1460" spans="1:16" x14ac:dyDescent="0.25">
      <c r="A1460" t="s">
        <v>6309</v>
      </c>
      <c r="B1460" t="str">
        <v>Not Found</v>
      </c>
      <c r="C1460" t="s">
        <v>5853</v>
      </c>
      <c r="D1460">
        <v>80</v>
      </c>
      <c r="E1460">
        <v>80.8</v>
      </c>
      <c r="F1460">
        <v>76</v>
      </c>
      <c r="G1460" s="3">
        <v>76</v>
      </c>
      <c r="H1460">
        <v>76</v>
      </c>
      <c r="I1460">
        <v>81</v>
      </c>
      <c r="J1460">
        <v>430400</v>
      </c>
      <c r="K1460">
        <v>34262320</v>
      </c>
      <c r="L1460" s="1">
        <v>45240</v>
      </c>
      <c r="M1460">
        <v>173</v>
      </c>
      <c r="N1460" t="s">
        <v>6308</v>
      </c>
      <c r="O1460" s="5">
        <v>45240</v>
      </c>
      <c r="P1460" s="5">
        <v>43777</v>
      </c>
    </row>
    <row r="1461" spans="1:16" x14ac:dyDescent="0.25">
      <c r="A1461" t="s">
        <v>6307</v>
      </c>
      <c r="B1461" t="str">
        <v>Not Found</v>
      </c>
      <c r="C1461" t="s">
        <v>14</v>
      </c>
      <c r="D1461">
        <v>159.9</v>
      </c>
      <c r="E1461">
        <v>159.9</v>
      </c>
      <c r="F1461">
        <v>154</v>
      </c>
      <c r="G1461" s="3">
        <v>155.24</v>
      </c>
      <c r="H1461">
        <v>155.37</v>
      </c>
      <c r="I1461">
        <v>155.24</v>
      </c>
      <c r="J1461">
        <v>130556</v>
      </c>
      <c r="K1461">
        <v>20235267.82</v>
      </c>
      <c r="L1461" s="1">
        <v>45240</v>
      </c>
      <c r="M1461">
        <v>2676</v>
      </c>
      <c r="N1461" t="s">
        <v>6306</v>
      </c>
      <c r="O1461" s="5">
        <v>45240</v>
      </c>
      <c r="P1461" s="5">
        <v>43777</v>
      </c>
    </row>
    <row r="1462" spans="1:16" x14ac:dyDescent="0.25">
      <c r="A1462" t="s">
        <v>6305</v>
      </c>
      <c r="B1462" t="str">
        <v>Not Found</v>
      </c>
      <c r="C1462" t="s">
        <v>14</v>
      </c>
      <c r="D1462">
        <v>15</v>
      </c>
      <c r="E1462">
        <v>15.45</v>
      </c>
      <c r="F1462">
        <v>14.7</v>
      </c>
      <c r="G1462" s="3">
        <v>15.33</v>
      </c>
      <c r="H1462">
        <v>15.33</v>
      </c>
      <c r="I1462">
        <v>15.26</v>
      </c>
      <c r="J1462">
        <v>974341</v>
      </c>
      <c r="K1462">
        <v>14915509.73</v>
      </c>
      <c r="L1462" s="1">
        <v>45240</v>
      </c>
      <c r="M1462">
        <v>4329</v>
      </c>
      <c r="N1462" t="s">
        <v>6304</v>
      </c>
      <c r="O1462" s="5">
        <v>45240</v>
      </c>
      <c r="P1462" s="5">
        <v>43777</v>
      </c>
    </row>
    <row r="1463" spans="1:16" x14ac:dyDescent="0.25">
      <c r="A1463" t="s">
        <v>3268</v>
      </c>
      <c r="B1463" t="str">
        <v>Mishra Dhatu Nigam Limited</v>
      </c>
      <c r="C1463" t="s">
        <v>14</v>
      </c>
      <c r="D1463">
        <v>359</v>
      </c>
      <c r="E1463">
        <v>365.5</v>
      </c>
      <c r="F1463">
        <v>352.45</v>
      </c>
      <c r="G1463" s="3">
        <v>357.45</v>
      </c>
      <c r="H1463">
        <v>357</v>
      </c>
      <c r="I1463">
        <v>359.85</v>
      </c>
      <c r="J1463">
        <v>1202430</v>
      </c>
      <c r="K1463">
        <v>432147818.75</v>
      </c>
      <c r="L1463" s="1">
        <v>45240</v>
      </c>
      <c r="M1463">
        <v>32407</v>
      </c>
      <c r="N1463" t="s">
        <v>3270</v>
      </c>
      <c r="O1463" s="5">
        <v>45240</v>
      </c>
      <c r="P1463" s="5">
        <v>43777</v>
      </c>
    </row>
    <row r="1464" spans="1:16" x14ac:dyDescent="0.25">
      <c r="A1464" t="s">
        <v>6303</v>
      </c>
      <c r="B1464" t="str">
        <v>Not Found</v>
      </c>
      <c r="C1464" t="s">
        <v>5788</v>
      </c>
      <c r="D1464">
        <v>33.15</v>
      </c>
      <c r="E1464">
        <v>35.950000000000003</v>
      </c>
      <c r="F1464">
        <v>33.15</v>
      </c>
      <c r="G1464" s="3">
        <v>35.950000000000003</v>
      </c>
      <c r="H1464">
        <v>35.950000000000003</v>
      </c>
      <c r="I1464">
        <v>34.9</v>
      </c>
      <c r="J1464">
        <v>13200</v>
      </c>
      <c r="K1464">
        <v>457820</v>
      </c>
      <c r="L1464" s="1">
        <v>45240</v>
      </c>
      <c r="M1464">
        <v>3</v>
      </c>
      <c r="N1464" t="s">
        <v>6302</v>
      </c>
      <c r="O1464" s="5">
        <v>45240</v>
      </c>
      <c r="P1464" s="5">
        <v>43777</v>
      </c>
    </row>
    <row r="1465" spans="1:16" x14ac:dyDescent="0.25">
      <c r="A1465" t="s">
        <v>3271</v>
      </c>
      <c r="B1465" t="str">
        <v>Minda Corporation Limited</v>
      </c>
      <c r="C1465" t="s">
        <v>14</v>
      </c>
      <c r="D1465">
        <v>349.05</v>
      </c>
      <c r="E1465">
        <v>351.5</v>
      </c>
      <c r="F1465">
        <v>339.8</v>
      </c>
      <c r="G1465" s="3">
        <v>349.5</v>
      </c>
      <c r="H1465">
        <v>349</v>
      </c>
      <c r="I1465">
        <v>349.65</v>
      </c>
      <c r="J1465">
        <v>494883</v>
      </c>
      <c r="K1465">
        <v>171448815.5</v>
      </c>
      <c r="L1465" s="1">
        <v>45240</v>
      </c>
      <c r="M1465">
        <v>8033</v>
      </c>
      <c r="N1465" t="s">
        <v>3273</v>
      </c>
      <c r="O1465" s="5">
        <v>45240</v>
      </c>
      <c r="P1465" s="5">
        <v>43777</v>
      </c>
    </row>
    <row r="1466" spans="1:16" x14ac:dyDescent="0.25">
      <c r="A1466" t="s">
        <v>6301</v>
      </c>
      <c r="B1466" t="str">
        <v>Not Found</v>
      </c>
      <c r="C1466" t="s">
        <v>6202</v>
      </c>
      <c r="D1466">
        <v>320</v>
      </c>
      <c r="E1466">
        <v>322.35000000000002</v>
      </c>
      <c r="F1466">
        <v>317.55</v>
      </c>
      <c r="G1466" s="3">
        <v>318.08999999999997</v>
      </c>
      <c r="H1466">
        <v>319.75</v>
      </c>
      <c r="I1466">
        <v>319.55</v>
      </c>
      <c r="J1466">
        <v>77209</v>
      </c>
      <c r="K1466">
        <v>24685264.190000001</v>
      </c>
      <c r="L1466" s="1">
        <v>45240</v>
      </c>
      <c r="M1466">
        <v>2553</v>
      </c>
      <c r="N1466" t="s">
        <v>6300</v>
      </c>
      <c r="O1466" s="5">
        <v>45240</v>
      </c>
      <c r="P1466" s="5">
        <v>43777</v>
      </c>
    </row>
    <row r="1467" spans="1:16" x14ac:dyDescent="0.25">
      <c r="A1467" t="s">
        <v>3274</v>
      </c>
      <c r="B1467" t="str">
        <v>Mindteck (India) Limited</v>
      </c>
      <c r="C1467" t="s">
        <v>14</v>
      </c>
      <c r="D1467">
        <v>202</v>
      </c>
      <c r="E1467">
        <v>206</v>
      </c>
      <c r="F1467">
        <v>193.4</v>
      </c>
      <c r="G1467" s="3">
        <v>196.55</v>
      </c>
      <c r="H1467">
        <v>194.4</v>
      </c>
      <c r="I1467">
        <v>198.2</v>
      </c>
      <c r="J1467">
        <v>134867</v>
      </c>
      <c r="K1467">
        <v>26694001.449999999</v>
      </c>
      <c r="L1467" s="1">
        <v>45240</v>
      </c>
      <c r="M1467">
        <v>4774</v>
      </c>
      <c r="N1467" t="s">
        <v>3276</v>
      </c>
      <c r="O1467" s="5">
        <v>45240</v>
      </c>
      <c r="P1467" s="5">
        <v>43777</v>
      </c>
    </row>
    <row r="1468" spans="1:16" x14ac:dyDescent="0.25">
      <c r="A1468" t="s">
        <v>3277</v>
      </c>
      <c r="B1468" t="str">
        <v>MIRC Electronics Limited</v>
      </c>
      <c r="C1468" t="s">
        <v>10</v>
      </c>
      <c r="D1468">
        <v>16.100000000000001</v>
      </c>
      <c r="E1468">
        <v>16.100000000000001</v>
      </c>
      <c r="F1468">
        <v>16.100000000000001</v>
      </c>
      <c r="G1468" s="3">
        <v>16.100000000000001</v>
      </c>
      <c r="H1468">
        <v>16.100000000000001</v>
      </c>
      <c r="I1468">
        <v>16.399999999999999</v>
      </c>
      <c r="J1468">
        <v>43162</v>
      </c>
      <c r="K1468">
        <v>694908.2</v>
      </c>
      <c r="L1468" s="1">
        <v>45240</v>
      </c>
      <c r="M1468">
        <v>93</v>
      </c>
      <c r="N1468" t="s">
        <v>3279</v>
      </c>
      <c r="O1468" s="5">
        <v>45240</v>
      </c>
      <c r="P1468" s="5">
        <v>43777</v>
      </c>
    </row>
    <row r="1469" spans="1:16" x14ac:dyDescent="0.25">
      <c r="A1469" t="s">
        <v>3280</v>
      </c>
      <c r="B1469" t="str">
        <v>Mirza International Limited</v>
      </c>
      <c r="C1469" t="s">
        <v>14</v>
      </c>
      <c r="D1469">
        <v>46.8</v>
      </c>
      <c r="E1469">
        <v>46.85</v>
      </c>
      <c r="F1469">
        <v>45.85</v>
      </c>
      <c r="G1469" s="3">
        <v>46.15</v>
      </c>
      <c r="H1469">
        <v>46.2</v>
      </c>
      <c r="I1469">
        <v>46.75</v>
      </c>
      <c r="J1469">
        <v>323684</v>
      </c>
      <c r="K1469">
        <v>14933617</v>
      </c>
      <c r="L1469" s="1">
        <v>45240</v>
      </c>
      <c r="M1469">
        <v>2850</v>
      </c>
      <c r="N1469" t="s">
        <v>3282</v>
      </c>
      <c r="O1469" s="5">
        <v>45240</v>
      </c>
      <c r="P1469" s="5">
        <v>43777</v>
      </c>
    </row>
    <row r="1470" spans="1:16" x14ac:dyDescent="0.25">
      <c r="A1470" t="s">
        <v>3283</v>
      </c>
      <c r="B1470" t="str">
        <v>MITCON Consultancy &amp; Engineering Services Limited</v>
      </c>
      <c r="C1470" t="s">
        <v>14</v>
      </c>
      <c r="D1470">
        <v>86.65</v>
      </c>
      <c r="E1470">
        <v>88.05</v>
      </c>
      <c r="F1470">
        <v>83.4</v>
      </c>
      <c r="G1470" s="3">
        <v>84.45</v>
      </c>
      <c r="H1470">
        <v>84.2</v>
      </c>
      <c r="I1470">
        <v>86.8</v>
      </c>
      <c r="J1470">
        <v>49349</v>
      </c>
      <c r="K1470">
        <v>4203394.3</v>
      </c>
      <c r="L1470" s="1">
        <v>45240</v>
      </c>
      <c r="M1470">
        <v>1525</v>
      </c>
      <c r="N1470" t="s">
        <v>3285</v>
      </c>
      <c r="O1470" s="5">
        <v>45240</v>
      </c>
      <c r="P1470" s="5">
        <v>43777</v>
      </c>
    </row>
    <row r="1471" spans="1:16" x14ac:dyDescent="0.25">
      <c r="A1471" t="s">
        <v>3286</v>
      </c>
      <c r="B1471" t="str">
        <v>Mittal Life Style Limited</v>
      </c>
      <c r="C1471" t="s">
        <v>14</v>
      </c>
      <c r="D1471">
        <v>1.7</v>
      </c>
      <c r="E1471">
        <v>1.75</v>
      </c>
      <c r="F1471">
        <v>1.65</v>
      </c>
      <c r="G1471" s="3">
        <v>1.7</v>
      </c>
      <c r="H1471">
        <v>1.65</v>
      </c>
      <c r="I1471">
        <v>1.7</v>
      </c>
      <c r="J1471">
        <v>6251233</v>
      </c>
      <c r="K1471">
        <v>10559446.9</v>
      </c>
      <c r="L1471" s="1">
        <v>45240</v>
      </c>
      <c r="M1471">
        <v>567</v>
      </c>
      <c r="N1471" t="s">
        <v>3288</v>
      </c>
      <c r="O1471" s="5">
        <v>45240</v>
      </c>
      <c r="P1471" s="5">
        <v>43777</v>
      </c>
    </row>
    <row r="1472" spans="1:16" x14ac:dyDescent="0.25">
      <c r="A1472" t="s">
        <v>3289</v>
      </c>
      <c r="B1472" t="str">
        <v>M K Proteins Limited</v>
      </c>
      <c r="C1472" t="s">
        <v>14</v>
      </c>
      <c r="D1472">
        <v>84.8</v>
      </c>
      <c r="E1472">
        <v>100.05</v>
      </c>
      <c r="F1472">
        <v>81.8</v>
      </c>
      <c r="G1472" s="3">
        <v>84.7</v>
      </c>
      <c r="H1472">
        <v>83</v>
      </c>
      <c r="I1472">
        <v>842.5</v>
      </c>
      <c r="J1472">
        <v>6277445</v>
      </c>
      <c r="K1472">
        <v>582885796.35000002</v>
      </c>
      <c r="L1472" s="1">
        <v>45240</v>
      </c>
      <c r="M1472">
        <v>31457</v>
      </c>
      <c r="N1472" t="s">
        <v>3291</v>
      </c>
      <c r="O1472" s="5">
        <v>45240</v>
      </c>
      <c r="P1472" s="5">
        <v>43777</v>
      </c>
    </row>
    <row r="1473" spans="1:16" x14ac:dyDescent="0.25">
      <c r="A1473" t="s">
        <v>3292</v>
      </c>
      <c r="B1473" t="str">
        <v>MM Forgings Limited</v>
      </c>
      <c r="C1473" t="s">
        <v>14</v>
      </c>
      <c r="D1473">
        <v>902.35</v>
      </c>
      <c r="E1473">
        <v>915.7</v>
      </c>
      <c r="F1473">
        <v>881.15</v>
      </c>
      <c r="G1473" s="3">
        <v>883.7</v>
      </c>
      <c r="H1473">
        <v>884</v>
      </c>
      <c r="I1473">
        <v>911.15</v>
      </c>
      <c r="J1473">
        <v>49979</v>
      </c>
      <c r="K1473">
        <v>44738152</v>
      </c>
      <c r="L1473" s="1">
        <v>45240</v>
      </c>
      <c r="M1473">
        <v>4129</v>
      </c>
      <c r="N1473" t="s">
        <v>3294</v>
      </c>
      <c r="O1473" s="5">
        <v>45240</v>
      </c>
      <c r="P1473" s="5">
        <v>43777</v>
      </c>
    </row>
    <row r="1474" spans="1:16" x14ac:dyDescent="0.25">
      <c r="A1474" t="s">
        <v>3295</v>
      </c>
      <c r="B1474" t="str">
        <v>MMP Industries Limited</v>
      </c>
      <c r="C1474" t="s">
        <v>14</v>
      </c>
      <c r="D1474">
        <v>220.95</v>
      </c>
      <c r="E1474">
        <v>220.95</v>
      </c>
      <c r="F1474">
        <v>210</v>
      </c>
      <c r="G1474" s="3">
        <v>213.4</v>
      </c>
      <c r="H1474">
        <v>212.5</v>
      </c>
      <c r="I1474">
        <v>216.75</v>
      </c>
      <c r="J1474">
        <v>6159</v>
      </c>
      <c r="K1474">
        <v>1322271.5</v>
      </c>
      <c r="L1474" s="1">
        <v>45240</v>
      </c>
      <c r="M1474">
        <v>353</v>
      </c>
      <c r="N1474" t="s">
        <v>3297</v>
      </c>
      <c r="O1474" s="5">
        <v>45240</v>
      </c>
      <c r="P1474" s="5">
        <v>43777</v>
      </c>
    </row>
    <row r="1475" spans="1:16" x14ac:dyDescent="0.25">
      <c r="A1475" t="s">
        <v>3298</v>
      </c>
      <c r="B1475" t="str">
        <v>MMTC Limited</v>
      </c>
      <c r="C1475" t="s">
        <v>14</v>
      </c>
      <c r="D1475">
        <v>51.8</v>
      </c>
      <c r="E1475">
        <v>52.8</v>
      </c>
      <c r="F1475">
        <v>51.25</v>
      </c>
      <c r="G1475" s="3">
        <v>51.7</v>
      </c>
      <c r="H1475">
        <v>51.65</v>
      </c>
      <c r="I1475">
        <v>51.8</v>
      </c>
      <c r="J1475">
        <v>2332960</v>
      </c>
      <c r="K1475">
        <v>121131313.05</v>
      </c>
      <c r="L1475" s="1">
        <v>45240</v>
      </c>
      <c r="M1475">
        <v>12107</v>
      </c>
      <c r="N1475" t="s">
        <v>3300</v>
      </c>
      <c r="O1475" s="5">
        <v>45240</v>
      </c>
      <c r="P1475" s="5">
        <v>43777</v>
      </c>
    </row>
    <row r="1476" spans="1:16" x14ac:dyDescent="0.25">
      <c r="A1476" t="s">
        <v>3301</v>
      </c>
      <c r="B1476" t="str">
        <v>Modi Rubber Limited</v>
      </c>
      <c r="C1476" t="s">
        <v>10</v>
      </c>
      <c r="D1476">
        <v>98.1</v>
      </c>
      <c r="E1476">
        <v>99</v>
      </c>
      <c r="F1476">
        <v>93.6</v>
      </c>
      <c r="G1476" s="3">
        <v>95.7</v>
      </c>
      <c r="H1476">
        <v>95.1</v>
      </c>
      <c r="I1476">
        <v>96.15</v>
      </c>
      <c r="J1476">
        <v>3406</v>
      </c>
      <c r="K1476">
        <v>329566.40000000002</v>
      </c>
      <c r="L1476" s="1">
        <v>45240</v>
      </c>
      <c r="M1476">
        <v>58</v>
      </c>
      <c r="N1476" t="s">
        <v>3303</v>
      </c>
      <c r="O1476" s="5">
        <v>45240</v>
      </c>
      <c r="P1476" s="5">
        <v>43777</v>
      </c>
    </row>
    <row r="1477" spans="1:16" x14ac:dyDescent="0.25">
      <c r="A1477" t="s">
        <v>3304</v>
      </c>
      <c r="B1477" t="str">
        <v>MODISON LIMITED</v>
      </c>
      <c r="C1477" t="s">
        <v>14</v>
      </c>
      <c r="D1477">
        <v>109.8</v>
      </c>
      <c r="E1477">
        <v>121.4</v>
      </c>
      <c r="F1477">
        <v>108.5</v>
      </c>
      <c r="G1477" s="3">
        <v>117.4</v>
      </c>
      <c r="H1477">
        <v>117.95</v>
      </c>
      <c r="I1477">
        <v>108.05</v>
      </c>
      <c r="J1477">
        <v>800686</v>
      </c>
      <c r="K1477">
        <v>93322308.200000003</v>
      </c>
      <c r="L1477" s="1">
        <v>45240</v>
      </c>
      <c r="M1477">
        <v>10141</v>
      </c>
      <c r="N1477" t="s">
        <v>3306</v>
      </c>
      <c r="O1477" s="5">
        <v>45240</v>
      </c>
      <c r="P1477" s="5">
        <v>43777</v>
      </c>
    </row>
    <row r="1478" spans="1:16" x14ac:dyDescent="0.25">
      <c r="A1478" t="s">
        <v>6299</v>
      </c>
      <c r="B1478" t="str">
        <v>Not Found</v>
      </c>
      <c r="C1478" t="s">
        <v>14</v>
      </c>
      <c r="D1478">
        <v>53.17</v>
      </c>
      <c r="E1478">
        <v>53.2</v>
      </c>
      <c r="F1478">
        <v>53.17</v>
      </c>
      <c r="G1478" s="3">
        <v>53.2</v>
      </c>
      <c r="H1478">
        <v>53.2</v>
      </c>
      <c r="I1478">
        <v>53.22</v>
      </c>
      <c r="J1478">
        <v>24714</v>
      </c>
      <c r="K1478">
        <v>1314388.6599999999</v>
      </c>
      <c r="L1478" s="1">
        <v>45240</v>
      </c>
      <c r="M1478">
        <v>13</v>
      </c>
      <c r="N1478" t="s">
        <v>6298</v>
      </c>
      <c r="O1478" s="5">
        <v>45240</v>
      </c>
      <c r="P1478" s="5">
        <v>43777</v>
      </c>
    </row>
    <row r="1479" spans="1:16" x14ac:dyDescent="0.25">
      <c r="A1479" t="s">
        <v>6297</v>
      </c>
      <c r="B1479" t="str">
        <v>Not Found</v>
      </c>
      <c r="C1479" t="s">
        <v>14</v>
      </c>
      <c r="D1479">
        <v>28.24</v>
      </c>
      <c r="E1479">
        <v>29.05</v>
      </c>
      <c r="F1479">
        <v>28.24</v>
      </c>
      <c r="G1479" s="3">
        <v>28.84</v>
      </c>
      <c r="H1479">
        <v>28.5</v>
      </c>
      <c r="I1479">
        <v>28.94</v>
      </c>
      <c r="J1479">
        <v>6845</v>
      </c>
      <c r="K1479">
        <v>198102.68</v>
      </c>
      <c r="L1479" s="1">
        <v>45240</v>
      </c>
      <c r="M1479">
        <v>99</v>
      </c>
      <c r="N1479" t="s">
        <v>6296</v>
      </c>
      <c r="O1479" s="5">
        <v>45240</v>
      </c>
      <c r="P1479" s="5">
        <v>43777</v>
      </c>
    </row>
    <row r="1480" spans="1:16" x14ac:dyDescent="0.25">
      <c r="A1480" t="s">
        <v>3307</v>
      </c>
      <c r="B1480" t="str">
        <v>Mohit Industries Limited</v>
      </c>
      <c r="C1480" t="s">
        <v>14</v>
      </c>
      <c r="D1480">
        <v>17.3</v>
      </c>
      <c r="E1480">
        <v>18.5</v>
      </c>
      <c r="F1480">
        <v>17.3</v>
      </c>
      <c r="G1480" s="3">
        <v>18.100000000000001</v>
      </c>
      <c r="H1480">
        <v>17.75</v>
      </c>
      <c r="I1480">
        <v>18.100000000000001</v>
      </c>
      <c r="J1480">
        <v>10882</v>
      </c>
      <c r="K1480">
        <v>198032.1</v>
      </c>
      <c r="L1480" s="1">
        <v>45240</v>
      </c>
      <c r="M1480">
        <v>81</v>
      </c>
      <c r="N1480" t="s">
        <v>3309</v>
      </c>
      <c r="O1480" s="5">
        <v>45240</v>
      </c>
      <c r="P1480" s="5">
        <v>43777</v>
      </c>
    </row>
    <row r="1481" spans="1:16" x14ac:dyDescent="0.25">
      <c r="A1481" t="s">
        <v>3310</v>
      </c>
      <c r="B1481" t="str">
        <v>MOIL Limited</v>
      </c>
      <c r="C1481" t="s">
        <v>14</v>
      </c>
      <c r="D1481">
        <v>246</v>
      </c>
      <c r="E1481">
        <v>254.1</v>
      </c>
      <c r="F1481">
        <v>245.65</v>
      </c>
      <c r="G1481" s="3">
        <v>247.3</v>
      </c>
      <c r="H1481">
        <v>247.3</v>
      </c>
      <c r="I1481">
        <v>246</v>
      </c>
      <c r="J1481">
        <v>1262962</v>
      </c>
      <c r="K1481">
        <v>314982801.89999998</v>
      </c>
      <c r="L1481" s="1">
        <v>45240</v>
      </c>
      <c r="M1481">
        <v>19503</v>
      </c>
      <c r="N1481" t="s">
        <v>3312</v>
      </c>
      <c r="O1481" s="5">
        <v>45240</v>
      </c>
      <c r="P1481" s="5">
        <v>43777</v>
      </c>
    </row>
    <row r="1482" spans="1:16" x14ac:dyDescent="0.25">
      <c r="A1482" t="s">
        <v>3313</v>
      </c>
      <c r="B1482" t="str">
        <v>Moksh Ornaments Limited</v>
      </c>
      <c r="C1482" t="s">
        <v>10</v>
      </c>
      <c r="D1482">
        <v>14.7</v>
      </c>
      <c r="E1482">
        <v>14.7</v>
      </c>
      <c r="F1482">
        <v>14.1</v>
      </c>
      <c r="G1482" s="3">
        <v>14.4</v>
      </c>
      <c r="H1482">
        <v>14.45</v>
      </c>
      <c r="I1482">
        <v>14.45</v>
      </c>
      <c r="J1482">
        <v>69443</v>
      </c>
      <c r="K1482">
        <v>1001234.6</v>
      </c>
      <c r="L1482" s="1">
        <v>45240</v>
      </c>
      <c r="M1482">
        <v>310</v>
      </c>
      <c r="N1482" t="s">
        <v>3315</v>
      </c>
      <c r="O1482" s="5">
        <v>45240</v>
      </c>
      <c r="P1482" s="5">
        <v>43777</v>
      </c>
    </row>
    <row r="1483" spans="1:16" x14ac:dyDescent="0.25">
      <c r="A1483" t="s">
        <v>3316</v>
      </c>
      <c r="B1483" t="str">
        <v>Meghmani Organics Limited</v>
      </c>
      <c r="C1483" t="s">
        <v>14</v>
      </c>
      <c r="D1483">
        <v>73.150000000000006</v>
      </c>
      <c r="E1483">
        <v>73.55</v>
      </c>
      <c r="F1483">
        <v>72.55</v>
      </c>
      <c r="G1483" s="3">
        <v>72.75</v>
      </c>
      <c r="H1483">
        <v>72.75</v>
      </c>
      <c r="I1483">
        <v>73.349999999999994</v>
      </c>
      <c r="J1483">
        <v>513745</v>
      </c>
      <c r="K1483">
        <v>37431203.600000001</v>
      </c>
      <c r="L1483" s="1">
        <v>45240</v>
      </c>
      <c r="M1483">
        <v>2804</v>
      </c>
      <c r="N1483" t="s">
        <v>3318</v>
      </c>
      <c r="O1483" s="5">
        <v>45240</v>
      </c>
      <c r="P1483" s="5">
        <v>43777</v>
      </c>
    </row>
    <row r="1484" spans="1:16" x14ac:dyDescent="0.25">
      <c r="A1484" t="s">
        <v>3319</v>
      </c>
      <c r="B1484" t="str">
        <v>Mold-Tek Technologies Limited</v>
      </c>
      <c r="C1484" t="s">
        <v>14</v>
      </c>
      <c r="D1484">
        <v>270.89999999999998</v>
      </c>
      <c r="E1484">
        <v>271.25</v>
      </c>
      <c r="F1484">
        <v>264</v>
      </c>
      <c r="G1484" s="3">
        <v>264.95</v>
      </c>
      <c r="H1484">
        <v>264.35000000000002</v>
      </c>
      <c r="I1484">
        <v>269.45</v>
      </c>
      <c r="J1484">
        <v>131981</v>
      </c>
      <c r="K1484">
        <v>35185752.25</v>
      </c>
      <c r="L1484" s="1">
        <v>45240</v>
      </c>
      <c r="M1484">
        <v>4135</v>
      </c>
      <c r="N1484" t="s">
        <v>3321</v>
      </c>
      <c r="O1484" s="5">
        <v>45240</v>
      </c>
      <c r="P1484" s="5">
        <v>43777</v>
      </c>
    </row>
    <row r="1485" spans="1:16" x14ac:dyDescent="0.25">
      <c r="A1485" t="s">
        <v>3322</v>
      </c>
      <c r="B1485" t="str">
        <v>Mold-Tek Packaging Limited</v>
      </c>
      <c r="C1485" t="s">
        <v>14</v>
      </c>
      <c r="D1485">
        <v>878.4</v>
      </c>
      <c r="E1485">
        <v>888.2</v>
      </c>
      <c r="F1485">
        <v>877.05</v>
      </c>
      <c r="G1485" s="3">
        <v>884.75</v>
      </c>
      <c r="H1485">
        <v>882</v>
      </c>
      <c r="I1485">
        <v>878.4</v>
      </c>
      <c r="J1485">
        <v>15690</v>
      </c>
      <c r="K1485">
        <v>13851634.75</v>
      </c>
      <c r="L1485" s="1">
        <v>45240</v>
      </c>
      <c r="M1485">
        <v>2278</v>
      </c>
      <c r="N1485" t="s">
        <v>3324</v>
      </c>
      <c r="O1485" s="5">
        <v>45240</v>
      </c>
      <c r="P1485" s="5">
        <v>43777</v>
      </c>
    </row>
    <row r="1486" spans="1:16" x14ac:dyDescent="0.25">
      <c r="A1486" t="s">
        <v>6295</v>
      </c>
      <c r="B1486" t="str">
        <v>Not Found</v>
      </c>
      <c r="C1486" t="s">
        <v>14</v>
      </c>
      <c r="D1486">
        <v>28.78</v>
      </c>
      <c r="E1486">
        <v>28.92</v>
      </c>
      <c r="F1486">
        <v>28.78</v>
      </c>
      <c r="G1486" s="3">
        <v>28.89</v>
      </c>
      <c r="H1486">
        <v>28.92</v>
      </c>
      <c r="I1486">
        <v>28.97</v>
      </c>
      <c r="J1486">
        <v>271</v>
      </c>
      <c r="K1486">
        <v>7827.29</v>
      </c>
      <c r="L1486" s="1">
        <v>45240</v>
      </c>
      <c r="M1486">
        <v>29</v>
      </c>
      <c r="N1486" t="s">
        <v>6294</v>
      </c>
      <c r="O1486" s="5">
        <v>45240</v>
      </c>
      <c r="P1486" s="5">
        <v>43777</v>
      </c>
    </row>
    <row r="1487" spans="1:16" x14ac:dyDescent="0.25">
      <c r="A1487" t="s">
        <v>6293</v>
      </c>
      <c r="B1487" t="str">
        <v>Not Found</v>
      </c>
      <c r="C1487" t="s">
        <v>14</v>
      </c>
      <c r="D1487">
        <v>43.42</v>
      </c>
      <c r="E1487">
        <v>43.42</v>
      </c>
      <c r="F1487">
        <v>42.95</v>
      </c>
      <c r="G1487" s="3">
        <v>43.27</v>
      </c>
      <c r="H1487">
        <v>43.27</v>
      </c>
      <c r="I1487">
        <v>43.09</v>
      </c>
      <c r="J1487">
        <v>95398</v>
      </c>
      <c r="K1487">
        <v>4117082.89</v>
      </c>
      <c r="L1487" s="1">
        <v>45240</v>
      </c>
      <c r="M1487">
        <v>1184</v>
      </c>
      <c r="N1487" t="s">
        <v>6292</v>
      </c>
      <c r="O1487" s="5">
        <v>45240</v>
      </c>
      <c r="P1487" s="5">
        <v>43777</v>
      </c>
    </row>
    <row r="1488" spans="1:16" x14ac:dyDescent="0.25">
      <c r="A1488" t="s">
        <v>6291</v>
      </c>
      <c r="B1488" t="str">
        <v>Not Found</v>
      </c>
      <c r="C1488" t="s">
        <v>14</v>
      </c>
      <c r="D1488">
        <v>196.77</v>
      </c>
      <c r="E1488">
        <v>197.5</v>
      </c>
      <c r="F1488">
        <v>196.2</v>
      </c>
      <c r="G1488" s="3">
        <v>197.04</v>
      </c>
      <c r="H1488">
        <v>197.5</v>
      </c>
      <c r="I1488">
        <v>197.31</v>
      </c>
      <c r="J1488">
        <v>1807</v>
      </c>
      <c r="K1488">
        <v>355726.31</v>
      </c>
      <c r="L1488" s="1">
        <v>45240</v>
      </c>
      <c r="M1488">
        <v>45</v>
      </c>
      <c r="N1488" t="s">
        <v>6290</v>
      </c>
      <c r="O1488" s="5">
        <v>45240</v>
      </c>
      <c r="P1488" s="5">
        <v>43777</v>
      </c>
    </row>
    <row r="1489" spans="1:16" x14ac:dyDescent="0.25">
      <c r="A1489" t="s">
        <v>6289</v>
      </c>
      <c r="B1489" t="str">
        <v>Not Found</v>
      </c>
      <c r="C1489" t="s">
        <v>14</v>
      </c>
      <c r="D1489">
        <v>23.53</v>
      </c>
      <c r="E1489">
        <v>23.78</v>
      </c>
      <c r="F1489">
        <v>23.52</v>
      </c>
      <c r="G1489" s="3">
        <v>23.75</v>
      </c>
      <c r="H1489">
        <v>23.78</v>
      </c>
      <c r="I1489">
        <v>23.62</v>
      </c>
      <c r="J1489">
        <v>19580</v>
      </c>
      <c r="K1489">
        <v>462898.45</v>
      </c>
      <c r="L1489" s="1">
        <v>45240</v>
      </c>
      <c r="M1489">
        <v>56</v>
      </c>
      <c r="N1489" t="s">
        <v>6288</v>
      </c>
      <c r="O1489" s="5">
        <v>45240</v>
      </c>
      <c r="P1489" s="5">
        <v>43777</v>
      </c>
    </row>
    <row r="1490" spans="1:16" x14ac:dyDescent="0.25">
      <c r="A1490" t="s">
        <v>6287</v>
      </c>
      <c r="B1490" t="str">
        <v>Not Found</v>
      </c>
      <c r="C1490" t="s">
        <v>14</v>
      </c>
      <c r="D1490">
        <v>47.35</v>
      </c>
      <c r="E1490">
        <v>47.59</v>
      </c>
      <c r="F1490">
        <v>47.09</v>
      </c>
      <c r="G1490" s="3">
        <v>47.44</v>
      </c>
      <c r="H1490">
        <v>47.53</v>
      </c>
      <c r="I1490">
        <v>47.28</v>
      </c>
      <c r="J1490">
        <v>12307</v>
      </c>
      <c r="K1490">
        <v>583569.9</v>
      </c>
      <c r="L1490" s="1">
        <v>45240</v>
      </c>
      <c r="M1490">
        <v>149</v>
      </c>
      <c r="N1490" t="s">
        <v>6286</v>
      </c>
      <c r="O1490" s="5">
        <v>45240</v>
      </c>
      <c r="P1490" s="5">
        <v>43777</v>
      </c>
    </row>
    <row r="1491" spans="1:16" x14ac:dyDescent="0.25">
      <c r="A1491" t="s">
        <v>6285</v>
      </c>
      <c r="B1491" t="str">
        <v>Not Found</v>
      </c>
      <c r="C1491" t="s">
        <v>14</v>
      </c>
      <c r="D1491">
        <v>123.8</v>
      </c>
      <c r="E1491">
        <v>123.8</v>
      </c>
      <c r="F1491">
        <v>121.59</v>
      </c>
      <c r="G1491" s="3">
        <v>122.85</v>
      </c>
      <c r="H1491">
        <v>122.9</v>
      </c>
      <c r="I1491">
        <v>123.76</v>
      </c>
      <c r="J1491">
        <v>414583</v>
      </c>
      <c r="K1491">
        <v>50906294.479999997</v>
      </c>
      <c r="L1491" s="1">
        <v>45240</v>
      </c>
      <c r="M1491">
        <v>4714</v>
      </c>
      <c r="N1491" t="s">
        <v>6284</v>
      </c>
      <c r="O1491" s="5">
        <v>45240</v>
      </c>
      <c r="P1491" s="5">
        <v>43777</v>
      </c>
    </row>
    <row r="1492" spans="1:16" x14ac:dyDescent="0.25">
      <c r="A1492" t="s">
        <v>3325</v>
      </c>
      <c r="B1492" t="str">
        <v>Monarch Networth Capital Limited</v>
      </c>
      <c r="C1492" t="s">
        <v>14</v>
      </c>
      <c r="D1492">
        <v>465.7</v>
      </c>
      <c r="E1492">
        <v>474.4</v>
      </c>
      <c r="F1492">
        <v>457</v>
      </c>
      <c r="G1492" s="3">
        <v>468.7</v>
      </c>
      <c r="H1492">
        <v>470.65</v>
      </c>
      <c r="I1492">
        <v>463.35</v>
      </c>
      <c r="J1492">
        <v>1268359</v>
      </c>
      <c r="K1492">
        <v>589517413.79999995</v>
      </c>
      <c r="L1492" s="1">
        <v>45240</v>
      </c>
      <c r="M1492">
        <v>41611</v>
      </c>
      <c r="N1492" t="s">
        <v>3327</v>
      </c>
      <c r="O1492" s="5">
        <v>45240</v>
      </c>
      <c r="P1492" s="5">
        <v>43777</v>
      </c>
    </row>
    <row r="1493" spans="1:16" x14ac:dyDescent="0.25">
      <c r="A1493" t="s">
        <v>6283</v>
      </c>
      <c r="B1493" t="str">
        <v>Not Found</v>
      </c>
      <c r="C1493" t="s">
        <v>14</v>
      </c>
      <c r="D1493">
        <v>17.559999999999999</v>
      </c>
      <c r="E1493">
        <v>17.559999999999999</v>
      </c>
      <c r="F1493">
        <v>17.21</v>
      </c>
      <c r="G1493" s="3">
        <v>17.28</v>
      </c>
      <c r="H1493">
        <v>17.29</v>
      </c>
      <c r="I1493">
        <v>17.21</v>
      </c>
      <c r="J1493">
        <v>38434</v>
      </c>
      <c r="K1493">
        <v>664616.56999999995</v>
      </c>
      <c r="L1493" s="1">
        <v>45240</v>
      </c>
      <c r="M1493">
        <v>190</v>
      </c>
      <c r="N1493" t="s">
        <v>6282</v>
      </c>
      <c r="O1493" s="5">
        <v>45240</v>
      </c>
      <c r="P1493" s="5">
        <v>43777</v>
      </c>
    </row>
    <row r="1494" spans="1:16" x14ac:dyDescent="0.25">
      <c r="A1494" t="s">
        <v>6281</v>
      </c>
      <c r="B1494" t="str">
        <v>Not Found</v>
      </c>
      <c r="C1494" t="s">
        <v>5788</v>
      </c>
      <c r="D1494">
        <v>47.75</v>
      </c>
      <c r="E1494">
        <v>49.1</v>
      </c>
      <c r="F1494">
        <v>46.05</v>
      </c>
      <c r="G1494" s="3">
        <v>49.1</v>
      </c>
      <c r="H1494">
        <v>49.1</v>
      </c>
      <c r="I1494">
        <v>47.55</v>
      </c>
      <c r="J1494">
        <v>28000</v>
      </c>
      <c r="K1494">
        <v>1344000</v>
      </c>
      <c r="L1494" s="1">
        <v>45240</v>
      </c>
      <c r="M1494">
        <v>7</v>
      </c>
      <c r="N1494" t="s">
        <v>6280</v>
      </c>
      <c r="O1494" s="5">
        <v>45240</v>
      </c>
      <c r="P1494" s="5">
        <v>43777</v>
      </c>
    </row>
    <row r="1495" spans="1:16" x14ac:dyDescent="0.25">
      <c r="A1495" t="s">
        <v>6279</v>
      </c>
      <c r="B1495" t="str">
        <v>Not Found</v>
      </c>
      <c r="C1495" t="s">
        <v>14</v>
      </c>
      <c r="D1495">
        <v>53.78</v>
      </c>
      <c r="E1495">
        <v>53.78</v>
      </c>
      <c r="F1495">
        <v>51.9</v>
      </c>
      <c r="G1495" s="3">
        <v>52.93</v>
      </c>
      <c r="H1495">
        <v>53.22</v>
      </c>
      <c r="I1495">
        <v>52.85</v>
      </c>
      <c r="J1495">
        <v>5956</v>
      </c>
      <c r="K1495">
        <v>315440.08</v>
      </c>
      <c r="L1495" s="1">
        <v>45240</v>
      </c>
      <c r="M1495">
        <v>193</v>
      </c>
      <c r="N1495" t="s">
        <v>6278</v>
      </c>
      <c r="O1495" s="5">
        <v>45240</v>
      </c>
      <c r="P1495" s="5">
        <v>43777</v>
      </c>
    </row>
    <row r="1496" spans="1:16" x14ac:dyDescent="0.25">
      <c r="A1496" t="s">
        <v>3328</v>
      </c>
      <c r="B1496" t="str">
        <v>Monte Carlo Fashions Limited</v>
      </c>
      <c r="C1496" t="s">
        <v>14</v>
      </c>
      <c r="D1496">
        <v>707.55</v>
      </c>
      <c r="E1496">
        <v>714.3</v>
      </c>
      <c r="F1496">
        <v>705</v>
      </c>
      <c r="G1496" s="3">
        <v>710.35</v>
      </c>
      <c r="H1496">
        <v>714</v>
      </c>
      <c r="I1496">
        <v>706.5</v>
      </c>
      <c r="J1496">
        <v>24385</v>
      </c>
      <c r="K1496">
        <v>17308414.199999999</v>
      </c>
      <c r="L1496" s="1">
        <v>45240</v>
      </c>
      <c r="M1496">
        <v>3354</v>
      </c>
      <c r="N1496" t="s">
        <v>3330</v>
      </c>
      <c r="O1496" s="5">
        <v>45240</v>
      </c>
      <c r="P1496" s="5">
        <v>43777</v>
      </c>
    </row>
    <row r="1497" spans="1:16" x14ac:dyDescent="0.25">
      <c r="A1497" t="s">
        <v>6277</v>
      </c>
      <c r="B1497" t="str">
        <v>Not Found</v>
      </c>
      <c r="C1497" t="s">
        <v>14</v>
      </c>
      <c r="D1497">
        <v>136.72999999999999</v>
      </c>
      <c r="E1497">
        <v>139.80000000000001</v>
      </c>
      <c r="F1497">
        <v>136.72999999999999</v>
      </c>
      <c r="G1497" s="3">
        <v>137.46</v>
      </c>
      <c r="H1497">
        <v>137.07</v>
      </c>
      <c r="I1497">
        <v>136.91</v>
      </c>
      <c r="J1497">
        <v>840</v>
      </c>
      <c r="K1497">
        <v>115658.75</v>
      </c>
      <c r="L1497" s="1">
        <v>45240</v>
      </c>
      <c r="M1497">
        <v>15</v>
      </c>
      <c r="N1497" t="s">
        <v>6276</v>
      </c>
      <c r="O1497" s="5">
        <v>45240</v>
      </c>
      <c r="P1497" s="5">
        <v>43777</v>
      </c>
    </row>
    <row r="1498" spans="1:16" x14ac:dyDescent="0.25">
      <c r="A1498" t="s">
        <v>3331</v>
      </c>
      <c r="B1498" t="str">
        <v>Morarjee Textiles Limited</v>
      </c>
      <c r="C1498" t="s">
        <v>14</v>
      </c>
      <c r="D1498">
        <v>22.8</v>
      </c>
      <c r="E1498">
        <v>23.75</v>
      </c>
      <c r="F1498">
        <v>22.8</v>
      </c>
      <c r="G1498" s="3">
        <v>23.2</v>
      </c>
      <c r="H1498">
        <v>23.3</v>
      </c>
      <c r="I1498">
        <v>23.25</v>
      </c>
      <c r="J1498">
        <v>20115</v>
      </c>
      <c r="K1498">
        <v>468437</v>
      </c>
      <c r="L1498" s="1">
        <v>45240</v>
      </c>
      <c r="M1498">
        <v>168</v>
      </c>
      <c r="N1498" t="s">
        <v>3333</v>
      </c>
      <c r="O1498" s="5">
        <v>45240</v>
      </c>
      <c r="P1498" s="5">
        <v>43777</v>
      </c>
    </row>
    <row r="1499" spans="1:16" x14ac:dyDescent="0.25">
      <c r="A1499" t="s">
        <v>3334</v>
      </c>
      <c r="B1499" t="str">
        <v>Morepen Laboratories Limited</v>
      </c>
      <c r="C1499" t="s">
        <v>14</v>
      </c>
      <c r="D1499">
        <v>35.6</v>
      </c>
      <c r="E1499">
        <v>38.799999999999997</v>
      </c>
      <c r="F1499">
        <v>35.6</v>
      </c>
      <c r="G1499" s="3">
        <v>38.5</v>
      </c>
      <c r="H1499">
        <v>38.65</v>
      </c>
      <c r="I1499">
        <v>35.700000000000003</v>
      </c>
      <c r="J1499">
        <v>18037793</v>
      </c>
      <c r="K1499">
        <v>683400574.54999995</v>
      </c>
      <c r="L1499" s="1">
        <v>45240</v>
      </c>
      <c r="M1499">
        <v>30066</v>
      </c>
      <c r="N1499" t="s">
        <v>3336</v>
      </c>
      <c r="O1499" s="5">
        <v>45240</v>
      </c>
      <c r="P1499" s="5">
        <v>43777</v>
      </c>
    </row>
    <row r="1500" spans="1:16" x14ac:dyDescent="0.25">
      <c r="A1500" t="s">
        <v>6275</v>
      </c>
      <c r="B1500" t="str">
        <v>Not Found</v>
      </c>
      <c r="C1500" t="s">
        <v>5788</v>
      </c>
      <c r="D1500">
        <v>101</v>
      </c>
      <c r="E1500">
        <v>105</v>
      </c>
      <c r="F1500">
        <v>100</v>
      </c>
      <c r="G1500" s="3">
        <v>100.25</v>
      </c>
      <c r="H1500">
        <v>100.45</v>
      </c>
      <c r="I1500">
        <v>100.2</v>
      </c>
      <c r="J1500">
        <v>355200</v>
      </c>
      <c r="K1500">
        <v>36174640</v>
      </c>
      <c r="L1500" s="1">
        <v>45240</v>
      </c>
      <c r="M1500">
        <v>90</v>
      </c>
      <c r="N1500" t="s">
        <v>6274</v>
      </c>
      <c r="O1500" s="5">
        <v>45240</v>
      </c>
      <c r="P1500" s="5">
        <v>43777</v>
      </c>
    </row>
    <row r="1501" spans="1:16" x14ac:dyDescent="0.25">
      <c r="A1501" t="s">
        <v>3337</v>
      </c>
      <c r="B1501" t="str">
        <v>Samvardhana Motherson International Limited</v>
      </c>
      <c r="C1501" t="s">
        <v>14</v>
      </c>
      <c r="D1501">
        <v>90</v>
      </c>
      <c r="E1501">
        <v>91.5</v>
      </c>
      <c r="F1501">
        <v>87.3</v>
      </c>
      <c r="G1501" s="3">
        <v>88.4</v>
      </c>
      <c r="H1501">
        <v>88.55</v>
      </c>
      <c r="I1501">
        <v>90</v>
      </c>
      <c r="J1501">
        <v>17404176</v>
      </c>
      <c r="K1501">
        <v>1538836964.5999999</v>
      </c>
      <c r="L1501" s="1">
        <v>45240</v>
      </c>
      <c r="M1501">
        <v>80334</v>
      </c>
      <c r="N1501" t="s">
        <v>3339</v>
      </c>
      <c r="O1501" s="5">
        <v>45240</v>
      </c>
      <c r="P1501" s="5">
        <v>43777</v>
      </c>
    </row>
    <row r="1502" spans="1:16" x14ac:dyDescent="0.25">
      <c r="A1502" t="s">
        <v>3340</v>
      </c>
      <c r="B1502" t="str">
        <v>Motilal Oswal Financial Services Limited</v>
      </c>
      <c r="C1502" t="s">
        <v>14</v>
      </c>
      <c r="D1502">
        <v>1030</v>
      </c>
      <c r="E1502">
        <v>1048.5</v>
      </c>
      <c r="F1502">
        <v>1018.8</v>
      </c>
      <c r="G1502" s="3">
        <v>1026.7</v>
      </c>
      <c r="H1502">
        <v>1028</v>
      </c>
      <c r="I1502">
        <v>1031.95</v>
      </c>
      <c r="J1502">
        <v>147327</v>
      </c>
      <c r="K1502">
        <v>151452400.30000001</v>
      </c>
      <c r="L1502" s="1">
        <v>45240</v>
      </c>
      <c r="M1502">
        <v>13103</v>
      </c>
      <c r="N1502" t="s">
        <v>3342</v>
      </c>
      <c r="O1502" s="5">
        <v>45240</v>
      </c>
      <c r="P1502" s="5">
        <v>43777</v>
      </c>
    </row>
    <row r="1503" spans="1:16" x14ac:dyDescent="0.25">
      <c r="A1503" t="s">
        <v>3343</v>
      </c>
      <c r="B1503" t="str">
        <v>The Motor &amp; General Finance Limited</v>
      </c>
      <c r="C1503" t="s">
        <v>10</v>
      </c>
      <c r="D1503">
        <v>34.950000000000003</v>
      </c>
      <c r="E1503">
        <v>36.4</v>
      </c>
      <c r="F1503">
        <v>34.5</v>
      </c>
      <c r="G1503" s="3">
        <v>36.4</v>
      </c>
      <c r="H1503">
        <v>36.4</v>
      </c>
      <c r="I1503">
        <v>34.700000000000003</v>
      </c>
      <c r="J1503">
        <v>47899</v>
      </c>
      <c r="K1503">
        <v>1723201.6</v>
      </c>
      <c r="L1503" s="1">
        <v>45240</v>
      </c>
      <c r="M1503">
        <v>173</v>
      </c>
      <c r="N1503" t="s">
        <v>3345</v>
      </c>
      <c r="O1503" s="5">
        <v>45240</v>
      </c>
      <c r="P1503" s="5">
        <v>43777</v>
      </c>
    </row>
    <row r="1504" spans="1:16" x14ac:dyDescent="0.25">
      <c r="A1504" t="s">
        <v>6273</v>
      </c>
      <c r="B1504" t="str">
        <v>Not Found</v>
      </c>
      <c r="C1504" t="s">
        <v>14</v>
      </c>
      <c r="D1504">
        <v>65.44</v>
      </c>
      <c r="E1504">
        <v>65.900000000000006</v>
      </c>
      <c r="F1504">
        <v>65.25</v>
      </c>
      <c r="G1504" s="3">
        <v>65.83</v>
      </c>
      <c r="H1504">
        <v>65.900000000000006</v>
      </c>
      <c r="I1504">
        <v>65.44</v>
      </c>
      <c r="J1504">
        <v>4506</v>
      </c>
      <c r="K1504">
        <v>296095.62</v>
      </c>
      <c r="L1504" s="1">
        <v>45240</v>
      </c>
      <c r="M1504">
        <v>162</v>
      </c>
      <c r="N1504" t="s">
        <v>6272</v>
      </c>
      <c r="O1504" s="5">
        <v>45240</v>
      </c>
      <c r="P1504" s="5">
        <v>43777</v>
      </c>
    </row>
    <row r="1505" spans="1:16" x14ac:dyDescent="0.25">
      <c r="A1505" t="s">
        <v>6271</v>
      </c>
      <c r="B1505" t="str">
        <v>Not Found</v>
      </c>
      <c r="C1505" t="s">
        <v>5788</v>
      </c>
      <c r="D1505">
        <v>129.80000000000001</v>
      </c>
      <c r="E1505">
        <v>134.69999999999999</v>
      </c>
      <c r="F1505">
        <v>129</v>
      </c>
      <c r="G1505" s="3">
        <v>129.5</v>
      </c>
      <c r="H1505">
        <v>130</v>
      </c>
      <c r="I1505">
        <v>123.5</v>
      </c>
      <c r="J1505">
        <v>7200</v>
      </c>
      <c r="K1505">
        <v>944640</v>
      </c>
      <c r="L1505" s="1">
        <v>45240</v>
      </c>
      <c r="M1505">
        <v>9</v>
      </c>
      <c r="N1505" t="s">
        <v>6270</v>
      </c>
      <c r="O1505" s="5">
        <v>45240</v>
      </c>
      <c r="P1505" s="5">
        <v>43777</v>
      </c>
    </row>
    <row r="1506" spans="1:16" x14ac:dyDescent="0.25">
      <c r="A1506" t="s">
        <v>3346</v>
      </c>
      <c r="B1506" t="str">
        <v>MphasiS Limited</v>
      </c>
      <c r="C1506" t="s">
        <v>14</v>
      </c>
      <c r="D1506">
        <v>2187.4</v>
      </c>
      <c r="E1506">
        <v>2206</v>
      </c>
      <c r="F1506">
        <v>2173.4</v>
      </c>
      <c r="G1506" s="3">
        <v>2202.1999999999998</v>
      </c>
      <c r="H1506">
        <v>2203.9</v>
      </c>
      <c r="I1506">
        <v>2193.65</v>
      </c>
      <c r="J1506">
        <v>279561</v>
      </c>
      <c r="K1506">
        <v>612127268.79999995</v>
      </c>
      <c r="L1506" s="1">
        <v>45240</v>
      </c>
      <c r="M1506">
        <v>15834</v>
      </c>
      <c r="N1506" t="s">
        <v>3348</v>
      </c>
      <c r="O1506" s="5">
        <v>45240</v>
      </c>
      <c r="P1506" s="5">
        <v>43777</v>
      </c>
    </row>
    <row r="1507" spans="1:16" x14ac:dyDescent="0.25">
      <c r="A1507" t="s">
        <v>3349</v>
      </c>
      <c r="B1507" t="str">
        <v>MPS Limited</v>
      </c>
      <c r="C1507" t="s">
        <v>14</v>
      </c>
      <c r="D1507">
        <v>1484.8</v>
      </c>
      <c r="E1507">
        <v>1548.7</v>
      </c>
      <c r="F1507">
        <v>1480</v>
      </c>
      <c r="G1507" s="3">
        <v>1492.55</v>
      </c>
      <c r="H1507">
        <v>1508.9</v>
      </c>
      <c r="I1507">
        <v>1484.75</v>
      </c>
      <c r="J1507">
        <v>24769</v>
      </c>
      <c r="K1507">
        <v>37491030.799999997</v>
      </c>
      <c r="L1507" s="1">
        <v>45240</v>
      </c>
      <c r="M1507">
        <v>5729</v>
      </c>
      <c r="N1507" t="s">
        <v>3351</v>
      </c>
      <c r="O1507" s="5">
        <v>45240</v>
      </c>
      <c r="P1507" s="5">
        <v>43777</v>
      </c>
    </row>
    <row r="1508" spans="1:16" x14ac:dyDescent="0.25">
      <c r="A1508" t="s">
        <v>3352</v>
      </c>
      <c r="B1508" t="str">
        <v>MRF Limited</v>
      </c>
      <c r="C1508" t="s">
        <v>14</v>
      </c>
      <c r="D1508">
        <v>108299</v>
      </c>
      <c r="E1508">
        <v>108479.9</v>
      </c>
      <c r="F1508">
        <v>107338.1</v>
      </c>
      <c r="G1508" s="3">
        <v>108295.7</v>
      </c>
      <c r="H1508">
        <v>108400</v>
      </c>
      <c r="I1508">
        <v>108078.2</v>
      </c>
      <c r="J1508">
        <v>3311</v>
      </c>
      <c r="K1508">
        <v>357316744.69999999</v>
      </c>
      <c r="L1508" s="1">
        <v>45240</v>
      </c>
      <c r="M1508">
        <v>2375</v>
      </c>
      <c r="N1508" t="s">
        <v>3354</v>
      </c>
      <c r="O1508" s="5">
        <v>45240</v>
      </c>
      <c r="P1508" s="5">
        <v>43777</v>
      </c>
    </row>
    <row r="1509" spans="1:16" x14ac:dyDescent="0.25">
      <c r="A1509" t="s">
        <v>3355</v>
      </c>
      <c r="B1509" t="str">
        <v>MRO-TEK Realty Limited</v>
      </c>
      <c r="C1509" t="s">
        <v>14</v>
      </c>
      <c r="D1509">
        <v>58.05</v>
      </c>
      <c r="E1509">
        <v>59.9</v>
      </c>
      <c r="F1509">
        <v>56.2</v>
      </c>
      <c r="G1509" s="3">
        <v>57.05</v>
      </c>
      <c r="H1509">
        <v>57.3</v>
      </c>
      <c r="I1509">
        <v>58</v>
      </c>
      <c r="J1509">
        <v>34244</v>
      </c>
      <c r="K1509">
        <v>1985789.5</v>
      </c>
      <c r="L1509" s="1">
        <v>45240</v>
      </c>
      <c r="M1509">
        <v>471</v>
      </c>
      <c r="N1509" t="s">
        <v>3357</v>
      </c>
      <c r="O1509" s="5">
        <v>45240</v>
      </c>
      <c r="P1509" s="5">
        <v>43777</v>
      </c>
    </row>
    <row r="1510" spans="1:16" x14ac:dyDescent="0.25">
      <c r="A1510" t="s">
        <v>3358</v>
      </c>
      <c r="B1510" t="str">
        <v>Mangalore Refinery and Petrochemicals Limited</v>
      </c>
      <c r="C1510" t="s">
        <v>14</v>
      </c>
      <c r="D1510">
        <v>111.85</v>
      </c>
      <c r="E1510">
        <v>114.3</v>
      </c>
      <c r="F1510">
        <v>111.3</v>
      </c>
      <c r="G1510" s="3">
        <v>113.75</v>
      </c>
      <c r="H1510">
        <v>113.9</v>
      </c>
      <c r="I1510">
        <v>112</v>
      </c>
      <c r="J1510">
        <v>4068796</v>
      </c>
      <c r="K1510">
        <v>460564840.75</v>
      </c>
      <c r="L1510" s="1">
        <v>45240</v>
      </c>
      <c r="M1510">
        <v>18994</v>
      </c>
      <c r="N1510" t="s">
        <v>3360</v>
      </c>
      <c r="O1510" s="5">
        <v>45240</v>
      </c>
      <c r="P1510" s="5">
        <v>43777</v>
      </c>
    </row>
    <row r="1511" spans="1:16" x14ac:dyDescent="0.25">
      <c r="A1511" t="s">
        <v>3361</v>
      </c>
      <c r="B1511" t="str">
        <v>MSP Steel &amp; Power Limited</v>
      </c>
      <c r="C1511" t="s">
        <v>10</v>
      </c>
      <c r="D1511">
        <v>17.25</v>
      </c>
      <c r="E1511">
        <v>17.25</v>
      </c>
      <c r="F1511">
        <v>16.899999999999999</v>
      </c>
      <c r="G1511" s="3">
        <v>16.899999999999999</v>
      </c>
      <c r="H1511">
        <v>16.899999999999999</v>
      </c>
      <c r="I1511">
        <v>17.25</v>
      </c>
      <c r="J1511">
        <v>412804</v>
      </c>
      <c r="K1511">
        <v>7043672.3499999996</v>
      </c>
      <c r="L1511" s="1">
        <v>45240</v>
      </c>
      <c r="M1511">
        <v>141</v>
      </c>
      <c r="N1511" t="s">
        <v>3363</v>
      </c>
      <c r="O1511" s="5">
        <v>45240</v>
      </c>
      <c r="P1511" s="5">
        <v>43777</v>
      </c>
    </row>
    <row r="1512" spans="1:16" x14ac:dyDescent="0.25">
      <c r="A1512" t="s">
        <v>3364</v>
      </c>
      <c r="B1512" t="str">
        <v>Mstc Limited</v>
      </c>
      <c r="C1512" t="s">
        <v>14</v>
      </c>
      <c r="D1512">
        <v>421.15</v>
      </c>
      <c r="E1512">
        <v>431.45</v>
      </c>
      <c r="F1512">
        <v>418.2</v>
      </c>
      <c r="G1512" s="3">
        <v>420.95</v>
      </c>
      <c r="H1512">
        <v>421.95</v>
      </c>
      <c r="I1512">
        <v>424.65</v>
      </c>
      <c r="J1512">
        <v>299053</v>
      </c>
      <c r="K1512">
        <v>126343317.7</v>
      </c>
      <c r="L1512" s="1">
        <v>45240</v>
      </c>
      <c r="M1512">
        <v>11948</v>
      </c>
      <c r="N1512" t="s">
        <v>3366</v>
      </c>
      <c r="O1512" s="5">
        <v>45240</v>
      </c>
      <c r="P1512" s="5">
        <v>43777</v>
      </c>
    </row>
    <row r="1513" spans="1:16" x14ac:dyDescent="0.25">
      <c r="A1513" t="s">
        <v>3367</v>
      </c>
      <c r="B1513" t="str">
        <v>Motherson Sumi Wiring India Limited</v>
      </c>
      <c r="C1513" t="s">
        <v>14</v>
      </c>
      <c r="D1513">
        <v>58.1</v>
      </c>
      <c r="E1513">
        <v>59.1</v>
      </c>
      <c r="F1513">
        <v>58</v>
      </c>
      <c r="G1513" s="3">
        <v>58.75</v>
      </c>
      <c r="H1513">
        <v>58.5</v>
      </c>
      <c r="I1513">
        <v>58.1</v>
      </c>
      <c r="J1513">
        <v>3211831</v>
      </c>
      <c r="K1513">
        <v>188576049.59999999</v>
      </c>
      <c r="L1513" s="1">
        <v>45240</v>
      </c>
      <c r="M1513">
        <v>23350</v>
      </c>
      <c r="N1513" t="s">
        <v>3369</v>
      </c>
      <c r="O1513" s="5">
        <v>45240</v>
      </c>
      <c r="P1513" s="5">
        <v>43777</v>
      </c>
    </row>
    <row r="1514" spans="1:16" x14ac:dyDescent="0.25">
      <c r="A1514" t="s">
        <v>3370</v>
      </c>
      <c r="B1514" t="str">
        <v>Mtar Technologies Limited</v>
      </c>
      <c r="C1514" t="s">
        <v>14</v>
      </c>
      <c r="D1514">
        <v>2261</v>
      </c>
      <c r="E1514">
        <v>2272.3000000000002</v>
      </c>
      <c r="F1514">
        <v>2192</v>
      </c>
      <c r="G1514" s="3">
        <v>2217.5</v>
      </c>
      <c r="H1514">
        <v>2221.5</v>
      </c>
      <c r="I1514">
        <v>2261.6999999999998</v>
      </c>
      <c r="J1514">
        <v>1052789</v>
      </c>
      <c r="K1514">
        <v>2346505606.3000002</v>
      </c>
      <c r="L1514" s="1">
        <v>45240</v>
      </c>
      <c r="M1514">
        <v>64094</v>
      </c>
      <c r="N1514" t="s">
        <v>3372</v>
      </c>
      <c r="O1514" s="5">
        <v>45240</v>
      </c>
      <c r="P1514" s="5">
        <v>43777</v>
      </c>
    </row>
    <row r="1515" spans="1:16" x14ac:dyDescent="0.25">
      <c r="A1515" t="s">
        <v>3373</v>
      </c>
      <c r="B1515" t="str">
        <v>MT Educare Limited</v>
      </c>
      <c r="C1515" t="s">
        <v>10</v>
      </c>
      <c r="D1515">
        <v>3.9</v>
      </c>
      <c r="E1515">
        <v>3.9</v>
      </c>
      <c r="F1515">
        <v>3.75</v>
      </c>
      <c r="G1515" s="3">
        <v>3.9</v>
      </c>
      <c r="H1515">
        <v>3.9</v>
      </c>
      <c r="I1515">
        <v>3.75</v>
      </c>
      <c r="J1515">
        <v>108301</v>
      </c>
      <c r="K1515">
        <v>419417</v>
      </c>
      <c r="L1515" s="1">
        <v>45240</v>
      </c>
      <c r="M1515">
        <v>101</v>
      </c>
      <c r="N1515" t="s">
        <v>3375</v>
      </c>
      <c r="O1515" s="5">
        <v>45240</v>
      </c>
      <c r="P1515" s="5">
        <v>43777</v>
      </c>
    </row>
    <row r="1516" spans="1:16" x14ac:dyDescent="0.25">
      <c r="A1516" t="s">
        <v>3376</v>
      </c>
      <c r="B1516" t="str">
        <v>Mahanagar Telephone Nigam Limited</v>
      </c>
      <c r="C1516" t="s">
        <v>14</v>
      </c>
      <c r="D1516">
        <v>27.7</v>
      </c>
      <c r="E1516">
        <v>28.4</v>
      </c>
      <c r="F1516">
        <v>26.8</v>
      </c>
      <c r="G1516" s="3">
        <v>27.15</v>
      </c>
      <c r="H1516">
        <v>27.35</v>
      </c>
      <c r="I1516">
        <v>27.8</v>
      </c>
      <c r="J1516">
        <v>4233528</v>
      </c>
      <c r="K1516">
        <v>116850510.05</v>
      </c>
      <c r="L1516" s="1">
        <v>45240</v>
      </c>
      <c r="M1516">
        <v>5441</v>
      </c>
      <c r="N1516" t="s">
        <v>3378</v>
      </c>
      <c r="O1516" s="5">
        <v>45240</v>
      </c>
      <c r="P1516" s="5">
        <v>43777</v>
      </c>
    </row>
    <row r="1517" spans="1:16" x14ac:dyDescent="0.25">
      <c r="A1517" t="s">
        <v>3379</v>
      </c>
      <c r="B1517" t="str">
        <v>Mufin Green Finance Limited</v>
      </c>
      <c r="C1517" t="s">
        <v>14</v>
      </c>
      <c r="D1517">
        <v>125.9</v>
      </c>
      <c r="E1517">
        <v>125.9</v>
      </c>
      <c r="F1517">
        <v>119.75</v>
      </c>
      <c r="G1517" s="3">
        <v>120.85</v>
      </c>
      <c r="H1517">
        <v>123.95</v>
      </c>
      <c r="I1517">
        <v>122</v>
      </c>
      <c r="J1517">
        <v>109387</v>
      </c>
      <c r="K1517">
        <v>13377161.6</v>
      </c>
      <c r="L1517" s="1">
        <v>45240</v>
      </c>
      <c r="M1517">
        <v>1234</v>
      </c>
      <c r="N1517" t="s">
        <v>3381</v>
      </c>
      <c r="O1517" s="5">
        <v>45240</v>
      </c>
      <c r="P1517" s="5">
        <v>43777</v>
      </c>
    </row>
    <row r="1518" spans="1:16" x14ac:dyDescent="0.25">
      <c r="A1518" t="s">
        <v>3382</v>
      </c>
      <c r="B1518" t="str">
        <v>Mukand Limited</v>
      </c>
      <c r="C1518" t="s">
        <v>14</v>
      </c>
      <c r="D1518">
        <v>166.65</v>
      </c>
      <c r="E1518">
        <v>167.7</v>
      </c>
      <c r="F1518">
        <v>162.80000000000001</v>
      </c>
      <c r="G1518" s="3">
        <v>163.6</v>
      </c>
      <c r="H1518">
        <v>164</v>
      </c>
      <c r="I1518">
        <v>166.55</v>
      </c>
      <c r="J1518">
        <v>111562</v>
      </c>
      <c r="K1518">
        <v>18373859.050000001</v>
      </c>
      <c r="L1518" s="1">
        <v>45240</v>
      </c>
      <c r="M1518">
        <v>3729</v>
      </c>
      <c r="N1518" t="s">
        <v>3384</v>
      </c>
      <c r="O1518" s="5">
        <v>45240</v>
      </c>
      <c r="P1518" s="5">
        <v>43777</v>
      </c>
    </row>
    <row r="1519" spans="1:16" x14ac:dyDescent="0.25">
      <c r="A1519" t="s">
        <v>3385</v>
      </c>
      <c r="B1519" t="str">
        <v>Mukta Arts Limited</v>
      </c>
      <c r="C1519" t="s">
        <v>10</v>
      </c>
      <c r="D1519">
        <v>76</v>
      </c>
      <c r="E1519">
        <v>77.150000000000006</v>
      </c>
      <c r="F1519">
        <v>74.5</v>
      </c>
      <c r="G1519" s="3">
        <v>77.099999999999994</v>
      </c>
      <c r="H1519">
        <v>76.400000000000006</v>
      </c>
      <c r="I1519">
        <v>73.5</v>
      </c>
      <c r="J1519">
        <v>22563</v>
      </c>
      <c r="K1519">
        <v>1723966.7</v>
      </c>
      <c r="L1519" s="1">
        <v>45240</v>
      </c>
      <c r="M1519">
        <v>200</v>
      </c>
      <c r="N1519" t="s">
        <v>3387</v>
      </c>
      <c r="O1519" s="5">
        <v>45240</v>
      </c>
      <c r="P1519" s="5">
        <v>43777</v>
      </c>
    </row>
    <row r="1520" spans="1:16" x14ac:dyDescent="0.25">
      <c r="A1520" t="s">
        <v>3388</v>
      </c>
      <c r="B1520" t="str">
        <v>Munjal Auto Industries Limited</v>
      </c>
      <c r="C1520" t="s">
        <v>14</v>
      </c>
      <c r="D1520">
        <v>55.2</v>
      </c>
      <c r="E1520">
        <v>55.2</v>
      </c>
      <c r="F1520">
        <v>53.35</v>
      </c>
      <c r="G1520" s="3">
        <v>53.9</v>
      </c>
      <c r="H1520">
        <v>54.4</v>
      </c>
      <c r="I1520">
        <v>54.6</v>
      </c>
      <c r="J1520">
        <v>106814</v>
      </c>
      <c r="K1520">
        <v>5775457.9500000002</v>
      </c>
      <c r="L1520" s="1">
        <v>45240</v>
      </c>
      <c r="M1520">
        <v>1144</v>
      </c>
      <c r="N1520" t="s">
        <v>3390</v>
      </c>
      <c r="O1520" s="5">
        <v>45240</v>
      </c>
      <c r="P1520" s="5">
        <v>43777</v>
      </c>
    </row>
    <row r="1521" spans="1:16" x14ac:dyDescent="0.25">
      <c r="A1521" t="s">
        <v>3391</v>
      </c>
      <c r="B1521" t="str">
        <v>Munjal Showa Limited</v>
      </c>
      <c r="C1521" t="s">
        <v>14</v>
      </c>
      <c r="D1521">
        <v>132</v>
      </c>
      <c r="E1521">
        <v>133.44999999999999</v>
      </c>
      <c r="F1521">
        <v>128.55000000000001</v>
      </c>
      <c r="G1521" s="3">
        <v>129.35</v>
      </c>
      <c r="H1521">
        <v>129.1</v>
      </c>
      <c r="I1521">
        <v>131.85</v>
      </c>
      <c r="J1521">
        <v>93630</v>
      </c>
      <c r="K1521">
        <v>12204676.050000001</v>
      </c>
      <c r="L1521" s="1">
        <v>45240</v>
      </c>
      <c r="M1521">
        <v>2008</v>
      </c>
      <c r="N1521" t="s">
        <v>3393</v>
      </c>
      <c r="O1521" s="5">
        <v>45240</v>
      </c>
      <c r="P1521" s="5">
        <v>43777</v>
      </c>
    </row>
    <row r="1522" spans="1:16" x14ac:dyDescent="0.25">
      <c r="A1522" t="s">
        <v>3394</v>
      </c>
      <c r="B1522" t="str">
        <v>Murudeshwar Ceramics Limited</v>
      </c>
      <c r="C1522" t="s">
        <v>10</v>
      </c>
      <c r="D1522">
        <v>63.1</v>
      </c>
      <c r="E1522">
        <v>65</v>
      </c>
      <c r="F1522">
        <v>62</v>
      </c>
      <c r="G1522" s="3">
        <v>62.25</v>
      </c>
      <c r="H1522">
        <v>62.75</v>
      </c>
      <c r="I1522">
        <v>64.099999999999994</v>
      </c>
      <c r="J1522">
        <v>43830</v>
      </c>
      <c r="K1522">
        <v>2760902.95</v>
      </c>
      <c r="L1522" s="1">
        <v>45240</v>
      </c>
      <c r="M1522">
        <v>312</v>
      </c>
      <c r="N1522" t="s">
        <v>3396</v>
      </c>
      <c r="O1522" s="5">
        <v>45240</v>
      </c>
      <c r="P1522" s="5">
        <v>43777</v>
      </c>
    </row>
    <row r="1523" spans="1:16" x14ac:dyDescent="0.25">
      <c r="A1523" t="s">
        <v>3397</v>
      </c>
      <c r="B1523" t="str">
        <v>Muthoot Capital Services Limited</v>
      </c>
      <c r="C1523" t="s">
        <v>14</v>
      </c>
      <c r="D1523">
        <v>392.7</v>
      </c>
      <c r="E1523">
        <v>398.85</v>
      </c>
      <c r="F1523">
        <v>383.2</v>
      </c>
      <c r="G1523" s="3">
        <v>386.35</v>
      </c>
      <c r="H1523">
        <v>386.5</v>
      </c>
      <c r="I1523">
        <v>392.7</v>
      </c>
      <c r="J1523">
        <v>68671</v>
      </c>
      <c r="K1523">
        <v>26674172.75</v>
      </c>
      <c r="L1523" s="1">
        <v>45240</v>
      </c>
      <c r="M1523">
        <v>3105</v>
      </c>
      <c r="N1523" t="s">
        <v>3399</v>
      </c>
      <c r="O1523" s="5">
        <v>45240</v>
      </c>
      <c r="P1523" s="5">
        <v>43777</v>
      </c>
    </row>
    <row r="1524" spans="1:16" x14ac:dyDescent="0.25">
      <c r="A1524" t="s">
        <v>3400</v>
      </c>
      <c r="B1524" t="str">
        <v>Muthoot Finance Limited</v>
      </c>
      <c r="C1524" t="s">
        <v>14</v>
      </c>
      <c r="D1524">
        <v>1240</v>
      </c>
      <c r="E1524">
        <v>1278</v>
      </c>
      <c r="F1524">
        <v>1216</v>
      </c>
      <c r="G1524" s="3">
        <v>1273.25</v>
      </c>
      <c r="H1524">
        <v>1270.7</v>
      </c>
      <c r="I1524">
        <v>1313.25</v>
      </c>
      <c r="J1524">
        <v>2873040</v>
      </c>
      <c r="K1524">
        <v>3589577739.5500002</v>
      </c>
      <c r="L1524" s="1">
        <v>45240</v>
      </c>
      <c r="M1524">
        <v>95412</v>
      </c>
      <c r="N1524" t="s">
        <v>3402</v>
      </c>
      <c r="O1524" s="5">
        <v>45240</v>
      </c>
      <c r="P1524" s="5">
        <v>43777</v>
      </c>
    </row>
    <row r="1525" spans="1:16" x14ac:dyDescent="0.25">
      <c r="A1525" t="s">
        <v>3403</v>
      </c>
      <c r="B1525" t="str">
        <v>Manoj Vaibhav Gems N Jewellers Limited</v>
      </c>
      <c r="C1525" t="s">
        <v>14</v>
      </c>
      <c r="D1525">
        <v>313.8</v>
      </c>
      <c r="E1525">
        <v>320.14999999999998</v>
      </c>
      <c r="F1525">
        <v>303.3</v>
      </c>
      <c r="G1525" s="3">
        <v>307.2</v>
      </c>
      <c r="H1525">
        <v>306.85000000000002</v>
      </c>
      <c r="I1525">
        <v>309.89999999999998</v>
      </c>
      <c r="J1525">
        <v>565930</v>
      </c>
      <c r="K1525">
        <v>176692101</v>
      </c>
      <c r="L1525" s="1">
        <v>45240</v>
      </c>
      <c r="M1525">
        <v>12736</v>
      </c>
      <c r="N1525" t="s">
        <v>3405</v>
      </c>
      <c r="O1525" s="5">
        <v>45240</v>
      </c>
      <c r="P1525" s="5">
        <v>43777</v>
      </c>
    </row>
    <row r="1526" spans="1:16" x14ac:dyDescent="0.25">
      <c r="A1526" t="s">
        <v>6269</v>
      </c>
      <c r="B1526" t="str">
        <v>Not Found</v>
      </c>
      <c r="C1526" t="s">
        <v>5788</v>
      </c>
      <c r="D1526">
        <v>115</v>
      </c>
      <c r="E1526">
        <v>115</v>
      </c>
      <c r="F1526">
        <v>115</v>
      </c>
      <c r="G1526" s="3">
        <v>115</v>
      </c>
      <c r="H1526">
        <v>115</v>
      </c>
      <c r="I1526">
        <v>118</v>
      </c>
      <c r="J1526">
        <v>9600</v>
      </c>
      <c r="K1526">
        <v>1104000</v>
      </c>
      <c r="L1526" s="1">
        <v>45240</v>
      </c>
      <c r="M1526">
        <v>8</v>
      </c>
      <c r="N1526" t="s">
        <v>6268</v>
      </c>
      <c r="O1526" s="5">
        <v>45240</v>
      </c>
      <c r="P1526" s="5">
        <v>43777</v>
      </c>
    </row>
    <row r="1527" spans="1:16" x14ac:dyDescent="0.25">
      <c r="A1527" t="s">
        <v>6267</v>
      </c>
      <c r="B1527" t="str">
        <v>Not Found</v>
      </c>
      <c r="C1527" t="s">
        <v>6176</v>
      </c>
      <c r="D1527">
        <v>1170.2</v>
      </c>
      <c r="E1527">
        <v>1170.56</v>
      </c>
      <c r="F1527">
        <v>1169.99</v>
      </c>
      <c r="G1527" s="3">
        <v>1170.19</v>
      </c>
      <c r="H1527">
        <v>1169.99</v>
      </c>
      <c r="I1527">
        <v>1170.56</v>
      </c>
      <c r="J1527">
        <v>599</v>
      </c>
      <c r="K1527">
        <v>700851.97</v>
      </c>
      <c r="L1527" s="1">
        <v>45240</v>
      </c>
      <c r="M1527">
        <v>9</v>
      </c>
      <c r="N1527" t="s">
        <v>6266</v>
      </c>
      <c r="O1527" s="5">
        <v>45240</v>
      </c>
      <c r="P1527" s="5">
        <v>43777</v>
      </c>
    </row>
    <row r="1528" spans="1:16" x14ac:dyDescent="0.25">
      <c r="A1528" t="s">
        <v>3406</v>
      </c>
      <c r="B1528" t="str">
        <v>NACL Industries Limited</v>
      </c>
      <c r="C1528" t="s">
        <v>14</v>
      </c>
      <c r="D1528">
        <v>74.650000000000006</v>
      </c>
      <c r="E1528">
        <v>75.45</v>
      </c>
      <c r="F1528">
        <v>73.900000000000006</v>
      </c>
      <c r="G1528" s="3">
        <v>74.2</v>
      </c>
      <c r="H1528">
        <v>74.099999999999994</v>
      </c>
      <c r="I1528">
        <v>74.650000000000006</v>
      </c>
      <c r="J1528">
        <v>37239</v>
      </c>
      <c r="K1528">
        <v>2775414.75</v>
      </c>
      <c r="L1528" s="1">
        <v>45240</v>
      </c>
      <c r="M1528">
        <v>632</v>
      </c>
      <c r="N1528" t="s">
        <v>3408</v>
      </c>
      <c r="O1528" s="5">
        <v>45240</v>
      </c>
      <c r="P1528" s="5">
        <v>43777</v>
      </c>
    </row>
    <row r="1529" spans="1:16" x14ac:dyDescent="0.25">
      <c r="A1529" t="s">
        <v>3409</v>
      </c>
      <c r="B1529" t="str">
        <v>Nagarjuna Fertilizers and Chemicals Limited</v>
      </c>
      <c r="C1529" t="s">
        <v>14</v>
      </c>
      <c r="D1529">
        <v>8.5500000000000007</v>
      </c>
      <c r="E1529">
        <v>8.8000000000000007</v>
      </c>
      <c r="F1529">
        <v>8.5</v>
      </c>
      <c r="G1529" s="3">
        <v>8.65</v>
      </c>
      <c r="H1529">
        <v>8.65</v>
      </c>
      <c r="I1529">
        <v>8.5</v>
      </c>
      <c r="J1529">
        <v>1056474</v>
      </c>
      <c r="K1529">
        <v>9130916.1500000004</v>
      </c>
      <c r="L1529" s="1">
        <v>45240</v>
      </c>
      <c r="M1529">
        <v>944</v>
      </c>
      <c r="N1529" t="s">
        <v>3411</v>
      </c>
      <c r="O1529" s="5">
        <v>45240</v>
      </c>
      <c r="P1529" s="5">
        <v>43777</v>
      </c>
    </row>
    <row r="1530" spans="1:16" x14ac:dyDescent="0.25">
      <c r="A1530" t="s">
        <v>3412</v>
      </c>
      <c r="B1530" t="str">
        <v>Nagreeka Capital &amp; Infrastructure Limited</v>
      </c>
      <c r="C1530" t="s">
        <v>10</v>
      </c>
      <c r="D1530">
        <v>20.95</v>
      </c>
      <c r="E1530">
        <v>20.95</v>
      </c>
      <c r="F1530">
        <v>20.95</v>
      </c>
      <c r="G1530" s="3">
        <v>20.95</v>
      </c>
      <c r="H1530">
        <v>20.95</v>
      </c>
      <c r="I1530">
        <v>22.05</v>
      </c>
      <c r="J1530">
        <v>672</v>
      </c>
      <c r="K1530">
        <v>14078.4</v>
      </c>
      <c r="L1530" s="1">
        <v>45240</v>
      </c>
      <c r="M1530">
        <v>5</v>
      </c>
      <c r="N1530" t="s">
        <v>3414</v>
      </c>
      <c r="O1530" s="5">
        <v>45240</v>
      </c>
      <c r="P1530" s="5">
        <v>43777</v>
      </c>
    </row>
    <row r="1531" spans="1:16" x14ac:dyDescent="0.25">
      <c r="A1531" t="s">
        <v>3415</v>
      </c>
      <c r="B1531" t="str">
        <v>Nagreeka Exports Limited</v>
      </c>
      <c r="C1531" t="s">
        <v>14</v>
      </c>
      <c r="D1531">
        <v>55</v>
      </c>
      <c r="E1531">
        <v>55</v>
      </c>
      <c r="F1531">
        <v>52.2</v>
      </c>
      <c r="G1531" s="3">
        <v>54.1</v>
      </c>
      <c r="H1531">
        <v>54.4</v>
      </c>
      <c r="I1531">
        <v>52.6</v>
      </c>
      <c r="J1531">
        <v>30535</v>
      </c>
      <c r="K1531">
        <v>1642315</v>
      </c>
      <c r="L1531" s="1">
        <v>45240</v>
      </c>
      <c r="M1531">
        <v>719</v>
      </c>
      <c r="N1531" t="s">
        <v>3417</v>
      </c>
      <c r="O1531" s="5">
        <v>45240</v>
      </c>
      <c r="P1531" s="5">
        <v>43777</v>
      </c>
    </row>
    <row r="1532" spans="1:16" x14ac:dyDescent="0.25">
      <c r="A1532" t="s">
        <v>3418</v>
      </c>
      <c r="B1532" t="str">
        <v>Nahar Capital and Financial Services Limited</v>
      </c>
      <c r="C1532" t="s">
        <v>14</v>
      </c>
      <c r="D1532">
        <v>277.5</v>
      </c>
      <c r="E1532">
        <v>289</v>
      </c>
      <c r="F1532">
        <v>277</v>
      </c>
      <c r="G1532" s="3">
        <v>278.60000000000002</v>
      </c>
      <c r="H1532">
        <v>278</v>
      </c>
      <c r="I1532">
        <v>284.39999999999998</v>
      </c>
      <c r="J1532">
        <v>6760</v>
      </c>
      <c r="K1532">
        <v>1891425.9</v>
      </c>
      <c r="L1532" s="1">
        <v>45240</v>
      </c>
      <c r="M1532">
        <v>547</v>
      </c>
      <c r="N1532" t="s">
        <v>3420</v>
      </c>
      <c r="O1532" s="5">
        <v>45240</v>
      </c>
      <c r="P1532" s="5">
        <v>43777</v>
      </c>
    </row>
    <row r="1533" spans="1:16" x14ac:dyDescent="0.25">
      <c r="A1533" t="s">
        <v>3421</v>
      </c>
      <c r="B1533" t="str">
        <v>Nahar Industrial Enterprises Limited</v>
      </c>
      <c r="C1533" t="s">
        <v>14</v>
      </c>
      <c r="D1533">
        <v>133.25</v>
      </c>
      <c r="E1533">
        <v>133.25</v>
      </c>
      <c r="F1533">
        <v>127.15</v>
      </c>
      <c r="G1533" s="3">
        <v>129.44999999999999</v>
      </c>
      <c r="H1533">
        <v>130.75</v>
      </c>
      <c r="I1533">
        <v>128.75</v>
      </c>
      <c r="J1533">
        <v>38027</v>
      </c>
      <c r="K1533">
        <v>4936444.5999999996</v>
      </c>
      <c r="L1533" s="1">
        <v>45240</v>
      </c>
      <c r="M1533">
        <v>682</v>
      </c>
      <c r="N1533" t="s">
        <v>3423</v>
      </c>
      <c r="O1533" s="5">
        <v>45240</v>
      </c>
      <c r="P1533" s="5">
        <v>43777</v>
      </c>
    </row>
    <row r="1534" spans="1:16" x14ac:dyDescent="0.25">
      <c r="A1534" t="s">
        <v>3424</v>
      </c>
      <c r="B1534" t="str">
        <v>Nahar Poly Films Limited</v>
      </c>
      <c r="C1534" t="s">
        <v>14</v>
      </c>
      <c r="D1534">
        <v>225</v>
      </c>
      <c r="E1534">
        <v>228.15</v>
      </c>
      <c r="F1534">
        <v>220.4</v>
      </c>
      <c r="G1534" s="3">
        <v>222.8</v>
      </c>
      <c r="H1534">
        <v>225.8</v>
      </c>
      <c r="I1534">
        <v>228.1</v>
      </c>
      <c r="J1534">
        <v>11091</v>
      </c>
      <c r="K1534">
        <v>2487427.4500000002</v>
      </c>
      <c r="L1534" s="1">
        <v>45240</v>
      </c>
      <c r="M1534">
        <v>528</v>
      </c>
      <c r="N1534" t="s">
        <v>3426</v>
      </c>
      <c r="O1534" s="5">
        <v>45240</v>
      </c>
      <c r="P1534" s="5">
        <v>43777</v>
      </c>
    </row>
    <row r="1535" spans="1:16" x14ac:dyDescent="0.25">
      <c r="A1535" t="s">
        <v>3427</v>
      </c>
      <c r="B1535" t="str">
        <v>Nahar Spinning Mills Limited</v>
      </c>
      <c r="C1535" t="s">
        <v>14</v>
      </c>
      <c r="D1535">
        <v>260.14999999999998</v>
      </c>
      <c r="E1535">
        <v>263.05</v>
      </c>
      <c r="F1535">
        <v>255.05</v>
      </c>
      <c r="G1535" s="3">
        <v>259.45</v>
      </c>
      <c r="H1535">
        <v>261</v>
      </c>
      <c r="I1535">
        <v>261.45</v>
      </c>
      <c r="J1535">
        <v>31947</v>
      </c>
      <c r="K1535">
        <v>8249208.5999999996</v>
      </c>
      <c r="L1535" s="1">
        <v>45240</v>
      </c>
      <c r="M1535">
        <v>1331</v>
      </c>
      <c r="N1535" t="s">
        <v>3429</v>
      </c>
      <c r="O1535" s="5">
        <v>45240</v>
      </c>
      <c r="P1535" s="5">
        <v>43777</v>
      </c>
    </row>
    <row r="1536" spans="1:16" x14ac:dyDescent="0.25">
      <c r="A1536" t="s">
        <v>3430</v>
      </c>
      <c r="B1536" t="str">
        <v>Nippon Life India Asset Management Limited</v>
      </c>
      <c r="C1536" t="s">
        <v>14</v>
      </c>
      <c r="D1536">
        <v>397</v>
      </c>
      <c r="E1536">
        <v>400</v>
      </c>
      <c r="F1536">
        <v>392.1</v>
      </c>
      <c r="G1536" s="3">
        <v>397.45</v>
      </c>
      <c r="H1536">
        <v>398</v>
      </c>
      <c r="I1536">
        <v>400.35</v>
      </c>
      <c r="J1536">
        <v>349028</v>
      </c>
      <c r="K1536">
        <v>138406214.69999999</v>
      </c>
      <c r="L1536" s="1">
        <v>45240</v>
      </c>
      <c r="M1536">
        <v>14982</v>
      </c>
      <c r="N1536" t="s">
        <v>3432</v>
      </c>
      <c r="O1536" s="5">
        <v>45240</v>
      </c>
      <c r="P1536" s="5">
        <v>43777</v>
      </c>
    </row>
    <row r="1537" spans="1:16" x14ac:dyDescent="0.25">
      <c r="A1537" t="s">
        <v>3433</v>
      </c>
      <c r="B1537" t="str">
        <v>Narmada Agrobase Limited</v>
      </c>
      <c r="C1537" t="s">
        <v>14</v>
      </c>
      <c r="D1537">
        <v>19.7</v>
      </c>
      <c r="E1537">
        <v>19.7</v>
      </c>
      <c r="F1537">
        <v>19.149999999999999</v>
      </c>
      <c r="G1537" s="3">
        <v>19.25</v>
      </c>
      <c r="H1537">
        <v>19.2</v>
      </c>
      <c r="I1537">
        <v>19.350000000000001</v>
      </c>
      <c r="J1537">
        <v>10453</v>
      </c>
      <c r="K1537">
        <v>201492.05</v>
      </c>
      <c r="L1537" s="1">
        <v>45240</v>
      </c>
      <c r="M1537">
        <v>114</v>
      </c>
      <c r="N1537" t="s">
        <v>3435</v>
      </c>
      <c r="O1537" s="5">
        <v>45240</v>
      </c>
      <c r="P1537" s="5">
        <v>43777</v>
      </c>
    </row>
    <row r="1538" spans="1:16" x14ac:dyDescent="0.25">
      <c r="A1538" t="s">
        <v>3436</v>
      </c>
      <c r="B1538" t="str">
        <v>Natco Pharma Limited</v>
      </c>
      <c r="C1538" t="s">
        <v>14</v>
      </c>
      <c r="D1538">
        <v>737.65</v>
      </c>
      <c r="E1538">
        <v>779.8</v>
      </c>
      <c r="F1538">
        <v>735.55</v>
      </c>
      <c r="G1538" s="3">
        <v>766.55</v>
      </c>
      <c r="H1538">
        <v>762</v>
      </c>
      <c r="I1538">
        <v>733.95</v>
      </c>
      <c r="J1538">
        <v>2437432</v>
      </c>
      <c r="K1538">
        <v>1859817990.9000001</v>
      </c>
      <c r="L1538" s="1">
        <v>45240</v>
      </c>
      <c r="M1538">
        <v>68402</v>
      </c>
      <c r="N1538" t="s">
        <v>3438</v>
      </c>
      <c r="O1538" s="5">
        <v>45240</v>
      </c>
      <c r="P1538" s="5">
        <v>43777</v>
      </c>
    </row>
    <row r="1539" spans="1:16" x14ac:dyDescent="0.25">
      <c r="A1539" t="s">
        <v>3439</v>
      </c>
      <c r="B1539" t="str">
        <v>Nath Bio-Genes (India) Limited</v>
      </c>
      <c r="C1539" t="s">
        <v>14</v>
      </c>
      <c r="D1539">
        <v>198</v>
      </c>
      <c r="E1539">
        <v>202.9</v>
      </c>
      <c r="F1539">
        <v>196</v>
      </c>
      <c r="G1539" s="3">
        <v>197.2</v>
      </c>
      <c r="H1539">
        <v>196.15</v>
      </c>
      <c r="I1539">
        <v>198.5</v>
      </c>
      <c r="J1539">
        <v>27110</v>
      </c>
      <c r="K1539">
        <v>5386982.5</v>
      </c>
      <c r="L1539" s="1">
        <v>45240</v>
      </c>
      <c r="M1539">
        <v>975</v>
      </c>
      <c r="N1539" t="s">
        <v>3441</v>
      </c>
      <c r="O1539" s="5">
        <v>45240</v>
      </c>
      <c r="P1539" s="5">
        <v>43777</v>
      </c>
    </row>
    <row r="1540" spans="1:16" x14ac:dyDescent="0.25">
      <c r="A1540" t="s">
        <v>3442</v>
      </c>
      <c r="B1540" t="str">
        <v>National Aluminium Company Limited</v>
      </c>
      <c r="C1540" t="s">
        <v>14</v>
      </c>
      <c r="D1540">
        <v>90.4</v>
      </c>
      <c r="E1540">
        <v>92.05</v>
      </c>
      <c r="F1540">
        <v>90</v>
      </c>
      <c r="G1540" s="3">
        <v>91.3</v>
      </c>
      <c r="H1540">
        <v>91.6</v>
      </c>
      <c r="I1540">
        <v>90.4</v>
      </c>
      <c r="J1540">
        <v>5415351</v>
      </c>
      <c r="K1540">
        <v>493452341.60000002</v>
      </c>
      <c r="L1540" s="1">
        <v>45240</v>
      </c>
      <c r="M1540">
        <v>17948</v>
      </c>
      <c r="N1540" t="s">
        <v>3444</v>
      </c>
      <c r="O1540" s="5">
        <v>45240</v>
      </c>
      <c r="P1540" s="5">
        <v>43777</v>
      </c>
    </row>
    <row r="1541" spans="1:16" x14ac:dyDescent="0.25">
      <c r="A1541" t="s">
        <v>3445</v>
      </c>
      <c r="B1541" t="str">
        <v>Info Edge (India) Limited</v>
      </c>
      <c r="C1541" t="s">
        <v>14</v>
      </c>
      <c r="D1541">
        <v>4530</v>
      </c>
      <c r="E1541">
        <v>4538.3</v>
      </c>
      <c r="F1541">
        <v>4483</v>
      </c>
      <c r="G1541" s="3">
        <v>4510.8</v>
      </c>
      <c r="H1541">
        <v>4515</v>
      </c>
      <c r="I1541">
        <v>4569.1000000000004</v>
      </c>
      <c r="J1541">
        <v>119732</v>
      </c>
      <c r="K1541">
        <v>539561141.54999995</v>
      </c>
      <c r="L1541" s="1">
        <v>45240</v>
      </c>
      <c r="M1541">
        <v>15355</v>
      </c>
      <c r="N1541" t="s">
        <v>3447</v>
      </c>
      <c r="O1541" s="5">
        <v>45240</v>
      </c>
      <c r="P1541" s="5">
        <v>43777</v>
      </c>
    </row>
    <row r="1542" spans="1:16" x14ac:dyDescent="0.25">
      <c r="A1542" t="s">
        <v>3448</v>
      </c>
      <c r="B1542" t="str">
        <v>NAVA LIMITED</v>
      </c>
      <c r="C1542" t="s">
        <v>14</v>
      </c>
      <c r="D1542">
        <v>400.95</v>
      </c>
      <c r="E1542">
        <v>416.4</v>
      </c>
      <c r="F1542">
        <v>398</v>
      </c>
      <c r="G1542" s="3">
        <v>401</v>
      </c>
      <c r="H1542">
        <v>405</v>
      </c>
      <c r="I1542">
        <v>400.65</v>
      </c>
      <c r="J1542">
        <v>668260</v>
      </c>
      <c r="K1542">
        <v>271868156.30000001</v>
      </c>
      <c r="L1542" s="1">
        <v>45240</v>
      </c>
      <c r="M1542">
        <v>14745</v>
      </c>
      <c r="N1542" t="s">
        <v>3450</v>
      </c>
      <c r="O1542" s="5">
        <v>45240</v>
      </c>
      <c r="P1542" s="5">
        <v>43777</v>
      </c>
    </row>
    <row r="1543" spans="1:16" x14ac:dyDescent="0.25">
      <c r="A1543" t="s">
        <v>6260</v>
      </c>
      <c r="B1543" t="str">
        <v>Not Found</v>
      </c>
      <c r="C1543" t="s">
        <v>6265</v>
      </c>
      <c r="D1543">
        <v>986.05</v>
      </c>
      <c r="E1543">
        <v>987</v>
      </c>
      <c r="F1543">
        <v>986.05</v>
      </c>
      <c r="G1543" s="3">
        <v>987</v>
      </c>
      <c r="H1543">
        <v>987</v>
      </c>
      <c r="I1543">
        <v>986</v>
      </c>
      <c r="J1543">
        <v>3</v>
      </c>
      <c r="K1543">
        <v>2959.11</v>
      </c>
      <c r="L1543" s="1">
        <v>45240</v>
      </c>
      <c r="M1543">
        <v>3</v>
      </c>
      <c r="N1543" t="s">
        <v>6264</v>
      </c>
      <c r="O1543" s="5">
        <v>45240</v>
      </c>
      <c r="P1543" s="5">
        <v>43777</v>
      </c>
    </row>
    <row r="1544" spans="1:16" x14ac:dyDescent="0.25">
      <c r="A1544" t="s">
        <v>6260</v>
      </c>
      <c r="B1544" t="str">
        <v>Not Found</v>
      </c>
      <c r="C1544" t="s">
        <v>5845</v>
      </c>
      <c r="D1544">
        <v>995.1</v>
      </c>
      <c r="E1544">
        <v>999</v>
      </c>
      <c r="F1544">
        <v>990</v>
      </c>
      <c r="G1544" s="3">
        <v>998</v>
      </c>
      <c r="H1544">
        <v>998</v>
      </c>
      <c r="I1544">
        <v>999.9</v>
      </c>
      <c r="J1544">
        <v>667</v>
      </c>
      <c r="K1544">
        <v>661493.02</v>
      </c>
      <c r="L1544" s="1">
        <v>45240</v>
      </c>
      <c r="M1544">
        <v>24</v>
      </c>
      <c r="N1544" t="s">
        <v>6263</v>
      </c>
      <c r="O1544" s="5">
        <v>45240</v>
      </c>
      <c r="P1544" s="5">
        <v>43777</v>
      </c>
    </row>
    <row r="1545" spans="1:16" x14ac:dyDescent="0.25">
      <c r="A1545" t="s">
        <v>6260</v>
      </c>
      <c r="B1545" t="str">
        <v>Not Found</v>
      </c>
      <c r="C1545" t="s">
        <v>6174</v>
      </c>
      <c r="D1545">
        <v>999</v>
      </c>
      <c r="E1545">
        <v>999</v>
      </c>
      <c r="F1545">
        <v>999</v>
      </c>
      <c r="G1545" s="3">
        <v>999</v>
      </c>
      <c r="H1545">
        <v>999</v>
      </c>
      <c r="I1545">
        <v>998</v>
      </c>
      <c r="J1545">
        <v>20</v>
      </c>
      <c r="K1545">
        <v>19980</v>
      </c>
      <c r="L1545" s="1">
        <v>45240</v>
      </c>
      <c r="M1545">
        <v>1</v>
      </c>
      <c r="N1545" t="s">
        <v>6262</v>
      </c>
      <c r="O1545" s="5">
        <v>45240</v>
      </c>
      <c r="P1545" s="5">
        <v>43777</v>
      </c>
    </row>
    <row r="1546" spans="1:16" x14ac:dyDescent="0.25">
      <c r="A1546" t="s">
        <v>6260</v>
      </c>
      <c r="B1546" t="str">
        <v>Not Found</v>
      </c>
      <c r="C1546" t="s">
        <v>6207</v>
      </c>
      <c r="D1546">
        <v>1000</v>
      </c>
      <c r="E1546">
        <v>1001</v>
      </c>
      <c r="F1546">
        <v>1000</v>
      </c>
      <c r="G1546" s="3">
        <v>1001</v>
      </c>
      <c r="H1546">
        <v>1001</v>
      </c>
      <c r="I1546">
        <v>1000</v>
      </c>
      <c r="J1546">
        <v>681</v>
      </c>
      <c r="K1546">
        <v>681502</v>
      </c>
      <c r="L1546" s="1">
        <v>45240</v>
      </c>
      <c r="M1546">
        <v>10</v>
      </c>
      <c r="N1546" t="s">
        <v>6261</v>
      </c>
      <c r="O1546" s="5">
        <v>45240</v>
      </c>
      <c r="P1546" s="5">
        <v>43777</v>
      </c>
    </row>
    <row r="1547" spans="1:16" x14ac:dyDescent="0.25">
      <c r="A1547" t="s">
        <v>6260</v>
      </c>
      <c r="B1547" t="str">
        <v>Not Found</v>
      </c>
      <c r="C1547" t="s">
        <v>5874</v>
      </c>
      <c r="D1547">
        <v>1013.05</v>
      </c>
      <c r="E1547">
        <v>1013.05</v>
      </c>
      <c r="F1547">
        <v>1013.05</v>
      </c>
      <c r="G1547" s="3">
        <v>1013.05</v>
      </c>
      <c r="H1547">
        <v>1013.05</v>
      </c>
      <c r="I1547">
        <v>1020.14</v>
      </c>
      <c r="J1547">
        <v>2</v>
      </c>
      <c r="K1547">
        <v>2026.1</v>
      </c>
      <c r="L1547" s="1">
        <v>45240</v>
      </c>
      <c r="M1547">
        <v>1</v>
      </c>
      <c r="N1547" t="s">
        <v>6259</v>
      </c>
      <c r="O1547" s="5">
        <v>45240</v>
      </c>
      <c r="P1547" s="5">
        <v>43777</v>
      </c>
    </row>
    <row r="1548" spans="1:16" x14ac:dyDescent="0.25">
      <c r="A1548" t="s">
        <v>3451</v>
      </c>
      <c r="B1548" t="str">
        <v>Navin Fluorine International Limited</v>
      </c>
      <c r="C1548" t="s">
        <v>14</v>
      </c>
      <c r="D1548">
        <v>3572</v>
      </c>
      <c r="E1548">
        <v>3614</v>
      </c>
      <c r="F1548">
        <v>3556.4</v>
      </c>
      <c r="G1548" s="3">
        <v>3609.45</v>
      </c>
      <c r="H1548">
        <v>3610</v>
      </c>
      <c r="I1548">
        <v>3597.25</v>
      </c>
      <c r="J1548">
        <v>77028</v>
      </c>
      <c r="K1548">
        <v>276774826.05000001</v>
      </c>
      <c r="L1548" s="1">
        <v>45240</v>
      </c>
      <c r="M1548">
        <v>7705</v>
      </c>
      <c r="N1548" t="s">
        <v>3453</v>
      </c>
      <c r="O1548" s="5">
        <v>45240</v>
      </c>
      <c r="P1548" s="5">
        <v>43777</v>
      </c>
    </row>
    <row r="1549" spans="1:16" x14ac:dyDescent="0.25">
      <c r="A1549" t="s">
        <v>3454</v>
      </c>
      <c r="B1549" t="str">
        <v>Navkar Corporation Limited</v>
      </c>
      <c r="C1549" t="s">
        <v>14</v>
      </c>
      <c r="D1549">
        <v>57.9</v>
      </c>
      <c r="E1549">
        <v>58.3</v>
      </c>
      <c r="F1549">
        <v>57.5</v>
      </c>
      <c r="G1549" s="3">
        <v>57.65</v>
      </c>
      <c r="H1549">
        <v>57.75</v>
      </c>
      <c r="I1549">
        <v>57.8</v>
      </c>
      <c r="J1549">
        <v>236559</v>
      </c>
      <c r="K1549">
        <v>13664631.15</v>
      </c>
      <c r="L1549" s="1">
        <v>45240</v>
      </c>
      <c r="M1549">
        <v>1420</v>
      </c>
      <c r="N1549" t="s">
        <v>3456</v>
      </c>
      <c r="O1549" s="5">
        <v>45240</v>
      </c>
      <c r="P1549" s="5">
        <v>43777</v>
      </c>
    </row>
    <row r="1550" spans="1:16" x14ac:dyDescent="0.25">
      <c r="A1550" t="s">
        <v>3457</v>
      </c>
      <c r="B1550" t="str">
        <v>Navneet Education Limited</v>
      </c>
      <c r="C1550" t="s">
        <v>14</v>
      </c>
      <c r="D1550">
        <v>136</v>
      </c>
      <c r="E1550">
        <v>138.30000000000001</v>
      </c>
      <c r="F1550">
        <v>134.15</v>
      </c>
      <c r="G1550" s="3">
        <v>134.55000000000001</v>
      </c>
      <c r="H1550">
        <v>134.69999999999999</v>
      </c>
      <c r="I1550">
        <v>136.65</v>
      </c>
      <c r="J1550">
        <v>267808</v>
      </c>
      <c r="K1550">
        <v>36330570.399999999</v>
      </c>
      <c r="L1550" s="1">
        <v>45240</v>
      </c>
      <c r="M1550">
        <v>6659</v>
      </c>
      <c r="N1550" t="s">
        <v>3459</v>
      </c>
      <c r="O1550" s="5">
        <v>45240</v>
      </c>
      <c r="P1550" s="5">
        <v>43777</v>
      </c>
    </row>
    <row r="1551" spans="1:16" x14ac:dyDescent="0.25">
      <c r="A1551" t="s">
        <v>3460</v>
      </c>
      <c r="B1551" t="str">
        <v>Nazara Technologies Limited</v>
      </c>
      <c r="C1551" t="s">
        <v>14</v>
      </c>
      <c r="D1551">
        <v>803.35</v>
      </c>
      <c r="E1551">
        <v>825</v>
      </c>
      <c r="F1551">
        <v>803.35</v>
      </c>
      <c r="G1551" s="3">
        <v>820.15</v>
      </c>
      <c r="H1551">
        <v>818.45</v>
      </c>
      <c r="I1551">
        <v>820.4</v>
      </c>
      <c r="J1551">
        <v>138978</v>
      </c>
      <c r="K1551">
        <v>113422759.75</v>
      </c>
      <c r="L1551" s="1">
        <v>45240</v>
      </c>
      <c r="M1551">
        <v>10446</v>
      </c>
      <c r="N1551" t="s">
        <v>3462</v>
      </c>
      <c r="O1551" s="5">
        <v>45240</v>
      </c>
      <c r="P1551" s="5">
        <v>43777</v>
      </c>
    </row>
    <row r="1552" spans="1:16" x14ac:dyDescent="0.25">
      <c r="A1552" t="s">
        <v>3463</v>
      </c>
      <c r="B1552" t="str">
        <v>NBCC (India) Limited</v>
      </c>
      <c r="C1552" t="s">
        <v>14</v>
      </c>
      <c r="D1552">
        <v>66.05</v>
      </c>
      <c r="E1552">
        <v>66.45</v>
      </c>
      <c r="F1552">
        <v>64.650000000000006</v>
      </c>
      <c r="G1552" s="3">
        <v>65.75</v>
      </c>
      <c r="H1552">
        <v>65.7</v>
      </c>
      <c r="I1552">
        <v>67</v>
      </c>
      <c r="J1552">
        <v>17890122</v>
      </c>
      <c r="K1552">
        <v>1173070657.05</v>
      </c>
      <c r="L1552" s="1">
        <v>45240</v>
      </c>
      <c r="M1552">
        <v>35370</v>
      </c>
      <c r="N1552" t="s">
        <v>3465</v>
      </c>
      <c r="O1552" s="5">
        <v>45240</v>
      </c>
      <c r="P1552" s="5">
        <v>43777</v>
      </c>
    </row>
    <row r="1553" spans="1:16" x14ac:dyDescent="0.25">
      <c r="A1553" t="s">
        <v>3466</v>
      </c>
      <c r="B1553" t="str">
        <v>N. B. I. Industrial Finance Company Limited</v>
      </c>
      <c r="C1553" t="s">
        <v>14</v>
      </c>
      <c r="D1553">
        <v>1788</v>
      </c>
      <c r="E1553">
        <v>1788</v>
      </c>
      <c r="F1553">
        <v>1767</v>
      </c>
      <c r="G1553" s="3">
        <v>1771.25</v>
      </c>
      <c r="H1553">
        <v>1767</v>
      </c>
      <c r="I1553">
        <v>1772.95</v>
      </c>
      <c r="J1553">
        <v>15</v>
      </c>
      <c r="K1553">
        <v>26672.400000000001</v>
      </c>
      <c r="L1553" s="1">
        <v>45240</v>
      </c>
      <c r="M1553">
        <v>11</v>
      </c>
      <c r="N1553" t="s">
        <v>3468</v>
      </c>
      <c r="O1553" s="5">
        <v>45240</v>
      </c>
      <c r="P1553" s="5">
        <v>43777</v>
      </c>
    </row>
    <row r="1554" spans="1:16" x14ac:dyDescent="0.25">
      <c r="A1554" t="s">
        <v>3469</v>
      </c>
      <c r="B1554" t="str">
        <v>NCC Limited</v>
      </c>
      <c r="C1554" t="s">
        <v>14</v>
      </c>
      <c r="D1554">
        <v>149</v>
      </c>
      <c r="E1554">
        <v>162.35</v>
      </c>
      <c r="F1554">
        <v>147.6</v>
      </c>
      <c r="G1554" s="3">
        <v>153.35</v>
      </c>
      <c r="H1554">
        <v>153.55000000000001</v>
      </c>
      <c r="I1554">
        <v>155.1</v>
      </c>
      <c r="J1554">
        <v>20812143</v>
      </c>
      <c r="K1554">
        <v>3265797233.1500001</v>
      </c>
      <c r="L1554" s="1">
        <v>45240</v>
      </c>
      <c r="M1554">
        <v>87939</v>
      </c>
      <c r="N1554" t="s">
        <v>3471</v>
      </c>
      <c r="O1554" s="5">
        <v>45240</v>
      </c>
      <c r="P1554" s="5">
        <v>43777</v>
      </c>
    </row>
    <row r="1555" spans="1:16" x14ac:dyDescent="0.25">
      <c r="A1555" t="s">
        <v>3472</v>
      </c>
      <c r="B1555" t="str">
        <v>NCL Industries Limited</v>
      </c>
      <c r="C1555" t="s">
        <v>14</v>
      </c>
      <c r="D1555">
        <v>213.95</v>
      </c>
      <c r="E1555">
        <v>214.9</v>
      </c>
      <c r="F1555">
        <v>209.3</v>
      </c>
      <c r="G1555" s="3">
        <v>211.45</v>
      </c>
      <c r="H1555">
        <v>212.4</v>
      </c>
      <c r="I1555">
        <v>213.95</v>
      </c>
      <c r="J1555">
        <v>164456</v>
      </c>
      <c r="K1555">
        <v>34783872.549999997</v>
      </c>
      <c r="L1555" s="1">
        <v>45240</v>
      </c>
      <c r="M1555">
        <v>2993</v>
      </c>
      <c r="N1555" t="s">
        <v>3474</v>
      </c>
      <c r="O1555" s="5">
        <v>45240</v>
      </c>
      <c r="P1555" s="5">
        <v>43777</v>
      </c>
    </row>
    <row r="1556" spans="1:16" x14ac:dyDescent="0.25">
      <c r="A1556" t="s">
        <v>3475</v>
      </c>
      <c r="B1556" t="str">
        <v>Naga Dhunseri Group Limited</v>
      </c>
      <c r="C1556" t="s">
        <v>14</v>
      </c>
      <c r="D1556">
        <v>1940</v>
      </c>
      <c r="E1556">
        <v>1940</v>
      </c>
      <c r="F1556">
        <v>1855</v>
      </c>
      <c r="G1556" s="3">
        <v>1863.75</v>
      </c>
      <c r="H1556">
        <v>1856.1</v>
      </c>
      <c r="I1556">
        <v>1890</v>
      </c>
      <c r="J1556">
        <v>438</v>
      </c>
      <c r="K1556">
        <v>826734.35</v>
      </c>
      <c r="L1556" s="1">
        <v>45240</v>
      </c>
      <c r="M1556">
        <v>146</v>
      </c>
      <c r="N1556" t="s">
        <v>3477</v>
      </c>
      <c r="O1556" s="5">
        <v>45240</v>
      </c>
      <c r="P1556" s="5">
        <v>43777</v>
      </c>
    </row>
    <row r="1557" spans="1:16" x14ac:dyDescent="0.25">
      <c r="A1557" t="s">
        <v>3478</v>
      </c>
      <c r="B1557" t="str">
        <v>Nandan Denim Limited</v>
      </c>
      <c r="C1557" t="s">
        <v>14</v>
      </c>
      <c r="D1557">
        <v>24.3</v>
      </c>
      <c r="E1557">
        <v>24.3</v>
      </c>
      <c r="F1557">
        <v>23.1</v>
      </c>
      <c r="G1557" s="3">
        <v>23.65</v>
      </c>
      <c r="H1557">
        <v>23.55</v>
      </c>
      <c r="I1557">
        <v>23.5</v>
      </c>
      <c r="J1557">
        <v>137866</v>
      </c>
      <c r="K1557">
        <v>3279664</v>
      </c>
      <c r="L1557" s="1">
        <v>45240</v>
      </c>
      <c r="M1557">
        <v>829</v>
      </c>
      <c r="N1557" t="s">
        <v>3480</v>
      </c>
      <c r="O1557" s="5">
        <v>45240</v>
      </c>
      <c r="P1557" s="5">
        <v>43777</v>
      </c>
    </row>
    <row r="1558" spans="1:16" x14ac:dyDescent="0.25">
      <c r="A1558" t="s">
        <v>3481</v>
      </c>
      <c r="B1558" t="str">
        <v>NDL Ventures Limited</v>
      </c>
      <c r="C1558" t="s">
        <v>10</v>
      </c>
      <c r="D1558">
        <v>152.80000000000001</v>
      </c>
      <c r="E1558">
        <v>152.80000000000001</v>
      </c>
      <c r="F1558">
        <v>144.69999999999999</v>
      </c>
      <c r="G1558" s="3">
        <v>148.19999999999999</v>
      </c>
      <c r="H1558">
        <v>149</v>
      </c>
      <c r="I1558">
        <v>148.1</v>
      </c>
      <c r="J1558">
        <v>3866</v>
      </c>
      <c r="K1558">
        <v>571969.65</v>
      </c>
      <c r="L1558" s="1">
        <v>45240</v>
      </c>
      <c r="M1558">
        <v>37</v>
      </c>
      <c r="N1558" t="s">
        <v>3483</v>
      </c>
      <c r="O1558" s="5">
        <v>45240</v>
      </c>
      <c r="P1558" s="5">
        <v>43777</v>
      </c>
    </row>
    <row r="1559" spans="1:16" x14ac:dyDescent="0.25">
      <c r="A1559" t="s">
        <v>3484</v>
      </c>
      <c r="B1559" t="str">
        <v>Ndr Auto Components Limited</v>
      </c>
      <c r="C1559" t="s">
        <v>10</v>
      </c>
      <c r="D1559">
        <v>758</v>
      </c>
      <c r="E1559">
        <v>758</v>
      </c>
      <c r="F1559">
        <v>745</v>
      </c>
      <c r="G1559" s="3">
        <v>750</v>
      </c>
      <c r="H1559">
        <v>750</v>
      </c>
      <c r="I1559">
        <v>759</v>
      </c>
      <c r="J1559">
        <v>2792</v>
      </c>
      <c r="K1559">
        <v>2091256.75</v>
      </c>
      <c r="L1559" s="1">
        <v>45240</v>
      </c>
      <c r="M1559">
        <v>95</v>
      </c>
      <c r="N1559" t="s">
        <v>3486</v>
      </c>
      <c r="O1559" s="5">
        <v>45240</v>
      </c>
      <c r="P1559" s="5">
        <v>43777</v>
      </c>
    </row>
    <row r="1560" spans="1:16" x14ac:dyDescent="0.25">
      <c r="A1560" t="s">
        <v>3487</v>
      </c>
      <c r="B1560" t="str">
        <v>New Delhi Television Limited</v>
      </c>
      <c r="C1560" t="s">
        <v>14</v>
      </c>
      <c r="D1560">
        <v>192.2</v>
      </c>
      <c r="E1560">
        <v>192.6</v>
      </c>
      <c r="F1560">
        <v>190.05</v>
      </c>
      <c r="G1560" s="3">
        <v>190.75</v>
      </c>
      <c r="H1560">
        <v>190.5</v>
      </c>
      <c r="I1560">
        <v>192.5</v>
      </c>
      <c r="J1560">
        <v>92043</v>
      </c>
      <c r="K1560">
        <v>17602613.100000001</v>
      </c>
      <c r="L1560" s="1">
        <v>45240</v>
      </c>
      <c r="M1560">
        <v>2748</v>
      </c>
      <c r="N1560" t="s">
        <v>3489</v>
      </c>
      <c r="O1560" s="5">
        <v>45240</v>
      </c>
      <c r="P1560" s="5">
        <v>43777</v>
      </c>
    </row>
    <row r="1561" spans="1:16" x14ac:dyDescent="0.25">
      <c r="A1561" t="s">
        <v>3490</v>
      </c>
      <c r="B1561" t="str">
        <v>North Eastern Carrying Corporation Limited</v>
      </c>
      <c r="C1561" t="s">
        <v>14</v>
      </c>
      <c r="D1561">
        <v>26.65</v>
      </c>
      <c r="E1561">
        <v>26.65</v>
      </c>
      <c r="F1561">
        <v>23.55</v>
      </c>
      <c r="G1561" s="3">
        <v>23.75</v>
      </c>
      <c r="H1561">
        <v>23.75</v>
      </c>
      <c r="I1561">
        <v>27.65</v>
      </c>
      <c r="J1561">
        <v>2893060</v>
      </c>
      <c r="K1561">
        <v>70571974.650000006</v>
      </c>
      <c r="L1561" s="1">
        <v>45240</v>
      </c>
      <c r="M1561">
        <v>7141</v>
      </c>
      <c r="N1561" t="s">
        <v>3492</v>
      </c>
      <c r="O1561" s="5">
        <v>45240</v>
      </c>
      <c r="P1561" s="5">
        <v>43777</v>
      </c>
    </row>
    <row r="1562" spans="1:16" x14ac:dyDescent="0.25">
      <c r="A1562" t="s">
        <v>3493</v>
      </c>
      <c r="B1562" t="str">
        <v>Nectar Lifesciences Limited</v>
      </c>
      <c r="C1562" t="s">
        <v>14</v>
      </c>
      <c r="D1562">
        <v>23.9</v>
      </c>
      <c r="E1562">
        <v>26.3</v>
      </c>
      <c r="F1562">
        <v>23.8</v>
      </c>
      <c r="G1562" s="3">
        <v>25.6</v>
      </c>
      <c r="H1562">
        <v>25.65</v>
      </c>
      <c r="I1562">
        <v>23.9</v>
      </c>
      <c r="J1562">
        <v>3668349</v>
      </c>
      <c r="K1562">
        <v>93339822</v>
      </c>
      <c r="L1562" s="1">
        <v>45240</v>
      </c>
      <c r="M1562">
        <v>7460</v>
      </c>
      <c r="N1562" t="s">
        <v>3495</v>
      </c>
      <c r="O1562" s="5">
        <v>45240</v>
      </c>
      <c r="P1562" s="5">
        <v>43777</v>
      </c>
    </row>
    <row r="1563" spans="1:16" x14ac:dyDescent="0.25">
      <c r="A1563" t="s">
        <v>3496</v>
      </c>
      <c r="B1563" t="str">
        <v>Nelcast Limited</v>
      </c>
      <c r="C1563" t="s">
        <v>14</v>
      </c>
      <c r="D1563">
        <v>177.8</v>
      </c>
      <c r="E1563">
        <v>182.5</v>
      </c>
      <c r="F1563">
        <v>172.05</v>
      </c>
      <c r="G1563" s="3">
        <v>175.65</v>
      </c>
      <c r="H1563">
        <v>175.7</v>
      </c>
      <c r="I1563">
        <v>176.65</v>
      </c>
      <c r="J1563">
        <v>831048</v>
      </c>
      <c r="K1563">
        <v>147191695.30000001</v>
      </c>
      <c r="L1563" s="1">
        <v>45240</v>
      </c>
      <c r="M1563">
        <v>14567</v>
      </c>
      <c r="N1563" t="s">
        <v>3498</v>
      </c>
      <c r="O1563" s="5">
        <v>45240</v>
      </c>
      <c r="P1563" s="5">
        <v>43777</v>
      </c>
    </row>
    <row r="1564" spans="1:16" x14ac:dyDescent="0.25">
      <c r="A1564" t="s">
        <v>3499</v>
      </c>
      <c r="B1564" t="str">
        <v>NELCO Limited</v>
      </c>
      <c r="C1564" t="s">
        <v>14</v>
      </c>
      <c r="D1564">
        <v>710</v>
      </c>
      <c r="E1564">
        <v>721.95</v>
      </c>
      <c r="F1564">
        <v>707.1</v>
      </c>
      <c r="G1564" s="3">
        <v>710.45</v>
      </c>
      <c r="H1564">
        <v>708.05</v>
      </c>
      <c r="I1564">
        <v>712.95</v>
      </c>
      <c r="J1564">
        <v>29363</v>
      </c>
      <c r="K1564">
        <v>20953677.399999999</v>
      </c>
      <c r="L1564" s="1">
        <v>45240</v>
      </c>
      <c r="M1564">
        <v>3157</v>
      </c>
      <c r="N1564" t="s">
        <v>3501</v>
      </c>
      <c r="O1564" s="5">
        <v>45240</v>
      </c>
      <c r="P1564" s="5">
        <v>43777</v>
      </c>
    </row>
    <row r="1565" spans="1:16" x14ac:dyDescent="0.25">
      <c r="A1565" t="s">
        <v>3502</v>
      </c>
      <c r="B1565" t="str">
        <v>Neogen Chemicals Limited</v>
      </c>
      <c r="C1565" t="s">
        <v>14</v>
      </c>
      <c r="D1565">
        <v>1535.7</v>
      </c>
      <c r="E1565">
        <v>1550</v>
      </c>
      <c r="F1565">
        <v>1526.75</v>
      </c>
      <c r="G1565" s="3">
        <v>1543.75</v>
      </c>
      <c r="H1565">
        <v>1540.15</v>
      </c>
      <c r="I1565">
        <v>1546.6</v>
      </c>
      <c r="J1565">
        <v>14481</v>
      </c>
      <c r="K1565">
        <v>22321498.550000001</v>
      </c>
      <c r="L1565" s="1">
        <v>45240</v>
      </c>
      <c r="M1565">
        <v>3019</v>
      </c>
      <c r="N1565" t="s">
        <v>3504</v>
      </c>
      <c r="O1565" s="5">
        <v>45240</v>
      </c>
      <c r="P1565" s="5">
        <v>43777</v>
      </c>
    </row>
    <row r="1566" spans="1:16" x14ac:dyDescent="0.25">
      <c r="A1566" t="s">
        <v>3505</v>
      </c>
      <c r="B1566" t="str">
        <v>Nesco Limited</v>
      </c>
      <c r="C1566" t="s">
        <v>14</v>
      </c>
      <c r="D1566">
        <v>711</v>
      </c>
      <c r="E1566">
        <v>770</v>
      </c>
      <c r="F1566">
        <v>701</v>
      </c>
      <c r="G1566" s="3">
        <v>756.45</v>
      </c>
      <c r="H1566">
        <v>758.8</v>
      </c>
      <c r="I1566">
        <v>676.15</v>
      </c>
      <c r="J1566">
        <v>3553280</v>
      </c>
      <c r="K1566">
        <v>2636476248.75</v>
      </c>
      <c r="L1566" s="1">
        <v>45240</v>
      </c>
      <c r="M1566">
        <v>104395</v>
      </c>
      <c r="N1566" t="s">
        <v>3507</v>
      </c>
      <c r="O1566" s="5">
        <v>45240</v>
      </c>
      <c r="P1566" s="5">
        <v>43777</v>
      </c>
    </row>
    <row r="1567" spans="1:16" x14ac:dyDescent="0.25">
      <c r="A1567" t="s">
        <v>3508</v>
      </c>
      <c r="B1567" t="str">
        <v>Nestle India Limited</v>
      </c>
      <c r="C1567" t="s">
        <v>14</v>
      </c>
      <c r="D1567">
        <v>24226.75</v>
      </c>
      <c r="E1567">
        <v>24249.5</v>
      </c>
      <c r="F1567">
        <v>24055.65</v>
      </c>
      <c r="G1567" s="3">
        <v>24137.200000000001</v>
      </c>
      <c r="H1567">
        <v>24120.15</v>
      </c>
      <c r="I1567">
        <v>24226.75</v>
      </c>
      <c r="J1567">
        <v>28317</v>
      </c>
      <c r="K1567">
        <v>683408908.95000005</v>
      </c>
      <c r="L1567" s="1">
        <v>45240</v>
      </c>
      <c r="M1567">
        <v>13001</v>
      </c>
      <c r="N1567" t="s">
        <v>3510</v>
      </c>
      <c r="O1567" s="5">
        <v>45240</v>
      </c>
      <c r="P1567" s="5">
        <v>43777</v>
      </c>
    </row>
    <row r="1568" spans="1:16" x14ac:dyDescent="0.25">
      <c r="A1568" t="s">
        <v>6258</v>
      </c>
      <c r="B1568" t="str">
        <v>Not Found</v>
      </c>
      <c r="C1568" t="s">
        <v>14</v>
      </c>
      <c r="D1568">
        <v>206</v>
      </c>
      <c r="E1568">
        <v>206</v>
      </c>
      <c r="F1568">
        <v>203.26</v>
      </c>
      <c r="G1568" s="3">
        <v>205.4</v>
      </c>
      <c r="H1568">
        <v>206</v>
      </c>
      <c r="I1568">
        <v>205.14</v>
      </c>
      <c r="J1568">
        <v>1184</v>
      </c>
      <c r="K1568">
        <v>242217.18</v>
      </c>
      <c r="L1568" s="1">
        <v>45240</v>
      </c>
      <c r="M1568">
        <v>94</v>
      </c>
      <c r="N1568" t="s">
        <v>6257</v>
      </c>
      <c r="O1568" s="5">
        <v>45240</v>
      </c>
      <c r="P1568" s="5">
        <v>43777</v>
      </c>
    </row>
    <row r="1569" spans="1:16" x14ac:dyDescent="0.25">
      <c r="A1569" t="s">
        <v>3511</v>
      </c>
      <c r="B1569" t="str">
        <v>Netweb Technologies India Limited</v>
      </c>
      <c r="C1569" t="s">
        <v>14</v>
      </c>
      <c r="D1569">
        <v>770</v>
      </c>
      <c r="E1569">
        <v>776.45</v>
      </c>
      <c r="F1569">
        <v>765.75</v>
      </c>
      <c r="G1569" s="3">
        <v>769.9</v>
      </c>
      <c r="H1569">
        <v>769.2</v>
      </c>
      <c r="I1569">
        <v>771.8</v>
      </c>
      <c r="J1569">
        <v>25369</v>
      </c>
      <c r="K1569">
        <v>19572554.300000001</v>
      </c>
      <c r="L1569" s="1">
        <v>45240</v>
      </c>
      <c r="M1569">
        <v>2652</v>
      </c>
      <c r="N1569" t="s">
        <v>3513</v>
      </c>
      <c r="O1569" s="5">
        <v>45240</v>
      </c>
      <c r="P1569" s="5">
        <v>43777</v>
      </c>
    </row>
    <row r="1570" spans="1:16" x14ac:dyDescent="0.25">
      <c r="A1570" t="s">
        <v>3514</v>
      </c>
      <c r="B1570" t="str">
        <v>Network18 Media &amp; Investments Limited</v>
      </c>
      <c r="C1570" t="s">
        <v>14</v>
      </c>
      <c r="D1570">
        <v>71.8</v>
      </c>
      <c r="E1570">
        <v>78</v>
      </c>
      <c r="F1570">
        <v>71.349999999999994</v>
      </c>
      <c r="G1570" s="3">
        <v>77.25</v>
      </c>
      <c r="H1570">
        <v>76.849999999999994</v>
      </c>
      <c r="I1570">
        <v>71.95</v>
      </c>
      <c r="J1570">
        <v>7612225</v>
      </c>
      <c r="K1570">
        <v>574112117.20000005</v>
      </c>
      <c r="L1570" s="1">
        <v>45240</v>
      </c>
      <c r="M1570">
        <v>23630</v>
      </c>
      <c r="N1570" t="s">
        <v>3516</v>
      </c>
      <c r="O1570" s="5">
        <v>45240</v>
      </c>
      <c r="P1570" s="5">
        <v>43777</v>
      </c>
    </row>
    <row r="1571" spans="1:16" x14ac:dyDescent="0.25">
      <c r="A1571" t="s">
        <v>3517</v>
      </c>
      <c r="B1571" t="str">
        <v>Neuland Laboratories Limited</v>
      </c>
      <c r="C1571" t="s">
        <v>14</v>
      </c>
      <c r="D1571">
        <v>5222.3500000000004</v>
      </c>
      <c r="E1571">
        <v>5459.95</v>
      </c>
      <c r="F1571">
        <v>5111</v>
      </c>
      <c r="G1571" s="3">
        <v>5371.15</v>
      </c>
      <c r="H1571">
        <v>5297</v>
      </c>
      <c r="I1571">
        <v>5260.7</v>
      </c>
      <c r="J1571">
        <v>92016</v>
      </c>
      <c r="K1571">
        <v>486632627</v>
      </c>
      <c r="L1571" s="1">
        <v>45240</v>
      </c>
      <c r="M1571">
        <v>12153</v>
      </c>
      <c r="N1571" t="s">
        <v>3519</v>
      </c>
      <c r="O1571" s="5">
        <v>45240</v>
      </c>
      <c r="P1571" s="5">
        <v>43777</v>
      </c>
    </row>
    <row r="1572" spans="1:16" x14ac:dyDescent="0.25">
      <c r="A1572" t="s">
        <v>3520</v>
      </c>
      <c r="B1572" t="str">
        <v>Newgen Software Technologies Limited</v>
      </c>
      <c r="C1572" t="s">
        <v>10</v>
      </c>
      <c r="D1572">
        <v>1204</v>
      </c>
      <c r="E1572">
        <v>1232</v>
      </c>
      <c r="F1572">
        <v>1188.75</v>
      </c>
      <c r="G1572" s="3">
        <v>1204.8499999999999</v>
      </c>
      <c r="H1572">
        <v>1190.0999999999999</v>
      </c>
      <c r="I1572">
        <v>1199.55</v>
      </c>
      <c r="J1572">
        <v>43598</v>
      </c>
      <c r="K1572">
        <v>52743098.75</v>
      </c>
      <c r="L1572" s="1">
        <v>45240</v>
      </c>
      <c r="M1572">
        <v>4010</v>
      </c>
      <c r="N1572" t="s">
        <v>3522</v>
      </c>
      <c r="O1572" s="5">
        <v>45240</v>
      </c>
      <c r="P1572" s="5">
        <v>43777</v>
      </c>
    </row>
    <row r="1573" spans="1:16" x14ac:dyDescent="0.25">
      <c r="A1573" t="s">
        <v>6256</v>
      </c>
      <c r="B1573" t="str">
        <v>Not Found</v>
      </c>
      <c r="C1573" t="s">
        <v>5788</v>
      </c>
      <c r="D1573">
        <v>141.5</v>
      </c>
      <c r="E1573">
        <v>143.5</v>
      </c>
      <c r="F1573">
        <v>139.4</v>
      </c>
      <c r="G1573" s="3">
        <v>139.4</v>
      </c>
      <c r="H1573">
        <v>139.4</v>
      </c>
      <c r="I1573">
        <v>146.69999999999999</v>
      </c>
      <c r="J1573">
        <v>120000</v>
      </c>
      <c r="K1573">
        <v>16856850</v>
      </c>
      <c r="L1573" s="1">
        <v>45240</v>
      </c>
      <c r="M1573">
        <v>38</v>
      </c>
      <c r="N1573" t="s">
        <v>6255</v>
      </c>
      <c r="O1573" s="5">
        <v>45240</v>
      </c>
      <c r="P1573" s="5">
        <v>43777</v>
      </c>
    </row>
    <row r="1574" spans="1:16" x14ac:dyDescent="0.25">
      <c r="A1574" t="s">
        <v>6254</v>
      </c>
      <c r="B1574" t="str">
        <v>Not Found</v>
      </c>
      <c r="C1574" t="s">
        <v>14</v>
      </c>
      <c r="D1574">
        <v>460.63</v>
      </c>
      <c r="E1574">
        <v>463.5</v>
      </c>
      <c r="F1574">
        <v>459.5</v>
      </c>
      <c r="G1574" s="3">
        <v>461.85</v>
      </c>
      <c r="H1574">
        <v>463.5</v>
      </c>
      <c r="I1574">
        <v>462.8</v>
      </c>
      <c r="J1574">
        <v>2849</v>
      </c>
      <c r="K1574">
        <v>1315720.97</v>
      </c>
      <c r="L1574" s="1">
        <v>45240</v>
      </c>
      <c r="M1574">
        <v>35</v>
      </c>
      <c r="N1574" t="s">
        <v>6253</v>
      </c>
      <c r="O1574" s="5">
        <v>45240</v>
      </c>
      <c r="P1574" s="5">
        <v>43777</v>
      </c>
    </row>
    <row r="1575" spans="1:16" x14ac:dyDescent="0.25">
      <c r="A1575" t="s">
        <v>3523</v>
      </c>
      <c r="B1575" t="str">
        <v>Next Mediaworks Limited</v>
      </c>
      <c r="C1575" t="s">
        <v>10</v>
      </c>
      <c r="D1575">
        <v>7.4</v>
      </c>
      <c r="E1575">
        <v>7.5</v>
      </c>
      <c r="F1575">
        <v>7.2</v>
      </c>
      <c r="G1575" s="3">
        <v>7.5</v>
      </c>
      <c r="H1575">
        <v>7.5</v>
      </c>
      <c r="I1575">
        <v>7.2</v>
      </c>
      <c r="J1575">
        <v>6551</v>
      </c>
      <c r="K1575">
        <v>48365.7</v>
      </c>
      <c r="L1575" s="1">
        <v>45240</v>
      </c>
      <c r="M1575">
        <v>26</v>
      </c>
      <c r="N1575" t="s">
        <v>3525</v>
      </c>
      <c r="O1575" s="5">
        <v>45240</v>
      </c>
      <c r="P1575" s="5">
        <v>43777</v>
      </c>
    </row>
    <row r="1576" spans="1:16" x14ac:dyDescent="0.25">
      <c r="A1576" t="s">
        <v>3526</v>
      </c>
      <c r="B1576" t="str">
        <v>National Fertilizers Limited</v>
      </c>
      <c r="C1576" t="s">
        <v>14</v>
      </c>
      <c r="D1576">
        <v>68</v>
      </c>
      <c r="E1576">
        <v>68.75</v>
      </c>
      <c r="F1576">
        <v>67.8</v>
      </c>
      <c r="G1576" s="3">
        <v>68.3</v>
      </c>
      <c r="H1576">
        <v>68.3</v>
      </c>
      <c r="I1576">
        <v>68.2</v>
      </c>
      <c r="J1576">
        <v>1573881</v>
      </c>
      <c r="K1576">
        <v>107521467</v>
      </c>
      <c r="L1576" s="1">
        <v>45240</v>
      </c>
      <c r="M1576">
        <v>6052</v>
      </c>
      <c r="N1576" t="s">
        <v>3528</v>
      </c>
      <c r="O1576" s="5">
        <v>45240</v>
      </c>
      <c r="P1576" s="5">
        <v>43777</v>
      </c>
    </row>
    <row r="1577" spans="1:16" x14ac:dyDescent="0.25">
      <c r="A1577" t="s">
        <v>3529</v>
      </c>
      <c r="B1577" t="str">
        <v>Nakoda Group of Industries Limited</v>
      </c>
      <c r="C1577" t="s">
        <v>14</v>
      </c>
      <c r="D1577">
        <v>41.2</v>
      </c>
      <c r="E1577">
        <v>41.75</v>
      </c>
      <c r="F1577">
        <v>40.200000000000003</v>
      </c>
      <c r="G1577" s="3">
        <v>40.700000000000003</v>
      </c>
      <c r="H1577">
        <v>41.2</v>
      </c>
      <c r="I1577">
        <v>40.799999999999997</v>
      </c>
      <c r="J1577">
        <v>79094</v>
      </c>
      <c r="K1577">
        <v>3228775.75</v>
      </c>
      <c r="L1577" s="1">
        <v>45240</v>
      </c>
      <c r="M1577">
        <v>1972</v>
      </c>
      <c r="N1577" t="s">
        <v>3531</v>
      </c>
      <c r="O1577" s="5">
        <v>45240</v>
      </c>
      <c r="P1577" s="5">
        <v>43777</v>
      </c>
    </row>
    <row r="1578" spans="1:16" x14ac:dyDescent="0.25">
      <c r="A1578" t="s">
        <v>3532</v>
      </c>
      <c r="B1578" t="str">
        <v>NGL Fine-Chem Limited</v>
      </c>
      <c r="C1578" t="s">
        <v>14</v>
      </c>
      <c r="D1578">
        <v>1842.95</v>
      </c>
      <c r="E1578">
        <v>1925</v>
      </c>
      <c r="F1578">
        <v>1785</v>
      </c>
      <c r="G1578" s="3">
        <v>1877.6</v>
      </c>
      <c r="H1578">
        <v>1869</v>
      </c>
      <c r="I1578">
        <v>1815.8</v>
      </c>
      <c r="J1578">
        <v>5835</v>
      </c>
      <c r="K1578">
        <v>11000855.75</v>
      </c>
      <c r="L1578" s="1">
        <v>45240</v>
      </c>
      <c r="M1578">
        <v>593</v>
      </c>
      <c r="N1578" t="s">
        <v>3534</v>
      </c>
      <c r="O1578" s="5">
        <v>45240</v>
      </c>
      <c r="P1578" s="5">
        <v>43777</v>
      </c>
    </row>
    <row r="1579" spans="1:16" x14ac:dyDescent="0.25">
      <c r="A1579" t="s">
        <v>3535</v>
      </c>
      <c r="B1579" t="str">
        <v>Narayana Hrudayalaya Ltd.</v>
      </c>
      <c r="C1579" t="s">
        <v>14</v>
      </c>
      <c r="D1579">
        <v>1065.5</v>
      </c>
      <c r="E1579">
        <v>1086.2</v>
      </c>
      <c r="F1579">
        <v>1044</v>
      </c>
      <c r="G1579" s="3">
        <v>1072.3499999999999</v>
      </c>
      <c r="H1579">
        <v>1081</v>
      </c>
      <c r="I1579">
        <v>1060.05</v>
      </c>
      <c r="J1579">
        <v>184729</v>
      </c>
      <c r="K1579">
        <v>198848337.65000001</v>
      </c>
      <c r="L1579" s="1">
        <v>45240</v>
      </c>
      <c r="M1579">
        <v>15622</v>
      </c>
      <c r="N1579" t="s">
        <v>3537</v>
      </c>
      <c r="O1579" s="5">
        <v>45240</v>
      </c>
      <c r="P1579" s="5">
        <v>43777</v>
      </c>
    </row>
    <row r="1580" spans="1:16" x14ac:dyDescent="0.25">
      <c r="A1580" t="s">
        <v>6241</v>
      </c>
      <c r="B1580" t="str">
        <v>Not Found</v>
      </c>
      <c r="C1580" t="s">
        <v>6176</v>
      </c>
      <c r="D1580">
        <v>1098.45</v>
      </c>
      <c r="E1580">
        <v>1100</v>
      </c>
      <c r="F1580">
        <v>1096.0999999999999</v>
      </c>
      <c r="G1580" s="3">
        <v>1099</v>
      </c>
      <c r="H1580">
        <v>1099</v>
      </c>
      <c r="I1580">
        <v>1102</v>
      </c>
      <c r="J1580">
        <v>550</v>
      </c>
      <c r="K1580">
        <v>604352.30000000005</v>
      </c>
      <c r="L1580" s="1">
        <v>45240</v>
      </c>
      <c r="M1580">
        <v>15</v>
      </c>
      <c r="N1580" t="s">
        <v>6252</v>
      </c>
      <c r="O1580" s="5">
        <v>45240</v>
      </c>
      <c r="P1580" s="5">
        <v>43777</v>
      </c>
    </row>
    <row r="1581" spans="1:16" x14ac:dyDescent="0.25">
      <c r="A1581" t="s">
        <v>6241</v>
      </c>
      <c r="B1581" t="str">
        <v>Not Found</v>
      </c>
      <c r="C1581" t="s">
        <v>6210</v>
      </c>
      <c r="D1581">
        <v>1081.01</v>
      </c>
      <c r="E1581">
        <v>1082.01</v>
      </c>
      <c r="F1581">
        <v>1080.4000000000001</v>
      </c>
      <c r="G1581" s="3">
        <v>1081.5899999999999</v>
      </c>
      <c r="H1581">
        <v>1081.04</v>
      </c>
      <c r="I1581">
        <v>1081.01</v>
      </c>
      <c r="J1581">
        <v>334</v>
      </c>
      <c r="K1581">
        <v>361244.14</v>
      </c>
      <c r="L1581" s="1">
        <v>45240</v>
      </c>
      <c r="M1581">
        <v>10</v>
      </c>
      <c r="N1581" t="s">
        <v>6251</v>
      </c>
      <c r="O1581" s="5">
        <v>45240</v>
      </c>
      <c r="P1581" s="5">
        <v>43777</v>
      </c>
    </row>
    <row r="1582" spans="1:16" x14ac:dyDescent="0.25">
      <c r="A1582" t="s">
        <v>6241</v>
      </c>
      <c r="B1582" t="str">
        <v>Not Found</v>
      </c>
      <c r="C1582" t="s">
        <v>5843</v>
      </c>
      <c r="D1582">
        <v>1215</v>
      </c>
      <c r="E1582">
        <v>1216</v>
      </c>
      <c r="F1582">
        <v>1211.1500000000001</v>
      </c>
      <c r="G1582" s="3">
        <v>1211.1500000000001</v>
      </c>
      <c r="H1582">
        <v>1211.1500000000001</v>
      </c>
      <c r="I1582">
        <v>1219.99</v>
      </c>
      <c r="J1582">
        <v>682</v>
      </c>
      <c r="K1582">
        <v>827420.5</v>
      </c>
      <c r="L1582" s="1">
        <v>45240</v>
      </c>
      <c r="M1582">
        <v>24</v>
      </c>
      <c r="N1582" t="s">
        <v>6250</v>
      </c>
      <c r="O1582" s="5">
        <v>45240</v>
      </c>
      <c r="P1582" s="5">
        <v>43777</v>
      </c>
    </row>
    <row r="1583" spans="1:16" x14ac:dyDescent="0.25">
      <c r="A1583" t="s">
        <v>6241</v>
      </c>
      <c r="B1583" t="str">
        <v>Not Found</v>
      </c>
      <c r="C1583" t="s">
        <v>5874</v>
      </c>
      <c r="D1583">
        <v>1071.1199999999999</v>
      </c>
      <c r="E1583">
        <v>1082.99</v>
      </c>
      <c r="F1583">
        <v>1071.1199999999999</v>
      </c>
      <c r="G1583" s="3">
        <v>1082.99</v>
      </c>
      <c r="H1583">
        <v>1082.99</v>
      </c>
      <c r="I1583">
        <v>1084.4000000000001</v>
      </c>
      <c r="J1583">
        <v>309</v>
      </c>
      <c r="K1583">
        <v>332962.09000000003</v>
      </c>
      <c r="L1583" s="1">
        <v>45240</v>
      </c>
      <c r="M1583">
        <v>5</v>
      </c>
      <c r="N1583" t="s">
        <v>6249</v>
      </c>
      <c r="O1583" s="5">
        <v>45240</v>
      </c>
      <c r="P1583" s="5">
        <v>43777</v>
      </c>
    </row>
    <row r="1584" spans="1:16" x14ac:dyDescent="0.25">
      <c r="A1584" t="s">
        <v>6241</v>
      </c>
      <c r="B1584" t="str">
        <v>Not Found</v>
      </c>
      <c r="C1584" t="s">
        <v>6130</v>
      </c>
      <c r="D1584">
        <v>1163</v>
      </c>
      <c r="E1584">
        <v>1163</v>
      </c>
      <c r="F1584">
        <v>1163</v>
      </c>
      <c r="G1584" s="3">
        <v>1163</v>
      </c>
      <c r="H1584">
        <v>1163</v>
      </c>
      <c r="I1584">
        <v>1163</v>
      </c>
      <c r="J1584">
        <v>10</v>
      </c>
      <c r="K1584">
        <v>11630</v>
      </c>
      <c r="L1584" s="1">
        <v>45240</v>
      </c>
      <c r="M1584">
        <v>1</v>
      </c>
      <c r="N1584" t="s">
        <v>6248</v>
      </c>
      <c r="O1584" s="5">
        <v>45240</v>
      </c>
      <c r="P1584" s="5">
        <v>43777</v>
      </c>
    </row>
    <row r="1585" spans="1:16" x14ac:dyDescent="0.25">
      <c r="A1585" t="s">
        <v>6241</v>
      </c>
      <c r="B1585" t="str">
        <v>Not Found</v>
      </c>
      <c r="C1585" t="s">
        <v>6247</v>
      </c>
      <c r="D1585">
        <v>1170.3</v>
      </c>
      <c r="E1585">
        <v>1175</v>
      </c>
      <c r="F1585">
        <v>1169.99</v>
      </c>
      <c r="G1585" s="3">
        <v>1171.7</v>
      </c>
      <c r="H1585">
        <v>1175</v>
      </c>
      <c r="I1585">
        <v>1170.76</v>
      </c>
      <c r="J1585">
        <v>1788</v>
      </c>
      <c r="K1585">
        <v>2093357</v>
      </c>
      <c r="L1585" s="1">
        <v>45240</v>
      </c>
      <c r="M1585">
        <v>16</v>
      </c>
      <c r="N1585" t="s">
        <v>6246</v>
      </c>
      <c r="O1585" s="5">
        <v>45240</v>
      </c>
      <c r="P1585" s="5">
        <v>43777</v>
      </c>
    </row>
    <row r="1586" spans="1:16" x14ac:dyDescent="0.25">
      <c r="A1586" t="s">
        <v>6241</v>
      </c>
      <c r="B1586" t="str">
        <v>Not Found</v>
      </c>
      <c r="C1586" t="s">
        <v>6245</v>
      </c>
      <c r="D1586">
        <v>1042</v>
      </c>
      <c r="E1586">
        <v>1047</v>
      </c>
      <c r="F1586">
        <v>1042</v>
      </c>
      <c r="G1586" s="3">
        <v>1047</v>
      </c>
      <c r="H1586">
        <v>1047</v>
      </c>
      <c r="I1586">
        <v>1042</v>
      </c>
      <c r="J1586">
        <v>29</v>
      </c>
      <c r="K1586">
        <v>30314</v>
      </c>
      <c r="L1586" s="1">
        <v>45240</v>
      </c>
      <c r="M1586">
        <v>3</v>
      </c>
      <c r="N1586" t="s">
        <v>6244</v>
      </c>
      <c r="O1586" s="5">
        <v>45240</v>
      </c>
      <c r="P1586" s="5">
        <v>43777</v>
      </c>
    </row>
    <row r="1587" spans="1:16" x14ac:dyDescent="0.25">
      <c r="A1587" t="s">
        <v>6241</v>
      </c>
      <c r="B1587" t="str">
        <v>Not Found</v>
      </c>
      <c r="C1587" t="s">
        <v>6243</v>
      </c>
      <c r="D1587">
        <v>1077</v>
      </c>
      <c r="E1587">
        <v>1077</v>
      </c>
      <c r="F1587">
        <v>1077</v>
      </c>
      <c r="G1587" s="3">
        <v>1077</v>
      </c>
      <c r="H1587">
        <v>1077</v>
      </c>
      <c r="I1587">
        <v>1133.99</v>
      </c>
      <c r="J1587">
        <v>40</v>
      </c>
      <c r="K1587">
        <v>43080</v>
      </c>
      <c r="L1587" s="1">
        <v>45240</v>
      </c>
      <c r="M1587">
        <v>1</v>
      </c>
      <c r="N1587" t="s">
        <v>6242</v>
      </c>
      <c r="O1587" s="5">
        <v>45240</v>
      </c>
      <c r="P1587" s="5">
        <v>43777</v>
      </c>
    </row>
    <row r="1588" spans="1:16" x14ac:dyDescent="0.25">
      <c r="A1588" t="s">
        <v>6241</v>
      </c>
      <c r="B1588" t="str">
        <v>Not Found</v>
      </c>
      <c r="C1588" t="s">
        <v>6240</v>
      </c>
      <c r="D1588">
        <v>1147</v>
      </c>
      <c r="E1588">
        <v>1148.7</v>
      </c>
      <c r="F1588">
        <v>1147</v>
      </c>
      <c r="G1588" s="3">
        <v>1148.5</v>
      </c>
      <c r="H1588">
        <v>1148.5</v>
      </c>
      <c r="I1588">
        <v>1146</v>
      </c>
      <c r="J1588">
        <v>217</v>
      </c>
      <c r="K1588">
        <v>248964.7</v>
      </c>
      <c r="L1588" s="1">
        <v>45240</v>
      </c>
      <c r="M1588">
        <v>9</v>
      </c>
      <c r="N1588" t="s">
        <v>6239</v>
      </c>
      <c r="O1588" s="5">
        <v>45240</v>
      </c>
      <c r="P1588" s="5">
        <v>43777</v>
      </c>
    </row>
    <row r="1589" spans="1:16" x14ac:dyDescent="0.25">
      <c r="A1589" t="s">
        <v>6238</v>
      </c>
      <c r="B1589" t="str">
        <v>Not Found</v>
      </c>
      <c r="C1589" t="s">
        <v>5843</v>
      </c>
      <c r="D1589">
        <v>6932</v>
      </c>
      <c r="E1589">
        <v>7000</v>
      </c>
      <c r="F1589">
        <v>6870</v>
      </c>
      <c r="G1589" s="3">
        <v>6870.17</v>
      </c>
      <c r="H1589">
        <v>6870</v>
      </c>
      <c r="I1589">
        <v>6895</v>
      </c>
      <c r="J1589">
        <v>140</v>
      </c>
      <c r="K1589">
        <v>967692.83</v>
      </c>
      <c r="L1589" s="1">
        <v>45240</v>
      </c>
      <c r="M1589">
        <v>18</v>
      </c>
      <c r="N1589" t="s">
        <v>6237</v>
      </c>
      <c r="O1589" s="5">
        <v>45240</v>
      </c>
      <c r="P1589" s="5">
        <v>43777</v>
      </c>
    </row>
    <row r="1590" spans="1:16" x14ac:dyDescent="0.25">
      <c r="A1590" t="s">
        <v>6236</v>
      </c>
      <c r="B1590" t="str">
        <v>Not Found</v>
      </c>
      <c r="C1590" t="s">
        <v>5843</v>
      </c>
      <c r="D1590">
        <v>6100</v>
      </c>
      <c r="E1590">
        <v>6100</v>
      </c>
      <c r="F1590">
        <v>6100</v>
      </c>
      <c r="G1590" s="3">
        <v>6100</v>
      </c>
      <c r="H1590">
        <v>6100</v>
      </c>
      <c r="I1590">
        <v>6100</v>
      </c>
      <c r="J1590">
        <v>5</v>
      </c>
      <c r="K1590">
        <v>30500</v>
      </c>
      <c r="L1590" s="1">
        <v>45240</v>
      </c>
      <c r="M1590">
        <v>1</v>
      </c>
      <c r="N1590" t="s">
        <v>6235</v>
      </c>
      <c r="O1590" s="5">
        <v>45240</v>
      </c>
      <c r="P1590" s="5">
        <v>43777</v>
      </c>
    </row>
    <row r="1591" spans="1:16" x14ac:dyDescent="0.25">
      <c r="A1591" t="s">
        <v>6232</v>
      </c>
      <c r="B1591" t="str">
        <v>Not Found</v>
      </c>
      <c r="C1591" t="s">
        <v>5845</v>
      </c>
      <c r="D1591">
        <v>302.66000000000003</v>
      </c>
      <c r="E1591">
        <v>302.66000000000003</v>
      </c>
      <c r="F1591">
        <v>300.60000000000002</v>
      </c>
      <c r="G1591" s="3">
        <v>302.49</v>
      </c>
      <c r="H1591">
        <v>302.49</v>
      </c>
      <c r="I1591">
        <v>302.67</v>
      </c>
      <c r="J1591">
        <v>1621</v>
      </c>
      <c r="K1591">
        <v>488405.38</v>
      </c>
      <c r="L1591" s="1">
        <v>45240</v>
      </c>
      <c r="M1591">
        <v>28</v>
      </c>
      <c r="N1591" t="s">
        <v>6234</v>
      </c>
      <c r="O1591" s="5">
        <v>45240</v>
      </c>
      <c r="P1591" s="5">
        <v>43777</v>
      </c>
    </row>
    <row r="1592" spans="1:16" x14ac:dyDescent="0.25">
      <c r="A1592" t="s">
        <v>6232</v>
      </c>
      <c r="B1592" t="str">
        <v>Not Found</v>
      </c>
      <c r="C1592" t="s">
        <v>6176</v>
      </c>
      <c r="D1592">
        <v>303.25</v>
      </c>
      <c r="E1592">
        <v>304</v>
      </c>
      <c r="F1592">
        <v>300.92</v>
      </c>
      <c r="G1592" s="3">
        <v>304</v>
      </c>
      <c r="H1592">
        <v>304</v>
      </c>
      <c r="I1592">
        <v>303.85000000000002</v>
      </c>
      <c r="J1592">
        <v>625</v>
      </c>
      <c r="K1592">
        <v>189497.53</v>
      </c>
      <c r="L1592" s="1">
        <v>45240</v>
      </c>
      <c r="M1592">
        <v>10</v>
      </c>
      <c r="N1592" t="s">
        <v>6233</v>
      </c>
      <c r="O1592" s="5">
        <v>45240</v>
      </c>
      <c r="P1592" s="5">
        <v>43777</v>
      </c>
    </row>
    <row r="1593" spans="1:16" x14ac:dyDescent="0.25">
      <c r="A1593" t="s">
        <v>6232</v>
      </c>
      <c r="B1593" t="str">
        <v>Not Found</v>
      </c>
      <c r="C1593" t="s">
        <v>6182</v>
      </c>
      <c r="D1593">
        <v>404.01</v>
      </c>
      <c r="E1593">
        <v>408</v>
      </c>
      <c r="F1593">
        <v>404</v>
      </c>
      <c r="G1593" s="3">
        <v>405.48</v>
      </c>
      <c r="H1593">
        <v>404.5</v>
      </c>
      <c r="I1593">
        <v>407.63</v>
      </c>
      <c r="J1593">
        <v>426</v>
      </c>
      <c r="K1593">
        <v>172752.2</v>
      </c>
      <c r="L1593" s="1">
        <v>45240</v>
      </c>
      <c r="M1593">
        <v>8</v>
      </c>
      <c r="N1593" t="s">
        <v>6231</v>
      </c>
      <c r="O1593" s="5">
        <v>45240</v>
      </c>
      <c r="P1593" s="5">
        <v>43777</v>
      </c>
    </row>
    <row r="1594" spans="1:16" x14ac:dyDescent="0.25">
      <c r="A1594" t="s">
        <v>3538</v>
      </c>
      <c r="B1594" t="str">
        <v>NHPC Limited</v>
      </c>
      <c r="C1594" t="s">
        <v>14</v>
      </c>
      <c r="D1594">
        <v>51.15</v>
      </c>
      <c r="E1594">
        <v>51.8</v>
      </c>
      <c r="F1594">
        <v>50.8</v>
      </c>
      <c r="G1594" s="3">
        <v>51.6</v>
      </c>
      <c r="H1594">
        <v>51.6</v>
      </c>
      <c r="I1594">
        <v>51.25</v>
      </c>
      <c r="J1594">
        <v>13762947</v>
      </c>
      <c r="K1594">
        <v>708022133.29999995</v>
      </c>
      <c r="L1594" s="1">
        <v>45240</v>
      </c>
      <c r="M1594">
        <v>20705</v>
      </c>
      <c r="N1594" t="s">
        <v>3540</v>
      </c>
      <c r="O1594" s="5">
        <v>45240</v>
      </c>
      <c r="P1594" s="5">
        <v>43777</v>
      </c>
    </row>
    <row r="1595" spans="1:16" x14ac:dyDescent="0.25">
      <c r="A1595" t="s">
        <v>3541</v>
      </c>
      <c r="B1595" t="str">
        <v>The New India Assurance Company Limited</v>
      </c>
      <c r="C1595" t="s">
        <v>14</v>
      </c>
      <c r="D1595">
        <v>138.6</v>
      </c>
      <c r="E1595">
        <v>138.94999999999999</v>
      </c>
      <c r="F1595">
        <v>136.30000000000001</v>
      </c>
      <c r="G1595" s="3">
        <v>138.05000000000001</v>
      </c>
      <c r="H1595">
        <v>138.30000000000001</v>
      </c>
      <c r="I1595">
        <v>137.44999999999999</v>
      </c>
      <c r="J1595">
        <v>472788</v>
      </c>
      <c r="K1595">
        <v>65034225.950000003</v>
      </c>
      <c r="L1595" s="1">
        <v>45240</v>
      </c>
      <c r="M1595">
        <v>4285</v>
      </c>
      <c r="N1595" t="s">
        <v>3543</v>
      </c>
      <c r="O1595" s="5">
        <v>45240</v>
      </c>
      <c r="P1595" s="5">
        <v>43777</v>
      </c>
    </row>
    <row r="1596" spans="1:16" x14ac:dyDescent="0.25">
      <c r="A1596" t="s">
        <v>3544</v>
      </c>
      <c r="B1596" t="str">
        <v>NRB Industrial Bearings Limited</v>
      </c>
      <c r="C1596" t="s">
        <v>14</v>
      </c>
      <c r="D1596">
        <v>27.05</v>
      </c>
      <c r="E1596">
        <v>27.45</v>
      </c>
      <c r="F1596">
        <v>25.75</v>
      </c>
      <c r="G1596" s="3">
        <v>26.7</v>
      </c>
      <c r="H1596">
        <v>26.5</v>
      </c>
      <c r="I1596">
        <v>27.1</v>
      </c>
      <c r="J1596">
        <v>6937</v>
      </c>
      <c r="K1596">
        <v>184147.35</v>
      </c>
      <c r="L1596" s="1">
        <v>45240</v>
      </c>
      <c r="M1596">
        <v>105</v>
      </c>
      <c r="N1596" t="s">
        <v>3546</v>
      </c>
      <c r="O1596" s="5">
        <v>45240</v>
      </c>
      <c r="P1596" s="5">
        <v>43777</v>
      </c>
    </row>
    <row r="1597" spans="1:16" x14ac:dyDescent="0.25">
      <c r="A1597" t="s">
        <v>6230</v>
      </c>
      <c r="B1597" t="str">
        <v>Not Found</v>
      </c>
      <c r="C1597" t="s">
        <v>5788</v>
      </c>
      <c r="D1597">
        <v>32.049999999999997</v>
      </c>
      <c r="E1597">
        <v>32.9</v>
      </c>
      <c r="F1597">
        <v>32.049999999999997</v>
      </c>
      <c r="G1597" s="3">
        <v>32.799999999999997</v>
      </c>
      <c r="H1597">
        <v>32.9</v>
      </c>
      <c r="I1597">
        <v>32.5</v>
      </c>
      <c r="J1597">
        <v>16000</v>
      </c>
      <c r="K1597">
        <v>521300</v>
      </c>
      <c r="L1597" s="1">
        <v>45240</v>
      </c>
      <c r="M1597">
        <v>16</v>
      </c>
      <c r="N1597" t="s">
        <v>6229</v>
      </c>
      <c r="O1597" s="5">
        <v>45240</v>
      </c>
      <c r="P1597" s="5">
        <v>43777</v>
      </c>
    </row>
    <row r="1598" spans="1:16" x14ac:dyDescent="0.25">
      <c r="A1598" t="s">
        <v>6228</v>
      </c>
      <c r="B1598" t="str">
        <v>Not Found</v>
      </c>
      <c r="C1598" t="s">
        <v>6174</v>
      </c>
      <c r="D1598">
        <v>972.55</v>
      </c>
      <c r="E1598">
        <v>978</v>
      </c>
      <c r="F1598">
        <v>972.55</v>
      </c>
      <c r="G1598" s="3">
        <v>978</v>
      </c>
      <c r="H1598">
        <v>978</v>
      </c>
      <c r="I1598">
        <v>972.02</v>
      </c>
      <c r="J1598">
        <v>62</v>
      </c>
      <c r="K1598">
        <v>60309</v>
      </c>
      <c r="L1598" s="1">
        <v>45240</v>
      </c>
      <c r="M1598">
        <v>8</v>
      </c>
      <c r="N1598" t="s">
        <v>6227</v>
      </c>
      <c r="O1598" s="5">
        <v>45240</v>
      </c>
      <c r="P1598" s="5">
        <v>43777</v>
      </c>
    </row>
    <row r="1599" spans="1:16" x14ac:dyDescent="0.25">
      <c r="A1599" t="s">
        <v>6226</v>
      </c>
      <c r="B1599" t="str">
        <v>Not Found</v>
      </c>
      <c r="C1599" t="s">
        <v>14</v>
      </c>
      <c r="D1599">
        <v>203.21</v>
      </c>
      <c r="E1599">
        <v>203.75</v>
      </c>
      <c r="F1599">
        <v>201.85</v>
      </c>
      <c r="G1599" s="3">
        <v>202.9</v>
      </c>
      <c r="H1599">
        <v>203.5</v>
      </c>
      <c r="I1599">
        <v>203.15</v>
      </c>
      <c r="J1599">
        <v>4628</v>
      </c>
      <c r="K1599">
        <v>938745.38</v>
      </c>
      <c r="L1599" s="1">
        <v>45240</v>
      </c>
      <c r="M1599">
        <v>180</v>
      </c>
      <c r="N1599" t="s">
        <v>6225</v>
      </c>
      <c r="O1599" s="5">
        <v>45240</v>
      </c>
      <c r="P1599" s="5">
        <v>43777</v>
      </c>
    </row>
    <row r="1600" spans="1:16" x14ac:dyDescent="0.25">
      <c r="A1600" t="s">
        <v>6224</v>
      </c>
      <c r="B1600" t="str">
        <v>Not Found</v>
      </c>
      <c r="C1600" t="s">
        <v>14</v>
      </c>
      <c r="D1600">
        <v>151.4</v>
      </c>
      <c r="E1600">
        <v>151.75</v>
      </c>
      <c r="F1600">
        <v>150.57</v>
      </c>
      <c r="G1600" s="3">
        <v>151.75</v>
      </c>
      <c r="H1600">
        <v>151.75</v>
      </c>
      <c r="I1600">
        <v>151.63999999999999</v>
      </c>
      <c r="J1600">
        <v>307</v>
      </c>
      <c r="K1600">
        <v>46366.49</v>
      </c>
      <c r="L1600" s="1">
        <v>45240</v>
      </c>
      <c r="M1600">
        <v>19</v>
      </c>
      <c r="N1600" t="s">
        <v>6223</v>
      </c>
      <c r="O1600" s="5">
        <v>45240</v>
      </c>
      <c r="P1600" s="5">
        <v>43777</v>
      </c>
    </row>
    <row r="1601" spans="1:16" x14ac:dyDescent="0.25">
      <c r="A1601" t="s">
        <v>6222</v>
      </c>
      <c r="B1601" t="str">
        <v>Not Found</v>
      </c>
      <c r="C1601" t="s">
        <v>14</v>
      </c>
      <c r="D1601">
        <v>214.99</v>
      </c>
      <c r="E1601">
        <v>214.99</v>
      </c>
      <c r="F1601">
        <v>213.25</v>
      </c>
      <c r="G1601" s="3">
        <v>214.24</v>
      </c>
      <c r="H1601">
        <v>214.6</v>
      </c>
      <c r="I1601">
        <v>214.3</v>
      </c>
      <c r="J1601">
        <v>3287453</v>
      </c>
      <c r="K1601">
        <v>703642211.86000001</v>
      </c>
      <c r="L1601" s="1">
        <v>45240</v>
      </c>
      <c r="M1601">
        <v>26114</v>
      </c>
      <c r="N1601" t="s">
        <v>6221</v>
      </c>
      <c r="O1601" s="5">
        <v>45240</v>
      </c>
      <c r="P1601" s="5">
        <v>43777</v>
      </c>
    </row>
    <row r="1602" spans="1:16" x14ac:dyDescent="0.25">
      <c r="A1602" t="s">
        <v>6220</v>
      </c>
      <c r="B1602" t="str">
        <v>Not Found</v>
      </c>
      <c r="C1602" t="s">
        <v>14</v>
      </c>
      <c r="D1602">
        <v>204.41</v>
      </c>
      <c r="E1602">
        <v>205.25</v>
      </c>
      <c r="F1602">
        <v>203.69</v>
      </c>
      <c r="G1602" s="3">
        <v>205.11</v>
      </c>
      <c r="H1602">
        <v>205.17</v>
      </c>
      <c r="I1602">
        <v>204.79</v>
      </c>
      <c r="J1602">
        <v>219538</v>
      </c>
      <c r="K1602">
        <v>45018935.920000002</v>
      </c>
      <c r="L1602" s="1">
        <v>45240</v>
      </c>
      <c r="M1602">
        <v>319</v>
      </c>
      <c r="N1602" t="s">
        <v>6219</v>
      </c>
      <c r="O1602" s="5">
        <v>45240</v>
      </c>
      <c r="P1602" s="5">
        <v>43777</v>
      </c>
    </row>
    <row r="1603" spans="1:16" x14ac:dyDescent="0.25">
      <c r="A1603" t="s">
        <v>6218</v>
      </c>
      <c r="B1603" t="str">
        <v>Not Found</v>
      </c>
      <c r="C1603" t="s">
        <v>14</v>
      </c>
      <c r="D1603">
        <v>16.64</v>
      </c>
      <c r="E1603">
        <v>16.64</v>
      </c>
      <c r="F1603">
        <v>16.46</v>
      </c>
      <c r="G1603" s="3">
        <v>16.55</v>
      </c>
      <c r="H1603">
        <v>16.600000000000001</v>
      </c>
      <c r="I1603">
        <v>16.59</v>
      </c>
      <c r="J1603">
        <v>17829</v>
      </c>
      <c r="K1603">
        <v>294924.21999999997</v>
      </c>
      <c r="L1603" s="1">
        <v>45240</v>
      </c>
      <c r="M1603">
        <v>163</v>
      </c>
      <c r="N1603" t="s">
        <v>6217</v>
      </c>
      <c r="O1603" s="5">
        <v>45240</v>
      </c>
      <c r="P1603" s="5">
        <v>43777</v>
      </c>
    </row>
    <row r="1604" spans="1:16" x14ac:dyDescent="0.25">
      <c r="A1604" t="s">
        <v>3547</v>
      </c>
      <c r="B1604" t="str">
        <v>NIIT Limited</v>
      </c>
      <c r="C1604" t="s">
        <v>14</v>
      </c>
      <c r="D1604">
        <v>117.4</v>
      </c>
      <c r="E1604">
        <v>118.8</v>
      </c>
      <c r="F1604">
        <v>116.05</v>
      </c>
      <c r="G1604" s="3">
        <v>117.3</v>
      </c>
      <c r="H1604">
        <v>117.9</v>
      </c>
      <c r="I1604">
        <v>117.05</v>
      </c>
      <c r="J1604">
        <v>281907</v>
      </c>
      <c r="K1604">
        <v>32920572.75</v>
      </c>
      <c r="L1604" s="1">
        <v>45240</v>
      </c>
      <c r="M1604">
        <v>3479</v>
      </c>
      <c r="N1604" t="s">
        <v>3549</v>
      </c>
      <c r="O1604" s="5">
        <v>45240</v>
      </c>
      <c r="P1604" s="5">
        <v>43777</v>
      </c>
    </row>
    <row r="1605" spans="1:16" x14ac:dyDescent="0.25">
      <c r="A1605" t="s">
        <v>3550</v>
      </c>
      <c r="B1605" t="str">
        <v>NIIT Learning Systems Limited</v>
      </c>
      <c r="C1605" t="s">
        <v>14</v>
      </c>
      <c r="D1605">
        <v>376.7</v>
      </c>
      <c r="E1605">
        <v>381</v>
      </c>
      <c r="F1605">
        <v>369.3</v>
      </c>
      <c r="G1605" s="3">
        <v>372.4</v>
      </c>
      <c r="H1605">
        <v>372</v>
      </c>
      <c r="I1605">
        <v>377.75</v>
      </c>
      <c r="J1605">
        <v>150601</v>
      </c>
      <c r="K1605">
        <v>56238774.950000003</v>
      </c>
      <c r="L1605" s="1">
        <v>45240</v>
      </c>
      <c r="M1605">
        <v>9820</v>
      </c>
      <c r="N1605" t="s">
        <v>3552</v>
      </c>
      <c r="O1605" s="5">
        <v>45240</v>
      </c>
      <c r="P1605" s="5">
        <v>43777</v>
      </c>
    </row>
    <row r="1606" spans="1:16" x14ac:dyDescent="0.25">
      <c r="A1606" t="s">
        <v>3553</v>
      </c>
      <c r="B1606" t="str">
        <v>Nila Infrastructures Limited</v>
      </c>
      <c r="C1606" t="s">
        <v>10</v>
      </c>
      <c r="D1606">
        <v>6.9</v>
      </c>
      <c r="E1606">
        <v>6.95</v>
      </c>
      <c r="F1606">
        <v>6.65</v>
      </c>
      <c r="G1606" s="3">
        <v>6.8</v>
      </c>
      <c r="H1606">
        <v>6.75</v>
      </c>
      <c r="I1606">
        <v>6.95</v>
      </c>
      <c r="J1606">
        <v>568894</v>
      </c>
      <c r="K1606">
        <v>3874650.55</v>
      </c>
      <c r="L1606" s="1">
        <v>45240</v>
      </c>
      <c r="M1606">
        <v>555</v>
      </c>
      <c r="N1606" t="s">
        <v>3555</v>
      </c>
      <c r="O1606" s="5">
        <v>45240</v>
      </c>
      <c r="P1606" s="5">
        <v>43777</v>
      </c>
    </row>
    <row r="1607" spans="1:16" x14ac:dyDescent="0.25">
      <c r="A1607" t="s">
        <v>3556</v>
      </c>
      <c r="B1607" t="str">
        <v>Nila Spaces Limited</v>
      </c>
      <c r="C1607" t="s">
        <v>14</v>
      </c>
      <c r="D1607">
        <v>3.3</v>
      </c>
      <c r="E1607">
        <v>3.35</v>
      </c>
      <c r="F1607">
        <v>3.2</v>
      </c>
      <c r="G1607" s="3">
        <v>3.25</v>
      </c>
      <c r="H1607">
        <v>3.25</v>
      </c>
      <c r="I1607">
        <v>3.3</v>
      </c>
      <c r="J1607">
        <v>201102</v>
      </c>
      <c r="K1607">
        <v>659400.55000000005</v>
      </c>
      <c r="L1607" s="1">
        <v>45240</v>
      </c>
      <c r="M1607">
        <v>305</v>
      </c>
      <c r="N1607" t="s">
        <v>3558</v>
      </c>
      <c r="O1607" s="5">
        <v>45240</v>
      </c>
      <c r="P1607" s="5">
        <v>43777</v>
      </c>
    </row>
    <row r="1608" spans="1:16" x14ac:dyDescent="0.25">
      <c r="A1608" t="s">
        <v>3559</v>
      </c>
      <c r="B1608" t="str">
        <v>Nilkamal Limited</v>
      </c>
      <c r="C1608" t="s">
        <v>14</v>
      </c>
      <c r="D1608">
        <v>2226</v>
      </c>
      <c r="E1608">
        <v>2268</v>
      </c>
      <c r="F1608">
        <v>2175</v>
      </c>
      <c r="G1608" s="3">
        <v>2219.5500000000002</v>
      </c>
      <c r="H1608">
        <v>2229.9</v>
      </c>
      <c r="I1608">
        <v>2225.5500000000002</v>
      </c>
      <c r="J1608">
        <v>931</v>
      </c>
      <c r="K1608">
        <v>2069113.15</v>
      </c>
      <c r="L1608" s="1">
        <v>45240</v>
      </c>
      <c r="M1608">
        <v>366</v>
      </c>
      <c r="N1608" t="s">
        <v>3561</v>
      </c>
      <c r="O1608" s="5">
        <v>45240</v>
      </c>
      <c r="P1608" s="5">
        <v>43777</v>
      </c>
    </row>
    <row r="1609" spans="1:16" x14ac:dyDescent="0.25">
      <c r="A1609" t="s">
        <v>3562</v>
      </c>
      <c r="B1609" t="str">
        <v>NINtec Systems Limited</v>
      </c>
      <c r="C1609" t="s">
        <v>14</v>
      </c>
      <c r="D1609">
        <v>421</v>
      </c>
      <c r="E1609">
        <v>421</v>
      </c>
      <c r="F1609">
        <v>383.1</v>
      </c>
      <c r="G1609" s="3">
        <v>415.3</v>
      </c>
      <c r="H1609">
        <v>416.35</v>
      </c>
      <c r="I1609">
        <v>386.1</v>
      </c>
      <c r="J1609">
        <v>56638</v>
      </c>
      <c r="K1609">
        <v>23122301.949999999</v>
      </c>
      <c r="L1609" s="1">
        <v>45240</v>
      </c>
      <c r="M1609">
        <v>3449</v>
      </c>
      <c r="N1609" t="s">
        <v>3564</v>
      </c>
      <c r="O1609" s="5">
        <v>45240</v>
      </c>
      <c r="P1609" s="5">
        <v>43777</v>
      </c>
    </row>
    <row r="1610" spans="1:16" x14ac:dyDescent="0.25">
      <c r="A1610" t="s">
        <v>3565</v>
      </c>
      <c r="B1610" t="str">
        <v>Indo-National Limited</v>
      </c>
      <c r="C1610" t="s">
        <v>10</v>
      </c>
      <c r="D1610">
        <v>698.75</v>
      </c>
      <c r="E1610">
        <v>698.75</v>
      </c>
      <c r="F1610">
        <v>698.75</v>
      </c>
      <c r="G1610" s="3">
        <v>698.75</v>
      </c>
      <c r="H1610">
        <v>698.75</v>
      </c>
      <c r="I1610">
        <v>685.05</v>
      </c>
      <c r="J1610">
        <v>764</v>
      </c>
      <c r="K1610">
        <v>533845</v>
      </c>
      <c r="L1610" s="1">
        <v>45240</v>
      </c>
      <c r="M1610">
        <v>37</v>
      </c>
      <c r="N1610" t="s">
        <v>3567</v>
      </c>
      <c r="O1610" s="5">
        <v>45240</v>
      </c>
      <c r="P1610" s="5">
        <v>43777</v>
      </c>
    </row>
    <row r="1611" spans="1:16" x14ac:dyDescent="0.25">
      <c r="A1611" t="s">
        <v>3568</v>
      </c>
      <c r="B1611" t="str">
        <v>Niraj Cement Structurals Limited</v>
      </c>
      <c r="C1611" t="s">
        <v>10</v>
      </c>
      <c r="D1611">
        <v>36.5</v>
      </c>
      <c r="E1611">
        <v>36.950000000000003</v>
      </c>
      <c r="F1611">
        <v>36.15</v>
      </c>
      <c r="G1611" s="3">
        <v>36.5</v>
      </c>
      <c r="H1611">
        <v>36.5</v>
      </c>
      <c r="I1611">
        <v>36.4</v>
      </c>
      <c r="J1611">
        <v>30502</v>
      </c>
      <c r="K1611">
        <v>1112971.6499999999</v>
      </c>
      <c r="L1611" s="1">
        <v>45240</v>
      </c>
      <c r="M1611">
        <v>74</v>
      </c>
      <c r="N1611" t="s">
        <v>3570</v>
      </c>
      <c r="O1611" s="5">
        <v>45240</v>
      </c>
      <c r="P1611" s="5">
        <v>43777</v>
      </c>
    </row>
    <row r="1612" spans="1:16" x14ac:dyDescent="0.25">
      <c r="A1612" t="s">
        <v>6216</v>
      </c>
      <c r="B1612" t="str">
        <v>Not Found</v>
      </c>
      <c r="C1612" t="s">
        <v>5788</v>
      </c>
      <c r="D1612">
        <v>227.5</v>
      </c>
      <c r="E1612">
        <v>230</v>
      </c>
      <c r="F1612">
        <v>221.25</v>
      </c>
      <c r="G1612" s="3">
        <v>229.95</v>
      </c>
      <c r="H1612">
        <v>230</v>
      </c>
      <c r="I1612">
        <v>223.7</v>
      </c>
      <c r="J1612">
        <v>12000</v>
      </c>
      <c r="K1612">
        <v>2724630</v>
      </c>
      <c r="L1612" s="1">
        <v>45240</v>
      </c>
      <c r="M1612">
        <v>19</v>
      </c>
      <c r="N1612" t="s">
        <v>6215</v>
      </c>
      <c r="O1612" s="5">
        <v>45240</v>
      </c>
      <c r="P1612" s="5">
        <v>43777</v>
      </c>
    </row>
    <row r="1613" spans="1:16" x14ac:dyDescent="0.25">
      <c r="A1613" t="s">
        <v>3574</v>
      </c>
      <c r="B1613" t="str">
        <v>Nitco Limited</v>
      </c>
      <c r="C1613" t="s">
        <v>10</v>
      </c>
      <c r="D1613">
        <v>28</v>
      </c>
      <c r="E1613">
        <v>29.5</v>
      </c>
      <c r="F1613">
        <v>27.3</v>
      </c>
      <c r="G1613" s="3">
        <v>27.95</v>
      </c>
      <c r="H1613">
        <v>28.4</v>
      </c>
      <c r="I1613">
        <v>28.7</v>
      </c>
      <c r="J1613">
        <v>376122</v>
      </c>
      <c r="K1613">
        <v>10496659.15</v>
      </c>
      <c r="L1613" s="1">
        <v>45240</v>
      </c>
      <c r="M1613">
        <v>974</v>
      </c>
      <c r="N1613" t="s">
        <v>3576</v>
      </c>
      <c r="O1613" s="5">
        <v>45240</v>
      </c>
      <c r="P1613" s="5">
        <v>43777</v>
      </c>
    </row>
    <row r="1614" spans="1:16" x14ac:dyDescent="0.25">
      <c r="A1614" t="s">
        <v>3577</v>
      </c>
      <c r="B1614" t="str">
        <v>Nitin Spinners Limited</v>
      </c>
      <c r="C1614" t="s">
        <v>14</v>
      </c>
      <c r="D1614">
        <v>290</v>
      </c>
      <c r="E1614">
        <v>303.2</v>
      </c>
      <c r="F1614">
        <v>287.5</v>
      </c>
      <c r="G1614" s="3">
        <v>300</v>
      </c>
      <c r="H1614">
        <v>300</v>
      </c>
      <c r="I1614">
        <v>285.7</v>
      </c>
      <c r="J1614">
        <v>344075</v>
      </c>
      <c r="K1614">
        <v>101963417.3</v>
      </c>
      <c r="L1614" s="1">
        <v>45240</v>
      </c>
      <c r="M1614">
        <v>12042</v>
      </c>
      <c r="N1614" t="s">
        <v>3579</v>
      </c>
      <c r="O1614" s="5">
        <v>45240</v>
      </c>
      <c r="P1614" s="5">
        <v>43777</v>
      </c>
    </row>
    <row r="1615" spans="1:16" x14ac:dyDescent="0.25">
      <c r="A1615" t="s">
        <v>3580</v>
      </c>
      <c r="B1615" t="str">
        <v>Nitiraj Engineers Limited</v>
      </c>
      <c r="C1615" t="s">
        <v>10</v>
      </c>
      <c r="D1615">
        <v>115</v>
      </c>
      <c r="E1615">
        <v>115</v>
      </c>
      <c r="F1615">
        <v>114.7</v>
      </c>
      <c r="G1615" s="3">
        <v>114.7</v>
      </c>
      <c r="H1615">
        <v>114.7</v>
      </c>
      <c r="I1615">
        <v>117</v>
      </c>
      <c r="J1615">
        <v>647</v>
      </c>
      <c r="K1615">
        <v>74301.8</v>
      </c>
      <c r="L1615" s="1">
        <v>45240</v>
      </c>
      <c r="M1615">
        <v>24</v>
      </c>
      <c r="N1615" t="s">
        <v>3582</v>
      </c>
      <c r="O1615" s="5">
        <v>45240</v>
      </c>
      <c r="P1615" s="5">
        <v>43777</v>
      </c>
    </row>
    <row r="1616" spans="1:16" x14ac:dyDescent="0.25">
      <c r="A1616" t="s">
        <v>3583</v>
      </c>
      <c r="B1616" t="str">
        <v>NK Industries Limited</v>
      </c>
      <c r="C1616" t="s">
        <v>10</v>
      </c>
      <c r="D1616">
        <v>67.2</v>
      </c>
      <c r="E1616">
        <v>67.2</v>
      </c>
      <c r="F1616">
        <v>67.2</v>
      </c>
      <c r="G1616" s="3">
        <v>67.2</v>
      </c>
      <c r="H1616">
        <v>67.2</v>
      </c>
      <c r="I1616">
        <v>68.55</v>
      </c>
      <c r="J1616">
        <v>50</v>
      </c>
      <c r="K1616">
        <v>3360</v>
      </c>
      <c r="L1616" s="1">
        <v>45240</v>
      </c>
      <c r="M1616">
        <v>4</v>
      </c>
      <c r="N1616" t="s">
        <v>3585</v>
      </c>
      <c r="O1616" s="5">
        <v>45240</v>
      </c>
      <c r="P1616" s="5">
        <v>43777</v>
      </c>
    </row>
    <row r="1617" spans="1:16" x14ac:dyDescent="0.25">
      <c r="A1617" t="s">
        <v>3586</v>
      </c>
      <c r="B1617" t="str">
        <v>NLC India Limited</v>
      </c>
      <c r="C1617" t="s">
        <v>14</v>
      </c>
      <c r="D1617">
        <v>150.94999999999999</v>
      </c>
      <c r="E1617">
        <v>152.25</v>
      </c>
      <c r="F1617">
        <v>149.25</v>
      </c>
      <c r="G1617" s="3">
        <v>150.15</v>
      </c>
      <c r="H1617">
        <v>150.9</v>
      </c>
      <c r="I1617">
        <v>150.9</v>
      </c>
      <c r="J1617">
        <v>1602569</v>
      </c>
      <c r="K1617">
        <v>241819025.44999999</v>
      </c>
      <c r="L1617" s="1">
        <v>45240</v>
      </c>
      <c r="M1617">
        <v>15403</v>
      </c>
      <c r="N1617" t="s">
        <v>3588</v>
      </c>
      <c r="O1617" s="5">
        <v>45240</v>
      </c>
      <c r="P1617" s="5">
        <v>43777</v>
      </c>
    </row>
    <row r="1618" spans="1:16" x14ac:dyDescent="0.25">
      <c r="A1618" t="s">
        <v>3589</v>
      </c>
      <c r="B1618" t="str">
        <v>NMDC Limited</v>
      </c>
      <c r="C1618" t="s">
        <v>14</v>
      </c>
      <c r="D1618">
        <v>162.44999999999999</v>
      </c>
      <c r="E1618">
        <v>169.6</v>
      </c>
      <c r="F1618">
        <v>161.44999999999999</v>
      </c>
      <c r="G1618" s="3">
        <v>168.7</v>
      </c>
      <c r="H1618">
        <v>168.85</v>
      </c>
      <c r="I1618">
        <v>163.05000000000001</v>
      </c>
      <c r="J1618">
        <v>24358320</v>
      </c>
      <c r="K1618">
        <v>4075651316.3499999</v>
      </c>
      <c r="L1618" s="1">
        <v>45240</v>
      </c>
      <c r="M1618">
        <v>94168</v>
      </c>
      <c r="N1618" t="s">
        <v>3591</v>
      </c>
      <c r="O1618" s="5">
        <v>45240</v>
      </c>
      <c r="P1618" s="5">
        <v>43777</v>
      </c>
    </row>
    <row r="1619" spans="1:16" x14ac:dyDescent="0.25">
      <c r="A1619" t="s">
        <v>3592</v>
      </c>
      <c r="B1619" t="str">
        <v>NOCIL Limited</v>
      </c>
      <c r="C1619" t="s">
        <v>14</v>
      </c>
      <c r="D1619">
        <v>224.9</v>
      </c>
      <c r="E1619">
        <v>227.95</v>
      </c>
      <c r="F1619">
        <v>223.4</v>
      </c>
      <c r="G1619" s="3">
        <v>225.4</v>
      </c>
      <c r="H1619">
        <v>224.25</v>
      </c>
      <c r="I1619">
        <v>224.95</v>
      </c>
      <c r="J1619">
        <v>389012</v>
      </c>
      <c r="K1619">
        <v>87688961.650000006</v>
      </c>
      <c r="L1619" s="1">
        <v>45240</v>
      </c>
      <c r="M1619">
        <v>6403</v>
      </c>
      <c r="N1619" t="s">
        <v>3594</v>
      </c>
      <c r="O1619" s="5">
        <v>45240</v>
      </c>
      <c r="P1619" s="5">
        <v>43777</v>
      </c>
    </row>
    <row r="1620" spans="1:16" x14ac:dyDescent="0.25">
      <c r="A1620" t="s">
        <v>3595</v>
      </c>
      <c r="B1620" t="str">
        <v>Noida Toll Bridge Company Limited</v>
      </c>
      <c r="C1620" t="s">
        <v>10</v>
      </c>
      <c r="D1620">
        <v>11.6</v>
      </c>
      <c r="E1620">
        <v>11.6</v>
      </c>
      <c r="F1620">
        <v>11.6</v>
      </c>
      <c r="G1620" s="3">
        <v>11.6</v>
      </c>
      <c r="H1620">
        <v>11.6</v>
      </c>
      <c r="I1620">
        <v>11.05</v>
      </c>
      <c r="J1620">
        <v>120966</v>
      </c>
      <c r="K1620">
        <v>1403205.6</v>
      </c>
      <c r="L1620" s="1">
        <v>45240</v>
      </c>
      <c r="M1620">
        <v>149</v>
      </c>
      <c r="N1620" t="s">
        <v>3597</v>
      </c>
      <c r="O1620" s="5">
        <v>45240</v>
      </c>
      <c r="P1620" s="5">
        <v>43777</v>
      </c>
    </row>
    <row r="1621" spans="1:16" x14ac:dyDescent="0.25">
      <c r="A1621" t="s">
        <v>3598</v>
      </c>
      <c r="B1621" t="str">
        <v>Norben Tea &amp; Exports Limited</v>
      </c>
      <c r="C1621" t="s">
        <v>10</v>
      </c>
      <c r="D1621">
        <v>9.9499999999999993</v>
      </c>
      <c r="E1621">
        <v>9.9499999999999993</v>
      </c>
      <c r="F1621">
        <v>9.9499999999999993</v>
      </c>
      <c r="G1621" s="3">
        <v>9.9499999999999993</v>
      </c>
      <c r="H1621">
        <v>9.9499999999999993</v>
      </c>
      <c r="I1621">
        <v>9.8000000000000007</v>
      </c>
      <c r="J1621">
        <v>2894</v>
      </c>
      <c r="K1621">
        <v>28795.3</v>
      </c>
      <c r="L1621" s="1">
        <v>45240</v>
      </c>
      <c r="M1621">
        <v>6</v>
      </c>
      <c r="N1621" t="s">
        <v>3600</v>
      </c>
      <c r="O1621" s="5">
        <v>45240</v>
      </c>
      <c r="P1621" s="5">
        <v>43777</v>
      </c>
    </row>
    <row r="1622" spans="1:16" x14ac:dyDescent="0.25">
      <c r="A1622" t="s">
        <v>6214</v>
      </c>
      <c r="B1622" t="str">
        <v>Not Found</v>
      </c>
      <c r="C1622" t="s">
        <v>14</v>
      </c>
      <c r="D1622">
        <v>229.75</v>
      </c>
      <c r="E1622">
        <v>233.62</v>
      </c>
      <c r="F1622">
        <v>229.75</v>
      </c>
      <c r="G1622" s="3">
        <v>233.62</v>
      </c>
      <c r="H1622">
        <v>233.62</v>
      </c>
      <c r="I1622">
        <v>232.26</v>
      </c>
      <c r="J1622">
        <v>135</v>
      </c>
      <c r="K1622">
        <v>31343.37</v>
      </c>
      <c r="L1622" s="1">
        <v>45240</v>
      </c>
      <c r="M1622">
        <v>25</v>
      </c>
      <c r="N1622" t="s">
        <v>6213</v>
      </c>
      <c r="O1622" s="5">
        <v>45240</v>
      </c>
      <c r="P1622" s="5">
        <v>43777</v>
      </c>
    </row>
    <row r="1623" spans="1:16" x14ac:dyDescent="0.25">
      <c r="A1623" t="s">
        <v>6212</v>
      </c>
      <c r="B1623" t="str">
        <v>Not Found</v>
      </c>
      <c r="C1623" t="s">
        <v>5853</v>
      </c>
      <c r="D1623">
        <v>2068.4499999999998</v>
      </c>
      <c r="E1623">
        <v>2100</v>
      </c>
      <c r="F1623">
        <v>2000</v>
      </c>
      <c r="G1623" s="3">
        <v>2099.9499999999998</v>
      </c>
      <c r="H1623">
        <v>2099.9499999999998</v>
      </c>
      <c r="I1623">
        <v>2068.4499999999998</v>
      </c>
      <c r="J1623">
        <v>2400</v>
      </c>
      <c r="K1623">
        <v>4970440</v>
      </c>
      <c r="L1623" s="1">
        <v>45240</v>
      </c>
      <c r="M1623">
        <v>24</v>
      </c>
      <c r="N1623" t="s">
        <v>6211</v>
      </c>
      <c r="O1623" s="5">
        <v>45240</v>
      </c>
      <c r="P1623" s="5">
        <v>43777</v>
      </c>
    </row>
    <row r="1624" spans="1:16" x14ac:dyDescent="0.25">
      <c r="A1624" t="s">
        <v>3601</v>
      </c>
      <c r="B1624" t="str">
        <v>N R Agarwal Industries Limited</v>
      </c>
      <c r="C1624" t="s">
        <v>14</v>
      </c>
      <c r="D1624">
        <v>358.05</v>
      </c>
      <c r="E1624">
        <v>365</v>
      </c>
      <c r="F1624">
        <v>358.05</v>
      </c>
      <c r="G1624" s="3">
        <v>361.7</v>
      </c>
      <c r="H1624">
        <v>359.8</v>
      </c>
      <c r="I1624">
        <v>359.65</v>
      </c>
      <c r="J1624">
        <v>5018</v>
      </c>
      <c r="K1624">
        <v>1816261.25</v>
      </c>
      <c r="L1624" s="1">
        <v>45240</v>
      </c>
      <c r="M1624">
        <v>590</v>
      </c>
      <c r="N1624" t="s">
        <v>3603</v>
      </c>
      <c r="O1624" s="5">
        <v>45240</v>
      </c>
      <c r="P1624" s="5">
        <v>43777</v>
      </c>
    </row>
    <row r="1625" spans="1:16" x14ac:dyDescent="0.25">
      <c r="A1625" t="s">
        <v>3604</v>
      </c>
      <c r="B1625" t="str">
        <v>NRB Bearing Limited</v>
      </c>
      <c r="C1625" t="s">
        <v>14</v>
      </c>
      <c r="D1625">
        <v>260.89999999999998</v>
      </c>
      <c r="E1625">
        <v>263.45</v>
      </c>
      <c r="F1625">
        <v>258.5</v>
      </c>
      <c r="G1625" s="3">
        <v>260.75</v>
      </c>
      <c r="H1625">
        <v>261.5</v>
      </c>
      <c r="I1625">
        <v>261.7</v>
      </c>
      <c r="J1625">
        <v>57349</v>
      </c>
      <c r="K1625">
        <v>14943168.449999999</v>
      </c>
      <c r="L1625" s="1">
        <v>45240</v>
      </c>
      <c r="M1625">
        <v>2330</v>
      </c>
      <c r="N1625" t="s">
        <v>3606</v>
      </c>
      <c r="O1625" s="5">
        <v>45240</v>
      </c>
      <c r="P1625" s="5">
        <v>43777</v>
      </c>
    </row>
    <row r="1626" spans="1:16" x14ac:dyDescent="0.25">
      <c r="A1626" t="s">
        <v>3607</v>
      </c>
      <c r="B1626" t="str">
        <v>Nupur Recyclers Limited</v>
      </c>
      <c r="C1626" t="s">
        <v>14</v>
      </c>
      <c r="D1626">
        <v>89.6</v>
      </c>
      <c r="E1626">
        <v>95.85</v>
      </c>
      <c r="F1626">
        <v>89.2</v>
      </c>
      <c r="G1626" s="3">
        <v>93.65</v>
      </c>
      <c r="H1626">
        <v>92.8</v>
      </c>
      <c r="I1626">
        <v>88.5</v>
      </c>
      <c r="J1626">
        <v>151179</v>
      </c>
      <c r="K1626">
        <v>14146834.15</v>
      </c>
      <c r="L1626" s="1">
        <v>45240</v>
      </c>
      <c r="M1626">
        <v>1342</v>
      </c>
      <c r="N1626" t="s">
        <v>3609</v>
      </c>
      <c r="O1626" s="5">
        <v>45240</v>
      </c>
      <c r="P1626" s="5">
        <v>43777</v>
      </c>
    </row>
    <row r="1627" spans="1:16" x14ac:dyDescent="0.25">
      <c r="A1627" t="s">
        <v>3610</v>
      </c>
      <c r="B1627" t="str">
        <v>Nalwa Sons Investments Limited</v>
      </c>
      <c r="C1627" t="s">
        <v>14</v>
      </c>
      <c r="D1627">
        <v>2770</v>
      </c>
      <c r="E1627">
        <v>2839.9</v>
      </c>
      <c r="F1627">
        <v>2764</v>
      </c>
      <c r="G1627" s="3">
        <v>2799.65</v>
      </c>
      <c r="H1627">
        <v>2780</v>
      </c>
      <c r="I1627">
        <v>2757.85</v>
      </c>
      <c r="J1627">
        <v>14176</v>
      </c>
      <c r="K1627">
        <v>39782329.149999999</v>
      </c>
      <c r="L1627" s="1">
        <v>45240</v>
      </c>
      <c r="M1627">
        <v>2690</v>
      </c>
      <c r="N1627" t="s">
        <v>3612</v>
      </c>
      <c r="O1627" s="5">
        <v>45240</v>
      </c>
      <c r="P1627" s="5">
        <v>43777</v>
      </c>
    </row>
    <row r="1628" spans="1:16" x14ac:dyDescent="0.25">
      <c r="A1628" t="s">
        <v>3613</v>
      </c>
      <c r="B1628" t="str">
        <v>NMDC Steel Limited</v>
      </c>
      <c r="C1628" t="s">
        <v>14</v>
      </c>
      <c r="D1628">
        <v>40.549999999999997</v>
      </c>
      <c r="E1628">
        <v>41.5</v>
      </c>
      <c r="F1628">
        <v>40.35</v>
      </c>
      <c r="G1628" s="3">
        <v>40.4</v>
      </c>
      <c r="H1628">
        <v>40.6</v>
      </c>
      <c r="I1628">
        <v>40.950000000000003</v>
      </c>
      <c r="J1628">
        <v>4598900</v>
      </c>
      <c r="K1628">
        <v>187061039</v>
      </c>
      <c r="L1628" s="1">
        <v>45240</v>
      </c>
      <c r="M1628">
        <v>12129</v>
      </c>
      <c r="N1628" t="s">
        <v>3615</v>
      </c>
      <c r="O1628" s="5">
        <v>45240</v>
      </c>
      <c r="P1628" s="5">
        <v>43777</v>
      </c>
    </row>
    <row r="1629" spans="1:16" x14ac:dyDescent="0.25">
      <c r="A1629" t="s">
        <v>3616</v>
      </c>
      <c r="B1629" t="str">
        <v>NTPC Limited</v>
      </c>
      <c r="C1629" t="s">
        <v>14</v>
      </c>
      <c r="D1629">
        <v>237.85</v>
      </c>
      <c r="E1629">
        <v>243.25</v>
      </c>
      <c r="F1629">
        <v>235.8</v>
      </c>
      <c r="G1629" s="3">
        <v>242.75</v>
      </c>
      <c r="H1629">
        <v>242.5</v>
      </c>
      <c r="I1629">
        <v>237.95</v>
      </c>
      <c r="J1629">
        <v>9589671</v>
      </c>
      <c r="K1629">
        <v>2307664339.8000002</v>
      </c>
      <c r="L1629" s="1">
        <v>45240</v>
      </c>
      <c r="M1629">
        <v>86761</v>
      </c>
      <c r="N1629" t="s">
        <v>3618</v>
      </c>
      <c r="O1629" s="5">
        <v>45240</v>
      </c>
      <c r="P1629" s="5">
        <v>43777</v>
      </c>
    </row>
    <row r="1630" spans="1:16" x14ac:dyDescent="0.25">
      <c r="A1630" t="s">
        <v>3616</v>
      </c>
      <c r="B1630" t="str">
        <v>NTPC Limited</v>
      </c>
      <c r="C1630" t="s">
        <v>6210</v>
      </c>
      <c r="D1630">
        <v>1084.5</v>
      </c>
      <c r="E1630">
        <v>1092.9000000000001</v>
      </c>
      <c r="F1630">
        <v>1084.5</v>
      </c>
      <c r="G1630" s="3">
        <v>1085.9100000000001</v>
      </c>
      <c r="H1630">
        <v>1085.31</v>
      </c>
      <c r="I1630">
        <v>1084.5</v>
      </c>
      <c r="J1630">
        <v>2765</v>
      </c>
      <c r="K1630">
        <v>3001932.6</v>
      </c>
      <c r="L1630" s="1">
        <v>45240</v>
      </c>
      <c r="M1630">
        <v>13</v>
      </c>
      <c r="N1630" t="s">
        <v>6209</v>
      </c>
      <c r="O1630" s="5">
        <v>45240</v>
      </c>
      <c r="P1630" s="5">
        <v>43777</v>
      </c>
    </row>
    <row r="1631" spans="1:16" x14ac:dyDescent="0.25">
      <c r="A1631" t="s">
        <v>3616</v>
      </c>
      <c r="B1631" t="str">
        <v>NTPC Limited</v>
      </c>
      <c r="C1631" t="s">
        <v>5843</v>
      </c>
      <c r="D1631">
        <v>1352.01</v>
      </c>
      <c r="E1631">
        <v>1352.01</v>
      </c>
      <c r="F1631">
        <v>1352</v>
      </c>
      <c r="G1631" s="3">
        <v>1352</v>
      </c>
      <c r="H1631">
        <v>1352</v>
      </c>
      <c r="I1631">
        <v>1377</v>
      </c>
      <c r="J1631">
        <v>165</v>
      </c>
      <c r="K1631">
        <v>223080.04</v>
      </c>
      <c r="L1631" s="1">
        <v>45240</v>
      </c>
      <c r="M1631">
        <v>4</v>
      </c>
      <c r="N1631" t="s">
        <v>6208</v>
      </c>
      <c r="O1631" s="5">
        <v>45240</v>
      </c>
      <c r="P1631" s="5">
        <v>43777</v>
      </c>
    </row>
    <row r="1632" spans="1:16" x14ac:dyDescent="0.25">
      <c r="A1632" t="s">
        <v>3616</v>
      </c>
      <c r="B1632" t="str">
        <v>NTPC Limited</v>
      </c>
      <c r="C1632" t="s">
        <v>6207</v>
      </c>
      <c r="D1632">
        <v>10.58</v>
      </c>
      <c r="E1632">
        <v>10.63</v>
      </c>
      <c r="F1632">
        <v>10.58</v>
      </c>
      <c r="G1632" s="3">
        <v>10.58</v>
      </c>
      <c r="H1632">
        <v>10.59</v>
      </c>
      <c r="I1632">
        <v>10.58</v>
      </c>
      <c r="J1632">
        <v>43111</v>
      </c>
      <c r="K1632">
        <v>456519.13</v>
      </c>
      <c r="L1632" s="1">
        <v>45240</v>
      </c>
      <c r="M1632">
        <v>66</v>
      </c>
      <c r="N1632" t="s">
        <v>6206</v>
      </c>
      <c r="O1632" s="5">
        <v>45240</v>
      </c>
      <c r="P1632" s="5">
        <v>43777</v>
      </c>
    </row>
    <row r="1633" spans="1:16" x14ac:dyDescent="0.25">
      <c r="A1633" t="s">
        <v>3619</v>
      </c>
      <c r="B1633" t="str">
        <v>Nucleus Software Exports Limited</v>
      </c>
      <c r="C1633" t="s">
        <v>10</v>
      </c>
      <c r="D1633">
        <v>1527.85</v>
      </c>
      <c r="E1633">
        <v>1527.85</v>
      </c>
      <c r="F1633">
        <v>1527.85</v>
      </c>
      <c r="G1633" s="3">
        <v>1527.85</v>
      </c>
      <c r="H1633">
        <v>1527.85</v>
      </c>
      <c r="I1633">
        <v>1608.25</v>
      </c>
      <c r="J1633">
        <v>6034</v>
      </c>
      <c r="K1633">
        <v>9219046.9000000004</v>
      </c>
      <c r="L1633" s="1">
        <v>45240</v>
      </c>
      <c r="M1633">
        <v>449</v>
      </c>
      <c r="N1633" t="s">
        <v>3621</v>
      </c>
      <c r="O1633" s="5">
        <v>45240</v>
      </c>
      <c r="P1633" s="5">
        <v>43777</v>
      </c>
    </row>
    <row r="1634" spans="1:16" x14ac:dyDescent="0.25">
      <c r="A1634" t="s">
        <v>3622</v>
      </c>
      <c r="B1634" t="str">
        <v>Nureca Limited</v>
      </c>
      <c r="C1634" t="s">
        <v>14</v>
      </c>
      <c r="D1634">
        <v>356.5</v>
      </c>
      <c r="E1634">
        <v>361.6</v>
      </c>
      <c r="F1634">
        <v>351.15</v>
      </c>
      <c r="G1634" s="3">
        <v>354.75</v>
      </c>
      <c r="H1634">
        <v>355</v>
      </c>
      <c r="I1634">
        <v>353.15</v>
      </c>
      <c r="J1634">
        <v>27687</v>
      </c>
      <c r="K1634">
        <v>9845283.6500000004</v>
      </c>
      <c r="L1634" s="1">
        <v>45240</v>
      </c>
      <c r="M1634">
        <v>1849</v>
      </c>
      <c r="N1634" t="s">
        <v>3624</v>
      </c>
      <c r="O1634" s="5">
        <v>45240</v>
      </c>
      <c r="P1634" s="5">
        <v>43777</v>
      </c>
    </row>
    <row r="1635" spans="1:16" x14ac:dyDescent="0.25">
      <c r="A1635" t="s">
        <v>3625</v>
      </c>
      <c r="B1635" t="str">
        <v>Nuvama Wealth Management Limited</v>
      </c>
      <c r="C1635" t="s">
        <v>14</v>
      </c>
      <c r="D1635">
        <v>2679</v>
      </c>
      <c r="E1635">
        <v>2737</v>
      </c>
      <c r="F1635">
        <v>2618.65</v>
      </c>
      <c r="G1635" s="3">
        <v>2653.05</v>
      </c>
      <c r="H1635">
        <v>2661</v>
      </c>
      <c r="I1635">
        <v>2702.55</v>
      </c>
      <c r="J1635">
        <v>276469</v>
      </c>
      <c r="K1635">
        <v>742561220.45000005</v>
      </c>
      <c r="L1635" s="1">
        <v>45240</v>
      </c>
      <c r="M1635">
        <v>18072</v>
      </c>
      <c r="N1635" t="s">
        <v>3627</v>
      </c>
      <c r="O1635" s="5">
        <v>45240</v>
      </c>
      <c r="P1635" s="5">
        <v>43777</v>
      </c>
    </row>
    <row r="1636" spans="1:16" x14ac:dyDescent="0.25">
      <c r="A1636" t="s">
        <v>3628</v>
      </c>
      <c r="B1636" t="str">
        <v>Nuvoco Vistas Corporation Limited</v>
      </c>
      <c r="C1636" t="s">
        <v>14</v>
      </c>
      <c r="D1636">
        <v>341</v>
      </c>
      <c r="E1636">
        <v>348.4</v>
      </c>
      <c r="F1636">
        <v>341</v>
      </c>
      <c r="G1636" s="3">
        <v>343.5</v>
      </c>
      <c r="H1636">
        <v>342.75</v>
      </c>
      <c r="I1636">
        <v>341.8</v>
      </c>
      <c r="J1636">
        <v>135559</v>
      </c>
      <c r="K1636">
        <v>46797152.450000003</v>
      </c>
      <c r="L1636" s="1">
        <v>45240</v>
      </c>
      <c r="M1636">
        <v>6605</v>
      </c>
      <c r="N1636" t="s">
        <v>3630</v>
      </c>
      <c r="O1636" s="5">
        <v>45240</v>
      </c>
      <c r="P1636" s="5">
        <v>43777</v>
      </c>
    </row>
    <row r="1637" spans="1:16" x14ac:dyDescent="0.25">
      <c r="A1637" t="s">
        <v>6205</v>
      </c>
      <c r="B1637" t="str">
        <v>Not Found</v>
      </c>
      <c r="C1637" t="s">
        <v>14</v>
      </c>
      <c r="D1637">
        <v>117.6</v>
      </c>
      <c r="E1637">
        <v>117.6</v>
      </c>
      <c r="F1637">
        <v>115.2</v>
      </c>
      <c r="G1637" s="3">
        <v>115.64</v>
      </c>
      <c r="H1637">
        <v>115.2</v>
      </c>
      <c r="I1637">
        <v>115.92</v>
      </c>
      <c r="J1637">
        <v>7983</v>
      </c>
      <c r="K1637">
        <v>921982.64</v>
      </c>
      <c r="L1637" s="1">
        <v>45240</v>
      </c>
      <c r="M1637">
        <v>173</v>
      </c>
      <c r="N1637" t="s">
        <v>6204</v>
      </c>
      <c r="O1637" s="5">
        <v>45240</v>
      </c>
      <c r="P1637" s="5">
        <v>43777</v>
      </c>
    </row>
    <row r="1638" spans="1:16" x14ac:dyDescent="0.25">
      <c r="A1638" t="s">
        <v>6203</v>
      </c>
      <c r="B1638" t="str">
        <v>Not Found</v>
      </c>
      <c r="C1638" t="s">
        <v>6202</v>
      </c>
      <c r="D1638">
        <v>125.6</v>
      </c>
      <c r="E1638">
        <v>129.94999999999999</v>
      </c>
      <c r="F1638">
        <v>125.6</v>
      </c>
      <c r="G1638" s="3">
        <v>127.8</v>
      </c>
      <c r="H1638">
        <v>128.49</v>
      </c>
      <c r="I1638">
        <v>126.61</v>
      </c>
      <c r="J1638">
        <v>351214</v>
      </c>
      <c r="K1638">
        <v>44687435.090000004</v>
      </c>
      <c r="L1638" s="1">
        <v>45240</v>
      </c>
      <c r="M1638">
        <v>2454</v>
      </c>
      <c r="N1638" t="s">
        <v>6201</v>
      </c>
      <c r="O1638" s="5">
        <v>45240</v>
      </c>
      <c r="P1638" s="5">
        <v>43777</v>
      </c>
    </row>
    <row r="1639" spans="1:16" x14ac:dyDescent="0.25">
      <c r="A1639" t="s">
        <v>3631</v>
      </c>
      <c r="B1639" t="str">
        <v>FSN E-Commerce Ventures Limited</v>
      </c>
      <c r="C1639" t="s">
        <v>14</v>
      </c>
      <c r="D1639">
        <v>146.94999999999999</v>
      </c>
      <c r="E1639">
        <v>150.5</v>
      </c>
      <c r="F1639">
        <v>145.19999999999999</v>
      </c>
      <c r="G1639" s="3">
        <v>149.9</v>
      </c>
      <c r="H1639">
        <v>150</v>
      </c>
      <c r="I1639">
        <v>147.5</v>
      </c>
      <c r="J1639">
        <v>2817754</v>
      </c>
      <c r="K1639">
        <v>416991644.55000001</v>
      </c>
      <c r="L1639" s="1">
        <v>45240</v>
      </c>
      <c r="M1639">
        <v>17431</v>
      </c>
      <c r="N1639" t="s">
        <v>3633</v>
      </c>
      <c r="O1639" s="5">
        <v>45240</v>
      </c>
      <c r="P1639" s="5">
        <v>43777</v>
      </c>
    </row>
    <row r="1640" spans="1:16" x14ac:dyDescent="0.25">
      <c r="A1640" t="s">
        <v>3634</v>
      </c>
      <c r="B1640" t="str">
        <v>Oriental Aromatics Limited</v>
      </c>
      <c r="C1640" t="s">
        <v>14</v>
      </c>
      <c r="D1640">
        <v>351.25</v>
      </c>
      <c r="E1640">
        <v>356.3</v>
      </c>
      <c r="F1640">
        <v>339.25</v>
      </c>
      <c r="G1640" s="3">
        <v>342.9</v>
      </c>
      <c r="H1640">
        <v>345</v>
      </c>
      <c r="I1640">
        <v>346.1</v>
      </c>
      <c r="J1640">
        <v>13903</v>
      </c>
      <c r="K1640">
        <v>4852351.1500000004</v>
      </c>
      <c r="L1640" s="1">
        <v>45240</v>
      </c>
      <c r="M1640">
        <v>770</v>
      </c>
      <c r="N1640" t="s">
        <v>3636</v>
      </c>
      <c r="O1640" s="5">
        <v>45240</v>
      </c>
      <c r="P1640" s="5">
        <v>43777</v>
      </c>
    </row>
    <row r="1641" spans="1:16" x14ac:dyDescent="0.25">
      <c r="A1641" t="s">
        <v>3637</v>
      </c>
      <c r="B1641" t="str">
        <v>Orissa Bengal Carrier Limited</v>
      </c>
      <c r="C1641" t="s">
        <v>14</v>
      </c>
      <c r="D1641">
        <v>58.3</v>
      </c>
      <c r="E1641">
        <v>60.4</v>
      </c>
      <c r="F1641">
        <v>57.5</v>
      </c>
      <c r="G1641" s="3">
        <v>58.55</v>
      </c>
      <c r="H1641">
        <v>59</v>
      </c>
      <c r="I1641">
        <v>58.8</v>
      </c>
      <c r="J1641">
        <v>72800</v>
      </c>
      <c r="K1641">
        <v>4268617.5999999996</v>
      </c>
      <c r="L1641" s="1">
        <v>45240</v>
      </c>
      <c r="M1641">
        <v>3187</v>
      </c>
      <c r="N1641" t="s">
        <v>3639</v>
      </c>
      <c r="O1641" s="5">
        <v>45240</v>
      </c>
      <c r="P1641" s="5">
        <v>43777</v>
      </c>
    </row>
    <row r="1642" spans="1:16" x14ac:dyDescent="0.25">
      <c r="A1642" t="s">
        <v>3640</v>
      </c>
      <c r="B1642" t="str">
        <v>Oberoi Realty Limited</v>
      </c>
      <c r="C1642" t="s">
        <v>14</v>
      </c>
      <c r="D1642">
        <v>1252</v>
      </c>
      <c r="E1642">
        <v>1264.6500000000001</v>
      </c>
      <c r="F1642">
        <v>1240.7</v>
      </c>
      <c r="G1642" s="3">
        <v>1256.6500000000001</v>
      </c>
      <c r="H1642">
        <v>1245</v>
      </c>
      <c r="I1642">
        <v>1256.3</v>
      </c>
      <c r="J1642">
        <v>452883</v>
      </c>
      <c r="K1642">
        <v>567832680.75</v>
      </c>
      <c r="L1642" s="1">
        <v>45240</v>
      </c>
      <c r="M1642">
        <v>13673</v>
      </c>
      <c r="N1642" t="s">
        <v>3642</v>
      </c>
      <c r="O1642" s="5">
        <v>45240</v>
      </c>
      <c r="P1642" s="5">
        <v>43777</v>
      </c>
    </row>
    <row r="1643" spans="1:16" x14ac:dyDescent="0.25">
      <c r="A1643" t="s">
        <v>3643</v>
      </c>
      <c r="B1643" t="str">
        <v>Oriental Carbon &amp; Chemicals Limited</v>
      </c>
      <c r="C1643" t="s">
        <v>14</v>
      </c>
      <c r="D1643">
        <v>791.75</v>
      </c>
      <c r="E1643">
        <v>799.8</v>
      </c>
      <c r="F1643">
        <v>787</v>
      </c>
      <c r="G1643" s="3">
        <v>792.2</v>
      </c>
      <c r="H1643">
        <v>794.4</v>
      </c>
      <c r="I1643">
        <v>790.7</v>
      </c>
      <c r="J1643">
        <v>5103</v>
      </c>
      <c r="K1643">
        <v>4038211.95</v>
      </c>
      <c r="L1643" s="1">
        <v>45240</v>
      </c>
      <c r="M1643">
        <v>616</v>
      </c>
      <c r="N1643" t="s">
        <v>3645</v>
      </c>
      <c r="O1643" s="5">
        <v>45240</v>
      </c>
      <c r="P1643" s="5">
        <v>43777</v>
      </c>
    </row>
    <row r="1644" spans="1:16" x14ac:dyDescent="0.25">
      <c r="A1644" t="s">
        <v>3646</v>
      </c>
      <c r="B1644" t="str">
        <v>Oracle Financial Services Software Limited</v>
      </c>
      <c r="C1644" t="s">
        <v>14</v>
      </c>
      <c r="D1644">
        <v>4032.05</v>
      </c>
      <c r="E1644">
        <v>4074</v>
      </c>
      <c r="F1644">
        <v>4005.05</v>
      </c>
      <c r="G1644" s="3">
        <v>4019.15</v>
      </c>
      <c r="H1644">
        <v>4034.35</v>
      </c>
      <c r="I1644">
        <v>4060.55</v>
      </c>
      <c r="J1644">
        <v>32003</v>
      </c>
      <c r="K1644">
        <v>129238795.59999999</v>
      </c>
      <c r="L1644" s="1">
        <v>45240</v>
      </c>
      <c r="M1644">
        <v>6867</v>
      </c>
      <c r="N1644" t="s">
        <v>3648</v>
      </c>
      <c r="O1644" s="5">
        <v>45240</v>
      </c>
      <c r="P1644" s="5">
        <v>43777</v>
      </c>
    </row>
    <row r="1645" spans="1:16" x14ac:dyDescent="0.25">
      <c r="A1645" t="s">
        <v>3649</v>
      </c>
      <c r="B1645" t="str">
        <v>Oil India Limited</v>
      </c>
      <c r="C1645" t="s">
        <v>14</v>
      </c>
      <c r="D1645">
        <v>302.2</v>
      </c>
      <c r="E1645">
        <v>307</v>
      </c>
      <c r="F1645">
        <v>300.8</v>
      </c>
      <c r="G1645" s="3">
        <v>305.75</v>
      </c>
      <c r="H1645">
        <v>305.10000000000002</v>
      </c>
      <c r="I1645">
        <v>302.3</v>
      </c>
      <c r="J1645">
        <v>920565</v>
      </c>
      <c r="K1645">
        <v>280499126.44999999</v>
      </c>
      <c r="L1645" s="1">
        <v>45240</v>
      </c>
      <c r="M1645">
        <v>12371</v>
      </c>
      <c r="N1645" t="s">
        <v>3651</v>
      </c>
      <c r="O1645" s="5">
        <v>45240</v>
      </c>
      <c r="P1645" s="5">
        <v>43777</v>
      </c>
    </row>
    <row r="1646" spans="1:16" x14ac:dyDescent="0.25">
      <c r="A1646" t="s">
        <v>3652</v>
      </c>
      <c r="B1646" t="str">
        <v>Oil Country Tubular Limited</v>
      </c>
      <c r="C1646" t="s">
        <v>10</v>
      </c>
      <c r="D1646">
        <v>19.399999999999999</v>
      </c>
      <c r="E1646">
        <v>19.8</v>
      </c>
      <c r="F1646">
        <v>19.399999999999999</v>
      </c>
      <c r="G1646" s="3">
        <v>19.75</v>
      </c>
      <c r="H1646">
        <v>19.75</v>
      </c>
      <c r="I1646">
        <v>19.8</v>
      </c>
      <c r="J1646">
        <v>7048</v>
      </c>
      <c r="K1646">
        <v>137894.79999999999</v>
      </c>
      <c r="L1646" s="1">
        <v>45240</v>
      </c>
      <c r="M1646">
        <v>39</v>
      </c>
      <c r="N1646" t="s">
        <v>3654</v>
      </c>
      <c r="O1646" s="5">
        <v>45240</v>
      </c>
      <c r="P1646" s="5">
        <v>43777</v>
      </c>
    </row>
    <row r="1647" spans="1:16" x14ac:dyDescent="0.25">
      <c r="A1647" t="s">
        <v>3655</v>
      </c>
      <c r="B1647" t="str">
        <v>Olectra Greentech Limited</v>
      </c>
      <c r="C1647" t="s">
        <v>14</v>
      </c>
      <c r="D1647">
        <v>1171.9000000000001</v>
      </c>
      <c r="E1647">
        <v>1175.5</v>
      </c>
      <c r="F1647">
        <v>1157.1500000000001</v>
      </c>
      <c r="G1647" s="3">
        <v>1162.55</v>
      </c>
      <c r="H1647">
        <v>1164</v>
      </c>
      <c r="I1647">
        <v>1171.6500000000001</v>
      </c>
      <c r="J1647">
        <v>193172</v>
      </c>
      <c r="K1647">
        <v>225279456.55000001</v>
      </c>
      <c r="L1647" s="1">
        <v>45240</v>
      </c>
      <c r="M1647">
        <v>10586</v>
      </c>
      <c r="N1647" t="s">
        <v>3657</v>
      </c>
      <c r="O1647" s="5">
        <v>45240</v>
      </c>
      <c r="P1647" s="5">
        <v>43777</v>
      </c>
    </row>
    <row r="1648" spans="1:16" x14ac:dyDescent="0.25">
      <c r="A1648" t="s">
        <v>6200</v>
      </c>
      <c r="B1648" t="str">
        <v>Not Found</v>
      </c>
      <c r="C1648" t="s">
        <v>5788</v>
      </c>
      <c r="D1648">
        <v>65</v>
      </c>
      <c r="E1648">
        <v>67.75</v>
      </c>
      <c r="F1648">
        <v>65</v>
      </c>
      <c r="G1648" s="3">
        <v>66.099999999999994</v>
      </c>
      <c r="H1648">
        <v>66.099999999999994</v>
      </c>
      <c r="I1648">
        <v>68.400000000000006</v>
      </c>
      <c r="J1648">
        <v>30000</v>
      </c>
      <c r="K1648">
        <v>1964940</v>
      </c>
      <c r="L1648" s="1">
        <v>45240</v>
      </c>
      <c r="M1648">
        <v>23</v>
      </c>
      <c r="N1648" t="s">
        <v>6199</v>
      </c>
      <c r="O1648" s="5">
        <v>45240</v>
      </c>
      <c r="P1648" s="5">
        <v>43777</v>
      </c>
    </row>
    <row r="1649" spans="1:16" x14ac:dyDescent="0.25">
      <c r="A1649" t="s">
        <v>3658</v>
      </c>
      <c r="B1649" t="str">
        <v>Omax Autos Limited</v>
      </c>
      <c r="C1649" t="s">
        <v>14</v>
      </c>
      <c r="D1649">
        <v>57.7</v>
      </c>
      <c r="E1649">
        <v>58.5</v>
      </c>
      <c r="F1649">
        <v>57.1</v>
      </c>
      <c r="G1649" s="3">
        <v>57.25</v>
      </c>
      <c r="H1649">
        <v>57.1</v>
      </c>
      <c r="I1649">
        <v>57.95</v>
      </c>
      <c r="J1649">
        <v>25759</v>
      </c>
      <c r="K1649">
        <v>1486124.45</v>
      </c>
      <c r="L1649" s="1">
        <v>45240</v>
      </c>
      <c r="M1649">
        <v>432</v>
      </c>
      <c r="N1649" t="s">
        <v>3660</v>
      </c>
      <c r="O1649" s="5">
        <v>45240</v>
      </c>
      <c r="P1649" s="5">
        <v>43777</v>
      </c>
    </row>
    <row r="1650" spans="1:16" x14ac:dyDescent="0.25">
      <c r="A1650" t="s">
        <v>3661</v>
      </c>
      <c r="B1650" t="str">
        <v>Omaxe Limited</v>
      </c>
      <c r="C1650" t="s">
        <v>14</v>
      </c>
      <c r="D1650">
        <v>79</v>
      </c>
      <c r="E1650">
        <v>81.400000000000006</v>
      </c>
      <c r="F1650">
        <v>78</v>
      </c>
      <c r="G1650" s="3">
        <v>78.45</v>
      </c>
      <c r="H1650">
        <v>78.55</v>
      </c>
      <c r="I1650">
        <v>81.349999999999994</v>
      </c>
      <c r="J1650">
        <v>236362</v>
      </c>
      <c r="K1650">
        <v>18719428.5</v>
      </c>
      <c r="L1650" s="1">
        <v>45240</v>
      </c>
      <c r="M1650">
        <v>1774</v>
      </c>
      <c r="N1650" t="s">
        <v>3663</v>
      </c>
      <c r="O1650" s="5">
        <v>45240</v>
      </c>
      <c r="P1650" s="5">
        <v>43777</v>
      </c>
    </row>
    <row r="1651" spans="1:16" x14ac:dyDescent="0.25">
      <c r="A1651" t="s">
        <v>3664</v>
      </c>
      <c r="B1651" t="str">
        <v>OM INFRA LIMITED</v>
      </c>
      <c r="C1651" t="s">
        <v>10</v>
      </c>
      <c r="D1651">
        <v>107.7</v>
      </c>
      <c r="E1651">
        <v>108.6</v>
      </c>
      <c r="F1651">
        <v>107.7</v>
      </c>
      <c r="G1651" s="3">
        <v>108.6</v>
      </c>
      <c r="H1651">
        <v>108.6</v>
      </c>
      <c r="I1651">
        <v>106.5</v>
      </c>
      <c r="J1651">
        <v>108506</v>
      </c>
      <c r="K1651">
        <v>11757399.300000001</v>
      </c>
      <c r="L1651" s="1">
        <v>45240</v>
      </c>
      <c r="M1651">
        <v>324</v>
      </c>
      <c r="N1651" t="s">
        <v>3666</v>
      </c>
      <c r="O1651" s="5">
        <v>45240</v>
      </c>
      <c r="P1651" s="5">
        <v>43777</v>
      </c>
    </row>
    <row r="1652" spans="1:16" x14ac:dyDescent="0.25">
      <c r="A1652" t="s">
        <v>3667</v>
      </c>
      <c r="B1652" t="str">
        <v>Omkar Speciality Chemicals Limited</v>
      </c>
      <c r="C1652" t="s">
        <v>786</v>
      </c>
      <c r="D1652">
        <v>8.9</v>
      </c>
      <c r="E1652">
        <v>9.1</v>
      </c>
      <c r="F1652">
        <v>8.3000000000000007</v>
      </c>
      <c r="G1652" s="3">
        <v>8.5</v>
      </c>
      <c r="H1652">
        <v>8.85</v>
      </c>
      <c r="I1652">
        <v>8.6999999999999993</v>
      </c>
      <c r="J1652">
        <v>21787</v>
      </c>
      <c r="K1652">
        <v>188365.55</v>
      </c>
      <c r="L1652" s="1">
        <v>45240</v>
      </c>
      <c r="M1652">
        <v>35</v>
      </c>
      <c r="N1652" t="s">
        <v>3669</v>
      </c>
      <c r="O1652" s="5">
        <v>45240</v>
      </c>
      <c r="P1652" s="5">
        <v>43777</v>
      </c>
    </row>
    <row r="1653" spans="1:16" x14ac:dyDescent="0.25">
      <c r="A1653" t="s">
        <v>6198</v>
      </c>
      <c r="B1653" t="str">
        <v>Not Found</v>
      </c>
      <c r="C1653" t="s">
        <v>5853</v>
      </c>
      <c r="D1653">
        <v>184.95</v>
      </c>
      <c r="E1653">
        <v>185</v>
      </c>
      <c r="F1653">
        <v>184.4</v>
      </c>
      <c r="G1653" s="3">
        <v>185</v>
      </c>
      <c r="H1653">
        <v>185</v>
      </c>
      <c r="I1653">
        <v>176.2</v>
      </c>
      <c r="J1653">
        <v>16800</v>
      </c>
      <c r="K1653">
        <v>3105840</v>
      </c>
      <c r="L1653" s="1">
        <v>45240</v>
      </c>
      <c r="M1653">
        <v>25</v>
      </c>
      <c r="N1653" t="s">
        <v>6197</v>
      </c>
      <c r="O1653" s="5">
        <v>45240</v>
      </c>
      <c r="P1653" s="5">
        <v>43777</v>
      </c>
    </row>
    <row r="1654" spans="1:16" x14ac:dyDescent="0.25">
      <c r="A1654" t="s">
        <v>3670</v>
      </c>
      <c r="B1654" t="str">
        <v>Onelife Capital Advisors Limited</v>
      </c>
      <c r="C1654" t="s">
        <v>14</v>
      </c>
      <c r="D1654">
        <v>16.850000000000001</v>
      </c>
      <c r="E1654">
        <v>16.850000000000001</v>
      </c>
      <c r="F1654">
        <v>16</v>
      </c>
      <c r="G1654" s="3">
        <v>16.350000000000001</v>
      </c>
      <c r="H1654">
        <v>16.7</v>
      </c>
      <c r="I1654">
        <v>16.5</v>
      </c>
      <c r="J1654">
        <v>23079</v>
      </c>
      <c r="K1654">
        <v>375652.05</v>
      </c>
      <c r="L1654" s="1">
        <v>45240</v>
      </c>
      <c r="M1654">
        <v>210</v>
      </c>
      <c r="N1654" t="s">
        <v>3672</v>
      </c>
      <c r="O1654" s="5">
        <v>45240</v>
      </c>
      <c r="P1654" s="5">
        <v>43777</v>
      </c>
    </row>
    <row r="1655" spans="1:16" x14ac:dyDescent="0.25">
      <c r="A1655" t="s">
        <v>3673</v>
      </c>
      <c r="B1655" t="str">
        <v>One Point One Solutions Limited</v>
      </c>
      <c r="C1655" t="s">
        <v>10</v>
      </c>
      <c r="D1655">
        <v>37.700000000000003</v>
      </c>
      <c r="E1655">
        <v>37.700000000000003</v>
      </c>
      <c r="F1655">
        <v>36.549999999999997</v>
      </c>
      <c r="G1655" s="3">
        <v>36.950000000000003</v>
      </c>
      <c r="H1655">
        <v>36.65</v>
      </c>
      <c r="I1655">
        <v>35.950000000000003</v>
      </c>
      <c r="J1655">
        <v>359717</v>
      </c>
      <c r="K1655">
        <v>13389128.6</v>
      </c>
      <c r="L1655" s="1">
        <v>45240</v>
      </c>
      <c r="M1655">
        <v>638</v>
      </c>
      <c r="N1655" t="s">
        <v>3675</v>
      </c>
      <c r="O1655" s="5">
        <v>45240</v>
      </c>
      <c r="P1655" s="5">
        <v>43777</v>
      </c>
    </row>
    <row r="1656" spans="1:16" x14ac:dyDescent="0.25">
      <c r="A1656" t="s">
        <v>3676</v>
      </c>
      <c r="B1656" t="str">
        <v>Oil &amp; Natural Gas Corporation Limited</v>
      </c>
      <c r="C1656" t="s">
        <v>14</v>
      </c>
      <c r="D1656">
        <v>192.7</v>
      </c>
      <c r="E1656">
        <v>196.5</v>
      </c>
      <c r="F1656">
        <v>192.7</v>
      </c>
      <c r="G1656" s="3">
        <v>195.9</v>
      </c>
      <c r="H1656">
        <v>195.9</v>
      </c>
      <c r="I1656">
        <v>192.7</v>
      </c>
      <c r="J1656">
        <v>6025889</v>
      </c>
      <c r="K1656">
        <v>1174845338.4000001</v>
      </c>
      <c r="L1656" s="1">
        <v>45240</v>
      </c>
      <c r="M1656">
        <v>69971</v>
      </c>
      <c r="N1656" t="s">
        <v>3678</v>
      </c>
      <c r="O1656" s="5">
        <v>45240</v>
      </c>
      <c r="P1656" s="5">
        <v>43777</v>
      </c>
    </row>
    <row r="1657" spans="1:16" x14ac:dyDescent="0.25">
      <c r="A1657" t="s">
        <v>3679</v>
      </c>
      <c r="B1657" t="str">
        <v>OnMobile Global Limited</v>
      </c>
      <c r="C1657" t="s">
        <v>14</v>
      </c>
      <c r="D1657">
        <v>107.4</v>
      </c>
      <c r="E1657">
        <v>109.15</v>
      </c>
      <c r="F1657">
        <v>107.2</v>
      </c>
      <c r="G1657" s="3">
        <v>107.8</v>
      </c>
      <c r="H1657">
        <v>108.15</v>
      </c>
      <c r="I1657">
        <v>107.95</v>
      </c>
      <c r="J1657">
        <v>497909</v>
      </c>
      <c r="K1657">
        <v>53824015.899999999</v>
      </c>
      <c r="L1657" s="1">
        <v>45240</v>
      </c>
      <c r="M1657">
        <v>3605</v>
      </c>
      <c r="N1657" t="s">
        <v>3681</v>
      </c>
      <c r="O1657" s="5">
        <v>45240</v>
      </c>
      <c r="P1657" s="5">
        <v>43777</v>
      </c>
    </row>
    <row r="1658" spans="1:16" x14ac:dyDescent="0.25">
      <c r="A1658" t="s">
        <v>3682</v>
      </c>
      <c r="B1658" t="str">
        <v>Onward Technologies Limited</v>
      </c>
      <c r="C1658" t="s">
        <v>14</v>
      </c>
      <c r="D1658">
        <v>549.9</v>
      </c>
      <c r="E1658">
        <v>573.4</v>
      </c>
      <c r="F1658">
        <v>544.1</v>
      </c>
      <c r="G1658" s="3">
        <v>549.54999999999995</v>
      </c>
      <c r="H1658">
        <v>550</v>
      </c>
      <c r="I1658">
        <v>553.1</v>
      </c>
      <c r="J1658">
        <v>144952</v>
      </c>
      <c r="K1658">
        <v>80608697.650000006</v>
      </c>
      <c r="L1658" s="1">
        <v>45240</v>
      </c>
      <c r="M1658">
        <v>9518</v>
      </c>
      <c r="N1658" t="s">
        <v>3684</v>
      </c>
      <c r="O1658" s="5">
        <v>45240</v>
      </c>
      <c r="P1658" s="5">
        <v>43777</v>
      </c>
    </row>
    <row r="1659" spans="1:16" x14ac:dyDescent="0.25">
      <c r="A1659" t="s">
        <v>3685</v>
      </c>
      <c r="B1659" t="str">
        <v>Optiemus Infracom Limited</v>
      </c>
      <c r="C1659" t="s">
        <v>14</v>
      </c>
      <c r="D1659">
        <v>312.14999999999998</v>
      </c>
      <c r="E1659">
        <v>319.89999999999998</v>
      </c>
      <c r="F1659">
        <v>305.60000000000002</v>
      </c>
      <c r="G1659" s="3">
        <v>317.64999999999998</v>
      </c>
      <c r="H1659">
        <v>318</v>
      </c>
      <c r="I1659">
        <v>312.14999999999998</v>
      </c>
      <c r="J1659">
        <v>179653</v>
      </c>
      <c r="K1659">
        <v>55967109.799999997</v>
      </c>
      <c r="L1659" s="1">
        <v>45240</v>
      </c>
      <c r="M1659">
        <v>6212</v>
      </c>
      <c r="N1659" t="s">
        <v>3687</v>
      </c>
      <c r="O1659" s="5">
        <v>45240</v>
      </c>
      <c r="P1659" s="5">
        <v>43777</v>
      </c>
    </row>
    <row r="1660" spans="1:16" x14ac:dyDescent="0.25">
      <c r="A1660" t="s">
        <v>3688</v>
      </c>
      <c r="B1660" t="str">
        <v>Orbit Exports Limited</v>
      </c>
      <c r="C1660" t="s">
        <v>14</v>
      </c>
      <c r="D1660">
        <v>204.1</v>
      </c>
      <c r="E1660">
        <v>205</v>
      </c>
      <c r="F1660">
        <v>191</v>
      </c>
      <c r="G1660" s="3">
        <v>194.9</v>
      </c>
      <c r="H1660">
        <v>197.1</v>
      </c>
      <c r="I1660">
        <v>204.55</v>
      </c>
      <c r="J1660">
        <v>36116</v>
      </c>
      <c r="K1660">
        <v>7148281.1500000004</v>
      </c>
      <c r="L1660" s="1">
        <v>45240</v>
      </c>
      <c r="M1660">
        <v>857</v>
      </c>
      <c r="N1660" t="s">
        <v>3690</v>
      </c>
      <c r="O1660" s="5">
        <v>45240</v>
      </c>
      <c r="P1660" s="5">
        <v>43777</v>
      </c>
    </row>
    <row r="1661" spans="1:16" x14ac:dyDescent="0.25">
      <c r="A1661" t="s">
        <v>3691</v>
      </c>
      <c r="B1661" t="str">
        <v>Orchid Pharma Limited</v>
      </c>
      <c r="C1661" t="s">
        <v>14</v>
      </c>
      <c r="D1661">
        <v>577</v>
      </c>
      <c r="E1661">
        <v>577</v>
      </c>
      <c r="F1661">
        <v>527.5</v>
      </c>
      <c r="G1661" s="3">
        <v>533.85</v>
      </c>
      <c r="H1661">
        <v>530</v>
      </c>
      <c r="I1661">
        <v>541.95000000000005</v>
      </c>
      <c r="J1661">
        <v>28011</v>
      </c>
      <c r="K1661">
        <v>15127234.6</v>
      </c>
      <c r="L1661" s="1">
        <v>45240</v>
      </c>
      <c r="M1661">
        <v>2121</v>
      </c>
      <c r="N1661" t="s">
        <v>3693</v>
      </c>
      <c r="O1661" s="5">
        <v>45240</v>
      </c>
      <c r="P1661" s="5">
        <v>43777</v>
      </c>
    </row>
    <row r="1662" spans="1:16" x14ac:dyDescent="0.25">
      <c r="A1662" t="s">
        <v>6196</v>
      </c>
      <c r="B1662" t="str">
        <v>Not Found</v>
      </c>
      <c r="C1662" t="s">
        <v>5788</v>
      </c>
      <c r="D1662">
        <v>320</v>
      </c>
      <c r="E1662">
        <v>339.9</v>
      </c>
      <c r="F1662">
        <v>319.5</v>
      </c>
      <c r="G1662" s="3">
        <v>333.75</v>
      </c>
      <c r="H1662">
        <v>336</v>
      </c>
      <c r="I1662">
        <v>316.55</v>
      </c>
      <c r="J1662">
        <v>111000</v>
      </c>
      <c r="K1662">
        <v>36534570</v>
      </c>
      <c r="L1662" s="1">
        <v>45240</v>
      </c>
      <c r="M1662">
        <v>274</v>
      </c>
      <c r="N1662" t="s">
        <v>6195</v>
      </c>
      <c r="O1662" s="5">
        <v>45240</v>
      </c>
      <c r="P1662" s="5">
        <v>43777</v>
      </c>
    </row>
    <row r="1663" spans="1:16" x14ac:dyDescent="0.25">
      <c r="A1663" t="s">
        <v>3694</v>
      </c>
      <c r="B1663" t="str">
        <v>Oricon Enterprises Limited</v>
      </c>
      <c r="C1663" t="s">
        <v>14</v>
      </c>
      <c r="D1663">
        <v>32.35</v>
      </c>
      <c r="E1663">
        <v>32.35</v>
      </c>
      <c r="F1663">
        <v>30.95</v>
      </c>
      <c r="G1663" s="3">
        <v>31.5</v>
      </c>
      <c r="H1663">
        <v>31.95</v>
      </c>
      <c r="I1663">
        <v>33.35</v>
      </c>
      <c r="J1663">
        <v>575539</v>
      </c>
      <c r="K1663">
        <v>18095467.449999999</v>
      </c>
      <c r="L1663" s="1">
        <v>45240</v>
      </c>
      <c r="M1663">
        <v>2687</v>
      </c>
      <c r="N1663" t="s">
        <v>3696</v>
      </c>
      <c r="O1663" s="5">
        <v>45240</v>
      </c>
      <c r="P1663" s="5">
        <v>43777</v>
      </c>
    </row>
    <row r="1664" spans="1:16" x14ac:dyDescent="0.25">
      <c r="A1664" t="s">
        <v>3697</v>
      </c>
      <c r="B1664" t="str">
        <v>Oriental Trimex Limited</v>
      </c>
      <c r="C1664" t="s">
        <v>14</v>
      </c>
      <c r="D1664">
        <v>7.05</v>
      </c>
      <c r="E1664">
        <v>7.3</v>
      </c>
      <c r="F1664">
        <v>7.05</v>
      </c>
      <c r="G1664" s="3">
        <v>7.1</v>
      </c>
      <c r="H1664">
        <v>7.1</v>
      </c>
      <c r="I1664">
        <v>6.95</v>
      </c>
      <c r="J1664">
        <v>55657</v>
      </c>
      <c r="K1664">
        <v>398121.8</v>
      </c>
      <c r="L1664" s="1">
        <v>45240</v>
      </c>
      <c r="M1664">
        <v>302</v>
      </c>
      <c r="N1664" t="s">
        <v>3699</v>
      </c>
      <c r="O1664" s="5">
        <v>45240</v>
      </c>
      <c r="P1664" s="5">
        <v>43777</v>
      </c>
    </row>
    <row r="1665" spans="1:16" x14ac:dyDescent="0.25">
      <c r="A1665" t="s">
        <v>3700</v>
      </c>
      <c r="B1665" t="str">
        <v>Orient Bell Limited</v>
      </c>
      <c r="C1665" t="s">
        <v>14</v>
      </c>
      <c r="D1665">
        <v>410</v>
      </c>
      <c r="E1665">
        <v>412.45</v>
      </c>
      <c r="F1665">
        <v>404.7</v>
      </c>
      <c r="G1665" s="3">
        <v>407.4</v>
      </c>
      <c r="H1665">
        <v>406</v>
      </c>
      <c r="I1665">
        <v>407.65</v>
      </c>
      <c r="J1665">
        <v>8580</v>
      </c>
      <c r="K1665">
        <v>3499864.45</v>
      </c>
      <c r="L1665" s="1">
        <v>45240</v>
      </c>
      <c r="M1665">
        <v>719</v>
      </c>
      <c r="N1665" t="s">
        <v>3702</v>
      </c>
      <c r="O1665" s="5">
        <v>45240</v>
      </c>
      <c r="P1665" s="5">
        <v>43777</v>
      </c>
    </row>
    <row r="1666" spans="1:16" x14ac:dyDescent="0.25">
      <c r="A1666" t="s">
        <v>3703</v>
      </c>
      <c r="B1666" t="str">
        <v>Orient Cement Limited</v>
      </c>
      <c r="C1666" t="s">
        <v>14</v>
      </c>
      <c r="D1666">
        <v>214.4</v>
      </c>
      <c r="E1666">
        <v>216.4</v>
      </c>
      <c r="F1666">
        <v>209</v>
      </c>
      <c r="G1666" s="3">
        <v>213.3</v>
      </c>
      <c r="H1666">
        <v>213.4</v>
      </c>
      <c r="I1666">
        <v>213.4</v>
      </c>
      <c r="J1666">
        <v>1109259</v>
      </c>
      <c r="K1666">
        <v>236786762.25</v>
      </c>
      <c r="L1666" s="1">
        <v>45240</v>
      </c>
      <c r="M1666">
        <v>12484</v>
      </c>
      <c r="N1666" t="s">
        <v>3705</v>
      </c>
      <c r="O1666" s="5">
        <v>45240</v>
      </c>
      <c r="P1666" s="5">
        <v>43777</v>
      </c>
    </row>
    <row r="1667" spans="1:16" x14ac:dyDescent="0.25">
      <c r="A1667" t="s">
        <v>3706</v>
      </c>
      <c r="B1667" t="str">
        <v>ORIENT CERATECH LIMITED</v>
      </c>
      <c r="C1667" t="s">
        <v>14</v>
      </c>
      <c r="D1667">
        <v>50.8</v>
      </c>
      <c r="E1667">
        <v>50.8</v>
      </c>
      <c r="F1667">
        <v>48.45</v>
      </c>
      <c r="G1667" s="3">
        <v>50.1</v>
      </c>
      <c r="H1667">
        <v>50.5</v>
      </c>
      <c r="I1667">
        <v>49.45</v>
      </c>
      <c r="J1667">
        <v>167254</v>
      </c>
      <c r="K1667">
        <v>8343367.9000000004</v>
      </c>
      <c r="L1667" s="1">
        <v>45240</v>
      </c>
      <c r="M1667">
        <v>1178</v>
      </c>
      <c r="N1667" t="s">
        <v>3708</v>
      </c>
      <c r="O1667" s="5">
        <v>45240</v>
      </c>
      <c r="P1667" s="5">
        <v>43777</v>
      </c>
    </row>
    <row r="1668" spans="1:16" x14ac:dyDescent="0.25">
      <c r="A1668" t="s">
        <v>3709</v>
      </c>
      <c r="B1668" t="str">
        <v>Orient Electric Limited</v>
      </c>
      <c r="C1668" t="s">
        <v>14</v>
      </c>
      <c r="D1668">
        <v>216.95</v>
      </c>
      <c r="E1668">
        <v>219</v>
      </c>
      <c r="F1668">
        <v>216.95</v>
      </c>
      <c r="G1668" s="3">
        <v>217.75</v>
      </c>
      <c r="H1668">
        <v>218</v>
      </c>
      <c r="I1668">
        <v>216.95</v>
      </c>
      <c r="J1668">
        <v>80518</v>
      </c>
      <c r="K1668">
        <v>17549546.449999999</v>
      </c>
      <c r="L1668" s="1">
        <v>45240</v>
      </c>
      <c r="M1668">
        <v>2406</v>
      </c>
      <c r="N1668" t="s">
        <v>3711</v>
      </c>
      <c r="O1668" s="5">
        <v>45240</v>
      </c>
      <c r="P1668" s="5">
        <v>43777</v>
      </c>
    </row>
    <row r="1669" spans="1:16" x14ac:dyDescent="0.25">
      <c r="A1669" t="s">
        <v>3712</v>
      </c>
      <c r="B1669" t="str">
        <v>Oriental Hotels Limited</v>
      </c>
      <c r="C1669" t="s">
        <v>14</v>
      </c>
      <c r="D1669">
        <v>101</v>
      </c>
      <c r="E1669">
        <v>104.2</v>
      </c>
      <c r="F1669">
        <v>100.5</v>
      </c>
      <c r="G1669" s="3">
        <v>103.15</v>
      </c>
      <c r="H1669">
        <v>103.4</v>
      </c>
      <c r="I1669">
        <v>101</v>
      </c>
      <c r="J1669">
        <v>694803</v>
      </c>
      <c r="K1669">
        <v>71487115.200000003</v>
      </c>
      <c r="L1669" s="1">
        <v>45240</v>
      </c>
      <c r="M1669">
        <v>5310</v>
      </c>
      <c r="N1669" t="s">
        <v>3714</v>
      </c>
      <c r="O1669" s="5">
        <v>45240</v>
      </c>
      <c r="P1669" s="5">
        <v>43777</v>
      </c>
    </row>
    <row r="1670" spans="1:16" x14ac:dyDescent="0.25">
      <c r="A1670" t="s">
        <v>3715</v>
      </c>
      <c r="B1670" t="str">
        <v>Orient Press Limited</v>
      </c>
      <c r="C1670" t="s">
        <v>14</v>
      </c>
      <c r="D1670">
        <v>80</v>
      </c>
      <c r="E1670">
        <v>80</v>
      </c>
      <c r="F1670">
        <v>76.45</v>
      </c>
      <c r="G1670" s="3">
        <v>79.3</v>
      </c>
      <c r="H1670">
        <v>80</v>
      </c>
      <c r="I1670">
        <v>76.2</v>
      </c>
      <c r="J1670">
        <v>26762</v>
      </c>
      <c r="K1670">
        <v>2119774.1</v>
      </c>
      <c r="L1670" s="1">
        <v>45240</v>
      </c>
      <c r="M1670">
        <v>671</v>
      </c>
      <c r="N1670" t="s">
        <v>3717</v>
      </c>
      <c r="O1670" s="5">
        <v>45240</v>
      </c>
      <c r="P1670" s="5">
        <v>43777</v>
      </c>
    </row>
    <row r="1671" spans="1:16" x14ac:dyDescent="0.25">
      <c r="A1671" t="s">
        <v>3718</v>
      </c>
      <c r="B1671" t="str">
        <v>Orient Paper &amp; Industries Limited</v>
      </c>
      <c r="C1671" t="s">
        <v>14</v>
      </c>
      <c r="D1671">
        <v>42.05</v>
      </c>
      <c r="E1671">
        <v>44.1</v>
      </c>
      <c r="F1671">
        <v>41.9</v>
      </c>
      <c r="G1671" s="3">
        <v>43.65</v>
      </c>
      <c r="H1671">
        <v>43.75</v>
      </c>
      <c r="I1671">
        <v>42.25</v>
      </c>
      <c r="J1671">
        <v>3291953</v>
      </c>
      <c r="K1671">
        <v>143125241.05000001</v>
      </c>
      <c r="L1671" s="1">
        <v>45240</v>
      </c>
      <c r="M1671">
        <v>10471</v>
      </c>
      <c r="N1671" t="s">
        <v>3720</v>
      </c>
      <c r="O1671" s="5">
        <v>45240</v>
      </c>
      <c r="P1671" s="5">
        <v>43777</v>
      </c>
    </row>
    <row r="1672" spans="1:16" x14ac:dyDescent="0.25">
      <c r="A1672" t="s">
        <v>3721</v>
      </c>
      <c r="B1672" t="str">
        <v>The Orissa Minerals Development Company Limited</v>
      </c>
      <c r="C1672" t="s">
        <v>14</v>
      </c>
      <c r="D1672">
        <v>6662.75</v>
      </c>
      <c r="E1672">
        <v>6923.95</v>
      </c>
      <c r="F1672">
        <v>6650</v>
      </c>
      <c r="G1672" s="3">
        <v>6674.15</v>
      </c>
      <c r="H1672">
        <v>6670</v>
      </c>
      <c r="I1672">
        <v>6662.75</v>
      </c>
      <c r="J1672">
        <v>32347</v>
      </c>
      <c r="K1672">
        <v>218837896.15000001</v>
      </c>
      <c r="L1672" s="1">
        <v>45240</v>
      </c>
      <c r="M1672">
        <v>8221</v>
      </c>
      <c r="N1672" t="s">
        <v>3723</v>
      </c>
      <c r="O1672" s="5">
        <v>45240</v>
      </c>
      <c r="P1672" s="5">
        <v>43777</v>
      </c>
    </row>
    <row r="1673" spans="1:16" x14ac:dyDescent="0.25">
      <c r="A1673" t="s">
        <v>3724</v>
      </c>
      <c r="B1673" t="str">
        <v>Ortel Communications Limited</v>
      </c>
      <c r="C1673" t="s">
        <v>786</v>
      </c>
      <c r="D1673">
        <v>0.85</v>
      </c>
      <c r="E1673">
        <v>0.85</v>
      </c>
      <c r="F1673">
        <v>0.85</v>
      </c>
      <c r="G1673" s="3">
        <v>0.85</v>
      </c>
      <c r="H1673">
        <v>0.85</v>
      </c>
      <c r="I1673">
        <v>0.9</v>
      </c>
      <c r="J1673">
        <v>28843</v>
      </c>
      <c r="K1673">
        <v>24516.55</v>
      </c>
      <c r="L1673" s="1">
        <v>45240</v>
      </c>
      <c r="M1673">
        <v>20</v>
      </c>
      <c r="N1673" t="s">
        <v>3726</v>
      </c>
      <c r="O1673" s="5">
        <v>45240</v>
      </c>
      <c r="P1673" s="5">
        <v>43777</v>
      </c>
    </row>
    <row r="1674" spans="1:16" x14ac:dyDescent="0.25">
      <c r="A1674" t="s">
        <v>3727</v>
      </c>
      <c r="B1674" t="str">
        <v>Ortin Laboratories Limited</v>
      </c>
      <c r="C1674" t="s">
        <v>14</v>
      </c>
      <c r="D1674">
        <v>17.899999999999999</v>
      </c>
      <c r="E1674">
        <v>18.2</v>
      </c>
      <c r="F1674">
        <v>17.5</v>
      </c>
      <c r="G1674" s="3">
        <v>17.649999999999999</v>
      </c>
      <c r="H1674">
        <v>17.850000000000001</v>
      </c>
      <c r="I1674">
        <v>18</v>
      </c>
      <c r="J1674">
        <v>23225</v>
      </c>
      <c r="K1674">
        <v>413768.65</v>
      </c>
      <c r="L1674" s="1">
        <v>45240</v>
      </c>
      <c r="M1674">
        <v>155</v>
      </c>
      <c r="N1674" t="s">
        <v>3729</v>
      </c>
      <c r="O1674" s="5">
        <v>45240</v>
      </c>
      <c r="P1674" s="5">
        <v>43777</v>
      </c>
    </row>
    <row r="1675" spans="1:16" x14ac:dyDescent="0.25">
      <c r="A1675" t="s">
        <v>3730</v>
      </c>
      <c r="B1675" t="str">
        <v>Osia Hyper Retail Limited</v>
      </c>
      <c r="C1675" t="s">
        <v>14</v>
      </c>
      <c r="D1675">
        <v>54.75</v>
      </c>
      <c r="E1675">
        <v>54.9</v>
      </c>
      <c r="F1675">
        <v>52.4</v>
      </c>
      <c r="G1675" s="3">
        <v>52.75</v>
      </c>
      <c r="H1675">
        <v>52.5</v>
      </c>
      <c r="I1675">
        <v>52.3</v>
      </c>
      <c r="J1675">
        <v>961622</v>
      </c>
      <c r="K1675">
        <v>52035243.899999999</v>
      </c>
      <c r="L1675" s="1">
        <v>45240</v>
      </c>
      <c r="M1675">
        <v>1989</v>
      </c>
      <c r="N1675" t="s">
        <v>3732</v>
      </c>
      <c r="O1675" s="5">
        <v>45240</v>
      </c>
      <c r="P1675" s="5">
        <v>43777</v>
      </c>
    </row>
    <row r="1676" spans="1:16" x14ac:dyDescent="0.25">
      <c r="A1676" t="s">
        <v>3733</v>
      </c>
      <c r="B1676" t="str">
        <v>Oswal Agro Mills Limited</v>
      </c>
      <c r="C1676" t="s">
        <v>14</v>
      </c>
      <c r="D1676">
        <v>32.200000000000003</v>
      </c>
      <c r="E1676">
        <v>33.200000000000003</v>
      </c>
      <c r="F1676">
        <v>32.200000000000003</v>
      </c>
      <c r="G1676" s="3">
        <v>32.5</v>
      </c>
      <c r="H1676">
        <v>32.5</v>
      </c>
      <c r="I1676">
        <v>32.700000000000003</v>
      </c>
      <c r="J1676">
        <v>54653</v>
      </c>
      <c r="K1676">
        <v>1784930.6</v>
      </c>
      <c r="L1676" s="1">
        <v>45240</v>
      </c>
      <c r="M1676">
        <v>439</v>
      </c>
      <c r="N1676" t="s">
        <v>3735</v>
      </c>
      <c r="O1676" s="5">
        <v>45240</v>
      </c>
      <c r="P1676" s="5">
        <v>43777</v>
      </c>
    </row>
    <row r="1677" spans="1:16" x14ac:dyDescent="0.25">
      <c r="A1677" t="s">
        <v>3736</v>
      </c>
      <c r="B1677" t="str">
        <v>Oswal Greentech Limited</v>
      </c>
      <c r="C1677" t="s">
        <v>14</v>
      </c>
      <c r="D1677">
        <v>25.7</v>
      </c>
      <c r="E1677">
        <v>26</v>
      </c>
      <c r="F1677">
        <v>25.2</v>
      </c>
      <c r="G1677" s="3">
        <v>25.5</v>
      </c>
      <c r="H1677">
        <v>25.55</v>
      </c>
      <c r="I1677">
        <v>25.65</v>
      </c>
      <c r="J1677">
        <v>260951</v>
      </c>
      <c r="K1677">
        <v>6685717.4500000002</v>
      </c>
      <c r="L1677" s="1">
        <v>45240</v>
      </c>
      <c r="M1677">
        <v>1081</v>
      </c>
      <c r="N1677" t="s">
        <v>3738</v>
      </c>
      <c r="O1677" s="5">
        <v>45240</v>
      </c>
      <c r="P1677" s="5">
        <v>43777</v>
      </c>
    </row>
    <row r="1678" spans="1:16" x14ac:dyDescent="0.25">
      <c r="A1678" t="s">
        <v>3739</v>
      </c>
      <c r="B1678" t="str">
        <v>ShreeOswal Seeds And Chemicals Limited</v>
      </c>
      <c r="C1678" t="s">
        <v>14</v>
      </c>
      <c r="D1678">
        <v>69.7</v>
      </c>
      <c r="E1678">
        <v>70</v>
      </c>
      <c r="F1678">
        <v>67.05</v>
      </c>
      <c r="G1678" s="3">
        <v>69.099999999999994</v>
      </c>
      <c r="H1678">
        <v>67.8</v>
      </c>
      <c r="I1678">
        <v>67.5</v>
      </c>
      <c r="J1678">
        <v>86246</v>
      </c>
      <c r="K1678">
        <v>5865402.9500000002</v>
      </c>
      <c r="L1678" s="1">
        <v>45240</v>
      </c>
      <c r="M1678">
        <v>488</v>
      </c>
      <c r="N1678" t="s">
        <v>3741</v>
      </c>
      <c r="O1678" s="5">
        <v>45240</v>
      </c>
      <c r="P1678" s="5">
        <v>43777</v>
      </c>
    </row>
    <row r="1679" spans="1:16" x14ac:dyDescent="0.25">
      <c r="A1679" t="s">
        <v>3742</v>
      </c>
      <c r="B1679" t="str">
        <v>Page Industries Limited</v>
      </c>
      <c r="C1679" t="s">
        <v>14</v>
      </c>
      <c r="D1679">
        <v>37691.550000000003</v>
      </c>
      <c r="E1679">
        <v>38430</v>
      </c>
      <c r="F1679">
        <v>37400</v>
      </c>
      <c r="G1679" s="3">
        <v>38360.65</v>
      </c>
      <c r="H1679">
        <v>38350</v>
      </c>
      <c r="I1679">
        <v>37686.550000000003</v>
      </c>
      <c r="J1679">
        <v>29199</v>
      </c>
      <c r="K1679">
        <v>1110697368.4000001</v>
      </c>
      <c r="L1679" s="1">
        <v>45240</v>
      </c>
      <c r="M1679">
        <v>11680</v>
      </c>
      <c r="N1679" t="s">
        <v>3744</v>
      </c>
      <c r="O1679" s="5">
        <v>45240</v>
      </c>
      <c r="P1679" s="5">
        <v>43777</v>
      </c>
    </row>
    <row r="1680" spans="1:16" x14ac:dyDescent="0.25">
      <c r="A1680" t="s">
        <v>3745</v>
      </c>
      <c r="B1680" t="str">
        <v>Paisalo Digital Limited</v>
      </c>
      <c r="C1680" t="s">
        <v>14</v>
      </c>
      <c r="D1680">
        <v>75.849999999999994</v>
      </c>
      <c r="E1680">
        <v>77.400000000000006</v>
      </c>
      <c r="F1680">
        <v>74.75</v>
      </c>
      <c r="G1680" s="3">
        <v>75.8</v>
      </c>
      <c r="H1680">
        <v>75.5</v>
      </c>
      <c r="I1680">
        <v>76.599999999999994</v>
      </c>
      <c r="J1680">
        <v>610199</v>
      </c>
      <c r="K1680">
        <v>46254283.700000003</v>
      </c>
      <c r="L1680" s="1">
        <v>45240</v>
      </c>
      <c r="M1680">
        <v>4443</v>
      </c>
      <c r="N1680" t="s">
        <v>3747</v>
      </c>
      <c r="O1680" s="5">
        <v>45240</v>
      </c>
      <c r="P1680" s="5">
        <v>43777</v>
      </c>
    </row>
    <row r="1681" spans="1:16" x14ac:dyDescent="0.25">
      <c r="A1681" t="s">
        <v>3748</v>
      </c>
      <c r="B1681" t="str">
        <v>PAKKA LIMITED</v>
      </c>
      <c r="C1681" t="s">
        <v>14</v>
      </c>
      <c r="D1681">
        <v>246.7</v>
      </c>
      <c r="E1681">
        <v>250</v>
      </c>
      <c r="F1681">
        <v>245.35</v>
      </c>
      <c r="G1681" s="3">
        <v>248.2</v>
      </c>
      <c r="H1681">
        <v>247</v>
      </c>
      <c r="I1681">
        <v>247.4</v>
      </c>
      <c r="J1681">
        <v>103622</v>
      </c>
      <c r="K1681">
        <v>25690274.850000001</v>
      </c>
      <c r="L1681" s="1">
        <v>45240</v>
      </c>
      <c r="M1681">
        <v>3757</v>
      </c>
      <c r="N1681" t="s">
        <v>3750</v>
      </c>
      <c r="O1681" s="5">
        <v>45240</v>
      </c>
      <c r="P1681" s="5">
        <v>43777</v>
      </c>
    </row>
    <row r="1682" spans="1:16" x14ac:dyDescent="0.25">
      <c r="A1682" t="s">
        <v>3751</v>
      </c>
      <c r="B1682" t="str">
        <v>Palash Securities Limited</v>
      </c>
      <c r="C1682" t="s">
        <v>14</v>
      </c>
      <c r="D1682">
        <v>125.5</v>
      </c>
      <c r="E1682">
        <v>143.9</v>
      </c>
      <c r="F1682">
        <v>119.1</v>
      </c>
      <c r="G1682" s="3">
        <v>137.5</v>
      </c>
      <c r="H1682">
        <v>139</v>
      </c>
      <c r="I1682">
        <v>127.95</v>
      </c>
      <c r="J1682">
        <v>132794</v>
      </c>
      <c r="K1682">
        <v>17788708.75</v>
      </c>
      <c r="L1682" s="1">
        <v>45240</v>
      </c>
      <c r="M1682">
        <v>1847</v>
      </c>
      <c r="N1682" t="s">
        <v>3753</v>
      </c>
      <c r="O1682" s="5">
        <v>45240</v>
      </c>
      <c r="P1682" s="5">
        <v>43777</v>
      </c>
    </row>
    <row r="1683" spans="1:16" x14ac:dyDescent="0.25">
      <c r="A1683" t="s">
        <v>3754</v>
      </c>
      <c r="B1683" t="str">
        <v>Palred Technologies Limited</v>
      </c>
      <c r="C1683" t="s">
        <v>14</v>
      </c>
      <c r="D1683">
        <v>155.5</v>
      </c>
      <c r="E1683">
        <v>156.94999999999999</v>
      </c>
      <c r="F1683">
        <v>148.5</v>
      </c>
      <c r="G1683" s="3">
        <v>151.05000000000001</v>
      </c>
      <c r="H1683">
        <v>151.94999999999999</v>
      </c>
      <c r="I1683">
        <v>155.4</v>
      </c>
      <c r="J1683">
        <v>20822</v>
      </c>
      <c r="K1683">
        <v>3186809.8</v>
      </c>
      <c r="L1683" s="1">
        <v>45240</v>
      </c>
      <c r="M1683">
        <v>538</v>
      </c>
      <c r="N1683" t="s">
        <v>3756</v>
      </c>
      <c r="O1683" s="5">
        <v>45240</v>
      </c>
      <c r="P1683" s="5">
        <v>43777</v>
      </c>
    </row>
    <row r="1684" spans="1:16" x14ac:dyDescent="0.25">
      <c r="A1684" t="s">
        <v>3757</v>
      </c>
      <c r="B1684" t="str">
        <v>Panacea Biotec Limited</v>
      </c>
      <c r="C1684" t="s">
        <v>14</v>
      </c>
      <c r="D1684">
        <v>160.9</v>
      </c>
      <c r="E1684">
        <v>161</v>
      </c>
      <c r="F1684">
        <v>153</v>
      </c>
      <c r="G1684" s="3">
        <v>157.69999999999999</v>
      </c>
      <c r="H1684">
        <v>156.1</v>
      </c>
      <c r="I1684">
        <v>156.4</v>
      </c>
      <c r="J1684">
        <v>227256</v>
      </c>
      <c r="K1684">
        <v>35621743.200000003</v>
      </c>
      <c r="L1684" s="1">
        <v>45240</v>
      </c>
      <c r="M1684">
        <v>6171</v>
      </c>
      <c r="N1684" t="s">
        <v>3759</v>
      </c>
      <c r="O1684" s="5">
        <v>45240</v>
      </c>
      <c r="P1684" s="5">
        <v>43777</v>
      </c>
    </row>
    <row r="1685" spans="1:16" x14ac:dyDescent="0.25">
      <c r="A1685" t="s">
        <v>3760</v>
      </c>
      <c r="B1685" t="str">
        <v>Panache Digilife Limited</v>
      </c>
      <c r="C1685" t="s">
        <v>10</v>
      </c>
      <c r="D1685">
        <v>86.7</v>
      </c>
      <c r="E1685">
        <v>87.95</v>
      </c>
      <c r="F1685">
        <v>81</v>
      </c>
      <c r="G1685" s="3">
        <v>87.95</v>
      </c>
      <c r="H1685">
        <v>87.95</v>
      </c>
      <c r="I1685">
        <v>83.8</v>
      </c>
      <c r="J1685">
        <v>19528</v>
      </c>
      <c r="K1685">
        <v>1704180.75</v>
      </c>
      <c r="L1685" s="1">
        <v>45240</v>
      </c>
      <c r="M1685">
        <v>166</v>
      </c>
      <c r="N1685" t="s">
        <v>3762</v>
      </c>
      <c r="O1685" s="5">
        <v>45240</v>
      </c>
      <c r="P1685" s="5">
        <v>43777</v>
      </c>
    </row>
    <row r="1686" spans="1:16" x14ac:dyDescent="0.25">
      <c r="A1686" t="s">
        <v>3763</v>
      </c>
      <c r="B1686" t="str">
        <v>Panama Petrochem Limited</v>
      </c>
      <c r="C1686" t="s">
        <v>14</v>
      </c>
      <c r="D1686">
        <v>310</v>
      </c>
      <c r="E1686">
        <v>311</v>
      </c>
      <c r="F1686">
        <v>301.85000000000002</v>
      </c>
      <c r="G1686" s="3">
        <v>303.55</v>
      </c>
      <c r="H1686">
        <v>304</v>
      </c>
      <c r="I1686">
        <v>309.39999999999998</v>
      </c>
      <c r="J1686">
        <v>138761</v>
      </c>
      <c r="K1686">
        <v>42332201.049999997</v>
      </c>
      <c r="L1686" s="1">
        <v>45240</v>
      </c>
      <c r="M1686">
        <v>4685</v>
      </c>
      <c r="N1686" t="s">
        <v>3765</v>
      </c>
      <c r="O1686" s="5">
        <v>45240</v>
      </c>
      <c r="P1686" s="5">
        <v>43777</v>
      </c>
    </row>
    <row r="1687" spans="1:16" x14ac:dyDescent="0.25">
      <c r="A1687" t="s">
        <v>3766</v>
      </c>
      <c r="B1687" t="str">
        <v>Pansari Developers Limited</v>
      </c>
      <c r="C1687" t="s">
        <v>10</v>
      </c>
      <c r="D1687">
        <v>83.4</v>
      </c>
      <c r="E1687">
        <v>84</v>
      </c>
      <c r="F1687">
        <v>79.599999999999994</v>
      </c>
      <c r="G1687" s="3">
        <v>81.7</v>
      </c>
      <c r="H1687">
        <v>79.599999999999994</v>
      </c>
      <c r="I1687">
        <v>83.4</v>
      </c>
      <c r="J1687">
        <v>3897</v>
      </c>
      <c r="K1687">
        <v>319469.25</v>
      </c>
      <c r="L1687" s="1">
        <v>45240</v>
      </c>
      <c r="M1687">
        <v>38</v>
      </c>
      <c r="N1687" t="s">
        <v>3768</v>
      </c>
      <c r="O1687" s="5">
        <v>45240</v>
      </c>
      <c r="P1687" s="5">
        <v>43777</v>
      </c>
    </row>
    <row r="1688" spans="1:16" x14ac:dyDescent="0.25">
      <c r="A1688" t="s">
        <v>3769</v>
      </c>
      <c r="B1688" t="str">
        <v>Par Drugs And Chemicals Limited</v>
      </c>
      <c r="C1688" t="s">
        <v>14</v>
      </c>
      <c r="D1688">
        <v>219.95</v>
      </c>
      <c r="E1688">
        <v>236</v>
      </c>
      <c r="F1688">
        <v>215.2</v>
      </c>
      <c r="G1688" s="3">
        <v>224.85</v>
      </c>
      <c r="H1688">
        <v>225.7</v>
      </c>
      <c r="I1688">
        <v>214.6</v>
      </c>
      <c r="J1688">
        <v>121200</v>
      </c>
      <c r="K1688">
        <v>27498678.899999999</v>
      </c>
      <c r="L1688" s="1">
        <v>45240</v>
      </c>
      <c r="M1688">
        <v>2626</v>
      </c>
      <c r="N1688" t="s">
        <v>3771</v>
      </c>
      <c r="O1688" s="5">
        <v>45240</v>
      </c>
      <c r="P1688" s="5">
        <v>43777</v>
      </c>
    </row>
    <row r="1689" spans="1:16" x14ac:dyDescent="0.25">
      <c r="A1689" t="s">
        <v>3772</v>
      </c>
      <c r="B1689" t="str">
        <v>Paramount Communications Limited</v>
      </c>
      <c r="C1689" t="s">
        <v>10</v>
      </c>
      <c r="D1689">
        <v>66</v>
      </c>
      <c r="E1689">
        <v>66</v>
      </c>
      <c r="F1689">
        <v>63.45</v>
      </c>
      <c r="G1689" s="3">
        <v>64.05</v>
      </c>
      <c r="H1689">
        <v>64.400000000000006</v>
      </c>
      <c r="I1689">
        <v>66.099999999999994</v>
      </c>
      <c r="J1689">
        <v>276591</v>
      </c>
      <c r="K1689">
        <v>17875139.600000001</v>
      </c>
      <c r="L1689" s="1">
        <v>45240</v>
      </c>
      <c r="M1689">
        <v>1248</v>
      </c>
      <c r="N1689" t="s">
        <v>3774</v>
      </c>
      <c r="O1689" s="5">
        <v>45240</v>
      </c>
      <c r="P1689" s="5">
        <v>43777</v>
      </c>
    </row>
    <row r="1690" spans="1:16" x14ac:dyDescent="0.25">
      <c r="A1690" t="s">
        <v>3775</v>
      </c>
      <c r="B1690" t="str">
        <v>Paradeep Phosphates Limited</v>
      </c>
      <c r="C1690" t="s">
        <v>14</v>
      </c>
      <c r="D1690">
        <v>63</v>
      </c>
      <c r="E1690">
        <v>63.4</v>
      </c>
      <c r="F1690">
        <v>62.55</v>
      </c>
      <c r="G1690" s="3">
        <v>62.9</v>
      </c>
      <c r="H1690">
        <v>63</v>
      </c>
      <c r="I1690">
        <v>62.7</v>
      </c>
      <c r="J1690">
        <v>2048705</v>
      </c>
      <c r="K1690">
        <v>128979247.8</v>
      </c>
      <c r="L1690" s="1">
        <v>45240</v>
      </c>
      <c r="M1690">
        <v>5602</v>
      </c>
      <c r="N1690" t="s">
        <v>3777</v>
      </c>
      <c r="O1690" s="5">
        <v>45240</v>
      </c>
      <c r="P1690" s="5">
        <v>43777</v>
      </c>
    </row>
    <row r="1691" spans="1:16" x14ac:dyDescent="0.25">
      <c r="A1691" t="s">
        <v>3778</v>
      </c>
      <c r="B1691" t="str">
        <v>Parag Milk Foods Limited</v>
      </c>
      <c r="C1691" t="s">
        <v>14</v>
      </c>
      <c r="D1691">
        <v>227</v>
      </c>
      <c r="E1691">
        <v>229</v>
      </c>
      <c r="F1691">
        <v>218.35</v>
      </c>
      <c r="G1691" s="3">
        <v>225.65</v>
      </c>
      <c r="H1691">
        <v>224.95</v>
      </c>
      <c r="I1691">
        <v>220.8</v>
      </c>
      <c r="J1691">
        <v>1354820</v>
      </c>
      <c r="K1691">
        <v>305602191.25</v>
      </c>
      <c r="L1691" s="1">
        <v>45240</v>
      </c>
      <c r="M1691">
        <v>14566</v>
      </c>
      <c r="N1691" t="s">
        <v>3780</v>
      </c>
      <c r="O1691" s="5">
        <v>45240</v>
      </c>
      <c r="P1691" s="5">
        <v>43777</v>
      </c>
    </row>
    <row r="1692" spans="1:16" x14ac:dyDescent="0.25">
      <c r="A1692" t="s">
        <v>6194</v>
      </c>
      <c r="B1692" t="str">
        <v>Not Found</v>
      </c>
      <c r="C1692" t="s">
        <v>5853</v>
      </c>
      <c r="D1692">
        <v>190</v>
      </c>
      <c r="E1692">
        <v>201.95</v>
      </c>
      <c r="F1692">
        <v>182.85</v>
      </c>
      <c r="G1692" s="3">
        <v>197.5</v>
      </c>
      <c r="H1692">
        <v>196.5</v>
      </c>
      <c r="I1692">
        <v>192.45</v>
      </c>
      <c r="J1692">
        <v>727200</v>
      </c>
      <c r="K1692">
        <v>138228960</v>
      </c>
      <c r="L1692" s="1">
        <v>45240</v>
      </c>
      <c r="M1692">
        <v>413</v>
      </c>
      <c r="N1692" t="s">
        <v>6193</v>
      </c>
      <c r="O1692" s="5">
        <v>45240</v>
      </c>
      <c r="P1692" s="5">
        <v>43777</v>
      </c>
    </row>
    <row r="1693" spans="1:16" x14ac:dyDescent="0.25">
      <c r="A1693" t="s">
        <v>3781</v>
      </c>
      <c r="B1693" t="str">
        <v>Paras Defence and Space Technologies Limited</v>
      </c>
      <c r="C1693" t="s">
        <v>14</v>
      </c>
      <c r="D1693">
        <v>716.6</v>
      </c>
      <c r="E1693">
        <v>719.15</v>
      </c>
      <c r="F1693">
        <v>704.3</v>
      </c>
      <c r="G1693" s="3">
        <v>712.95</v>
      </c>
      <c r="H1693">
        <v>710</v>
      </c>
      <c r="I1693">
        <v>715.1</v>
      </c>
      <c r="J1693">
        <v>119447</v>
      </c>
      <c r="K1693">
        <v>84852125.349999994</v>
      </c>
      <c r="L1693" s="1">
        <v>45240</v>
      </c>
      <c r="M1693">
        <v>7235</v>
      </c>
      <c r="N1693" t="s">
        <v>3783</v>
      </c>
      <c r="O1693" s="5">
        <v>45240</v>
      </c>
      <c r="P1693" s="5">
        <v>43777</v>
      </c>
    </row>
    <row r="1694" spans="1:16" x14ac:dyDescent="0.25">
      <c r="A1694" t="s">
        <v>3784</v>
      </c>
      <c r="B1694" t="str">
        <v>Paras Petrofils Limited</v>
      </c>
      <c r="C1694" t="s">
        <v>10</v>
      </c>
      <c r="D1694">
        <v>2.0499999999999998</v>
      </c>
      <c r="E1694">
        <v>2.0499999999999998</v>
      </c>
      <c r="F1694">
        <v>2.0499999999999998</v>
      </c>
      <c r="G1694" s="3">
        <v>2.0499999999999998</v>
      </c>
      <c r="H1694">
        <v>2.0499999999999998</v>
      </c>
      <c r="I1694">
        <v>2.1</v>
      </c>
      <c r="J1694">
        <v>102860</v>
      </c>
      <c r="K1694">
        <v>210863</v>
      </c>
      <c r="L1694" s="1">
        <v>45240</v>
      </c>
      <c r="M1694">
        <v>223</v>
      </c>
      <c r="N1694" t="s">
        <v>3786</v>
      </c>
      <c r="O1694" s="5">
        <v>45240</v>
      </c>
      <c r="P1694" s="5">
        <v>43777</v>
      </c>
    </row>
    <row r="1695" spans="1:16" x14ac:dyDescent="0.25">
      <c r="A1695" t="s">
        <v>6192</v>
      </c>
      <c r="B1695" t="str">
        <v>Not Found</v>
      </c>
      <c r="C1695" t="s">
        <v>5788</v>
      </c>
      <c r="D1695">
        <v>74.400000000000006</v>
      </c>
      <c r="E1695">
        <v>74.7</v>
      </c>
      <c r="F1695">
        <v>74</v>
      </c>
      <c r="G1695" s="3">
        <v>74</v>
      </c>
      <c r="H1695">
        <v>74</v>
      </c>
      <c r="I1695">
        <v>71.150000000000006</v>
      </c>
      <c r="J1695">
        <v>22000</v>
      </c>
      <c r="K1695">
        <v>1637200</v>
      </c>
      <c r="L1695" s="1">
        <v>45240</v>
      </c>
      <c r="M1695">
        <v>5</v>
      </c>
      <c r="N1695" t="s">
        <v>6191</v>
      </c>
      <c r="O1695" s="5">
        <v>45240</v>
      </c>
      <c r="P1695" s="5">
        <v>43777</v>
      </c>
    </row>
    <row r="1696" spans="1:16" x14ac:dyDescent="0.25">
      <c r="A1696" t="s">
        <v>3787</v>
      </c>
      <c r="B1696" t="str">
        <v>Parsvnath Developers Limited</v>
      </c>
      <c r="C1696" t="s">
        <v>10</v>
      </c>
      <c r="D1696">
        <v>9.9</v>
      </c>
      <c r="E1696">
        <v>10.15</v>
      </c>
      <c r="F1696">
        <v>9.75</v>
      </c>
      <c r="G1696" s="3">
        <v>10.1</v>
      </c>
      <c r="H1696">
        <v>10</v>
      </c>
      <c r="I1696">
        <v>9.9</v>
      </c>
      <c r="J1696">
        <v>239395</v>
      </c>
      <c r="K1696">
        <v>2393205.2999999998</v>
      </c>
      <c r="L1696" s="1">
        <v>45240</v>
      </c>
      <c r="M1696">
        <v>299</v>
      </c>
      <c r="N1696" t="s">
        <v>3789</v>
      </c>
      <c r="O1696" s="5">
        <v>45240</v>
      </c>
      <c r="P1696" s="5">
        <v>43777</v>
      </c>
    </row>
    <row r="1697" spans="1:16" x14ac:dyDescent="0.25">
      <c r="A1697" t="s">
        <v>6190</v>
      </c>
      <c r="B1697" t="str">
        <v>Not Found</v>
      </c>
      <c r="C1697" t="s">
        <v>5788</v>
      </c>
      <c r="D1697">
        <v>68.400000000000006</v>
      </c>
      <c r="E1697">
        <v>69.599999999999994</v>
      </c>
      <c r="F1697">
        <v>67.45</v>
      </c>
      <c r="G1697" s="3">
        <v>67.55</v>
      </c>
      <c r="H1697">
        <v>67.55</v>
      </c>
      <c r="I1697">
        <v>70.900000000000006</v>
      </c>
      <c r="J1697">
        <v>32000</v>
      </c>
      <c r="K1697">
        <v>2190200</v>
      </c>
      <c r="L1697" s="1">
        <v>45240</v>
      </c>
      <c r="M1697">
        <v>16</v>
      </c>
      <c r="N1697" t="s">
        <v>6189</v>
      </c>
      <c r="O1697" s="5">
        <v>45240</v>
      </c>
      <c r="P1697" s="5">
        <v>43777</v>
      </c>
    </row>
    <row r="1698" spans="1:16" x14ac:dyDescent="0.25">
      <c r="A1698" t="s">
        <v>3790</v>
      </c>
      <c r="B1698" t="str">
        <v>Pasupati Acrylon Limited</v>
      </c>
      <c r="C1698" t="s">
        <v>14</v>
      </c>
      <c r="D1698">
        <v>37</v>
      </c>
      <c r="E1698">
        <v>38.200000000000003</v>
      </c>
      <c r="F1698">
        <v>37</v>
      </c>
      <c r="G1698" s="3">
        <v>37.549999999999997</v>
      </c>
      <c r="H1698">
        <v>37.75</v>
      </c>
      <c r="I1698">
        <v>37.75</v>
      </c>
      <c r="J1698">
        <v>81239</v>
      </c>
      <c r="K1698">
        <v>3058119.1</v>
      </c>
      <c r="L1698" s="1">
        <v>45240</v>
      </c>
      <c r="M1698">
        <v>675</v>
      </c>
      <c r="N1698" t="s">
        <v>3792</v>
      </c>
      <c r="O1698" s="5">
        <v>45240</v>
      </c>
      <c r="P1698" s="5">
        <v>43777</v>
      </c>
    </row>
    <row r="1699" spans="1:16" x14ac:dyDescent="0.25">
      <c r="A1699" t="s">
        <v>3793</v>
      </c>
      <c r="B1699" t="str">
        <v>Patanjali Foods Limited</v>
      </c>
      <c r="C1699" t="s">
        <v>14</v>
      </c>
      <c r="D1699">
        <v>1440.1</v>
      </c>
      <c r="E1699">
        <v>1465</v>
      </c>
      <c r="F1699">
        <v>1422.45</v>
      </c>
      <c r="G1699" s="3">
        <v>1447.05</v>
      </c>
      <c r="H1699">
        <v>1451.25</v>
      </c>
      <c r="I1699">
        <v>1440.1</v>
      </c>
      <c r="J1699">
        <v>411983</v>
      </c>
      <c r="K1699">
        <v>596273716.39999998</v>
      </c>
      <c r="L1699" s="1">
        <v>45240</v>
      </c>
      <c r="M1699">
        <v>12801</v>
      </c>
      <c r="N1699" t="s">
        <v>3795</v>
      </c>
      <c r="O1699" s="5">
        <v>45240</v>
      </c>
      <c r="P1699" s="5">
        <v>43777</v>
      </c>
    </row>
    <row r="1700" spans="1:16" x14ac:dyDescent="0.25">
      <c r="A1700" t="s">
        <v>3796</v>
      </c>
      <c r="B1700" t="str">
        <v>Patel Engineering Limited</v>
      </c>
      <c r="C1700" t="s">
        <v>14</v>
      </c>
      <c r="D1700">
        <v>46.7</v>
      </c>
      <c r="E1700">
        <v>47.4</v>
      </c>
      <c r="F1700">
        <v>46.4</v>
      </c>
      <c r="G1700" s="3">
        <v>46.7</v>
      </c>
      <c r="H1700">
        <v>46.8</v>
      </c>
      <c r="I1700">
        <v>47.1</v>
      </c>
      <c r="J1700">
        <v>2039858</v>
      </c>
      <c r="K1700">
        <v>95399256.700000003</v>
      </c>
      <c r="L1700" s="1">
        <v>45240</v>
      </c>
      <c r="M1700">
        <v>6951</v>
      </c>
      <c r="N1700" t="s">
        <v>3798</v>
      </c>
      <c r="O1700" s="5">
        <v>45240</v>
      </c>
      <c r="P1700" s="5">
        <v>43777</v>
      </c>
    </row>
    <row r="1701" spans="1:16" x14ac:dyDescent="0.25">
      <c r="A1701" t="s">
        <v>3799</v>
      </c>
      <c r="B1701" t="str">
        <v>Patel Integrated Logistics Limited</v>
      </c>
      <c r="C1701" t="s">
        <v>10</v>
      </c>
      <c r="D1701">
        <v>14.8</v>
      </c>
      <c r="E1701">
        <v>15.15</v>
      </c>
      <c r="F1701">
        <v>14.75</v>
      </c>
      <c r="G1701" s="3">
        <v>15.05</v>
      </c>
      <c r="H1701">
        <v>15.1</v>
      </c>
      <c r="I1701">
        <v>14.8</v>
      </c>
      <c r="J1701">
        <v>61216</v>
      </c>
      <c r="K1701">
        <v>918131.75</v>
      </c>
      <c r="L1701" s="1">
        <v>45240</v>
      </c>
      <c r="M1701">
        <v>132</v>
      </c>
      <c r="N1701" t="s">
        <v>3801</v>
      </c>
      <c r="O1701" s="5">
        <v>45240</v>
      </c>
      <c r="P1701" s="5">
        <v>43777</v>
      </c>
    </row>
    <row r="1702" spans="1:16" x14ac:dyDescent="0.25">
      <c r="A1702" t="s">
        <v>6188</v>
      </c>
      <c r="B1702" t="str">
        <v>Not Found</v>
      </c>
      <c r="C1702" t="s">
        <v>5788</v>
      </c>
      <c r="D1702">
        <v>64.5</v>
      </c>
      <c r="E1702">
        <v>64.5</v>
      </c>
      <c r="F1702">
        <v>63</v>
      </c>
      <c r="G1702" s="3">
        <v>63</v>
      </c>
      <c r="H1702">
        <v>63</v>
      </c>
      <c r="I1702">
        <v>59.05</v>
      </c>
      <c r="J1702">
        <v>3000</v>
      </c>
      <c r="K1702">
        <v>191250</v>
      </c>
      <c r="L1702" s="1">
        <v>45240</v>
      </c>
      <c r="M1702">
        <v>2</v>
      </c>
      <c r="N1702" t="s">
        <v>6187</v>
      </c>
      <c r="O1702" s="5">
        <v>45240</v>
      </c>
      <c r="P1702" s="5">
        <v>43777</v>
      </c>
    </row>
    <row r="1703" spans="1:16" x14ac:dyDescent="0.25">
      <c r="A1703" t="s">
        <v>3802</v>
      </c>
      <c r="B1703" t="str">
        <v>Pavna Industries Limited</v>
      </c>
      <c r="C1703" t="s">
        <v>14</v>
      </c>
      <c r="D1703">
        <v>399.7</v>
      </c>
      <c r="E1703">
        <v>405</v>
      </c>
      <c r="F1703">
        <v>391.5</v>
      </c>
      <c r="G1703" s="3">
        <v>394.65</v>
      </c>
      <c r="H1703">
        <v>391.5</v>
      </c>
      <c r="I1703">
        <v>392</v>
      </c>
      <c r="J1703">
        <v>333</v>
      </c>
      <c r="K1703">
        <v>131754</v>
      </c>
      <c r="L1703" s="1">
        <v>45240</v>
      </c>
      <c r="M1703">
        <v>87</v>
      </c>
      <c r="N1703" t="s">
        <v>3804</v>
      </c>
      <c r="O1703" s="5">
        <v>45240</v>
      </c>
      <c r="P1703" s="5">
        <v>43777</v>
      </c>
    </row>
    <row r="1704" spans="1:16" x14ac:dyDescent="0.25">
      <c r="A1704" t="s">
        <v>3805</v>
      </c>
      <c r="B1704" t="str">
        <v>One 97 Communications Limited</v>
      </c>
      <c r="C1704" t="s">
        <v>14</v>
      </c>
      <c r="D1704">
        <v>894.55</v>
      </c>
      <c r="E1704">
        <v>898.35</v>
      </c>
      <c r="F1704">
        <v>880.2</v>
      </c>
      <c r="G1704" s="3">
        <v>894.15</v>
      </c>
      <c r="H1704">
        <v>896.95</v>
      </c>
      <c r="I1704">
        <v>894.55</v>
      </c>
      <c r="J1704">
        <v>1271320</v>
      </c>
      <c r="K1704">
        <v>1129581017.75</v>
      </c>
      <c r="L1704" s="1">
        <v>45240</v>
      </c>
      <c r="M1704">
        <v>59942</v>
      </c>
      <c r="N1704" t="s">
        <v>3807</v>
      </c>
      <c r="O1704" s="5">
        <v>45240</v>
      </c>
      <c r="P1704" s="5">
        <v>43777</v>
      </c>
    </row>
    <row r="1705" spans="1:16" x14ac:dyDescent="0.25">
      <c r="A1705" t="s">
        <v>3808</v>
      </c>
      <c r="B1705" t="str">
        <v>PCBL LIMITED</v>
      </c>
      <c r="C1705" t="s">
        <v>14</v>
      </c>
      <c r="D1705">
        <v>214.45</v>
      </c>
      <c r="E1705">
        <v>215.9</v>
      </c>
      <c r="F1705">
        <v>209.65</v>
      </c>
      <c r="G1705" s="3">
        <v>210.4</v>
      </c>
      <c r="H1705">
        <v>210.7</v>
      </c>
      <c r="I1705">
        <v>214.2</v>
      </c>
      <c r="J1705">
        <v>3189536</v>
      </c>
      <c r="K1705">
        <v>678807371.20000005</v>
      </c>
      <c r="L1705" s="1">
        <v>45240</v>
      </c>
      <c r="M1705">
        <v>28545</v>
      </c>
      <c r="N1705" t="s">
        <v>3810</v>
      </c>
      <c r="O1705" s="5">
        <v>45240</v>
      </c>
      <c r="P1705" s="5">
        <v>43777</v>
      </c>
    </row>
    <row r="1706" spans="1:16" x14ac:dyDescent="0.25">
      <c r="A1706" t="s">
        <v>6186</v>
      </c>
      <c r="B1706" t="str">
        <v>Not Found</v>
      </c>
      <c r="C1706" t="s">
        <v>5843</v>
      </c>
      <c r="D1706">
        <v>1015.64</v>
      </c>
      <c r="E1706">
        <v>1015.64</v>
      </c>
      <c r="F1706">
        <v>1015.64</v>
      </c>
      <c r="G1706" s="3">
        <v>1015.64</v>
      </c>
      <c r="H1706">
        <v>1015.64</v>
      </c>
      <c r="I1706">
        <v>1014.7</v>
      </c>
      <c r="J1706">
        <v>25</v>
      </c>
      <c r="K1706">
        <v>25391</v>
      </c>
      <c r="L1706" s="1">
        <v>45240</v>
      </c>
      <c r="M1706">
        <v>1</v>
      </c>
      <c r="N1706" t="s">
        <v>6185</v>
      </c>
      <c r="O1706" s="5">
        <v>45240</v>
      </c>
      <c r="P1706" s="5">
        <v>43777</v>
      </c>
    </row>
    <row r="1707" spans="1:16" x14ac:dyDescent="0.25">
      <c r="A1707" t="s">
        <v>3811</v>
      </c>
      <c r="B1707" t="str">
        <v>PC Jeweller Limited</v>
      </c>
      <c r="C1707" t="s">
        <v>14</v>
      </c>
      <c r="D1707">
        <v>29.9</v>
      </c>
      <c r="E1707">
        <v>30.8</v>
      </c>
      <c r="F1707">
        <v>29.6</v>
      </c>
      <c r="G1707" s="3">
        <v>29.75</v>
      </c>
      <c r="H1707">
        <v>29.8</v>
      </c>
      <c r="I1707">
        <v>29.9</v>
      </c>
      <c r="J1707">
        <v>2679217</v>
      </c>
      <c r="K1707">
        <v>80480513.950000003</v>
      </c>
      <c r="L1707" s="1">
        <v>45240</v>
      </c>
      <c r="M1707">
        <v>6658</v>
      </c>
      <c r="N1707" t="s">
        <v>3813</v>
      </c>
      <c r="O1707" s="5">
        <v>45240</v>
      </c>
      <c r="P1707" s="5">
        <v>43777</v>
      </c>
    </row>
    <row r="1708" spans="1:16" x14ac:dyDescent="0.25">
      <c r="A1708" t="s">
        <v>3814</v>
      </c>
      <c r="B1708" t="str">
        <v>Pudumjee Paper Products Limited</v>
      </c>
      <c r="C1708" t="s">
        <v>14</v>
      </c>
      <c r="D1708">
        <v>47.75</v>
      </c>
      <c r="E1708">
        <v>48.7</v>
      </c>
      <c r="F1708">
        <v>47.2</v>
      </c>
      <c r="G1708" s="3">
        <v>47.5</v>
      </c>
      <c r="H1708">
        <v>47.7</v>
      </c>
      <c r="I1708">
        <v>47.6</v>
      </c>
      <c r="J1708">
        <v>201499</v>
      </c>
      <c r="K1708">
        <v>9618351.6500000004</v>
      </c>
      <c r="L1708" s="1">
        <v>45240</v>
      </c>
      <c r="M1708">
        <v>1176</v>
      </c>
      <c r="N1708" t="s">
        <v>3816</v>
      </c>
      <c r="O1708" s="5">
        <v>45240</v>
      </c>
      <c r="P1708" s="5">
        <v>43777</v>
      </c>
    </row>
    <row r="1709" spans="1:16" x14ac:dyDescent="0.25">
      <c r="A1709" t="s">
        <v>3817</v>
      </c>
      <c r="B1709" t="str">
        <v>PDS Limited</v>
      </c>
      <c r="C1709" t="s">
        <v>14</v>
      </c>
      <c r="D1709">
        <v>591.5</v>
      </c>
      <c r="E1709">
        <v>595</v>
      </c>
      <c r="F1709">
        <v>575.4</v>
      </c>
      <c r="G1709" s="3">
        <v>579.45000000000005</v>
      </c>
      <c r="H1709">
        <v>580.15</v>
      </c>
      <c r="I1709">
        <v>585.35</v>
      </c>
      <c r="J1709">
        <v>74625</v>
      </c>
      <c r="K1709">
        <v>43437898.049999997</v>
      </c>
      <c r="L1709" s="1">
        <v>45240</v>
      </c>
      <c r="M1709">
        <v>6446</v>
      </c>
      <c r="N1709" t="s">
        <v>3819</v>
      </c>
      <c r="O1709" s="5">
        <v>45240</v>
      </c>
      <c r="P1709" s="5">
        <v>43777</v>
      </c>
    </row>
    <row r="1710" spans="1:16" x14ac:dyDescent="0.25">
      <c r="A1710" t="s">
        <v>3820</v>
      </c>
      <c r="B1710" t="str">
        <v>Pearl Polymers Limited</v>
      </c>
      <c r="C1710" t="s">
        <v>14</v>
      </c>
      <c r="D1710">
        <v>29.4</v>
      </c>
      <c r="E1710">
        <v>29.7</v>
      </c>
      <c r="F1710">
        <v>28.55</v>
      </c>
      <c r="G1710" s="3">
        <v>28.65</v>
      </c>
      <c r="H1710">
        <v>28.55</v>
      </c>
      <c r="I1710">
        <v>29.4</v>
      </c>
      <c r="J1710">
        <v>68694</v>
      </c>
      <c r="K1710">
        <v>1989133.7</v>
      </c>
      <c r="L1710" s="1">
        <v>45240</v>
      </c>
      <c r="M1710">
        <v>322</v>
      </c>
      <c r="N1710" t="s">
        <v>3822</v>
      </c>
      <c r="O1710" s="5">
        <v>45240</v>
      </c>
      <c r="P1710" s="5">
        <v>43777</v>
      </c>
    </row>
    <row r="1711" spans="1:16" x14ac:dyDescent="0.25">
      <c r="A1711" t="s">
        <v>3823</v>
      </c>
      <c r="B1711" t="str">
        <v>Piramal Enterprises Limited</v>
      </c>
      <c r="C1711" t="s">
        <v>14</v>
      </c>
      <c r="D1711">
        <v>959</v>
      </c>
      <c r="E1711">
        <v>983.3</v>
      </c>
      <c r="F1711">
        <v>935.45</v>
      </c>
      <c r="G1711" s="3">
        <v>945.75</v>
      </c>
      <c r="H1711">
        <v>945.75</v>
      </c>
      <c r="I1711">
        <v>986.4</v>
      </c>
      <c r="J1711">
        <v>2235350</v>
      </c>
      <c r="K1711">
        <v>2118362036.1500001</v>
      </c>
      <c r="L1711" s="1">
        <v>45240</v>
      </c>
      <c r="M1711">
        <v>62931</v>
      </c>
      <c r="N1711" t="s">
        <v>3825</v>
      </c>
      <c r="O1711" s="5">
        <v>45240</v>
      </c>
      <c r="P1711" s="5">
        <v>43777</v>
      </c>
    </row>
    <row r="1712" spans="1:16" x14ac:dyDescent="0.25">
      <c r="A1712" t="s">
        <v>3823</v>
      </c>
      <c r="B1712" t="str">
        <v>Piramal Enterprises Limited</v>
      </c>
      <c r="C1712" t="s">
        <v>5845</v>
      </c>
      <c r="D1712">
        <v>995</v>
      </c>
      <c r="E1712">
        <v>996</v>
      </c>
      <c r="F1712">
        <v>993</v>
      </c>
      <c r="G1712" s="3">
        <v>993.24</v>
      </c>
      <c r="H1712">
        <v>993</v>
      </c>
      <c r="I1712">
        <v>994.23</v>
      </c>
      <c r="J1712">
        <v>4160</v>
      </c>
      <c r="K1712">
        <v>4132353.77</v>
      </c>
      <c r="L1712" s="1">
        <v>45240</v>
      </c>
      <c r="M1712">
        <v>46</v>
      </c>
      <c r="N1712" t="s">
        <v>6184</v>
      </c>
      <c r="O1712" s="5">
        <v>45240</v>
      </c>
      <c r="P1712" s="5">
        <v>43777</v>
      </c>
    </row>
    <row r="1713" spans="1:16" x14ac:dyDescent="0.25">
      <c r="A1713" t="s">
        <v>3823</v>
      </c>
      <c r="B1713" t="str">
        <v>Piramal Enterprises Limited</v>
      </c>
      <c r="C1713" t="s">
        <v>6176</v>
      </c>
      <c r="D1713">
        <v>1015</v>
      </c>
      <c r="E1713">
        <v>1015</v>
      </c>
      <c r="F1713">
        <v>1015</v>
      </c>
      <c r="G1713" s="3">
        <v>1015</v>
      </c>
      <c r="H1713">
        <v>1015</v>
      </c>
      <c r="I1713">
        <v>1015</v>
      </c>
      <c r="J1713">
        <v>90</v>
      </c>
      <c r="K1713">
        <v>91350</v>
      </c>
      <c r="L1713" s="1">
        <v>45240</v>
      </c>
      <c r="M1713">
        <v>2</v>
      </c>
      <c r="N1713" t="s">
        <v>6183</v>
      </c>
      <c r="O1713" s="5">
        <v>45240</v>
      </c>
      <c r="P1713" s="5">
        <v>43777</v>
      </c>
    </row>
    <row r="1714" spans="1:16" x14ac:dyDescent="0.25">
      <c r="A1714" t="s">
        <v>3823</v>
      </c>
      <c r="B1714" t="str">
        <v>Piramal Enterprises Limited</v>
      </c>
      <c r="C1714" t="s">
        <v>6182</v>
      </c>
      <c r="D1714">
        <v>999.85</v>
      </c>
      <c r="E1714">
        <v>999.85</v>
      </c>
      <c r="F1714">
        <v>999.85</v>
      </c>
      <c r="G1714" s="3">
        <v>999.85</v>
      </c>
      <c r="H1714">
        <v>999.85</v>
      </c>
      <c r="I1714">
        <v>999.85</v>
      </c>
      <c r="J1714">
        <v>4</v>
      </c>
      <c r="K1714">
        <v>3999.4</v>
      </c>
      <c r="L1714" s="1">
        <v>45240</v>
      </c>
      <c r="M1714">
        <v>1</v>
      </c>
      <c r="N1714" t="s">
        <v>6181</v>
      </c>
      <c r="O1714" s="5">
        <v>45240</v>
      </c>
      <c r="P1714" s="5">
        <v>43777</v>
      </c>
    </row>
    <row r="1715" spans="1:16" x14ac:dyDescent="0.25">
      <c r="A1715" t="s">
        <v>3826</v>
      </c>
      <c r="B1715" t="str">
        <v>Pennar Industries Limited</v>
      </c>
      <c r="C1715" t="s">
        <v>14</v>
      </c>
      <c r="D1715">
        <v>101.8</v>
      </c>
      <c r="E1715">
        <v>105.3</v>
      </c>
      <c r="F1715">
        <v>101.8</v>
      </c>
      <c r="G1715" s="3">
        <v>102.45</v>
      </c>
      <c r="H1715">
        <v>102.05</v>
      </c>
      <c r="I1715">
        <v>101.7</v>
      </c>
      <c r="J1715">
        <v>805243</v>
      </c>
      <c r="K1715">
        <v>83167447.700000003</v>
      </c>
      <c r="L1715" s="1">
        <v>45240</v>
      </c>
      <c r="M1715">
        <v>8114</v>
      </c>
      <c r="N1715" t="s">
        <v>3828</v>
      </c>
      <c r="O1715" s="5">
        <v>45240</v>
      </c>
      <c r="P1715" s="5">
        <v>43777</v>
      </c>
    </row>
    <row r="1716" spans="1:16" x14ac:dyDescent="0.25">
      <c r="A1716" t="s">
        <v>3829</v>
      </c>
      <c r="B1716" t="str">
        <v>Peninsula Land Limited</v>
      </c>
      <c r="C1716" t="s">
        <v>14</v>
      </c>
      <c r="D1716">
        <v>44.3</v>
      </c>
      <c r="E1716">
        <v>44.8</v>
      </c>
      <c r="F1716">
        <v>41.6</v>
      </c>
      <c r="G1716" s="3">
        <v>42.25</v>
      </c>
      <c r="H1716">
        <v>42.6</v>
      </c>
      <c r="I1716">
        <v>43.1</v>
      </c>
      <c r="J1716">
        <v>1782575</v>
      </c>
      <c r="K1716">
        <v>76980732.400000006</v>
      </c>
      <c r="L1716" s="1">
        <v>45240</v>
      </c>
      <c r="M1716">
        <v>5683</v>
      </c>
      <c r="N1716" t="s">
        <v>3831</v>
      </c>
      <c r="O1716" s="5">
        <v>45240</v>
      </c>
      <c r="P1716" s="5">
        <v>43777</v>
      </c>
    </row>
    <row r="1717" spans="1:16" x14ac:dyDescent="0.25">
      <c r="A1717" t="s">
        <v>6180</v>
      </c>
      <c r="B1717" t="str">
        <v>Not Found</v>
      </c>
      <c r="C1717" t="s">
        <v>5788</v>
      </c>
      <c r="D1717">
        <v>111.4</v>
      </c>
      <c r="E1717">
        <v>119</v>
      </c>
      <c r="F1717">
        <v>111.4</v>
      </c>
      <c r="G1717" s="3">
        <v>119</v>
      </c>
      <c r="H1717">
        <v>119</v>
      </c>
      <c r="I1717">
        <v>112.7</v>
      </c>
      <c r="J1717">
        <v>11000</v>
      </c>
      <c r="K1717">
        <v>1287750</v>
      </c>
      <c r="L1717" s="1">
        <v>45240</v>
      </c>
      <c r="M1717">
        <v>11</v>
      </c>
      <c r="N1717" t="s">
        <v>6179</v>
      </c>
      <c r="O1717" s="5">
        <v>45240</v>
      </c>
      <c r="P1717" s="5">
        <v>43777</v>
      </c>
    </row>
    <row r="1718" spans="1:16" x14ac:dyDescent="0.25">
      <c r="A1718" t="s">
        <v>6178</v>
      </c>
      <c r="B1718" t="str">
        <v>Not Found</v>
      </c>
      <c r="C1718" t="s">
        <v>5788</v>
      </c>
      <c r="D1718">
        <v>19.899999999999999</v>
      </c>
      <c r="E1718">
        <v>20.25</v>
      </c>
      <c r="F1718">
        <v>18.95</v>
      </c>
      <c r="G1718" s="3">
        <v>19.05</v>
      </c>
      <c r="H1718">
        <v>18.95</v>
      </c>
      <c r="I1718">
        <v>19.45</v>
      </c>
      <c r="J1718">
        <v>54000</v>
      </c>
      <c r="K1718">
        <v>1062000</v>
      </c>
      <c r="L1718" s="1">
        <v>45240</v>
      </c>
      <c r="M1718">
        <v>9</v>
      </c>
      <c r="N1718" t="s">
        <v>6177</v>
      </c>
      <c r="O1718" s="5">
        <v>45240</v>
      </c>
      <c r="P1718" s="5">
        <v>43777</v>
      </c>
    </row>
    <row r="1719" spans="1:16" x14ac:dyDescent="0.25">
      <c r="A1719" t="s">
        <v>3832</v>
      </c>
      <c r="B1719" t="str">
        <v>Persistent Systems Limited</v>
      </c>
      <c r="C1719" t="s">
        <v>14</v>
      </c>
      <c r="D1719">
        <v>6299</v>
      </c>
      <c r="E1719">
        <v>6310</v>
      </c>
      <c r="F1719">
        <v>6231.45</v>
      </c>
      <c r="G1719" s="3">
        <v>6246.15</v>
      </c>
      <c r="H1719">
        <v>6250</v>
      </c>
      <c r="I1719">
        <v>6319.7</v>
      </c>
      <c r="J1719">
        <v>170878</v>
      </c>
      <c r="K1719">
        <v>1070254317.55</v>
      </c>
      <c r="L1719" s="1">
        <v>45240</v>
      </c>
      <c r="M1719">
        <v>23253</v>
      </c>
      <c r="N1719" t="s">
        <v>3834</v>
      </c>
      <c r="O1719" s="5">
        <v>45240</v>
      </c>
      <c r="P1719" s="5">
        <v>43777</v>
      </c>
    </row>
    <row r="1720" spans="1:16" x14ac:dyDescent="0.25">
      <c r="A1720" t="s">
        <v>3835</v>
      </c>
      <c r="B1720" t="str">
        <v>Petronet LNG Limited</v>
      </c>
      <c r="C1720" t="s">
        <v>14</v>
      </c>
      <c r="D1720">
        <v>193.8</v>
      </c>
      <c r="E1720">
        <v>196.6</v>
      </c>
      <c r="F1720">
        <v>191.7</v>
      </c>
      <c r="G1720" s="3">
        <v>194.7</v>
      </c>
      <c r="H1720">
        <v>194.7</v>
      </c>
      <c r="I1720">
        <v>200.05</v>
      </c>
      <c r="J1720">
        <v>12910371</v>
      </c>
      <c r="K1720">
        <v>2501882694.6500001</v>
      </c>
      <c r="L1720" s="1">
        <v>45240</v>
      </c>
      <c r="M1720">
        <v>43623</v>
      </c>
      <c r="N1720" t="s">
        <v>3837</v>
      </c>
      <c r="O1720" s="5">
        <v>45240</v>
      </c>
      <c r="P1720" s="5">
        <v>43777</v>
      </c>
    </row>
    <row r="1721" spans="1:16" x14ac:dyDescent="0.25">
      <c r="A1721" t="s">
        <v>3838</v>
      </c>
      <c r="B1721" t="str">
        <v>Power Finance Corporation Limited</v>
      </c>
      <c r="C1721" t="s">
        <v>14</v>
      </c>
      <c r="D1721">
        <v>276.35000000000002</v>
      </c>
      <c r="E1721">
        <v>288.89999999999998</v>
      </c>
      <c r="F1721">
        <v>276.05</v>
      </c>
      <c r="G1721" s="3">
        <v>287.7</v>
      </c>
      <c r="H1721">
        <v>288.25</v>
      </c>
      <c r="I1721">
        <v>277.3</v>
      </c>
      <c r="J1721">
        <v>26451061</v>
      </c>
      <c r="K1721">
        <v>7506768536.3999996</v>
      </c>
      <c r="L1721" s="1">
        <v>45240</v>
      </c>
      <c r="M1721">
        <v>145338</v>
      </c>
      <c r="N1721" t="s">
        <v>3840</v>
      </c>
      <c r="O1721" s="5">
        <v>45240</v>
      </c>
      <c r="P1721" s="5">
        <v>43777</v>
      </c>
    </row>
    <row r="1722" spans="1:16" x14ac:dyDescent="0.25">
      <c r="A1722" t="s">
        <v>3838</v>
      </c>
      <c r="B1722" t="str">
        <v>Power Finance Corporation Limited</v>
      </c>
      <c r="C1722" t="s">
        <v>6176</v>
      </c>
      <c r="D1722">
        <v>1116</v>
      </c>
      <c r="E1722">
        <v>1125</v>
      </c>
      <c r="F1722">
        <v>1116</v>
      </c>
      <c r="G1722" s="3">
        <v>1116.6600000000001</v>
      </c>
      <c r="H1722">
        <v>1125</v>
      </c>
      <c r="I1722">
        <v>1115</v>
      </c>
      <c r="J1722">
        <v>270</v>
      </c>
      <c r="K1722">
        <v>301500</v>
      </c>
      <c r="L1722" s="1">
        <v>45240</v>
      </c>
      <c r="M1722">
        <v>4</v>
      </c>
      <c r="N1722" t="s">
        <v>6175</v>
      </c>
      <c r="O1722" s="5">
        <v>45240</v>
      </c>
      <c r="P1722" s="5">
        <v>43777</v>
      </c>
    </row>
    <row r="1723" spans="1:16" x14ac:dyDescent="0.25">
      <c r="A1723" t="s">
        <v>3838</v>
      </c>
      <c r="B1723" t="str">
        <v>Power Finance Corporation Limited</v>
      </c>
      <c r="C1723" t="s">
        <v>6174</v>
      </c>
      <c r="D1723">
        <v>1098</v>
      </c>
      <c r="E1723">
        <v>1098</v>
      </c>
      <c r="F1723">
        <v>1098</v>
      </c>
      <c r="G1723" s="3">
        <v>1098</v>
      </c>
      <c r="H1723">
        <v>1098</v>
      </c>
      <c r="I1723">
        <v>1098</v>
      </c>
      <c r="J1723">
        <v>388</v>
      </c>
      <c r="K1723">
        <v>426024</v>
      </c>
      <c r="L1723" s="1">
        <v>45240</v>
      </c>
      <c r="M1723">
        <v>5</v>
      </c>
      <c r="N1723" t="s">
        <v>6173</v>
      </c>
      <c r="O1723" s="5">
        <v>45240</v>
      </c>
      <c r="P1723" s="5">
        <v>43777</v>
      </c>
    </row>
    <row r="1724" spans="1:16" x14ac:dyDescent="0.25">
      <c r="A1724" t="s">
        <v>3841</v>
      </c>
      <c r="B1724" t="str">
        <v>Pfizer Limited</v>
      </c>
      <c r="C1724" t="s">
        <v>14</v>
      </c>
      <c r="D1724">
        <v>3911.5</v>
      </c>
      <c r="E1724">
        <v>3911.5</v>
      </c>
      <c r="F1724">
        <v>3876.35</v>
      </c>
      <c r="G1724" s="3">
        <v>3889.7</v>
      </c>
      <c r="H1724">
        <v>3886</v>
      </c>
      <c r="I1724">
        <v>3891.05</v>
      </c>
      <c r="J1724">
        <v>6662</v>
      </c>
      <c r="K1724">
        <v>25895088.75</v>
      </c>
      <c r="L1724" s="1">
        <v>45240</v>
      </c>
      <c r="M1724">
        <v>1629</v>
      </c>
      <c r="N1724" t="s">
        <v>3843</v>
      </c>
      <c r="O1724" s="5">
        <v>45240</v>
      </c>
      <c r="P1724" s="5">
        <v>43777</v>
      </c>
    </row>
    <row r="1725" spans="1:16" x14ac:dyDescent="0.25">
      <c r="A1725" t="s">
        <v>3844</v>
      </c>
      <c r="B1725" t="str">
        <v>Prime Focus Limited</v>
      </c>
      <c r="C1725" t="s">
        <v>14</v>
      </c>
      <c r="D1725">
        <v>100.85</v>
      </c>
      <c r="E1725">
        <v>101.85</v>
      </c>
      <c r="F1725">
        <v>97</v>
      </c>
      <c r="G1725" s="3">
        <v>99.7</v>
      </c>
      <c r="H1725">
        <v>100</v>
      </c>
      <c r="I1725">
        <v>101.05</v>
      </c>
      <c r="J1725">
        <v>128900</v>
      </c>
      <c r="K1725">
        <v>12810231.75</v>
      </c>
      <c r="L1725" s="1">
        <v>45240</v>
      </c>
      <c r="M1725">
        <v>2213</v>
      </c>
      <c r="N1725" t="s">
        <v>3846</v>
      </c>
      <c r="O1725" s="5">
        <v>45240</v>
      </c>
      <c r="P1725" s="5">
        <v>43777</v>
      </c>
    </row>
    <row r="1726" spans="1:16" x14ac:dyDescent="0.25">
      <c r="A1726" t="s">
        <v>3847</v>
      </c>
      <c r="B1726" t="str">
        <v>PTC India Financial Services Limited</v>
      </c>
      <c r="C1726" t="s">
        <v>14</v>
      </c>
      <c r="D1726">
        <v>32.25</v>
      </c>
      <c r="E1726">
        <v>33</v>
      </c>
      <c r="F1726">
        <v>32.1</v>
      </c>
      <c r="G1726" s="3">
        <v>32.549999999999997</v>
      </c>
      <c r="H1726">
        <v>32.65</v>
      </c>
      <c r="I1726">
        <v>32.299999999999997</v>
      </c>
      <c r="J1726">
        <v>4193775</v>
      </c>
      <c r="K1726">
        <v>136438417.59999999</v>
      </c>
      <c r="L1726" s="1">
        <v>45240</v>
      </c>
      <c r="M1726">
        <v>7724</v>
      </c>
      <c r="N1726" t="s">
        <v>3849</v>
      </c>
      <c r="O1726" s="5">
        <v>45240</v>
      </c>
      <c r="P1726" s="5">
        <v>43777</v>
      </c>
    </row>
    <row r="1727" spans="1:16" x14ac:dyDescent="0.25">
      <c r="A1727" t="s">
        <v>3850</v>
      </c>
      <c r="B1727" t="str">
        <v>PG Electroplast Limited</v>
      </c>
      <c r="C1727" t="s">
        <v>14</v>
      </c>
      <c r="D1727">
        <v>2050</v>
      </c>
      <c r="E1727">
        <v>2069.1</v>
      </c>
      <c r="F1727">
        <v>2018</v>
      </c>
      <c r="G1727" s="3">
        <v>2026.65</v>
      </c>
      <c r="H1727">
        <v>2025.1</v>
      </c>
      <c r="I1727">
        <v>2047.7</v>
      </c>
      <c r="J1727">
        <v>28956</v>
      </c>
      <c r="K1727">
        <v>59016174.700000003</v>
      </c>
      <c r="L1727" s="1">
        <v>45240</v>
      </c>
      <c r="M1727">
        <v>5188</v>
      </c>
      <c r="N1727" t="s">
        <v>3852</v>
      </c>
      <c r="O1727" s="5">
        <v>45240</v>
      </c>
      <c r="P1727" s="5">
        <v>43777</v>
      </c>
    </row>
    <row r="1728" spans="1:16" x14ac:dyDescent="0.25">
      <c r="A1728" t="s">
        <v>3853</v>
      </c>
      <c r="B1728" t="str">
        <v>Procter &amp; Gamble Hygiene and Health Care Limited</v>
      </c>
      <c r="C1728" t="s">
        <v>14</v>
      </c>
      <c r="D1728">
        <v>17320.150000000001</v>
      </c>
      <c r="E1728">
        <v>17965.650000000001</v>
      </c>
      <c r="F1728">
        <v>17250.05</v>
      </c>
      <c r="G1728" s="3">
        <v>17810.7</v>
      </c>
      <c r="H1728">
        <v>17700</v>
      </c>
      <c r="I1728">
        <v>17223.95</v>
      </c>
      <c r="J1728">
        <v>13962</v>
      </c>
      <c r="K1728">
        <v>246569072.05000001</v>
      </c>
      <c r="L1728" s="1">
        <v>45240</v>
      </c>
      <c r="M1728">
        <v>6484</v>
      </c>
      <c r="N1728" t="s">
        <v>3855</v>
      </c>
      <c r="O1728" s="5">
        <v>45240</v>
      </c>
      <c r="P1728" s="5">
        <v>43777</v>
      </c>
    </row>
    <row r="1729" spans="1:16" x14ac:dyDescent="0.25">
      <c r="A1729" t="s">
        <v>3856</v>
      </c>
      <c r="B1729" t="str">
        <v>Procter &amp; Gamble Health Limited</v>
      </c>
      <c r="C1729" t="s">
        <v>14</v>
      </c>
      <c r="D1729">
        <v>5168.75</v>
      </c>
      <c r="E1729">
        <v>5244.9</v>
      </c>
      <c r="F1729">
        <v>5148.3500000000004</v>
      </c>
      <c r="G1729" s="3">
        <v>5209.55</v>
      </c>
      <c r="H1729">
        <v>5210</v>
      </c>
      <c r="I1729">
        <v>5168.75</v>
      </c>
      <c r="J1729">
        <v>4141</v>
      </c>
      <c r="K1729">
        <v>21499500.199999999</v>
      </c>
      <c r="L1729" s="1">
        <v>45240</v>
      </c>
      <c r="M1729">
        <v>1311</v>
      </c>
      <c r="N1729" t="s">
        <v>3858</v>
      </c>
      <c r="O1729" s="5">
        <v>45240</v>
      </c>
      <c r="P1729" s="5">
        <v>43777</v>
      </c>
    </row>
    <row r="1730" spans="1:16" x14ac:dyDescent="0.25">
      <c r="A1730" t="s">
        <v>3859</v>
      </c>
      <c r="B1730" t="str">
        <v>Pearl Global Industries Limited</v>
      </c>
      <c r="C1730" t="s">
        <v>10</v>
      </c>
      <c r="D1730">
        <v>1317.95</v>
      </c>
      <c r="E1730">
        <v>1317.95</v>
      </c>
      <c r="F1730">
        <v>1240.6500000000001</v>
      </c>
      <c r="G1730" s="3">
        <v>1259.4000000000001</v>
      </c>
      <c r="H1730">
        <v>1260</v>
      </c>
      <c r="I1730">
        <v>1305.95</v>
      </c>
      <c r="J1730">
        <v>25625</v>
      </c>
      <c r="K1730">
        <v>32034284.25</v>
      </c>
      <c r="L1730" s="1">
        <v>45240</v>
      </c>
      <c r="M1730">
        <v>717</v>
      </c>
      <c r="N1730" t="s">
        <v>3861</v>
      </c>
      <c r="O1730" s="5">
        <v>45240</v>
      </c>
      <c r="P1730" s="5">
        <v>43777</v>
      </c>
    </row>
    <row r="1731" spans="1:16" x14ac:dyDescent="0.25">
      <c r="A1731" t="s">
        <v>6172</v>
      </c>
      <c r="B1731" t="str">
        <v>Not Found</v>
      </c>
      <c r="C1731" t="s">
        <v>6171</v>
      </c>
      <c r="D1731">
        <v>100.25</v>
      </c>
      <c r="E1731">
        <v>100.25</v>
      </c>
      <c r="F1731">
        <v>99.73</v>
      </c>
      <c r="G1731" s="3">
        <v>99.88</v>
      </c>
      <c r="H1731">
        <v>99.9</v>
      </c>
      <c r="I1731">
        <v>99.95</v>
      </c>
      <c r="J1731">
        <v>1015980</v>
      </c>
      <c r="K1731">
        <v>101507959.20999999</v>
      </c>
      <c r="L1731" s="1">
        <v>45240</v>
      </c>
      <c r="M1731">
        <v>5683</v>
      </c>
      <c r="N1731" t="s">
        <v>6170</v>
      </c>
      <c r="O1731" s="5">
        <v>45240</v>
      </c>
      <c r="P1731" s="5">
        <v>43777</v>
      </c>
    </row>
    <row r="1732" spans="1:16" x14ac:dyDescent="0.25">
      <c r="A1732" t="s">
        <v>6169</v>
      </c>
      <c r="B1732" t="str">
        <v>Not Found</v>
      </c>
      <c r="C1732" t="s">
        <v>5788</v>
      </c>
      <c r="D1732">
        <v>429.5</v>
      </c>
      <c r="E1732">
        <v>440</v>
      </c>
      <c r="F1732">
        <v>388</v>
      </c>
      <c r="G1732" s="3">
        <v>392.8</v>
      </c>
      <c r="H1732">
        <v>395</v>
      </c>
      <c r="I1732">
        <v>426.95</v>
      </c>
      <c r="J1732">
        <v>370500</v>
      </c>
      <c r="K1732">
        <v>152140770</v>
      </c>
      <c r="L1732" s="1">
        <v>45240</v>
      </c>
      <c r="M1732">
        <v>887</v>
      </c>
      <c r="N1732" t="s">
        <v>6168</v>
      </c>
      <c r="O1732" s="5">
        <v>45240</v>
      </c>
      <c r="P1732" s="5">
        <v>43777</v>
      </c>
    </row>
    <row r="1733" spans="1:16" x14ac:dyDescent="0.25">
      <c r="A1733" t="s">
        <v>6167</v>
      </c>
      <c r="B1733" t="str">
        <v>Not Found</v>
      </c>
      <c r="C1733" t="s">
        <v>14</v>
      </c>
      <c r="D1733">
        <v>15.25</v>
      </c>
      <c r="E1733">
        <v>15.8</v>
      </c>
      <c r="F1733">
        <v>15.24</v>
      </c>
      <c r="G1733" s="3">
        <v>15.75</v>
      </c>
      <c r="H1733">
        <v>15.79</v>
      </c>
      <c r="I1733">
        <v>15.71</v>
      </c>
      <c r="J1733">
        <v>2211707</v>
      </c>
      <c r="K1733">
        <v>34791159.600000001</v>
      </c>
      <c r="L1733" s="1">
        <v>45240</v>
      </c>
      <c r="M1733">
        <v>3196</v>
      </c>
      <c r="N1733" t="s">
        <v>6166</v>
      </c>
      <c r="O1733" s="5">
        <v>45240</v>
      </c>
      <c r="P1733" s="5">
        <v>43777</v>
      </c>
    </row>
    <row r="1734" spans="1:16" x14ac:dyDescent="0.25">
      <c r="A1734" t="s">
        <v>3862</v>
      </c>
      <c r="B1734" t="str">
        <v>The Phoenix Mills Limited</v>
      </c>
      <c r="C1734" t="s">
        <v>14</v>
      </c>
      <c r="D1734">
        <v>2060.0500000000002</v>
      </c>
      <c r="E1734">
        <v>2060.0500000000002</v>
      </c>
      <c r="F1734">
        <v>2012.2</v>
      </c>
      <c r="G1734" s="3">
        <v>2030.25</v>
      </c>
      <c r="H1734">
        <v>2038</v>
      </c>
      <c r="I1734">
        <v>2064.15</v>
      </c>
      <c r="J1734">
        <v>172634</v>
      </c>
      <c r="K1734">
        <v>350739289.19999999</v>
      </c>
      <c r="L1734" s="1">
        <v>45240</v>
      </c>
      <c r="M1734">
        <v>22345</v>
      </c>
      <c r="N1734" t="s">
        <v>3864</v>
      </c>
      <c r="O1734" s="5">
        <v>45240</v>
      </c>
      <c r="P1734" s="5">
        <v>43777</v>
      </c>
    </row>
    <row r="1735" spans="1:16" x14ac:dyDescent="0.25">
      <c r="A1735" t="s">
        <v>3865</v>
      </c>
      <c r="B1735" t="str">
        <v>Pidilite Industries Limited</v>
      </c>
      <c r="C1735" t="s">
        <v>14</v>
      </c>
      <c r="D1735">
        <v>2457.5500000000002</v>
      </c>
      <c r="E1735">
        <v>2470</v>
      </c>
      <c r="F1735">
        <v>2418.8000000000002</v>
      </c>
      <c r="G1735" s="3">
        <v>2432.35</v>
      </c>
      <c r="H1735">
        <v>2435.85</v>
      </c>
      <c r="I1735">
        <v>2457.5500000000002</v>
      </c>
      <c r="J1735">
        <v>326200</v>
      </c>
      <c r="K1735">
        <v>793363467.25</v>
      </c>
      <c r="L1735" s="1">
        <v>45240</v>
      </c>
      <c r="M1735">
        <v>24449</v>
      </c>
      <c r="N1735" t="s">
        <v>3867</v>
      </c>
      <c r="O1735" s="5">
        <v>45240</v>
      </c>
      <c r="P1735" s="5">
        <v>43777</v>
      </c>
    </row>
    <row r="1736" spans="1:16" x14ac:dyDescent="0.25">
      <c r="A1736" t="s">
        <v>3868</v>
      </c>
      <c r="B1736" t="str">
        <v>Power &amp; Instrumentation (Gujarat) Limited</v>
      </c>
      <c r="C1736" t="s">
        <v>10</v>
      </c>
      <c r="D1736">
        <v>40.1</v>
      </c>
      <c r="E1736">
        <v>40.1</v>
      </c>
      <c r="F1736">
        <v>39.5</v>
      </c>
      <c r="G1736" s="3">
        <v>39.5</v>
      </c>
      <c r="H1736">
        <v>39.5</v>
      </c>
      <c r="I1736">
        <v>40.049999999999997</v>
      </c>
      <c r="J1736">
        <v>1363</v>
      </c>
      <c r="K1736">
        <v>54481.3</v>
      </c>
      <c r="L1736" s="1">
        <v>45240</v>
      </c>
      <c r="M1736">
        <v>15</v>
      </c>
      <c r="N1736" t="s">
        <v>3870</v>
      </c>
      <c r="O1736" s="5">
        <v>45240</v>
      </c>
      <c r="P1736" s="5">
        <v>43777</v>
      </c>
    </row>
    <row r="1737" spans="1:16" x14ac:dyDescent="0.25">
      <c r="A1737" t="s">
        <v>3871</v>
      </c>
      <c r="B1737" t="str">
        <v>PI Industries Limited</v>
      </c>
      <c r="C1737" t="s">
        <v>14</v>
      </c>
      <c r="D1737">
        <v>3675</v>
      </c>
      <c r="E1737">
        <v>3739</v>
      </c>
      <c r="F1737">
        <v>3590.3</v>
      </c>
      <c r="G1737" s="3">
        <v>3687.35</v>
      </c>
      <c r="H1737">
        <v>3692</v>
      </c>
      <c r="I1737">
        <v>3647.85</v>
      </c>
      <c r="J1737">
        <v>674266</v>
      </c>
      <c r="K1737">
        <v>2489388287.8000002</v>
      </c>
      <c r="L1737" s="1">
        <v>45240</v>
      </c>
      <c r="M1737">
        <v>53534</v>
      </c>
      <c r="N1737" t="s">
        <v>3873</v>
      </c>
      <c r="O1737" s="5">
        <v>45240</v>
      </c>
      <c r="P1737" s="5">
        <v>43777</v>
      </c>
    </row>
    <row r="1738" spans="1:16" x14ac:dyDescent="0.25">
      <c r="A1738" t="s">
        <v>3874</v>
      </c>
      <c r="B1738" t="str">
        <v>Pilani Investment and Industries Corporation Limited</v>
      </c>
      <c r="C1738" t="s">
        <v>14</v>
      </c>
      <c r="D1738">
        <v>2350</v>
      </c>
      <c r="E1738">
        <v>2375.9499999999998</v>
      </c>
      <c r="F1738">
        <v>2298.0500000000002</v>
      </c>
      <c r="G1738" s="3">
        <v>2338</v>
      </c>
      <c r="H1738">
        <v>2326.0500000000002</v>
      </c>
      <c r="I1738">
        <v>2341.6999999999998</v>
      </c>
      <c r="J1738">
        <v>3165</v>
      </c>
      <c r="K1738">
        <v>7404162.5499999998</v>
      </c>
      <c r="L1738" s="1">
        <v>45240</v>
      </c>
      <c r="M1738">
        <v>723</v>
      </c>
      <c r="N1738" t="s">
        <v>3876</v>
      </c>
      <c r="O1738" s="5">
        <v>45240</v>
      </c>
      <c r="P1738" s="5">
        <v>43777</v>
      </c>
    </row>
    <row r="1739" spans="1:16" x14ac:dyDescent="0.25">
      <c r="A1739" t="s">
        <v>3877</v>
      </c>
      <c r="B1739" t="str">
        <v>PIL ITALICA LIFESTYLE LIMITED</v>
      </c>
      <c r="C1739" t="s">
        <v>14</v>
      </c>
      <c r="D1739">
        <v>9.9</v>
      </c>
      <c r="E1739">
        <v>10.1</v>
      </c>
      <c r="F1739">
        <v>9.9</v>
      </c>
      <c r="G1739" s="3">
        <v>10.050000000000001</v>
      </c>
      <c r="H1739">
        <v>10.1</v>
      </c>
      <c r="I1739">
        <v>9.9499999999999993</v>
      </c>
      <c r="J1739">
        <v>199012</v>
      </c>
      <c r="K1739">
        <v>1997393.6</v>
      </c>
      <c r="L1739" s="1">
        <v>45240</v>
      </c>
      <c r="M1739">
        <v>301</v>
      </c>
      <c r="N1739" t="s">
        <v>3879</v>
      </c>
      <c r="O1739" s="5">
        <v>45240</v>
      </c>
      <c r="P1739" s="5">
        <v>43777</v>
      </c>
    </row>
    <row r="1740" spans="1:16" x14ac:dyDescent="0.25">
      <c r="A1740" t="s">
        <v>3880</v>
      </c>
      <c r="B1740" t="str">
        <v>Pioneer Embroideries Limited</v>
      </c>
      <c r="C1740" t="s">
        <v>10</v>
      </c>
      <c r="D1740">
        <v>55.2</v>
      </c>
      <c r="E1740">
        <v>55.25</v>
      </c>
      <c r="F1740">
        <v>51.55</v>
      </c>
      <c r="G1740" s="3">
        <v>52.65</v>
      </c>
      <c r="H1740">
        <v>52.6</v>
      </c>
      <c r="I1740">
        <v>52.9</v>
      </c>
      <c r="J1740">
        <v>21127</v>
      </c>
      <c r="K1740">
        <v>1128982.8</v>
      </c>
      <c r="L1740" s="1">
        <v>45240</v>
      </c>
      <c r="M1740">
        <v>113</v>
      </c>
      <c r="N1740" t="s">
        <v>3882</v>
      </c>
      <c r="O1740" s="5">
        <v>45240</v>
      </c>
      <c r="P1740" s="5">
        <v>43777</v>
      </c>
    </row>
    <row r="1741" spans="1:16" x14ac:dyDescent="0.25">
      <c r="A1741" t="s">
        <v>3883</v>
      </c>
      <c r="B1741" t="str">
        <v>Pitti Engineering Limited</v>
      </c>
      <c r="C1741" t="s">
        <v>14</v>
      </c>
      <c r="D1741">
        <v>700</v>
      </c>
      <c r="E1741">
        <v>700</v>
      </c>
      <c r="F1741">
        <v>683.05</v>
      </c>
      <c r="G1741" s="3">
        <v>697.25</v>
      </c>
      <c r="H1741">
        <v>697</v>
      </c>
      <c r="I1741">
        <v>692.55</v>
      </c>
      <c r="J1741">
        <v>135506</v>
      </c>
      <c r="K1741">
        <v>93960448.200000003</v>
      </c>
      <c r="L1741" s="1">
        <v>45240</v>
      </c>
      <c r="M1741">
        <v>6275</v>
      </c>
      <c r="N1741" t="s">
        <v>3885</v>
      </c>
      <c r="O1741" s="5">
        <v>45240</v>
      </c>
      <c r="P1741" s="5">
        <v>43777</v>
      </c>
    </row>
    <row r="1742" spans="1:16" x14ac:dyDescent="0.25">
      <c r="A1742" t="s">
        <v>3886</v>
      </c>
      <c r="B1742" t="str">
        <v>Pix Transmissions Limited</v>
      </c>
      <c r="C1742" t="s">
        <v>14</v>
      </c>
      <c r="D1742">
        <v>1105.05</v>
      </c>
      <c r="E1742">
        <v>1142.7</v>
      </c>
      <c r="F1742">
        <v>1086.0999999999999</v>
      </c>
      <c r="G1742" s="3">
        <v>1099.8499999999999</v>
      </c>
      <c r="H1742">
        <v>1096.25</v>
      </c>
      <c r="I1742">
        <v>1108.05</v>
      </c>
      <c r="J1742">
        <v>10174</v>
      </c>
      <c r="K1742">
        <v>11282908.9</v>
      </c>
      <c r="L1742" s="1">
        <v>45240</v>
      </c>
      <c r="M1742">
        <v>1899</v>
      </c>
      <c r="N1742" t="s">
        <v>3888</v>
      </c>
      <c r="O1742" s="5">
        <v>45240</v>
      </c>
      <c r="P1742" s="5">
        <v>43777</v>
      </c>
    </row>
    <row r="1743" spans="1:16" x14ac:dyDescent="0.25">
      <c r="A1743" t="s">
        <v>3889</v>
      </c>
      <c r="B1743" t="str">
        <v>The Peria Karamalai Tea &amp; Produce Company Limited</v>
      </c>
      <c r="C1743" t="s">
        <v>10</v>
      </c>
      <c r="D1743">
        <v>270</v>
      </c>
      <c r="E1743">
        <v>275</v>
      </c>
      <c r="F1743">
        <v>270</v>
      </c>
      <c r="G1743" s="3">
        <v>270.05</v>
      </c>
      <c r="H1743">
        <v>270.05</v>
      </c>
      <c r="I1743">
        <v>278</v>
      </c>
      <c r="J1743">
        <v>1278</v>
      </c>
      <c r="K1743">
        <v>350810.3</v>
      </c>
      <c r="L1743" s="1">
        <v>45240</v>
      </c>
      <c r="M1743">
        <v>28</v>
      </c>
      <c r="N1743" t="s">
        <v>3891</v>
      </c>
      <c r="O1743" s="5">
        <v>45240</v>
      </c>
      <c r="P1743" s="5">
        <v>43777</v>
      </c>
    </row>
    <row r="1744" spans="1:16" x14ac:dyDescent="0.25">
      <c r="A1744" t="s">
        <v>6165</v>
      </c>
      <c r="B1744" t="str">
        <v>Not Found</v>
      </c>
      <c r="C1744" t="s">
        <v>5788</v>
      </c>
      <c r="D1744">
        <v>47.15</v>
      </c>
      <c r="E1744">
        <v>48</v>
      </c>
      <c r="F1744">
        <v>42.95</v>
      </c>
      <c r="G1744" s="3">
        <v>42.95</v>
      </c>
      <c r="H1744">
        <v>42.95</v>
      </c>
      <c r="I1744">
        <v>46.05</v>
      </c>
      <c r="J1744">
        <v>108000</v>
      </c>
      <c r="K1744">
        <v>4790850</v>
      </c>
      <c r="L1744" s="1">
        <v>45240</v>
      </c>
      <c r="M1744">
        <v>36</v>
      </c>
      <c r="N1744" t="s">
        <v>6164</v>
      </c>
      <c r="O1744" s="5">
        <v>45240</v>
      </c>
      <c r="P1744" s="5">
        <v>43777</v>
      </c>
    </row>
    <row r="1745" spans="1:16" x14ac:dyDescent="0.25">
      <c r="A1745" t="s">
        <v>3892</v>
      </c>
      <c r="B1745" t="str">
        <v>Plastiblends India Limited</v>
      </c>
      <c r="C1745" t="s">
        <v>14</v>
      </c>
      <c r="D1745">
        <v>305.05</v>
      </c>
      <c r="E1745">
        <v>318</v>
      </c>
      <c r="F1745">
        <v>305.05</v>
      </c>
      <c r="G1745" s="3">
        <v>309.89999999999998</v>
      </c>
      <c r="H1745">
        <v>312.5</v>
      </c>
      <c r="I1745">
        <v>305.05</v>
      </c>
      <c r="J1745">
        <v>93999</v>
      </c>
      <c r="K1745">
        <v>29236165.850000001</v>
      </c>
      <c r="L1745" s="1">
        <v>45240</v>
      </c>
      <c r="M1745">
        <v>5383</v>
      </c>
      <c r="N1745" t="s">
        <v>3894</v>
      </c>
      <c r="O1745" s="5">
        <v>45240</v>
      </c>
      <c r="P1745" s="5">
        <v>43777</v>
      </c>
    </row>
    <row r="1746" spans="1:16" x14ac:dyDescent="0.25">
      <c r="A1746" t="s">
        <v>3895</v>
      </c>
      <c r="B1746" t="str">
        <v>Plaza Wires Limited</v>
      </c>
      <c r="C1746" t="s">
        <v>14</v>
      </c>
      <c r="D1746">
        <v>115.45</v>
      </c>
      <c r="E1746">
        <v>119.6</v>
      </c>
      <c r="F1746">
        <v>110.3</v>
      </c>
      <c r="G1746" s="3">
        <v>113.7</v>
      </c>
      <c r="H1746">
        <v>114</v>
      </c>
      <c r="I1746">
        <v>115.5</v>
      </c>
      <c r="J1746">
        <v>2551392</v>
      </c>
      <c r="K1746">
        <v>295728029.85000002</v>
      </c>
      <c r="L1746" s="1">
        <v>45240</v>
      </c>
      <c r="M1746">
        <v>20719</v>
      </c>
      <c r="N1746" t="s">
        <v>3897</v>
      </c>
      <c r="O1746" s="5">
        <v>45240</v>
      </c>
      <c r="P1746" s="5">
        <v>43777</v>
      </c>
    </row>
    <row r="1747" spans="1:16" x14ac:dyDescent="0.25">
      <c r="A1747" t="s">
        <v>3898</v>
      </c>
      <c r="B1747" t="str">
        <v>Punjab National Bank</v>
      </c>
      <c r="C1747" t="s">
        <v>14</v>
      </c>
      <c r="D1747">
        <v>75.900000000000006</v>
      </c>
      <c r="E1747">
        <v>76.400000000000006</v>
      </c>
      <c r="F1747">
        <v>75.5</v>
      </c>
      <c r="G1747" s="3">
        <v>76.25</v>
      </c>
      <c r="H1747">
        <v>76.349999999999994</v>
      </c>
      <c r="I1747">
        <v>76</v>
      </c>
      <c r="J1747">
        <v>19806827</v>
      </c>
      <c r="K1747">
        <v>1504962050.75</v>
      </c>
      <c r="L1747" s="1">
        <v>45240</v>
      </c>
      <c r="M1747">
        <v>41755</v>
      </c>
      <c r="N1747" t="s">
        <v>3900</v>
      </c>
      <c r="O1747" s="5">
        <v>45240</v>
      </c>
      <c r="P1747" s="5">
        <v>43777</v>
      </c>
    </row>
    <row r="1748" spans="1:16" x14ac:dyDescent="0.25">
      <c r="A1748" t="s">
        <v>3901</v>
      </c>
      <c r="B1748" t="str">
        <v>PNB Gilts Limited</v>
      </c>
      <c r="C1748" t="s">
        <v>14</v>
      </c>
      <c r="D1748">
        <v>98.9</v>
      </c>
      <c r="E1748">
        <v>102.95</v>
      </c>
      <c r="F1748">
        <v>97.3</v>
      </c>
      <c r="G1748" s="3">
        <v>97.85</v>
      </c>
      <c r="H1748">
        <v>97.9</v>
      </c>
      <c r="I1748">
        <v>100.85</v>
      </c>
      <c r="J1748">
        <v>4553879</v>
      </c>
      <c r="K1748">
        <v>454198051.69999999</v>
      </c>
      <c r="L1748" s="1">
        <v>45240</v>
      </c>
      <c r="M1748">
        <v>14963</v>
      </c>
      <c r="N1748" t="s">
        <v>3903</v>
      </c>
      <c r="O1748" s="5">
        <v>45240</v>
      </c>
      <c r="P1748" s="5">
        <v>43777</v>
      </c>
    </row>
    <row r="1749" spans="1:16" x14ac:dyDescent="0.25">
      <c r="A1749" t="s">
        <v>3904</v>
      </c>
      <c r="B1749" t="str">
        <v>PNB Housing Finance Limited</v>
      </c>
      <c r="C1749" t="s">
        <v>14</v>
      </c>
      <c r="D1749">
        <v>745.25</v>
      </c>
      <c r="E1749">
        <v>750.8</v>
      </c>
      <c r="F1749">
        <v>736.8</v>
      </c>
      <c r="G1749" s="3">
        <v>743.6</v>
      </c>
      <c r="H1749">
        <v>740.35</v>
      </c>
      <c r="I1749">
        <v>745.25</v>
      </c>
      <c r="J1749">
        <v>108799</v>
      </c>
      <c r="K1749">
        <v>80989750.599999994</v>
      </c>
      <c r="L1749" s="1">
        <v>45240</v>
      </c>
      <c r="M1749">
        <v>6841</v>
      </c>
      <c r="N1749" t="s">
        <v>3906</v>
      </c>
      <c r="O1749" s="5">
        <v>45240</v>
      </c>
      <c r="P1749" s="5">
        <v>43777</v>
      </c>
    </row>
    <row r="1750" spans="1:16" x14ac:dyDescent="0.25">
      <c r="A1750" t="s">
        <v>3907</v>
      </c>
      <c r="B1750" t="str">
        <v>Pritish Nandy Communications Limited</v>
      </c>
      <c r="C1750" t="s">
        <v>14</v>
      </c>
      <c r="D1750">
        <v>42</v>
      </c>
      <c r="E1750">
        <v>42.3</v>
      </c>
      <c r="F1750">
        <v>39.9</v>
      </c>
      <c r="G1750" s="3">
        <v>40.6</v>
      </c>
      <c r="H1750">
        <v>40.1</v>
      </c>
      <c r="I1750">
        <v>40.799999999999997</v>
      </c>
      <c r="J1750">
        <v>126484</v>
      </c>
      <c r="K1750">
        <v>5184790.6500000004</v>
      </c>
      <c r="L1750" s="1">
        <v>45240</v>
      </c>
      <c r="M1750">
        <v>1879</v>
      </c>
      <c r="N1750" t="s">
        <v>3909</v>
      </c>
      <c r="O1750" s="5">
        <v>45240</v>
      </c>
      <c r="P1750" s="5">
        <v>43777</v>
      </c>
    </row>
    <row r="1751" spans="1:16" x14ac:dyDescent="0.25">
      <c r="A1751" t="s">
        <v>3910</v>
      </c>
      <c r="B1751" t="str">
        <v>PNC Infratech Limited</v>
      </c>
      <c r="C1751" t="s">
        <v>14</v>
      </c>
      <c r="D1751">
        <v>312.14999999999998</v>
      </c>
      <c r="E1751">
        <v>326</v>
      </c>
      <c r="F1751">
        <v>312</v>
      </c>
      <c r="G1751" s="3">
        <v>316.05</v>
      </c>
      <c r="H1751">
        <v>317.7</v>
      </c>
      <c r="I1751">
        <v>310.55</v>
      </c>
      <c r="J1751">
        <v>888351</v>
      </c>
      <c r="K1751">
        <v>283645305.75</v>
      </c>
      <c r="L1751" s="1">
        <v>45240</v>
      </c>
      <c r="M1751">
        <v>27243</v>
      </c>
      <c r="N1751" t="s">
        <v>3912</v>
      </c>
      <c r="O1751" s="5">
        <v>45240</v>
      </c>
      <c r="P1751" s="5">
        <v>43777</v>
      </c>
    </row>
    <row r="1752" spans="1:16" x14ac:dyDescent="0.25">
      <c r="A1752" t="s">
        <v>3913</v>
      </c>
      <c r="B1752" t="str">
        <v>Pondy Oxides &amp; Chemicals Limited</v>
      </c>
      <c r="C1752" t="s">
        <v>14</v>
      </c>
      <c r="D1752">
        <v>435.7</v>
      </c>
      <c r="E1752">
        <v>451</v>
      </c>
      <c r="F1752">
        <v>433.95</v>
      </c>
      <c r="G1752" s="3">
        <v>445.65</v>
      </c>
      <c r="H1752">
        <v>447.35</v>
      </c>
      <c r="I1752">
        <v>434.95</v>
      </c>
      <c r="J1752">
        <v>22984</v>
      </c>
      <c r="K1752">
        <v>10199373.85</v>
      </c>
      <c r="L1752" s="1">
        <v>45240</v>
      </c>
      <c r="M1752">
        <v>1949</v>
      </c>
      <c r="N1752" t="s">
        <v>3915</v>
      </c>
      <c r="O1752" s="5">
        <v>45240</v>
      </c>
      <c r="P1752" s="5">
        <v>43777</v>
      </c>
    </row>
    <row r="1753" spans="1:16" x14ac:dyDescent="0.25">
      <c r="A1753" t="s">
        <v>3916</v>
      </c>
      <c r="B1753" t="str">
        <v>Poddar Housing and Development Limited</v>
      </c>
      <c r="C1753" t="s">
        <v>786</v>
      </c>
      <c r="D1753">
        <v>152.94999999999999</v>
      </c>
      <c r="E1753">
        <v>152.94999999999999</v>
      </c>
      <c r="F1753">
        <v>142.69999999999999</v>
      </c>
      <c r="G1753" s="3">
        <v>148.35</v>
      </c>
      <c r="H1753">
        <v>148.94999999999999</v>
      </c>
      <c r="I1753">
        <v>145.85</v>
      </c>
      <c r="J1753">
        <v>241</v>
      </c>
      <c r="K1753">
        <v>35951.949999999997</v>
      </c>
      <c r="L1753" s="1">
        <v>45240</v>
      </c>
      <c r="M1753">
        <v>15</v>
      </c>
      <c r="N1753" t="s">
        <v>3918</v>
      </c>
      <c r="O1753" s="5">
        <v>45240</v>
      </c>
      <c r="P1753" s="5">
        <v>43777</v>
      </c>
    </row>
    <row r="1754" spans="1:16" x14ac:dyDescent="0.25">
      <c r="A1754" t="s">
        <v>3919</v>
      </c>
      <c r="B1754" t="str">
        <v>Poddar Pigments Limited</v>
      </c>
      <c r="C1754" t="s">
        <v>14</v>
      </c>
      <c r="D1754">
        <v>357.6</v>
      </c>
      <c r="E1754">
        <v>359.5</v>
      </c>
      <c r="F1754">
        <v>353</v>
      </c>
      <c r="G1754" s="3">
        <v>356.95</v>
      </c>
      <c r="H1754">
        <v>356</v>
      </c>
      <c r="I1754">
        <v>353.9</v>
      </c>
      <c r="J1754">
        <v>3329</v>
      </c>
      <c r="K1754">
        <v>1185438.8</v>
      </c>
      <c r="L1754" s="1">
        <v>45240</v>
      </c>
      <c r="M1754">
        <v>238</v>
      </c>
      <c r="N1754" t="s">
        <v>3921</v>
      </c>
      <c r="O1754" s="5">
        <v>45240</v>
      </c>
      <c r="P1754" s="5">
        <v>43777</v>
      </c>
    </row>
    <row r="1755" spans="1:16" x14ac:dyDescent="0.25">
      <c r="A1755" t="s">
        <v>3922</v>
      </c>
      <c r="B1755" t="str">
        <v>Pokarna Limited</v>
      </c>
      <c r="C1755" t="s">
        <v>14</v>
      </c>
      <c r="D1755">
        <v>549.54999999999995</v>
      </c>
      <c r="E1755">
        <v>574.79999999999995</v>
      </c>
      <c r="F1755">
        <v>546.15</v>
      </c>
      <c r="G1755" s="3">
        <v>568.70000000000005</v>
      </c>
      <c r="H1755">
        <v>569.85</v>
      </c>
      <c r="I1755">
        <v>552.29999999999995</v>
      </c>
      <c r="J1755">
        <v>215104</v>
      </c>
      <c r="K1755">
        <v>121501993.7</v>
      </c>
      <c r="L1755" s="1">
        <v>45240</v>
      </c>
      <c r="M1755">
        <v>10330</v>
      </c>
      <c r="N1755" t="s">
        <v>3924</v>
      </c>
      <c r="O1755" s="5">
        <v>45240</v>
      </c>
      <c r="P1755" s="5">
        <v>43777</v>
      </c>
    </row>
    <row r="1756" spans="1:16" x14ac:dyDescent="0.25">
      <c r="A1756" t="s">
        <v>3925</v>
      </c>
      <c r="B1756" t="str">
        <v>PB Fintech Limited</v>
      </c>
      <c r="C1756" t="s">
        <v>14</v>
      </c>
      <c r="D1756">
        <v>731</v>
      </c>
      <c r="E1756">
        <v>750.95</v>
      </c>
      <c r="F1756">
        <v>727</v>
      </c>
      <c r="G1756" s="3">
        <v>746.55</v>
      </c>
      <c r="H1756">
        <v>749</v>
      </c>
      <c r="I1756">
        <v>731.15</v>
      </c>
      <c r="J1756">
        <v>793607</v>
      </c>
      <c r="K1756">
        <v>588611320.10000002</v>
      </c>
      <c r="L1756" s="1">
        <v>45240</v>
      </c>
      <c r="M1756">
        <v>31939</v>
      </c>
      <c r="N1756" t="s">
        <v>3927</v>
      </c>
      <c r="O1756" s="5">
        <v>45240</v>
      </c>
      <c r="P1756" s="5">
        <v>43777</v>
      </c>
    </row>
    <row r="1757" spans="1:16" x14ac:dyDescent="0.25">
      <c r="A1757" t="s">
        <v>3928</v>
      </c>
      <c r="B1757" t="str">
        <v>Polycab India Limited</v>
      </c>
      <c r="C1757" t="s">
        <v>14</v>
      </c>
      <c r="D1757">
        <v>5133.25</v>
      </c>
      <c r="E1757">
        <v>5154.95</v>
      </c>
      <c r="F1757">
        <v>5052.1000000000004</v>
      </c>
      <c r="G1757" s="3">
        <v>5135.8</v>
      </c>
      <c r="H1757">
        <v>5134.5</v>
      </c>
      <c r="I1757">
        <v>5133.3</v>
      </c>
      <c r="J1757">
        <v>283963</v>
      </c>
      <c r="K1757">
        <v>1451551476.4000001</v>
      </c>
      <c r="L1757" s="1">
        <v>45240</v>
      </c>
      <c r="M1757">
        <v>34932</v>
      </c>
      <c r="N1757" t="s">
        <v>3930</v>
      </c>
      <c r="O1757" s="5">
        <v>45240</v>
      </c>
      <c r="P1757" s="5">
        <v>43777</v>
      </c>
    </row>
    <row r="1758" spans="1:16" x14ac:dyDescent="0.25">
      <c r="A1758" t="s">
        <v>3931</v>
      </c>
      <c r="B1758" t="str">
        <v>Poly Medicure Limited</v>
      </c>
      <c r="C1758" t="s">
        <v>14</v>
      </c>
      <c r="D1758">
        <v>1479.9</v>
      </c>
      <c r="E1758">
        <v>1494</v>
      </c>
      <c r="F1758">
        <v>1435</v>
      </c>
      <c r="G1758" s="3">
        <v>1440.2</v>
      </c>
      <c r="H1758">
        <v>1445</v>
      </c>
      <c r="I1758">
        <v>1469</v>
      </c>
      <c r="J1758">
        <v>71685</v>
      </c>
      <c r="K1758">
        <v>104471888.25</v>
      </c>
      <c r="L1758" s="1">
        <v>45240</v>
      </c>
      <c r="M1758">
        <v>11580</v>
      </c>
      <c r="N1758" t="s">
        <v>3933</v>
      </c>
      <c r="O1758" s="5">
        <v>45240</v>
      </c>
      <c r="P1758" s="5">
        <v>43777</v>
      </c>
    </row>
    <row r="1759" spans="1:16" x14ac:dyDescent="0.25">
      <c r="A1759" t="s">
        <v>3934</v>
      </c>
      <c r="B1759" t="str">
        <v>Polyplex Corporation Limited</v>
      </c>
      <c r="C1759" t="s">
        <v>14</v>
      </c>
      <c r="D1759">
        <v>1057.45</v>
      </c>
      <c r="E1759">
        <v>1057.45</v>
      </c>
      <c r="F1759">
        <v>1037</v>
      </c>
      <c r="G1759" s="3">
        <v>1039.6500000000001</v>
      </c>
      <c r="H1759">
        <v>1044.5</v>
      </c>
      <c r="I1759">
        <v>1055.45</v>
      </c>
      <c r="J1759">
        <v>48492</v>
      </c>
      <c r="K1759">
        <v>50685631.600000001</v>
      </c>
      <c r="L1759" s="1">
        <v>45240</v>
      </c>
      <c r="M1759">
        <v>6610</v>
      </c>
      <c r="N1759" t="s">
        <v>3936</v>
      </c>
      <c r="O1759" s="5">
        <v>45240</v>
      </c>
      <c r="P1759" s="5">
        <v>43777</v>
      </c>
    </row>
    <row r="1760" spans="1:16" x14ac:dyDescent="0.25">
      <c r="A1760" t="s">
        <v>3937</v>
      </c>
      <c r="B1760" t="str">
        <v>Ponni Sugars (Erode) Limited</v>
      </c>
      <c r="C1760" t="s">
        <v>14</v>
      </c>
      <c r="D1760">
        <v>430.9</v>
      </c>
      <c r="E1760">
        <v>434.75</v>
      </c>
      <c r="F1760">
        <v>426.9</v>
      </c>
      <c r="G1760" s="3">
        <v>432.75</v>
      </c>
      <c r="H1760">
        <v>434.25</v>
      </c>
      <c r="I1760">
        <v>430.9</v>
      </c>
      <c r="J1760">
        <v>30181</v>
      </c>
      <c r="K1760">
        <v>13035096.6</v>
      </c>
      <c r="L1760" s="1">
        <v>45240</v>
      </c>
      <c r="M1760">
        <v>3041</v>
      </c>
      <c r="N1760" t="s">
        <v>3939</v>
      </c>
      <c r="O1760" s="5">
        <v>45240</v>
      </c>
      <c r="P1760" s="5">
        <v>43777</v>
      </c>
    </row>
    <row r="1761" spans="1:16" x14ac:dyDescent="0.25">
      <c r="A1761" t="s">
        <v>3940</v>
      </c>
      <c r="B1761" t="str">
        <v>Poonawalla Fincorp Limited</v>
      </c>
      <c r="C1761" t="s">
        <v>14</v>
      </c>
      <c r="D1761">
        <v>384</v>
      </c>
      <c r="E1761">
        <v>394.8</v>
      </c>
      <c r="F1761">
        <v>383</v>
      </c>
      <c r="G1761" s="3">
        <v>390.1</v>
      </c>
      <c r="H1761">
        <v>391</v>
      </c>
      <c r="I1761">
        <v>385.5</v>
      </c>
      <c r="J1761">
        <v>3381279</v>
      </c>
      <c r="K1761">
        <v>1311917334.9000001</v>
      </c>
      <c r="L1761" s="1">
        <v>45240</v>
      </c>
      <c r="M1761">
        <v>29889</v>
      </c>
      <c r="N1761" t="s">
        <v>3942</v>
      </c>
      <c r="O1761" s="5">
        <v>45240</v>
      </c>
      <c r="P1761" s="5">
        <v>43777</v>
      </c>
    </row>
    <row r="1762" spans="1:16" x14ac:dyDescent="0.25">
      <c r="A1762" t="s">
        <v>3943</v>
      </c>
      <c r="B1762" t="str">
        <v>Power Grid Corporation of India Limited</v>
      </c>
      <c r="C1762" t="s">
        <v>14</v>
      </c>
      <c r="D1762">
        <v>210.5</v>
      </c>
      <c r="E1762">
        <v>213</v>
      </c>
      <c r="F1762">
        <v>209.6</v>
      </c>
      <c r="G1762" s="3">
        <v>211.15</v>
      </c>
      <c r="H1762">
        <v>211</v>
      </c>
      <c r="I1762">
        <v>209.8</v>
      </c>
      <c r="J1762">
        <v>12066023</v>
      </c>
      <c r="K1762">
        <v>2547386423.3000002</v>
      </c>
      <c r="L1762" s="1">
        <v>45240</v>
      </c>
      <c r="M1762">
        <v>79765</v>
      </c>
      <c r="N1762" t="s">
        <v>3945</v>
      </c>
      <c r="O1762" s="5">
        <v>45240</v>
      </c>
      <c r="P1762" s="5">
        <v>43777</v>
      </c>
    </row>
    <row r="1763" spans="1:16" x14ac:dyDescent="0.25">
      <c r="A1763" t="s">
        <v>3946</v>
      </c>
      <c r="B1763" t="str">
        <v>Hitachi Energy India Limited</v>
      </c>
      <c r="C1763" t="s">
        <v>14</v>
      </c>
      <c r="D1763">
        <v>4478.3500000000004</v>
      </c>
      <c r="E1763">
        <v>4500.7</v>
      </c>
      <c r="F1763">
        <v>4329.45</v>
      </c>
      <c r="G1763" s="3">
        <v>4372.8500000000004</v>
      </c>
      <c r="H1763">
        <v>4375</v>
      </c>
      <c r="I1763">
        <v>4478.3500000000004</v>
      </c>
      <c r="J1763">
        <v>17932</v>
      </c>
      <c r="K1763">
        <v>78824781.900000006</v>
      </c>
      <c r="L1763" s="1">
        <v>45240</v>
      </c>
      <c r="M1763">
        <v>4490</v>
      </c>
      <c r="N1763" t="s">
        <v>3948</v>
      </c>
      <c r="O1763" s="5">
        <v>45240</v>
      </c>
      <c r="P1763" s="5">
        <v>43777</v>
      </c>
    </row>
    <row r="1764" spans="1:16" x14ac:dyDescent="0.25">
      <c r="A1764" t="s">
        <v>3949</v>
      </c>
      <c r="B1764" t="str">
        <v>Power Mech Projects Limited</v>
      </c>
      <c r="C1764" t="s">
        <v>14</v>
      </c>
      <c r="D1764">
        <v>3794.25</v>
      </c>
      <c r="E1764">
        <v>3875</v>
      </c>
      <c r="F1764">
        <v>3780.4</v>
      </c>
      <c r="G1764" s="3">
        <v>3832.85</v>
      </c>
      <c r="H1764">
        <v>3816</v>
      </c>
      <c r="I1764">
        <v>3830.65</v>
      </c>
      <c r="J1764">
        <v>21103</v>
      </c>
      <c r="K1764">
        <v>81017416.549999997</v>
      </c>
      <c r="L1764" s="1">
        <v>45240</v>
      </c>
      <c r="M1764">
        <v>4820</v>
      </c>
      <c r="N1764" t="s">
        <v>3951</v>
      </c>
      <c r="O1764" s="5">
        <v>45240</v>
      </c>
      <c r="P1764" s="5">
        <v>43777</v>
      </c>
    </row>
    <row r="1765" spans="1:16" x14ac:dyDescent="0.25">
      <c r="A1765" t="s">
        <v>3952</v>
      </c>
      <c r="B1765" t="str">
        <v>PPAP Automotive Limited</v>
      </c>
      <c r="C1765" t="s">
        <v>14</v>
      </c>
      <c r="D1765">
        <v>251.5</v>
      </c>
      <c r="E1765">
        <v>276.7</v>
      </c>
      <c r="F1765">
        <v>240.6</v>
      </c>
      <c r="G1765" s="3">
        <v>267.8</v>
      </c>
      <c r="H1765">
        <v>266.5</v>
      </c>
      <c r="I1765">
        <v>245.85</v>
      </c>
      <c r="J1765">
        <v>78367</v>
      </c>
      <c r="K1765">
        <v>20628386.800000001</v>
      </c>
      <c r="L1765" s="1">
        <v>45240</v>
      </c>
      <c r="M1765">
        <v>1981</v>
      </c>
      <c r="N1765" t="s">
        <v>3954</v>
      </c>
      <c r="O1765" s="5">
        <v>45240</v>
      </c>
      <c r="P1765" s="5">
        <v>43777</v>
      </c>
    </row>
    <row r="1766" spans="1:16" x14ac:dyDescent="0.25">
      <c r="A1766" t="s">
        <v>3955</v>
      </c>
      <c r="B1766" t="str">
        <v>Prakash Pipes Limited</v>
      </c>
      <c r="C1766" t="s">
        <v>14</v>
      </c>
      <c r="D1766">
        <v>405.95</v>
      </c>
      <c r="E1766">
        <v>409</v>
      </c>
      <c r="F1766">
        <v>383.5</v>
      </c>
      <c r="G1766" s="3">
        <v>387.05</v>
      </c>
      <c r="H1766">
        <v>388</v>
      </c>
      <c r="I1766">
        <v>389.1</v>
      </c>
      <c r="J1766">
        <v>184701</v>
      </c>
      <c r="K1766">
        <v>73148351.150000006</v>
      </c>
      <c r="L1766" s="1">
        <v>45240</v>
      </c>
      <c r="M1766">
        <v>5674</v>
      </c>
      <c r="N1766" t="s">
        <v>3957</v>
      </c>
      <c r="O1766" s="5">
        <v>45240</v>
      </c>
      <c r="P1766" s="5">
        <v>43777</v>
      </c>
    </row>
    <row r="1767" spans="1:16" x14ac:dyDescent="0.25">
      <c r="A1767" t="s">
        <v>3958</v>
      </c>
      <c r="B1767" t="str">
        <v>Piramal Pharma Limited</v>
      </c>
      <c r="C1767" t="s">
        <v>14</v>
      </c>
      <c r="D1767">
        <v>117</v>
      </c>
      <c r="E1767">
        <v>119.3</v>
      </c>
      <c r="F1767">
        <v>116.4</v>
      </c>
      <c r="G1767" s="3">
        <v>118.1</v>
      </c>
      <c r="H1767">
        <v>117.9</v>
      </c>
      <c r="I1767">
        <v>117.6</v>
      </c>
      <c r="J1767">
        <v>5636909</v>
      </c>
      <c r="K1767">
        <v>665016035.04999995</v>
      </c>
      <c r="L1767" s="1">
        <v>45240</v>
      </c>
      <c r="M1767">
        <v>24476</v>
      </c>
      <c r="N1767" t="s">
        <v>3960</v>
      </c>
      <c r="O1767" s="5">
        <v>45240</v>
      </c>
      <c r="P1767" s="5">
        <v>43777</v>
      </c>
    </row>
    <row r="1768" spans="1:16" x14ac:dyDescent="0.25">
      <c r="A1768" t="s">
        <v>3961</v>
      </c>
      <c r="B1768" t="str">
        <v>Prajay Engineers Syndicate Limited</v>
      </c>
      <c r="C1768" t="s">
        <v>10</v>
      </c>
      <c r="D1768">
        <v>19.649999999999999</v>
      </c>
      <c r="E1768">
        <v>19.649999999999999</v>
      </c>
      <c r="F1768">
        <v>19.649999999999999</v>
      </c>
      <c r="G1768" s="3">
        <v>19.649999999999999</v>
      </c>
      <c r="H1768">
        <v>19.649999999999999</v>
      </c>
      <c r="I1768">
        <v>20.05</v>
      </c>
      <c r="J1768">
        <v>23496</v>
      </c>
      <c r="K1768">
        <v>461696.4</v>
      </c>
      <c r="L1768" s="1">
        <v>45240</v>
      </c>
      <c r="M1768">
        <v>27</v>
      </c>
      <c r="N1768" t="s">
        <v>3963</v>
      </c>
      <c r="O1768" s="5">
        <v>45240</v>
      </c>
      <c r="P1768" s="5">
        <v>43777</v>
      </c>
    </row>
    <row r="1769" spans="1:16" x14ac:dyDescent="0.25">
      <c r="A1769" t="s">
        <v>3964</v>
      </c>
      <c r="B1769" t="str">
        <v>Praj Industries Limited</v>
      </c>
      <c r="C1769" t="s">
        <v>14</v>
      </c>
      <c r="D1769">
        <v>560</v>
      </c>
      <c r="E1769">
        <v>571.54999999999995</v>
      </c>
      <c r="F1769">
        <v>557.20000000000005</v>
      </c>
      <c r="G1769" s="3">
        <v>566.9</v>
      </c>
      <c r="H1769">
        <v>568</v>
      </c>
      <c r="I1769">
        <v>561.20000000000005</v>
      </c>
      <c r="J1769">
        <v>291371</v>
      </c>
      <c r="K1769">
        <v>165085800.34999999</v>
      </c>
      <c r="L1769" s="1">
        <v>45240</v>
      </c>
      <c r="M1769">
        <v>10427</v>
      </c>
      <c r="N1769" t="s">
        <v>3966</v>
      </c>
      <c r="O1769" s="5">
        <v>45240</v>
      </c>
      <c r="P1769" s="5">
        <v>43777</v>
      </c>
    </row>
    <row r="1770" spans="1:16" x14ac:dyDescent="0.25">
      <c r="A1770" t="s">
        <v>3967</v>
      </c>
      <c r="B1770" t="str">
        <v>Prakash Industries Limited</v>
      </c>
      <c r="C1770" t="s">
        <v>10</v>
      </c>
      <c r="D1770">
        <v>160</v>
      </c>
      <c r="E1770">
        <v>160.6</v>
      </c>
      <c r="F1770">
        <v>155</v>
      </c>
      <c r="G1770" s="3">
        <v>157.6</v>
      </c>
      <c r="H1770">
        <v>158</v>
      </c>
      <c r="I1770">
        <v>159.15</v>
      </c>
      <c r="J1770">
        <v>226049</v>
      </c>
      <c r="K1770">
        <v>35753807.200000003</v>
      </c>
      <c r="L1770" s="1">
        <v>45240</v>
      </c>
      <c r="M1770">
        <v>1364</v>
      </c>
      <c r="N1770" t="s">
        <v>3969</v>
      </c>
      <c r="O1770" s="5">
        <v>45240</v>
      </c>
      <c r="P1770" s="5">
        <v>43777</v>
      </c>
    </row>
    <row r="1771" spans="1:16" x14ac:dyDescent="0.25">
      <c r="A1771" t="s">
        <v>3970</v>
      </c>
      <c r="B1771" t="str">
        <v>Prakash Steelage Limited</v>
      </c>
      <c r="C1771" t="s">
        <v>10</v>
      </c>
      <c r="D1771">
        <v>5.65</v>
      </c>
      <c r="E1771">
        <v>5.65</v>
      </c>
      <c r="F1771">
        <v>5.6</v>
      </c>
      <c r="G1771" s="3">
        <v>5.6</v>
      </c>
      <c r="H1771">
        <v>5.6</v>
      </c>
      <c r="I1771">
        <v>5.65</v>
      </c>
      <c r="J1771">
        <v>138672</v>
      </c>
      <c r="K1771">
        <v>778415.5</v>
      </c>
      <c r="L1771" s="1">
        <v>45240</v>
      </c>
      <c r="M1771">
        <v>504</v>
      </c>
      <c r="N1771" t="s">
        <v>3972</v>
      </c>
      <c r="O1771" s="5">
        <v>45240</v>
      </c>
      <c r="P1771" s="5">
        <v>43777</v>
      </c>
    </row>
    <row r="1772" spans="1:16" x14ac:dyDescent="0.25">
      <c r="A1772" t="s">
        <v>6163</v>
      </c>
      <c r="B1772" t="str">
        <v>Not Found</v>
      </c>
      <c r="C1772" t="s">
        <v>5788</v>
      </c>
      <c r="D1772">
        <v>90</v>
      </c>
      <c r="E1772">
        <v>90</v>
      </c>
      <c r="F1772">
        <v>83</v>
      </c>
      <c r="G1772" s="3">
        <v>83.5</v>
      </c>
      <c r="H1772">
        <v>83</v>
      </c>
      <c r="I1772">
        <v>85.8</v>
      </c>
      <c r="J1772">
        <v>18000</v>
      </c>
      <c r="K1772">
        <v>1547400</v>
      </c>
      <c r="L1772" s="1">
        <v>45240</v>
      </c>
      <c r="M1772">
        <v>9</v>
      </c>
      <c r="N1772" t="s">
        <v>6162</v>
      </c>
      <c r="O1772" s="5">
        <v>45240</v>
      </c>
      <c r="P1772" s="5">
        <v>43777</v>
      </c>
    </row>
    <row r="1773" spans="1:16" x14ac:dyDescent="0.25">
      <c r="A1773" t="s">
        <v>3973</v>
      </c>
      <c r="B1773" t="str">
        <v>Praxis Home Retail Limited</v>
      </c>
      <c r="C1773" t="s">
        <v>10</v>
      </c>
      <c r="D1773">
        <v>28.9</v>
      </c>
      <c r="E1773">
        <v>28.9</v>
      </c>
      <c r="F1773">
        <v>27</v>
      </c>
      <c r="G1773" s="3">
        <v>27.8</v>
      </c>
      <c r="H1773">
        <v>27.8</v>
      </c>
      <c r="I1773">
        <v>28.15</v>
      </c>
      <c r="J1773">
        <v>74050</v>
      </c>
      <c r="K1773">
        <v>2045707.5</v>
      </c>
      <c r="L1773" s="1">
        <v>45240</v>
      </c>
      <c r="M1773">
        <v>259</v>
      </c>
      <c r="N1773" t="s">
        <v>3975</v>
      </c>
      <c r="O1773" s="5">
        <v>45240</v>
      </c>
      <c r="P1773" s="5">
        <v>43777</v>
      </c>
    </row>
    <row r="1774" spans="1:16" x14ac:dyDescent="0.25">
      <c r="A1774" t="s">
        <v>3976</v>
      </c>
      <c r="B1774" t="str">
        <v>Precision Camshafts Limited</v>
      </c>
      <c r="C1774" t="s">
        <v>14</v>
      </c>
      <c r="D1774">
        <v>243</v>
      </c>
      <c r="E1774">
        <v>248.2</v>
      </c>
      <c r="F1774">
        <v>235.1</v>
      </c>
      <c r="G1774" s="3">
        <v>237.2</v>
      </c>
      <c r="H1774">
        <v>236.6</v>
      </c>
      <c r="I1774">
        <v>248.85</v>
      </c>
      <c r="J1774">
        <v>221359</v>
      </c>
      <c r="K1774">
        <v>52970875</v>
      </c>
      <c r="L1774" s="1">
        <v>45240</v>
      </c>
      <c r="M1774">
        <v>7665</v>
      </c>
      <c r="N1774" t="s">
        <v>3978</v>
      </c>
      <c r="O1774" s="5">
        <v>45240</v>
      </c>
      <c r="P1774" s="5">
        <v>43777</v>
      </c>
    </row>
    <row r="1775" spans="1:16" x14ac:dyDescent="0.25">
      <c r="A1775" t="s">
        <v>6161</v>
      </c>
      <c r="B1775" t="str">
        <v>Not Found</v>
      </c>
      <c r="C1775" t="s">
        <v>5788</v>
      </c>
      <c r="D1775">
        <v>40.049999999999997</v>
      </c>
      <c r="E1775">
        <v>41</v>
      </c>
      <c r="F1775">
        <v>39.299999999999997</v>
      </c>
      <c r="G1775" s="3">
        <v>41</v>
      </c>
      <c r="H1775">
        <v>41</v>
      </c>
      <c r="I1775">
        <v>40.65</v>
      </c>
      <c r="J1775">
        <v>16000</v>
      </c>
      <c r="K1775">
        <v>646200</v>
      </c>
      <c r="L1775" s="1">
        <v>45240</v>
      </c>
      <c r="M1775">
        <v>8</v>
      </c>
      <c r="N1775" t="s">
        <v>6160</v>
      </c>
      <c r="O1775" s="5">
        <v>45240</v>
      </c>
      <c r="P1775" s="5">
        <v>43777</v>
      </c>
    </row>
    <row r="1776" spans="1:16" x14ac:dyDescent="0.25">
      <c r="A1776" t="s">
        <v>3979</v>
      </c>
      <c r="B1776" t="str">
        <v>Precot Limited</v>
      </c>
      <c r="C1776" t="s">
        <v>14</v>
      </c>
      <c r="D1776">
        <v>211.8</v>
      </c>
      <c r="E1776">
        <v>228.3</v>
      </c>
      <c r="F1776">
        <v>211.8</v>
      </c>
      <c r="G1776" s="3">
        <v>223.95</v>
      </c>
      <c r="H1776">
        <v>224</v>
      </c>
      <c r="I1776">
        <v>213.9</v>
      </c>
      <c r="J1776">
        <v>6145</v>
      </c>
      <c r="K1776">
        <v>1360958.3</v>
      </c>
      <c r="L1776" s="1">
        <v>45240</v>
      </c>
      <c r="M1776">
        <v>166</v>
      </c>
      <c r="N1776" t="s">
        <v>3981</v>
      </c>
      <c r="O1776" s="5">
        <v>45240</v>
      </c>
      <c r="P1776" s="5">
        <v>43777</v>
      </c>
    </row>
    <row r="1777" spans="1:16" x14ac:dyDescent="0.25">
      <c r="A1777" t="s">
        <v>3982</v>
      </c>
      <c r="B1777" t="str">
        <v>Precision Wires India Limited</v>
      </c>
      <c r="C1777" t="s">
        <v>14</v>
      </c>
      <c r="D1777">
        <v>110.6</v>
      </c>
      <c r="E1777">
        <v>116.4</v>
      </c>
      <c r="F1777">
        <v>110.4</v>
      </c>
      <c r="G1777" s="3">
        <v>114.45</v>
      </c>
      <c r="H1777">
        <v>114.2</v>
      </c>
      <c r="I1777">
        <v>110.6</v>
      </c>
      <c r="J1777">
        <v>350406</v>
      </c>
      <c r="K1777">
        <v>39734807.799999997</v>
      </c>
      <c r="L1777" s="1">
        <v>45240</v>
      </c>
      <c r="M1777">
        <v>4883</v>
      </c>
      <c r="N1777" t="s">
        <v>3984</v>
      </c>
      <c r="O1777" s="5">
        <v>45240</v>
      </c>
      <c r="P1777" s="5">
        <v>43777</v>
      </c>
    </row>
    <row r="1778" spans="1:16" x14ac:dyDescent="0.25">
      <c r="A1778" t="s">
        <v>3985</v>
      </c>
      <c r="B1778" t="str">
        <v>Premier Explosives Limited</v>
      </c>
      <c r="C1778" t="s">
        <v>14</v>
      </c>
      <c r="D1778">
        <v>1244</v>
      </c>
      <c r="E1778">
        <v>1264.8</v>
      </c>
      <c r="F1778">
        <v>1220.8</v>
      </c>
      <c r="G1778" s="3">
        <v>1258.8</v>
      </c>
      <c r="H1778">
        <v>1261</v>
      </c>
      <c r="I1778">
        <v>1233.0999999999999</v>
      </c>
      <c r="J1778">
        <v>39679</v>
      </c>
      <c r="K1778">
        <v>49572760.950000003</v>
      </c>
      <c r="L1778" s="1">
        <v>45240</v>
      </c>
      <c r="M1778">
        <v>1692</v>
      </c>
      <c r="N1778" t="s">
        <v>3987</v>
      </c>
      <c r="O1778" s="5">
        <v>45240</v>
      </c>
      <c r="P1778" s="5">
        <v>43777</v>
      </c>
    </row>
    <row r="1779" spans="1:16" x14ac:dyDescent="0.25">
      <c r="A1779" t="s">
        <v>3988</v>
      </c>
      <c r="B1779" t="str">
        <v>Premier Polyfilm Limited</v>
      </c>
      <c r="C1779" t="s">
        <v>10</v>
      </c>
      <c r="D1779">
        <v>163.6</v>
      </c>
      <c r="E1779">
        <v>167</v>
      </c>
      <c r="F1779">
        <v>161</v>
      </c>
      <c r="G1779" s="3">
        <v>163.35</v>
      </c>
      <c r="H1779">
        <v>165</v>
      </c>
      <c r="I1779">
        <v>166.9</v>
      </c>
      <c r="J1779">
        <v>11012</v>
      </c>
      <c r="K1779">
        <v>1796599.5</v>
      </c>
      <c r="L1779" s="1">
        <v>45240</v>
      </c>
      <c r="M1779">
        <v>231</v>
      </c>
      <c r="N1779" t="s">
        <v>3990</v>
      </c>
      <c r="O1779" s="5">
        <v>45240</v>
      </c>
      <c r="P1779" s="5">
        <v>43777</v>
      </c>
    </row>
    <row r="1780" spans="1:16" x14ac:dyDescent="0.25">
      <c r="A1780" t="s">
        <v>3991</v>
      </c>
      <c r="B1780" t="str">
        <v>Prestige Estates Projects Limited</v>
      </c>
      <c r="C1780" t="s">
        <v>14</v>
      </c>
      <c r="D1780">
        <v>865.05</v>
      </c>
      <c r="E1780">
        <v>887.4</v>
      </c>
      <c r="F1780">
        <v>853.2</v>
      </c>
      <c r="G1780" s="3">
        <v>873.15</v>
      </c>
      <c r="H1780">
        <v>865</v>
      </c>
      <c r="I1780">
        <v>868.45</v>
      </c>
      <c r="J1780">
        <v>1949702</v>
      </c>
      <c r="K1780">
        <v>1697738780.0999999</v>
      </c>
      <c r="L1780" s="1">
        <v>45240</v>
      </c>
      <c r="M1780">
        <v>75298</v>
      </c>
      <c r="N1780" t="s">
        <v>3993</v>
      </c>
      <c r="O1780" s="5">
        <v>45240</v>
      </c>
      <c r="P1780" s="5">
        <v>43777</v>
      </c>
    </row>
    <row r="1781" spans="1:16" x14ac:dyDescent="0.25">
      <c r="A1781" t="s">
        <v>3994</v>
      </c>
      <c r="B1781" t="str">
        <v>Pricol Limited</v>
      </c>
      <c r="C1781" t="s">
        <v>14</v>
      </c>
      <c r="D1781">
        <v>339.6</v>
      </c>
      <c r="E1781">
        <v>339.75</v>
      </c>
      <c r="F1781">
        <v>316.3</v>
      </c>
      <c r="G1781" s="3">
        <v>319.85000000000002</v>
      </c>
      <c r="H1781">
        <v>322.2</v>
      </c>
      <c r="I1781">
        <v>337.5</v>
      </c>
      <c r="J1781">
        <v>1441577</v>
      </c>
      <c r="K1781">
        <v>464472506.85000002</v>
      </c>
      <c r="L1781" s="1">
        <v>45240</v>
      </c>
      <c r="M1781">
        <v>33086</v>
      </c>
      <c r="N1781" t="s">
        <v>3996</v>
      </c>
      <c r="O1781" s="5">
        <v>45240</v>
      </c>
      <c r="P1781" s="5">
        <v>43777</v>
      </c>
    </row>
    <row r="1782" spans="1:16" x14ac:dyDescent="0.25">
      <c r="A1782" t="s">
        <v>3997</v>
      </c>
      <c r="B1782" t="str">
        <v>Prime Securities Limited</v>
      </c>
      <c r="C1782" t="s">
        <v>14</v>
      </c>
      <c r="D1782">
        <v>146.1</v>
      </c>
      <c r="E1782">
        <v>153.5</v>
      </c>
      <c r="F1782">
        <v>146.1</v>
      </c>
      <c r="G1782" s="3">
        <v>151</v>
      </c>
      <c r="H1782">
        <v>152.9</v>
      </c>
      <c r="I1782">
        <v>147</v>
      </c>
      <c r="J1782">
        <v>196676</v>
      </c>
      <c r="K1782">
        <v>29249513.649999999</v>
      </c>
      <c r="L1782" s="1">
        <v>45240</v>
      </c>
      <c r="M1782">
        <v>1769</v>
      </c>
      <c r="N1782" t="s">
        <v>3999</v>
      </c>
      <c r="O1782" s="5">
        <v>45240</v>
      </c>
      <c r="P1782" s="5">
        <v>43777</v>
      </c>
    </row>
    <row r="1783" spans="1:16" x14ac:dyDescent="0.25">
      <c r="A1783" t="s">
        <v>4000</v>
      </c>
      <c r="B1783" t="str">
        <v>Prince Pipes And Fittings Limited</v>
      </c>
      <c r="C1783" t="s">
        <v>14</v>
      </c>
      <c r="D1783">
        <v>708.8</v>
      </c>
      <c r="E1783">
        <v>724.65</v>
      </c>
      <c r="F1783">
        <v>694.7</v>
      </c>
      <c r="G1783" s="3">
        <v>712.45</v>
      </c>
      <c r="H1783">
        <v>711</v>
      </c>
      <c r="I1783">
        <v>710.4</v>
      </c>
      <c r="J1783">
        <v>730768</v>
      </c>
      <c r="K1783">
        <v>521192841.05000001</v>
      </c>
      <c r="L1783" s="1">
        <v>45240</v>
      </c>
      <c r="M1783">
        <v>19107</v>
      </c>
      <c r="N1783" t="s">
        <v>4002</v>
      </c>
      <c r="O1783" s="5">
        <v>45240</v>
      </c>
      <c r="P1783" s="5">
        <v>43777</v>
      </c>
    </row>
    <row r="1784" spans="1:16" x14ac:dyDescent="0.25">
      <c r="A1784" t="s">
        <v>4003</v>
      </c>
      <c r="B1784" t="str">
        <v>Priti International Limited</v>
      </c>
      <c r="C1784" t="s">
        <v>14</v>
      </c>
      <c r="D1784">
        <v>208.95</v>
      </c>
      <c r="E1784">
        <v>209.9</v>
      </c>
      <c r="F1784">
        <v>202.8</v>
      </c>
      <c r="G1784" s="3">
        <v>204.7</v>
      </c>
      <c r="H1784">
        <v>205.3</v>
      </c>
      <c r="I1784">
        <v>205.05</v>
      </c>
      <c r="J1784">
        <v>65781</v>
      </c>
      <c r="K1784">
        <v>13597364</v>
      </c>
      <c r="L1784" s="1">
        <v>45240</v>
      </c>
      <c r="M1784">
        <v>1671</v>
      </c>
      <c r="N1784" t="s">
        <v>4005</v>
      </c>
      <c r="O1784" s="5">
        <v>45240</v>
      </c>
      <c r="P1784" s="5">
        <v>43777</v>
      </c>
    </row>
    <row r="1785" spans="1:16" x14ac:dyDescent="0.25">
      <c r="A1785" t="s">
        <v>6159</v>
      </c>
      <c r="B1785" t="str">
        <v>Not Found</v>
      </c>
      <c r="C1785" t="s">
        <v>5788</v>
      </c>
      <c r="D1785">
        <v>80</v>
      </c>
      <c r="E1785">
        <v>80</v>
      </c>
      <c r="F1785">
        <v>76.2</v>
      </c>
      <c r="G1785" s="3">
        <v>77</v>
      </c>
      <c r="H1785">
        <v>76.5</v>
      </c>
      <c r="I1785">
        <v>80.3</v>
      </c>
      <c r="J1785">
        <v>50000</v>
      </c>
      <c r="K1785">
        <v>3881800</v>
      </c>
      <c r="L1785" s="1">
        <v>45240</v>
      </c>
      <c r="M1785">
        <v>25</v>
      </c>
      <c r="N1785" t="s">
        <v>6158</v>
      </c>
      <c r="O1785" s="5">
        <v>45240</v>
      </c>
      <c r="P1785" s="5">
        <v>43777</v>
      </c>
    </row>
    <row r="1786" spans="1:16" x14ac:dyDescent="0.25">
      <c r="A1786" t="s">
        <v>4006</v>
      </c>
      <c r="B1786" t="str">
        <v>Pritika Auto Industries Limited</v>
      </c>
      <c r="C1786" t="s">
        <v>10</v>
      </c>
      <c r="D1786">
        <v>20.95</v>
      </c>
      <c r="E1786">
        <v>21.75</v>
      </c>
      <c r="F1786">
        <v>20.350000000000001</v>
      </c>
      <c r="G1786" s="3">
        <v>21.6</v>
      </c>
      <c r="H1786">
        <v>21.5</v>
      </c>
      <c r="I1786">
        <v>20.95</v>
      </c>
      <c r="J1786">
        <v>218706</v>
      </c>
      <c r="K1786">
        <v>4641452.3499999996</v>
      </c>
      <c r="L1786" s="1">
        <v>45240</v>
      </c>
      <c r="M1786">
        <v>697</v>
      </c>
      <c r="N1786" t="s">
        <v>4008</v>
      </c>
      <c r="O1786" s="5">
        <v>45240</v>
      </c>
      <c r="P1786" s="5">
        <v>43777</v>
      </c>
    </row>
    <row r="1787" spans="1:16" x14ac:dyDescent="0.25">
      <c r="A1787" t="s">
        <v>4009</v>
      </c>
      <c r="B1787" t="str">
        <v>Privi Speciality Chemicals Limited</v>
      </c>
      <c r="C1787" t="s">
        <v>14</v>
      </c>
      <c r="D1787">
        <v>1274.9000000000001</v>
      </c>
      <c r="E1787">
        <v>1308</v>
      </c>
      <c r="F1787">
        <v>1267.8</v>
      </c>
      <c r="G1787" s="3">
        <v>1296.8499999999999</v>
      </c>
      <c r="H1787">
        <v>1300</v>
      </c>
      <c r="I1787">
        <v>1252.55</v>
      </c>
      <c r="J1787">
        <v>39362</v>
      </c>
      <c r="K1787">
        <v>50783034.600000001</v>
      </c>
      <c r="L1787" s="1">
        <v>45240</v>
      </c>
      <c r="M1787">
        <v>4422</v>
      </c>
      <c r="N1787" t="s">
        <v>4011</v>
      </c>
      <c r="O1787" s="5">
        <v>45240</v>
      </c>
      <c r="P1787" s="5">
        <v>43777</v>
      </c>
    </row>
    <row r="1788" spans="1:16" x14ac:dyDescent="0.25">
      <c r="A1788" t="s">
        <v>6157</v>
      </c>
      <c r="B1788" t="str">
        <v>Not Found</v>
      </c>
      <c r="C1788" t="s">
        <v>5788</v>
      </c>
      <c r="D1788">
        <v>255.2</v>
      </c>
      <c r="E1788">
        <v>255.2</v>
      </c>
      <c r="F1788">
        <v>254.9</v>
      </c>
      <c r="G1788" s="3">
        <v>255.2</v>
      </c>
      <c r="H1788">
        <v>255.2</v>
      </c>
      <c r="I1788">
        <v>243.05</v>
      </c>
      <c r="J1788">
        <v>15500</v>
      </c>
      <c r="K1788">
        <v>3955450</v>
      </c>
      <c r="L1788" s="1">
        <v>45240</v>
      </c>
      <c r="M1788">
        <v>30</v>
      </c>
      <c r="N1788" t="s">
        <v>6156</v>
      </c>
      <c r="O1788" s="5">
        <v>45240</v>
      </c>
      <c r="P1788" s="5">
        <v>43777</v>
      </c>
    </row>
    <row r="1789" spans="1:16" x14ac:dyDescent="0.25">
      <c r="A1789" t="s">
        <v>6155</v>
      </c>
      <c r="B1789" t="str">
        <v>Not Found</v>
      </c>
      <c r="C1789" t="s">
        <v>5788</v>
      </c>
      <c r="D1789">
        <v>250</v>
      </c>
      <c r="E1789">
        <v>275</v>
      </c>
      <c r="F1789">
        <v>250</v>
      </c>
      <c r="G1789" s="3">
        <v>258.5</v>
      </c>
      <c r="H1789">
        <v>260.89999999999998</v>
      </c>
      <c r="I1789">
        <v>251.1</v>
      </c>
      <c r="J1789">
        <v>93000</v>
      </c>
      <c r="K1789">
        <v>24590100</v>
      </c>
      <c r="L1789" s="1">
        <v>45240</v>
      </c>
      <c r="M1789">
        <v>125</v>
      </c>
      <c r="N1789" t="s">
        <v>6154</v>
      </c>
      <c r="O1789" s="5">
        <v>45240</v>
      </c>
      <c r="P1789" s="5">
        <v>43777</v>
      </c>
    </row>
    <row r="1790" spans="1:16" x14ac:dyDescent="0.25">
      <c r="A1790" t="s">
        <v>6153</v>
      </c>
      <c r="B1790" t="str">
        <v>Not Found</v>
      </c>
      <c r="C1790" t="s">
        <v>5788</v>
      </c>
      <c r="D1790">
        <v>1135</v>
      </c>
      <c r="E1790">
        <v>1135</v>
      </c>
      <c r="F1790">
        <v>1105</v>
      </c>
      <c r="G1790" s="3">
        <v>1107.5</v>
      </c>
      <c r="H1790">
        <v>1105</v>
      </c>
      <c r="I1790">
        <v>1107.5</v>
      </c>
      <c r="J1790">
        <v>480</v>
      </c>
      <c r="K1790">
        <v>536000</v>
      </c>
      <c r="L1790" s="1">
        <v>45240</v>
      </c>
      <c r="M1790">
        <v>3</v>
      </c>
      <c r="N1790" t="s">
        <v>6152</v>
      </c>
      <c r="O1790" s="5">
        <v>45240</v>
      </c>
      <c r="P1790" s="5">
        <v>43777</v>
      </c>
    </row>
    <row r="1791" spans="1:16" x14ac:dyDescent="0.25">
      <c r="A1791" t="s">
        <v>4012</v>
      </c>
      <c r="B1791" t="str">
        <v>Prozone Realty Limited</v>
      </c>
      <c r="C1791" t="s">
        <v>14</v>
      </c>
      <c r="D1791">
        <v>34.35</v>
      </c>
      <c r="E1791">
        <v>35.299999999999997</v>
      </c>
      <c r="F1791">
        <v>33.65</v>
      </c>
      <c r="G1791" s="3">
        <v>34.950000000000003</v>
      </c>
      <c r="H1791">
        <v>35.200000000000003</v>
      </c>
      <c r="I1791">
        <v>34.299999999999997</v>
      </c>
      <c r="J1791">
        <v>707098</v>
      </c>
      <c r="K1791">
        <v>24300774.25</v>
      </c>
      <c r="L1791" s="1">
        <v>45240</v>
      </c>
      <c r="M1791">
        <v>2437</v>
      </c>
      <c r="N1791" t="s">
        <v>4014</v>
      </c>
      <c r="O1791" s="5">
        <v>45240</v>
      </c>
      <c r="P1791" s="5">
        <v>43777</v>
      </c>
    </row>
    <row r="1792" spans="1:16" x14ac:dyDescent="0.25">
      <c r="A1792" t="s">
        <v>4015</v>
      </c>
      <c r="B1792" t="str">
        <v>Prism Johnson Limited</v>
      </c>
      <c r="C1792" t="s">
        <v>14</v>
      </c>
      <c r="D1792">
        <v>152.85</v>
      </c>
      <c r="E1792">
        <v>157.6</v>
      </c>
      <c r="F1792">
        <v>151.80000000000001</v>
      </c>
      <c r="G1792" s="3">
        <v>153.30000000000001</v>
      </c>
      <c r="H1792">
        <v>153.05000000000001</v>
      </c>
      <c r="I1792">
        <v>152.75</v>
      </c>
      <c r="J1792">
        <v>791229</v>
      </c>
      <c r="K1792">
        <v>122793276.95</v>
      </c>
      <c r="L1792" s="1">
        <v>45240</v>
      </c>
      <c r="M1792">
        <v>12321</v>
      </c>
      <c r="N1792" t="s">
        <v>4017</v>
      </c>
      <c r="O1792" s="5">
        <v>45240</v>
      </c>
      <c r="P1792" s="5">
        <v>43777</v>
      </c>
    </row>
    <row r="1793" spans="1:16" x14ac:dyDescent="0.25">
      <c r="A1793" t="s">
        <v>4018</v>
      </c>
      <c r="B1793" t="str">
        <v>Prudent Corporate Advisory Services Limited</v>
      </c>
      <c r="C1793" t="s">
        <v>14</v>
      </c>
      <c r="D1793">
        <v>1176</v>
      </c>
      <c r="E1793">
        <v>1234</v>
      </c>
      <c r="F1793">
        <v>1166.25</v>
      </c>
      <c r="G1793" s="3">
        <v>1207.0999999999999</v>
      </c>
      <c r="H1793">
        <v>1206</v>
      </c>
      <c r="I1793">
        <v>1184.8499999999999</v>
      </c>
      <c r="J1793">
        <v>47442</v>
      </c>
      <c r="K1793">
        <v>57717345.700000003</v>
      </c>
      <c r="L1793" s="1">
        <v>45240</v>
      </c>
      <c r="M1793">
        <v>8642</v>
      </c>
      <c r="N1793" t="s">
        <v>4020</v>
      </c>
      <c r="O1793" s="5">
        <v>45240</v>
      </c>
      <c r="P1793" s="5">
        <v>43777</v>
      </c>
    </row>
    <row r="1794" spans="1:16" x14ac:dyDescent="0.25">
      <c r="A1794" t="s">
        <v>4021</v>
      </c>
      <c r="B1794" t="str">
        <v>Punjab &amp; Sind Bank</v>
      </c>
      <c r="C1794" t="s">
        <v>14</v>
      </c>
      <c r="D1794">
        <v>39.85</v>
      </c>
      <c r="E1794">
        <v>40.200000000000003</v>
      </c>
      <c r="F1794">
        <v>39.5</v>
      </c>
      <c r="G1794" s="3">
        <v>40.1</v>
      </c>
      <c r="H1794">
        <v>40.049999999999997</v>
      </c>
      <c r="I1794">
        <v>39.700000000000003</v>
      </c>
      <c r="J1794">
        <v>1221790</v>
      </c>
      <c r="K1794">
        <v>48718559.5</v>
      </c>
      <c r="L1794" s="1">
        <v>45240</v>
      </c>
      <c r="M1794">
        <v>4005</v>
      </c>
      <c r="N1794" t="s">
        <v>4023</v>
      </c>
      <c r="O1794" s="5">
        <v>45240</v>
      </c>
      <c r="P1794" s="5">
        <v>43777</v>
      </c>
    </row>
    <row r="1795" spans="1:16" x14ac:dyDescent="0.25">
      <c r="A1795" t="s">
        <v>4024</v>
      </c>
      <c r="B1795" t="str">
        <v>PSP Projects Limited</v>
      </c>
      <c r="C1795" t="s">
        <v>14</v>
      </c>
      <c r="D1795">
        <v>782.85</v>
      </c>
      <c r="E1795">
        <v>787</v>
      </c>
      <c r="F1795">
        <v>772.5</v>
      </c>
      <c r="G1795" s="3">
        <v>778.6</v>
      </c>
      <c r="H1795">
        <v>779.95</v>
      </c>
      <c r="I1795">
        <v>779.4</v>
      </c>
      <c r="J1795">
        <v>36224</v>
      </c>
      <c r="K1795">
        <v>28255276.550000001</v>
      </c>
      <c r="L1795" s="1">
        <v>45240</v>
      </c>
      <c r="M1795">
        <v>5015</v>
      </c>
      <c r="N1795" t="s">
        <v>4026</v>
      </c>
      <c r="O1795" s="5">
        <v>45240</v>
      </c>
      <c r="P1795" s="5">
        <v>43777</v>
      </c>
    </row>
    <row r="1796" spans="1:16" x14ac:dyDescent="0.25">
      <c r="A1796" t="s">
        <v>6151</v>
      </c>
      <c r="B1796" t="str">
        <v>Not Found</v>
      </c>
      <c r="C1796" t="s">
        <v>14</v>
      </c>
      <c r="D1796">
        <v>50.02</v>
      </c>
      <c r="E1796">
        <v>50.48</v>
      </c>
      <c r="F1796">
        <v>50.02</v>
      </c>
      <c r="G1796" s="3">
        <v>50.42</v>
      </c>
      <c r="H1796">
        <v>50.46</v>
      </c>
      <c r="I1796">
        <v>50.38</v>
      </c>
      <c r="J1796">
        <v>12701</v>
      </c>
      <c r="K1796">
        <v>638151.26</v>
      </c>
      <c r="L1796" s="1">
        <v>45240</v>
      </c>
      <c r="M1796">
        <v>195</v>
      </c>
      <c r="N1796" t="s">
        <v>6150</v>
      </c>
      <c r="O1796" s="5">
        <v>45240</v>
      </c>
      <c r="P1796" s="5">
        <v>43777</v>
      </c>
    </row>
    <row r="1797" spans="1:16" x14ac:dyDescent="0.25">
      <c r="A1797" t="s">
        <v>6149</v>
      </c>
      <c r="B1797" t="str">
        <v>Not Found</v>
      </c>
      <c r="C1797" t="s">
        <v>14</v>
      </c>
      <c r="D1797">
        <v>56.88</v>
      </c>
      <c r="E1797">
        <v>56.88</v>
      </c>
      <c r="F1797">
        <v>55.4</v>
      </c>
      <c r="G1797" s="3">
        <v>55.81</v>
      </c>
      <c r="H1797">
        <v>55.89</v>
      </c>
      <c r="I1797">
        <v>55.77</v>
      </c>
      <c r="J1797">
        <v>434436</v>
      </c>
      <c r="K1797">
        <v>24196157.48</v>
      </c>
      <c r="L1797" s="1">
        <v>45240</v>
      </c>
      <c r="M1797">
        <v>2365</v>
      </c>
      <c r="N1797" t="s">
        <v>6148</v>
      </c>
      <c r="O1797" s="5">
        <v>45240</v>
      </c>
      <c r="P1797" s="5">
        <v>43777</v>
      </c>
    </row>
    <row r="1798" spans="1:16" x14ac:dyDescent="0.25">
      <c r="A1798" t="s">
        <v>4027</v>
      </c>
      <c r="B1798" t="str">
        <v>PTC India Limited</v>
      </c>
      <c r="C1798" t="s">
        <v>14</v>
      </c>
      <c r="D1798">
        <v>144.25</v>
      </c>
      <c r="E1798">
        <v>147.69999999999999</v>
      </c>
      <c r="F1798">
        <v>143.35</v>
      </c>
      <c r="G1798" s="3">
        <v>145.25</v>
      </c>
      <c r="H1798">
        <v>145</v>
      </c>
      <c r="I1798">
        <v>143.9</v>
      </c>
      <c r="J1798">
        <v>1920962</v>
      </c>
      <c r="K1798">
        <v>280391844.14999998</v>
      </c>
      <c r="L1798" s="1">
        <v>45240</v>
      </c>
      <c r="M1798">
        <v>13785</v>
      </c>
      <c r="N1798" t="s">
        <v>4029</v>
      </c>
      <c r="O1798" s="5">
        <v>45240</v>
      </c>
      <c r="P1798" s="5">
        <v>43777</v>
      </c>
    </row>
    <row r="1799" spans="1:16" x14ac:dyDescent="0.25">
      <c r="A1799" t="s">
        <v>4030</v>
      </c>
      <c r="B1799" t="str">
        <v>PTC Industries Limited</v>
      </c>
      <c r="C1799" t="s">
        <v>14</v>
      </c>
      <c r="D1799">
        <v>4871.25</v>
      </c>
      <c r="E1799">
        <v>4999.95</v>
      </c>
      <c r="F1799">
        <v>4799.25</v>
      </c>
      <c r="G1799" s="3">
        <v>4952.1499999999996</v>
      </c>
      <c r="H1799">
        <v>4967.05</v>
      </c>
      <c r="I1799">
        <v>4938.75</v>
      </c>
      <c r="J1799">
        <v>3449</v>
      </c>
      <c r="K1799">
        <v>16884601.25</v>
      </c>
      <c r="L1799" s="1">
        <v>45240</v>
      </c>
      <c r="M1799">
        <v>590</v>
      </c>
      <c r="N1799" t="s">
        <v>4032</v>
      </c>
      <c r="O1799" s="5">
        <v>45240</v>
      </c>
      <c r="P1799" s="5">
        <v>43777</v>
      </c>
    </row>
    <row r="1800" spans="1:16" x14ac:dyDescent="0.25">
      <c r="A1800" t="s">
        <v>4033</v>
      </c>
      <c r="B1800" t="str">
        <v>PTL Enterprises Limited</v>
      </c>
      <c r="C1800" t="s">
        <v>14</v>
      </c>
      <c r="D1800">
        <v>47.1</v>
      </c>
      <c r="E1800">
        <v>47.7</v>
      </c>
      <c r="F1800">
        <v>44.65</v>
      </c>
      <c r="G1800" s="3">
        <v>45</v>
      </c>
      <c r="H1800">
        <v>45</v>
      </c>
      <c r="I1800">
        <v>47.1</v>
      </c>
      <c r="J1800">
        <v>535356</v>
      </c>
      <c r="K1800">
        <v>24354666.199999999</v>
      </c>
      <c r="L1800" s="1">
        <v>45240</v>
      </c>
      <c r="M1800">
        <v>3584</v>
      </c>
      <c r="N1800" t="s">
        <v>4035</v>
      </c>
      <c r="O1800" s="5">
        <v>45240</v>
      </c>
      <c r="P1800" s="5">
        <v>43777</v>
      </c>
    </row>
    <row r="1801" spans="1:16" x14ac:dyDescent="0.25">
      <c r="A1801" t="s">
        <v>6147</v>
      </c>
      <c r="B1801" t="str">
        <v>Not Found</v>
      </c>
      <c r="C1801" t="s">
        <v>5788</v>
      </c>
      <c r="D1801">
        <v>86.05</v>
      </c>
      <c r="E1801">
        <v>87.1</v>
      </c>
      <c r="F1801">
        <v>82.5</v>
      </c>
      <c r="G1801" s="3">
        <v>82.85</v>
      </c>
      <c r="H1801">
        <v>82.5</v>
      </c>
      <c r="I1801">
        <v>86.8</v>
      </c>
      <c r="J1801">
        <v>100000</v>
      </c>
      <c r="K1801">
        <v>8528700</v>
      </c>
      <c r="L1801" s="1">
        <v>45240</v>
      </c>
      <c r="M1801">
        <v>39</v>
      </c>
      <c r="N1801" t="s">
        <v>6146</v>
      </c>
      <c r="O1801" s="5">
        <v>45240</v>
      </c>
      <c r="P1801" s="5">
        <v>43777</v>
      </c>
    </row>
    <row r="1802" spans="1:16" x14ac:dyDescent="0.25">
      <c r="A1802" t="s">
        <v>4036</v>
      </c>
      <c r="B1802" t="str">
        <v>Punjab Chemicals &amp; Crop Protection Limited</v>
      </c>
      <c r="C1802" t="s">
        <v>14</v>
      </c>
      <c r="D1802">
        <v>1150</v>
      </c>
      <c r="E1802">
        <v>1164.95</v>
      </c>
      <c r="F1802">
        <v>1129</v>
      </c>
      <c r="G1802" s="3">
        <v>1134.8</v>
      </c>
      <c r="H1802">
        <v>1138.8499999999999</v>
      </c>
      <c r="I1802">
        <v>1151.45</v>
      </c>
      <c r="J1802">
        <v>3443</v>
      </c>
      <c r="K1802">
        <v>3915837.2</v>
      </c>
      <c r="L1802" s="1">
        <v>45240</v>
      </c>
      <c r="M1802">
        <v>610</v>
      </c>
      <c r="N1802" t="s">
        <v>4038</v>
      </c>
      <c r="O1802" s="5">
        <v>45240</v>
      </c>
      <c r="P1802" s="5">
        <v>43777</v>
      </c>
    </row>
    <row r="1803" spans="1:16" x14ac:dyDescent="0.25">
      <c r="A1803" t="s">
        <v>4039</v>
      </c>
      <c r="B1803" t="str">
        <v>Puravankara Limited</v>
      </c>
      <c r="C1803" t="s">
        <v>14</v>
      </c>
      <c r="D1803">
        <v>146</v>
      </c>
      <c r="E1803">
        <v>149.5</v>
      </c>
      <c r="F1803">
        <v>145.5</v>
      </c>
      <c r="G1803" s="3">
        <v>147.80000000000001</v>
      </c>
      <c r="H1803">
        <v>148</v>
      </c>
      <c r="I1803">
        <v>146.5</v>
      </c>
      <c r="J1803">
        <v>665971</v>
      </c>
      <c r="K1803">
        <v>98417142.549999997</v>
      </c>
      <c r="L1803" s="1">
        <v>45240</v>
      </c>
      <c r="M1803">
        <v>7429</v>
      </c>
      <c r="N1803" t="s">
        <v>4041</v>
      </c>
      <c r="O1803" s="5">
        <v>45240</v>
      </c>
      <c r="P1803" s="5">
        <v>43777</v>
      </c>
    </row>
    <row r="1804" spans="1:16" x14ac:dyDescent="0.25">
      <c r="A1804" t="s">
        <v>4042</v>
      </c>
      <c r="B1804" t="str">
        <v>PVP Ventures Limited</v>
      </c>
      <c r="C1804" t="s">
        <v>10</v>
      </c>
      <c r="D1804">
        <v>14.9</v>
      </c>
      <c r="E1804">
        <v>14.9</v>
      </c>
      <c r="F1804">
        <v>14.9</v>
      </c>
      <c r="G1804" s="3">
        <v>14.9</v>
      </c>
      <c r="H1804">
        <v>14.9</v>
      </c>
      <c r="I1804">
        <v>15.2</v>
      </c>
      <c r="J1804">
        <v>39537</v>
      </c>
      <c r="K1804">
        <v>589101.30000000005</v>
      </c>
      <c r="L1804" s="1">
        <v>45240</v>
      </c>
      <c r="M1804">
        <v>77</v>
      </c>
      <c r="N1804" t="s">
        <v>4044</v>
      </c>
      <c r="O1804" s="5">
        <v>45240</v>
      </c>
      <c r="P1804" s="5">
        <v>43777</v>
      </c>
    </row>
    <row r="1805" spans="1:16" x14ac:dyDescent="0.25">
      <c r="A1805" t="s">
        <v>4045</v>
      </c>
      <c r="B1805" t="str">
        <v>PVR INOX Limited</v>
      </c>
      <c r="C1805" t="s">
        <v>14</v>
      </c>
      <c r="D1805">
        <v>1665.9</v>
      </c>
      <c r="E1805">
        <v>1683</v>
      </c>
      <c r="F1805">
        <v>1654.05</v>
      </c>
      <c r="G1805" s="3">
        <v>1666.2</v>
      </c>
      <c r="H1805">
        <v>1666.8</v>
      </c>
      <c r="I1805">
        <v>1664.95</v>
      </c>
      <c r="J1805">
        <v>213861</v>
      </c>
      <c r="K1805">
        <v>357085961.05000001</v>
      </c>
      <c r="L1805" s="1">
        <v>45240</v>
      </c>
      <c r="M1805">
        <v>13555</v>
      </c>
      <c r="N1805" t="s">
        <v>4047</v>
      </c>
      <c r="O1805" s="5">
        <v>45240</v>
      </c>
      <c r="P1805" s="5">
        <v>43777</v>
      </c>
    </row>
    <row r="1806" spans="1:16" x14ac:dyDescent="0.25">
      <c r="A1806" t="s">
        <v>4048</v>
      </c>
      <c r="B1806" t="str">
        <v>Pyramid Technoplast Limited</v>
      </c>
      <c r="C1806" t="s">
        <v>14</v>
      </c>
      <c r="D1806">
        <v>213.05</v>
      </c>
      <c r="E1806">
        <v>213.05</v>
      </c>
      <c r="F1806">
        <v>206</v>
      </c>
      <c r="G1806" s="3">
        <v>206.35</v>
      </c>
      <c r="H1806">
        <v>206.05</v>
      </c>
      <c r="I1806">
        <v>213.45</v>
      </c>
      <c r="J1806">
        <v>313669</v>
      </c>
      <c r="K1806">
        <v>65464886.049999997</v>
      </c>
      <c r="L1806" s="1">
        <v>45240</v>
      </c>
      <c r="M1806">
        <v>8801</v>
      </c>
      <c r="N1806" t="s">
        <v>4050</v>
      </c>
      <c r="O1806" s="5">
        <v>45240</v>
      </c>
      <c r="P1806" s="5">
        <v>43777</v>
      </c>
    </row>
    <row r="1807" spans="1:16" x14ac:dyDescent="0.25">
      <c r="A1807" t="s">
        <v>6145</v>
      </c>
      <c r="B1807" t="str">
        <v>Not Found</v>
      </c>
      <c r="C1807" t="s">
        <v>5788</v>
      </c>
      <c r="D1807">
        <v>93</v>
      </c>
      <c r="E1807">
        <v>93</v>
      </c>
      <c r="F1807">
        <v>93</v>
      </c>
      <c r="G1807" s="3">
        <v>93</v>
      </c>
      <c r="H1807">
        <v>93</v>
      </c>
      <c r="I1807">
        <v>100</v>
      </c>
      <c r="J1807">
        <v>1000</v>
      </c>
      <c r="K1807">
        <v>93000</v>
      </c>
      <c r="L1807" s="1">
        <v>45240</v>
      </c>
      <c r="M1807">
        <v>1</v>
      </c>
      <c r="N1807" t="s">
        <v>6144</v>
      </c>
      <c r="O1807" s="5">
        <v>45240</v>
      </c>
      <c r="P1807" s="5">
        <v>43777</v>
      </c>
    </row>
    <row r="1808" spans="1:16" x14ac:dyDescent="0.25">
      <c r="A1808" t="s">
        <v>6143</v>
      </c>
      <c r="B1808" t="str">
        <v>Not Found</v>
      </c>
      <c r="C1808" t="s">
        <v>14</v>
      </c>
      <c r="D1808">
        <v>50.89</v>
      </c>
      <c r="E1808">
        <v>51.29</v>
      </c>
      <c r="F1808">
        <v>50.76</v>
      </c>
      <c r="G1808" s="3">
        <v>51.08</v>
      </c>
      <c r="H1808">
        <v>51.09</v>
      </c>
      <c r="I1808">
        <v>50.7</v>
      </c>
      <c r="J1808">
        <v>48669</v>
      </c>
      <c r="K1808">
        <v>2485522.81</v>
      </c>
      <c r="L1808" s="1">
        <v>45240</v>
      </c>
      <c r="M1808">
        <v>645</v>
      </c>
      <c r="N1808" t="s">
        <v>6142</v>
      </c>
      <c r="O1808" s="5">
        <v>45240</v>
      </c>
      <c r="P1808" s="5">
        <v>43777</v>
      </c>
    </row>
    <row r="1809" spans="1:16" x14ac:dyDescent="0.25">
      <c r="A1809" t="s">
        <v>6141</v>
      </c>
      <c r="B1809" t="str">
        <v>Not Found</v>
      </c>
      <c r="C1809" t="s">
        <v>5788</v>
      </c>
      <c r="D1809">
        <v>144</v>
      </c>
      <c r="E1809">
        <v>144</v>
      </c>
      <c r="F1809">
        <v>141.25</v>
      </c>
      <c r="G1809" s="3">
        <v>141.5</v>
      </c>
      <c r="H1809">
        <v>141.5</v>
      </c>
      <c r="I1809">
        <v>143.1</v>
      </c>
      <c r="J1809">
        <v>4000</v>
      </c>
      <c r="K1809">
        <v>568750</v>
      </c>
      <c r="L1809" s="1">
        <v>45240</v>
      </c>
      <c r="M1809">
        <v>4</v>
      </c>
      <c r="N1809" t="s">
        <v>6140</v>
      </c>
      <c r="O1809" s="5">
        <v>45240</v>
      </c>
      <c r="P1809" s="5">
        <v>43777</v>
      </c>
    </row>
    <row r="1810" spans="1:16" x14ac:dyDescent="0.25">
      <c r="A1810" t="s">
        <v>6139</v>
      </c>
      <c r="B1810" t="str">
        <v>Not Found</v>
      </c>
      <c r="C1810" t="s">
        <v>14</v>
      </c>
      <c r="D1810">
        <v>2074</v>
      </c>
      <c r="E1810">
        <v>2074</v>
      </c>
      <c r="F1810">
        <v>2066</v>
      </c>
      <c r="G1810" s="3">
        <v>2073.37</v>
      </c>
      <c r="H1810">
        <v>2074</v>
      </c>
      <c r="I1810">
        <v>2074</v>
      </c>
      <c r="J1810">
        <v>73</v>
      </c>
      <c r="K1810">
        <v>151170.29999999999</v>
      </c>
      <c r="L1810" s="1">
        <v>45240</v>
      </c>
      <c r="M1810">
        <v>21</v>
      </c>
      <c r="N1810" t="s">
        <v>6138</v>
      </c>
      <c r="O1810" s="5">
        <v>45240</v>
      </c>
      <c r="P1810" s="5">
        <v>43777</v>
      </c>
    </row>
    <row r="1811" spans="1:16" x14ac:dyDescent="0.25">
      <c r="A1811" t="s">
        <v>4051</v>
      </c>
      <c r="B1811" t="str">
        <v>Quess Corp Limited</v>
      </c>
      <c r="C1811" t="s">
        <v>14</v>
      </c>
      <c r="D1811">
        <v>447.5</v>
      </c>
      <c r="E1811">
        <v>469.65</v>
      </c>
      <c r="F1811">
        <v>444.45</v>
      </c>
      <c r="G1811" s="3">
        <v>464.8</v>
      </c>
      <c r="H1811">
        <v>467.05</v>
      </c>
      <c r="I1811">
        <v>447.7</v>
      </c>
      <c r="J1811">
        <v>2369320</v>
      </c>
      <c r="K1811">
        <v>1094610313.75</v>
      </c>
      <c r="L1811" s="1">
        <v>45240</v>
      </c>
      <c r="M1811">
        <v>58427</v>
      </c>
      <c r="N1811" t="s">
        <v>4053</v>
      </c>
      <c r="O1811" s="5">
        <v>45240</v>
      </c>
      <c r="P1811" s="5">
        <v>43777</v>
      </c>
    </row>
    <row r="1812" spans="1:16" x14ac:dyDescent="0.25">
      <c r="A1812" t="s">
        <v>4054</v>
      </c>
      <c r="B1812" t="str">
        <v>Quick Heal Technologies Limited</v>
      </c>
      <c r="C1812" t="s">
        <v>14</v>
      </c>
      <c r="D1812">
        <v>323.7</v>
      </c>
      <c r="E1812">
        <v>332.5</v>
      </c>
      <c r="F1812">
        <v>316.35000000000002</v>
      </c>
      <c r="G1812" s="3">
        <v>328.55</v>
      </c>
      <c r="H1812">
        <v>329</v>
      </c>
      <c r="I1812">
        <v>323.75</v>
      </c>
      <c r="J1812">
        <v>207110</v>
      </c>
      <c r="K1812">
        <v>67777483.099999994</v>
      </c>
      <c r="L1812" s="1">
        <v>45240</v>
      </c>
      <c r="M1812">
        <v>15905</v>
      </c>
      <c r="N1812" t="s">
        <v>4056</v>
      </c>
      <c r="O1812" s="5">
        <v>45240</v>
      </c>
      <c r="P1812" s="5">
        <v>43777</v>
      </c>
    </row>
    <row r="1813" spans="1:16" x14ac:dyDescent="0.25">
      <c r="A1813" t="s">
        <v>6137</v>
      </c>
      <c r="B1813" t="str">
        <v>Not Found</v>
      </c>
      <c r="C1813" t="s">
        <v>5788</v>
      </c>
      <c r="D1813">
        <v>163.05000000000001</v>
      </c>
      <c r="E1813">
        <v>179.35</v>
      </c>
      <c r="F1813">
        <v>163.05000000000001</v>
      </c>
      <c r="G1813" s="3">
        <v>179.35</v>
      </c>
      <c r="H1813">
        <v>179.35</v>
      </c>
      <c r="I1813">
        <v>170.85</v>
      </c>
      <c r="J1813">
        <v>49500</v>
      </c>
      <c r="K1813">
        <v>8721175</v>
      </c>
      <c r="L1813" s="1">
        <v>45240</v>
      </c>
      <c r="M1813">
        <v>75</v>
      </c>
      <c r="N1813" t="s">
        <v>6136</v>
      </c>
      <c r="O1813" s="5">
        <v>45240</v>
      </c>
      <c r="P1813" s="5">
        <v>43777</v>
      </c>
    </row>
    <row r="1814" spans="1:16" x14ac:dyDescent="0.25">
      <c r="A1814" t="s">
        <v>4057</v>
      </c>
      <c r="B1814" t="str">
        <v>Race Eco Chain Limited</v>
      </c>
      <c r="C1814" t="s">
        <v>14</v>
      </c>
      <c r="D1814">
        <v>260.64999999999998</v>
      </c>
      <c r="E1814">
        <v>284</v>
      </c>
      <c r="F1814">
        <v>256.64999999999998</v>
      </c>
      <c r="G1814" s="3">
        <v>279.2</v>
      </c>
      <c r="H1814">
        <v>278.5</v>
      </c>
      <c r="I1814">
        <v>259.64999999999998</v>
      </c>
      <c r="J1814">
        <v>66980</v>
      </c>
      <c r="K1814">
        <v>18480646.449999999</v>
      </c>
      <c r="L1814" s="1">
        <v>45240</v>
      </c>
      <c r="M1814">
        <v>4023</v>
      </c>
      <c r="N1814" t="s">
        <v>4059</v>
      </c>
      <c r="O1814" s="5">
        <v>45240</v>
      </c>
      <c r="P1814" s="5">
        <v>43777</v>
      </c>
    </row>
    <row r="1815" spans="1:16" x14ac:dyDescent="0.25">
      <c r="A1815" t="s">
        <v>4063</v>
      </c>
      <c r="B1815" t="str">
        <v>Radhika Jeweltech Limited</v>
      </c>
      <c r="C1815" t="s">
        <v>14</v>
      </c>
      <c r="D1815">
        <v>48.5</v>
      </c>
      <c r="E1815">
        <v>53</v>
      </c>
      <c r="F1815">
        <v>45.25</v>
      </c>
      <c r="G1815" s="3">
        <v>48.55</v>
      </c>
      <c r="H1815">
        <v>48.6</v>
      </c>
      <c r="I1815">
        <v>48.45</v>
      </c>
      <c r="J1815">
        <v>2283382</v>
      </c>
      <c r="K1815">
        <v>113110601.65000001</v>
      </c>
      <c r="L1815" s="1">
        <v>45240</v>
      </c>
      <c r="M1815">
        <v>8166</v>
      </c>
      <c r="N1815" t="s">
        <v>4065</v>
      </c>
      <c r="O1815" s="5">
        <v>45240</v>
      </c>
      <c r="P1815" s="5">
        <v>43777</v>
      </c>
    </row>
    <row r="1816" spans="1:16" x14ac:dyDescent="0.25">
      <c r="A1816" t="s">
        <v>4066</v>
      </c>
      <c r="B1816" t="str">
        <v>Radiant Cash Management Services Limited</v>
      </c>
      <c r="C1816" t="s">
        <v>14</v>
      </c>
      <c r="D1816">
        <v>90.8</v>
      </c>
      <c r="E1816">
        <v>92.65</v>
      </c>
      <c r="F1816">
        <v>90.45</v>
      </c>
      <c r="G1816" s="3">
        <v>90.75</v>
      </c>
      <c r="H1816">
        <v>91.25</v>
      </c>
      <c r="I1816">
        <v>90.6</v>
      </c>
      <c r="J1816">
        <v>406604</v>
      </c>
      <c r="K1816">
        <v>37241499</v>
      </c>
      <c r="L1816" s="1">
        <v>45240</v>
      </c>
      <c r="M1816">
        <v>4285</v>
      </c>
      <c r="N1816" t="s">
        <v>4068</v>
      </c>
      <c r="O1816" s="5">
        <v>45240</v>
      </c>
      <c r="P1816" s="5">
        <v>43777</v>
      </c>
    </row>
    <row r="1817" spans="1:16" x14ac:dyDescent="0.25">
      <c r="A1817" t="s">
        <v>4069</v>
      </c>
      <c r="B1817" t="str">
        <v>Radico Khaitan Limited</v>
      </c>
      <c r="C1817" t="s">
        <v>14</v>
      </c>
      <c r="D1817">
        <v>1375</v>
      </c>
      <c r="E1817">
        <v>1397</v>
      </c>
      <c r="F1817">
        <v>1372.25</v>
      </c>
      <c r="G1817" s="3">
        <v>1394.2</v>
      </c>
      <c r="H1817">
        <v>1390</v>
      </c>
      <c r="I1817">
        <v>1382.45</v>
      </c>
      <c r="J1817">
        <v>214799</v>
      </c>
      <c r="K1817">
        <v>298648028.94999999</v>
      </c>
      <c r="L1817" s="1">
        <v>45240</v>
      </c>
      <c r="M1817">
        <v>9495</v>
      </c>
      <c r="N1817" t="s">
        <v>4071</v>
      </c>
      <c r="O1817" s="5">
        <v>45240</v>
      </c>
      <c r="P1817" s="5">
        <v>43777</v>
      </c>
    </row>
    <row r="1818" spans="1:16" x14ac:dyDescent="0.25">
      <c r="A1818" t="s">
        <v>4072</v>
      </c>
      <c r="B1818" t="str">
        <v>Music Broadcast Limited</v>
      </c>
      <c r="C1818" t="s">
        <v>14</v>
      </c>
      <c r="D1818">
        <v>14.25</v>
      </c>
      <c r="E1818">
        <v>14.25</v>
      </c>
      <c r="F1818">
        <v>13.85</v>
      </c>
      <c r="G1818" s="3">
        <v>13.95</v>
      </c>
      <c r="H1818">
        <v>14</v>
      </c>
      <c r="I1818">
        <v>14.05</v>
      </c>
      <c r="J1818">
        <v>441663</v>
      </c>
      <c r="K1818">
        <v>6165105.4000000004</v>
      </c>
      <c r="L1818" s="1">
        <v>45240</v>
      </c>
      <c r="M1818">
        <v>847</v>
      </c>
      <c r="N1818" t="s">
        <v>4074</v>
      </c>
      <c r="O1818" s="5">
        <v>45240</v>
      </c>
      <c r="P1818" s="5">
        <v>43777</v>
      </c>
    </row>
    <row r="1819" spans="1:16" x14ac:dyDescent="0.25">
      <c r="A1819" t="s">
        <v>4072</v>
      </c>
      <c r="B1819" t="str">
        <v>Music Broadcast Limited</v>
      </c>
      <c r="C1819" t="s">
        <v>5847</v>
      </c>
      <c r="D1819">
        <v>92.75</v>
      </c>
      <c r="E1819">
        <v>94.75</v>
      </c>
      <c r="F1819">
        <v>92.75</v>
      </c>
      <c r="G1819" s="3">
        <v>93</v>
      </c>
      <c r="H1819">
        <v>93</v>
      </c>
      <c r="I1819">
        <v>92.75</v>
      </c>
      <c r="J1819">
        <v>790</v>
      </c>
      <c r="K1819">
        <v>73467.149999999994</v>
      </c>
      <c r="L1819" s="1">
        <v>45240</v>
      </c>
      <c r="M1819">
        <v>12</v>
      </c>
      <c r="N1819" t="s">
        <v>6135</v>
      </c>
      <c r="O1819" s="5">
        <v>45240</v>
      </c>
      <c r="P1819" s="5">
        <v>43777</v>
      </c>
    </row>
    <row r="1820" spans="1:16" x14ac:dyDescent="0.25">
      <c r="A1820" t="s">
        <v>4075</v>
      </c>
      <c r="B1820" t="str">
        <v>Railtel Corporation Of India Limited</v>
      </c>
      <c r="C1820" t="s">
        <v>14</v>
      </c>
      <c r="D1820">
        <v>248.9</v>
      </c>
      <c r="E1820">
        <v>253</v>
      </c>
      <c r="F1820">
        <v>243.4</v>
      </c>
      <c r="G1820" s="3">
        <v>251.2</v>
      </c>
      <c r="H1820">
        <v>251.8</v>
      </c>
      <c r="I1820">
        <v>247.85</v>
      </c>
      <c r="J1820">
        <v>4475520</v>
      </c>
      <c r="K1820">
        <v>1111497690.5</v>
      </c>
      <c r="L1820" s="1">
        <v>45240</v>
      </c>
      <c r="M1820">
        <v>27822</v>
      </c>
      <c r="N1820" t="s">
        <v>4077</v>
      </c>
      <c r="O1820" s="5">
        <v>45240</v>
      </c>
      <c r="P1820" s="5">
        <v>43777</v>
      </c>
    </row>
    <row r="1821" spans="1:16" x14ac:dyDescent="0.25">
      <c r="A1821" t="s">
        <v>4078</v>
      </c>
      <c r="B1821" t="str">
        <v>Rain Industries Limited</v>
      </c>
      <c r="C1821" t="s">
        <v>14</v>
      </c>
      <c r="D1821">
        <v>145.69999999999999</v>
      </c>
      <c r="E1821">
        <v>146.30000000000001</v>
      </c>
      <c r="F1821">
        <v>140.25</v>
      </c>
      <c r="G1821" s="3">
        <v>144.1</v>
      </c>
      <c r="H1821">
        <v>143.80000000000001</v>
      </c>
      <c r="I1821">
        <v>146.35</v>
      </c>
      <c r="J1821">
        <v>1716902</v>
      </c>
      <c r="K1821">
        <v>247302036.75</v>
      </c>
      <c r="L1821" s="1">
        <v>45240</v>
      </c>
      <c r="M1821">
        <v>23153</v>
      </c>
      <c r="N1821" t="s">
        <v>4080</v>
      </c>
      <c r="O1821" s="5">
        <v>45240</v>
      </c>
      <c r="P1821" s="5">
        <v>43777</v>
      </c>
    </row>
    <row r="1822" spans="1:16" x14ac:dyDescent="0.25">
      <c r="A1822" t="s">
        <v>4081</v>
      </c>
      <c r="B1822" t="str">
        <v>Rainbow Childrens Medicare Limited</v>
      </c>
      <c r="C1822" t="s">
        <v>14</v>
      </c>
      <c r="D1822">
        <v>1009.4</v>
      </c>
      <c r="E1822">
        <v>1025.55</v>
      </c>
      <c r="F1822">
        <v>1002.55</v>
      </c>
      <c r="G1822" s="3">
        <v>1017.9</v>
      </c>
      <c r="H1822">
        <v>1021.5</v>
      </c>
      <c r="I1822">
        <v>1009.4</v>
      </c>
      <c r="J1822">
        <v>50330</v>
      </c>
      <c r="K1822">
        <v>51176516.299999997</v>
      </c>
      <c r="L1822" s="1">
        <v>45240</v>
      </c>
      <c r="M1822">
        <v>5485</v>
      </c>
      <c r="N1822" t="s">
        <v>4083</v>
      </c>
      <c r="O1822" s="5">
        <v>45240</v>
      </c>
      <c r="P1822" s="5">
        <v>43777</v>
      </c>
    </row>
    <row r="1823" spans="1:16" x14ac:dyDescent="0.25">
      <c r="A1823" t="s">
        <v>4084</v>
      </c>
      <c r="B1823" t="str">
        <v>Rajesh Exports Limited</v>
      </c>
      <c r="C1823" t="s">
        <v>14</v>
      </c>
      <c r="D1823">
        <v>431</v>
      </c>
      <c r="E1823">
        <v>436.25</v>
      </c>
      <c r="F1823">
        <v>429.55</v>
      </c>
      <c r="G1823" s="3">
        <v>434.6</v>
      </c>
      <c r="H1823">
        <v>434</v>
      </c>
      <c r="I1823">
        <v>429.95</v>
      </c>
      <c r="J1823">
        <v>209949</v>
      </c>
      <c r="K1823">
        <v>90944601.200000003</v>
      </c>
      <c r="L1823" s="1">
        <v>45240</v>
      </c>
      <c r="M1823">
        <v>6966</v>
      </c>
      <c r="N1823" t="s">
        <v>4086</v>
      </c>
      <c r="O1823" s="5">
        <v>45240</v>
      </c>
      <c r="P1823" s="5">
        <v>43777</v>
      </c>
    </row>
    <row r="1824" spans="1:16" x14ac:dyDescent="0.25">
      <c r="A1824" t="s">
        <v>4087</v>
      </c>
      <c r="B1824" t="str">
        <v>Rajnandini Metal Limited</v>
      </c>
      <c r="C1824" t="s">
        <v>10</v>
      </c>
      <c r="D1824">
        <v>9.25</v>
      </c>
      <c r="E1824">
        <v>9.25</v>
      </c>
      <c r="F1824">
        <v>9.1</v>
      </c>
      <c r="G1824" s="3">
        <v>9.15</v>
      </c>
      <c r="H1824">
        <v>9.1999999999999993</v>
      </c>
      <c r="I1824">
        <v>9.15</v>
      </c>
      <c r="J1824">
        <v>1214607</v>
      </c>
      <c r="K1824">
        <v>11131755.050000001</v>
      </c>
      <c r="L1824" s="1">
        <v>45240</v>
      </c>
      <c r="M1824">
        <v>2290</v>
      </c>
      <c r="N1824" t="s">
        <v>4089</v>
      </c>
      <c r="O1824" s="5">
        <v>45240</v>
      </c>
      <c r="P1824" s="5">
        <v>43777</v>
      </c>
    </row>
    <row r="1825" spans="1:16" x14ac:dyDescent="0.25">
      <c r="A1825" t="s">
        <v>4090</v>
      </c>
      <c r="B1825" t="str">
        <v>Rajratan Global Wire Limited</v>
      </c>
      <c r="C1825" t="s">
        <v>14</v>
      </c>
      <c r="D1825">
        <v>729.45</v>
      </c>
      <c r="E1825">
        <v>732</v>
      </c>
      <c r="F1825">
        <v>724.9</v>
      </c>
      <c r="G1825" s="3">
        <v>726.7</v>
      </c>
      <c r="H1825">
        <v>727.9</v>
      </c>
      <c r="I1825">
        <v>729.4</v>
      </c>
      <c r="J1825">
        <v>18415</v>
      </c>
      <c r="K1825">
        <v>13409324.449999999</v>
      </c>
      <c r="L1825" s="1">
        <v>45240</v>
      </c>
      <c r="M1825">
        <v>2228</v>
      </c>
      <c r="N1825" t="s">
        <v>4092</v>
      </c>
      <c r="O1825" s="5">
        <v>45240</v>
      </c>
      <c r="P1825" s="5">
        <v>43777</v>
      </c>
    </row>
    <row r="1826" spans="1:16" x14ac:dyDescent="0.25">
      <c r="A1826" t="s">
        <v>4093</v>
      </c>
      <c r="B1826" t="str">
        <v>Raj Rayon Industries Limited</v>
      </c>
      <c r="C1826" t="s">
        <v>10</v>
      </c>
      <c r="D1826">
        <v>31.15</v>
      </c>
      <c r="E1826">
        <v>31.15</v>
      </c>
      <c r="F1826">
        <v>30.2</v>
      </c>
      <c r="G1826" s="3">
        <v>31.15</v>
      </c>
      <c r="H1826">
        <v>31.15</v>
      </c>
      <c r="I1826">
        <v>30.55</v>
      </c>
      <c r="J1826">
        <v>54589</v>
      </c>
      <c r="K1826">
        <v>1699245.95</v>
      </c>
      <c r="L1826" s="1">
        <v>45240</v>
      </c>
      <c r="M1826">
        <v>144</v>
      </c>
      <c r="N1826" t="s">
        <v>4095</v>
      </c>
      <c r="O1826" s="5">
        <v>45240</v>
      </c>
      <c r="P1826" s="5">
        <v>43777</v>
      </c>
    </row>
    <row r="1827" spans="1:16" x14ac:dyDescent="0.25">
      <c r="A1827" t="s">
        <v>4096</v>
      </c>
      <c r="B1827" t="str">
        <v>Rajshree Sugars &amp; Chemicals Limited</v>
      </c>
      <c r="C1827" t="s">
        <v>10</v>
      </c>
      <c r="D1827">
        <v>59</v>
      </c>
      <c r="E1827">
        <v>59.25</v>
      </c>
      <c r="F1827">
        <v>59</v>
      </c>
      <c r="G1827" s="3">
        <v>59.25</v>
      </c>
      <c r="H1827">
        <v>59.25</v>
      </c>
      <c r="I1827">
        <v>59.45</v>
      </c>
      <c r="J1827">
        <v>104621</v>
      </c>
      <c r="K1827">
        <v>6179935.8499999996</v>
      </c>
      <c r="L1827" s="1">
        <v>45240</v>
      </c>
      <c r="M1827">
        <v>193</v>
      </c>
      <c r="N1827" t="s">
        <v>4098</v>
      </c>
      <c r="O1827" s="5">
        <v>45240</v>
      </c>
      <c r="P1827" s="5">
        <v>43777</v>
      </c>
    </row>
    <row r="1828" spans="1:16" x14ac:dyDescent="0.25">
      <c r="A1828" t="s">
        <v>4099</v>
      </c>
      <c r="B1828" t="str">
        <v>Raj Television Network Limited</v>
      </c>
      <c r="C1828" t="s">
        <v>14</v>
      </c>
      <c r="D1828">
        <v>52.9</v>
      </c>
      <c r="E1828">
        <v>52.9</v>
      </c>
      <c r="F1828">
        <v>51.75</v>
      </c>
      <c r="G1828" s="3">
        <v>52.2</v>
      </c>
      <c r="H1828">
        <v>52</v>
      </c>
      <c r="I1828">
        <v>52.9</v>
      </c>
      <c r="J1828">
        <v>3829</v>
      </c>
      <c r="K1828">
        <v>200207.4</v>
      </c>
      <c r="L1828" s="1">
        <v>45240</v>
      </c>
      <c r="M1828">
        <v>182</v>
      </c>
      <c r="N1828" t="s">
        <v>4101</v>
      </c>
      <c r="O1828" s="5">
        <v>45240</v>
      </c>
      <c r="P1828" s="5">
        <v>43777</v>
      </c>
    </row>
    <row r="1829" spans="1:16" x14ac:dyDescent="0.25">
      <c r="A1829" t="s">
        <v>4102</v>
      </c>
      <c r="B1829" t="str">
        <v>Rallis India Limited</v>
      </c>
      <c r="C1829" t="s">
        <v>14</v>
      </c>
      <c r="D1829">
        <v>218.8</v>
      </c>
      <c r="E1829">
        <v>220.5</v>
      </c>
      <c r="F1829">
        <v>214.25</v>
      </c>
      <c r="G1829" s="3">
        <v>217.6</v>
      </c>
      <c r="H1829">
        <v>217.5</v>
      </c>
      <c r="I1829">
        <v>218.8</v>
      </c>
      <c r="J1829">
        <v>819249</v>
      </c>
      <c r="K1829">
        <v>178233454.94999999</v>
      </c>
      <c r="L1829" s="1">
        <v>45240</v>
      </c>
      <c r="M1829">
        <v>13125</v>
      </c>
      <c r="N1829" t="s">
        <v>4104</v>
      </c>
      <c r="O1829" s="5">
        <v>45240</v>
      </c>
      <c r="P1829" s="5">
        <v>43777</v>
      </c>
    </row>
    <row r="1830" spans="1:16" x14ac:dyDescent="0.25">
      <c r="A1830" t="s">
        <v>4105</v>
      </c>
      <c r="B1830" t="str">
        <v>Shree Rama Newsprint Limited</v>
      </c>
      <c r="C1830" t="s">
        <v>14</v>
      </c>
      <c r="D1830">
        <v>14.65</v>
      </c>
      <c r="E1830">
        <v>16.2</v>
      </c>
      <c r="F1830">
        <v>14.45</v>
      </c>
      <c r="G1830" s="3">
        <v>15.65</v>
      </c>
      <c r="H1830">
        <v>15.7</v>
      </c>
      <c r="I1830">
        <v>14.45</v>
      </c>
      <c r="J1830">
        <v>1345542</v>
      </c>
      <c r="K1830">
        <v>20679879.5</v>
      </c>
      <c r="L1830" s="1">
        <v>45240</v>
      </c>
      <c r="M1830">
        <v>3378</v>
      </c>
      <c r="N1830" t="s">
        <v>4107</v>
      </c>
      <c r="O1830" s="5">
        <v>45240</v>
      </c>
      <c r="P1830" s="5">
        <v>43777</v>
      </c>
    </row>
    <row r="1831" spans="1:16" x14ac:dyDescent="0.25">
      <c r="A1831" t="s">
        <v>4108</v>
      </c>
      <c r="B1831" t="str">
        <v>Rama Phosphates Limited</v>
      </c>
      <c r="C1831" t="s">
        <v>14</v>
      </c>
      <c r="D1831">
        <v>217.6</v>
      </c>
      <c r="E1831">
        <v>220.85</v>
      </c>
      <c r="F1831">
        <v>211.25</v>
      </c>
      <c r="G1831" s="3">
        <v>213.15</v>
      </c>
      <c r="H1831">
        <v>215</v>
      </c>
      <c r="I1831">
        <v>221.15</v>
      </c>
      <c r="J1831">
        <v>17512</v>
      </c>
      <c r="K1831">
        <v>3780881.15</v>
      </c>
      <c r="L1831" s="1">
        <v>45240</v>
      </c>
      <c r="M1831">
        <v>880</v>
      </c>
      <c r="N1831" t="s">
        <v>4110</v>
      </c>
      <c r="O1831" s="5">
        <v>45240</v>
      </c>
      <c r="P1831" s="5">
        <v>43777</v>
      </c>
    </row>
    <row r="1832" spans="1:16" x14ac:dyDescent="0.25">
      <c r="A1832" t="s">
        <v>4111</v>
      </c>
      <c r="B1832" t="str">
        <v>Rama Steel Tubes Limited</v>
      </c>
      <c r="C1832" t="s">
        <v>14</v>
      </c>
      <c r="D1832">
        <v>39.450000000000003</v>
      </c>
      <c r="E1832">
        <v>39.799999999999997</v>
      </c>
      <c r="F1832">
        <v>38.799999999999997</v>
      </c>
      <c r="G1832" s="3">
        <v>39.5</v>
      </c>
      <c r="H1832">
        <v>39.450000000000003</v>
      </c>
      <c r="I1832">
        <v>39.5</v>
      </c>
      <c r="J1832">
        <v>7020778</v>
      </c>
      <c r="K1832">
        <v>277002499.39999998</v>
      </c>
      <c r="L1832" s="1">
        <v>45240</v>
      </c>
      <c r="M1832">
        <v>10426</v>
      </c>
      <c r="N1832" t="s">
        <v>4113</v>
      </c>
      <c r="O1832" s="5">
        <v>45240</v>
      </c>
      <c r="P1832" s="5">
        <v>43777</v>
      </c>
    </row>
    <row r="1833" spans="1:16" x14ac:dyDescent="0.25">
      <c r="A1833" t="s">
        <v>4114</v>
      </c>
      <c r="B1833" t="str">
        <v>The Ramco Cements Limited</v>
      </c>
      <c r="C1833" t="s">
        <v>14</v>
      </c>
      <c r="D1833">
        <v>1020</v>
      </c>
      <c r="E1833">
        <v>1024.6500000000001</v>
      </c>
      <c r="F1833">
        <v>970.55</v>
      </c>
      <c r="G1833" s="3">
        <v>986.2</v>
      </c>
      <c r="H1833">
        <v>986</v>
      </c>
      <c r="I1833">
        <v>1022.2</v>
      </c>
      <c r="J1833">
        <v>1736004</v>
      </c>
      <c r="K1833">
        <v>1715162933.3</v>
      </c>
      <c r="L1833" s="1">
        <v>45240</v>
      </c>
      <c r="M1833">
        <v>59445</v>
      </c>
      <c r="N1833" t="s">
        <v>4116</v>
      </c>
      <c r="O1833" s="5">
        <v>45240</v>
      </c>
      <c r="P1833" s="5">
        <v>43777</v>
      </c>
    </row>
    <row r="1834" spans="1:16" x14ac:dyDescent="0.25">
      <c r="A1834" t="s">
        <v>4117</v>
      </c>
      <c r="B1834" t="str">
        <v>Ramco Industries Limited</v>
      </c>
      <c r="C1834" t="s">
        <v>14</v>
      </c>
      <c r="D1834">
        <v>216</v>
      </c>
      <c r="E1834">
        <v>220.4</v>
      </c>
      <c r="F1834">
        <v>197.9</v>
      </c>
      <c r="G1834" s="3">
        <v>202.5</v>
      </c>
      <c r="H1834">
        <v>202.1</v>
      </c>
      <c r="I1834">
        <v>216.55</v>
      </c>
      <c r="J1834">
        <v>813149</v>
      </c>
      <c r="K1834">
        <v>167717112.55000001</v>
      </c>
      <c r="L1834" s="1">
        <v>45240</v>
      </c>
      <c r="M1834">
        <v>15900</v>
      </c>
      <c r="N1834" t="s">
        <v>4119</v>
      </c>
      <c r="O1834" s="5">
        <v>45240</v>
      </c>
      <c r="P1834" s="5">
        <v>43777</v>
      </c>
    </row>
    <row r="1835" spans="1:16" x14ac:dyDescent="0.25">
      <c r="A1835" t="s">
        <v>4120</v>
      </c>
      <c r="B1835" t="str">
        <v>Ramco Systems Limited</v>
      </c>
      <c r="C1835" t="s">
        <v>14</v>
      </c>
      <c r="D1835">
        <v>264.8</v>
      </c>
      <c r="E1835">
        <v>267.8</v>
      </c>
      <c r="F1835">
        <v>260.5</v>
      </c>
      <c r="G1835" s="3">
        <v>265.75</v>
      </c>
      <c r="H1835">
        <v>265.55</v>
      </c>
      <c r="I1835">
        <v>264.89999999999998</v>
      </c>
      <c r="J1835">
        <v>47694</v>
      </c>
      <c r="K1835">
        <v>12585692.199999999</v>
      </c>
      <c r="L1835" s="1">
        <v>45240</v>
      </c>
      <c r="M1835">
        <v>1550</v>
      </c>
      <c r="N1835" t="s">
        <v>4122</v>
      </c>
      <c r="O1835" s="5">
        <v>45240</v>
      </c>
      <c r="P1835" s="5">
        <v>43777</v>
      </c>
    </row>
    <row r="1836" spans="1:16" x14ac:dyDescent="0.25">
      <c r="A1836" t="s">
        <v>4123</v>
      </c>
      <c r="B1836" t="str">
        <v>Ramky Infrastructure Limited</v>
      </c>
      <c r="C1836" t="s">
        <v>14</v>
      </c>
      <c r="D1836">
        <v>691</v>
      </c>
      <c r="E1836">
        <v>699</v>
      </c>
      <c r="F1836">
        <v>679.1</v>
      </c>
      <c r="G1836" s="3">
        <v>687.8</v>
      </c>
      <c r="H1836">
        <v>686</v>
      </c>
      <c r="I1836">
        <v>679.55</v>
      </c>
      <c r="J1836">
        <v>318179</v>
      </c>
      <c r="K1836">
        <v>218805665.65000001</v>
      </c>
      <c r="L1836" s="1">
        <v>45240</v>
      </c>
      <c r="M1836">
        <v>9947</v>
      </c>
      <c r="N1836" t="s">
        <v>4125</v>
      </c>
      <c r="O1836" s="5">
        <v>45240</v>
      </c>
      <c r="P1836" s="5">
        <v>43777</v>
      </c>
    </row>
    <row r="1837" spans="1:16" x14ac:dyDescent="0.25">
      <c r="A1837" t="s">
        <v>4126</v>
      </c>
      <c r="B1837" t="str">
        <v>Ram Ratna Wires Limited</v>
      </c>
      <c r="C1837" t="s">
        <v>14</v>
      </c>
      <c r="D1837">
        <v>272</v>
      </c>
      <c r="E1837">
        <v>273.89999999999998</v>
      </c>
      <c r="F1837">
        <v>269</v>
      </c>
      <c r="G1837" s="3">
        <v>272</v>
      </c>
      <c r="H1837">
        <v>270.2</v>
      </c>
      <c r="I1837">
        <v>271</v>
      </c>
      <c r="J1837">
        <v>34540</v>
      </c>
      <c r="K1837">
        <v>9369931.4000000004</v>
      </c>
      <c r="L1837" s="1">
        <v>45240</v>
      </c>
      <c r="M1837">
        <v>1958</v>
      </c>
      <c r="N1837" t="s">
        <v>4128</v>
      </c>
      <c r="O1837" s="5">
        <v>45240</v>
      </c>
      <c r="P1837" s="5">
        <v>43777</v>
      </c>
    </row>
    <row r="1838" spans="1:16" x14ac:dyDescent="0.25">
      <c r="A1838" t="s">
        <v>4129</v>
      </c>
      <c r="B1838" t="str">
        <v>Rana Sugars Limited</v>
      </c>
      <c r="C1838" t="s">
        <v>14</v>
      </c>
      <c r="D1838">
        <v>26.25</v>
      </c>
      <c r="E1838">
        <v>26.5</v>
      </c>
      <c r="F1838">
        <v>25.9</v>
      </c>
      <c r="G1838" s="3">
        <v>26.2</v>
      </c>
      <c r="H1838">
        <v>26.25</v>
      </c>
      <c r="I1838">
        <v>26.35</v>
      </c>
      <c r="J1838">
        <v>1007164</v>
      </c>
      <c r="K1838">
        <v>26387561</v>
      </c>
      <c r="L1838" s="1">
        <v>45240</v>
      </c>
      <c r="M1838">
        <v>3023</v>
      </c>
      <c r="N1838" t="s">
        <v>4131</v>
      </c>
      <c r="O1838" s="5">
        <v>45240</v>
      </c>
      <c r="P1838" s="5">
        <v>43777</v>
      </c>
    </row>
    <row r="1839" spans="1:16" x14ac:dyDescent="0.25">
      <c r="A1839" t="s">
        <v>4132</v>
      </c>
      <c r="B1839" t="str">
        <v>Rane Engine Valve Limited</v>
      </c>
      <c r="C1839" t="s">
        <v>14</v>
      </c>
      <c r="D1839">
        <v>295.89999999999998</v>
      </c>
      <c r="E1839">
        <v>296.3</v>
      </c>
      <c r="F1839">
        <v>290.2</v>
      </c>
      <c r="G1839" s="3">
        <v>295.5</v>
      </c>
      <c r="H1839">
        <v>295.7</v>
      </c>
      <c r="I1839">
        <v>291.3</v>
      </c>
      <c r="J1839">
        <v>1266</v>
      </c>
      <c r="K1839">
        <v>372751.45</v>
      </c>
      <c r="L1839" s="1">
        <v>45240</v>
      </c>
      <c r="M1839">
        <v>89</v>
      </c>
      <c r="N1839" t="s">
        <v>4134</v>
      </c>
      <c r="O1839" s="5">
        <v>45240</v>
      </c>
      <c r="P1839" s="5">
        <v>43777</v>
      </c>
    </row>
    <row r="1840" spans="1:16" x14ac:dyDescent="0.25">
      <c r="A1840" t="s">
        <v>4135</v>
      </c>
      <c r="B1840" t="str">
        <v>Rane Holdings Limited</v>
      </c>
      <c r="C1840" t="s">
        <v>14</v>
      </c>
      <c r="D1840">
        <v>1225</v>
      </c>
      <c r="E1840">
        <v>1259</v>
      </c>
      <c r="F1840">
        <v>1200</v>
      </c>
      <c r="G1840" s="3">
        <v>1212.3499999999999</v>
      </c>
      <c r="H1840">
        <v>1209</v>
      </c>
      <c r="I1840">
        <v>1215.4000000000001</v>
      </c>
      <c r="J1840">
        <v>19524</v>
      </c>
      <c r="K1840">
        <v>23984236.800000001</v>
      </c>
      <c r="L1840" s="1">
        <v>45240</v>
      </c>
      <c r="M1840">
        <v>2208</v>
      </c>
      <c r="N1840" t="s">
        <v>4137</v>
      </c>
      <c r="O1840" s="5">
        <v>45240</v>
      </c>
      <c r="P1840" s="5">
        <v>43777</v>
      </c>
    </row>
    <row r="1841" spans="1:16" x14ac:dyDescent="0.25">
      <c r="A1841" t="s">
        <v>4138</v>
      </c>
      <c r="B1841" t="str">
        <v>Rategain Travel Technologies Limited</v>
      </c>
      <c r="C1841" t="s">
        <v>14</v>
      </c>
      <c r="D1841">
        <v>662.05</v>
      </c>
      <c r="E1841">
        <v>679</v>
      </c>
      <c r="F1841">
        <v>652.1</v>
      </c>
      <c r="G1841" s="3">
        <v>668.75</v>
      </c>
      <c r="H1841">
        <v>668</v>
      </c>
      <c r="I1841">
        <v>661.45</v>
      </c>
      <c r="J1841">
        <v>384049</v>
      </c>
      <c r="K1841">
        <v>256037036.19999999</v>
      </c>
      <c r="L1841" s="1">
        <v>45240</v>
      </c>
      <c r="M1841">
        <v>22139</v>
      </c>
      <c r="N1841" t="s">
        <v>4140</v>
      </c>
      <c r="O1841" s="5">
        <v>45240</v>
      </c>
      <c r="P1841" s="5">
        <v>43777</v>
      </c>
    </row>
    <row r="1842" spans="1:16" x14ac:dyDescent="0.25">
      <c r="A1842" t="s">
        <v>4141</v>
      </c>
      <c r="B1842" t="str">
        <v>Ratnamani Metals &amp; Tubes Limited</v>
      </c>
      <c r="C1842" t="s">
        <v>14</v>
      </c>
      <c r="D1842">
        <v>3335</v>
      </c>
      <c r="E1842">
        <v>3398.9</v>
      </c>
      <c r="F1842">
        <v>3282.5</v>
      </c>
      <c r="G1842" s="3">
        <v>3343.55</v>
      </c>
      <c r="H1842">
        <v>3349.95</v>
      </c>
      <c r="I1842">
        <v>3344.25</v>
      </c>
      <c r="J1842">
        <v>56217</v>
      </c>
      <c r="K1842">
        <v>188096719.34999999</v>
      </c>
      <c r="L1842" s="1">
        <v>45240</v>
      </c>
      <c r="M1842">
        <v>11326</v>
      </c>
      <c r="N1842" t="s">
        <v>4143</v>
      </c>
      <c r="O1842" s="5">
        <v>45240</v>
      </c>
      <c r="P1842" s="5">
        <v>43777</v>
      </c>
    </row>
    <row r="1843" spans="1:16" x14ac:dyDescent="0.25">
      <c r="A1843" t="s">
        <v>4144</v>
      </c>
      <c r="B1843" t="str">
        <v>Ratnaveer Precision Engineering Limited</v>
      </c>
      <c r="C1843" t="s">
        <v>14</v>
      </c>
      <c r="D1843">
        <v>118.5</v>
      </c>
      <c r="E1843">
        <v>121.9</v>
      </c>
      <c r="F1843">
        <v>118.25</v>
      </c>
      <c r="G1843" s="3">
        <v>120</v>
      </c>
      <c r="H1843">
        <v>119.95</v>
      </c>
      <c r="I1843">
        <v>119.15</v>
      </c>
      <c r="J1843">
        <v>570676</v>
      </c>
      <c r="K1843">
        <v>68676062.450000003</v>
      </c>
      <c r="L1843" s="1">
        <v>45240</v>
      </c>
      <c r="M1843">
        <v>7488</v>
      </c>
      <c r="N1843" t="s">
        <v>4146</v>
      </c>
      <c r="O1843" s="5">
        <v>45240</v>
      </c>
      <c r="P1843" s="5">
        <v>43777</v>
      </c>
    </row>
    <row r="1844" spans="1:16" x14ac:dyDescent="0.25">
      <c r="A1844" t="s">
        <v>4147</v>
      </c>
      <c r="B1844" t="str">
        <v>Raymond Limited</v>
      </c>
      <c r="C1844" t="s">
        <v>14</v>
      </c>
      <c r="D1844">
        <v>1890</v>
      </c>
      <c r="E1844">
        <v>1898.5</v>
      </c>
      <c r="F1844">
        <v>1870.55</v>
      </c>
      <c r="G1844" s="3">
        <v>1889.3</v>
      </c>
      <c r="H1844">
        <v>1890.9</v>
      </c>
      <c r="I1844">
        <v>1884.15</v>
      </c>
      <c r="J1844">
        <v>130158</v>
      </c>
      <c r="K1844">
        <v>245701388.30000001</v>
      </c>
      <c r="L1844" s="1">
        <v>45240</v>
      </c>
      <c r="M1844">
        <v>13048</v>
      </c>
      <c r="N1844" t="s">
        <v>4149</v>
      </c>
      <c r="O1844" s="5">
        <v>45240</v>
      </c>
      <c r="P1844" s="5">
        <v>43777</v>
      </c>
    </row>
    <row r="1845" spans="1:16" x14ac:dyDescent="0.25">
      <c r="A1845" t="s">
        <v>4150</v>
      </c>
      <c r="B1845" t="str">
        <v>Restaurant Brands Asia Limited</v>
      </c>
      <c r="C1845" t="s">
        <v>14</v>
      </c>
      <c r="D1845">
        <v>113</v>
      </c>
      <c r="E1845">
        <v>115.25</v>
      </c>
      <c r="F1845">
        <v>112.9</v>
      </c>
      <c r="G1845" s="3">
        <v>113.95</v>
      </c>
      <c r="H1845">
        <v>113.6</v>
      </c>
      <c r="I1845">
        <v>113.5</v>
      </c>
      <c r="J1845">
        <v>2817457</v>
      </c>
      <c r="K1845">
        <v>322692704.44999999</v>
      </c>
      <c r="L1845" s="1">
        <v>45240</v>
      </c>
      <c r="M1845">
        <v>15634</v>
      </c>
      <c r="N1845" t="s">
        <v>4152</v>
      </c>
      <c r="O1845" s="5">
        <v>45240</v>
      </c>
      <c r="P1845" s="5">
        <v>43777</v>
      </c>
    </row>
    <row r="1846" spans="1:16" x14ac:dyDescent="0.25">
      <c r="A1846" t="s">
        <v>4153</v>
      </c>
      <c r="B1846" t="str">
        <v>Rane Brake Lining Limited</v>
      </c>
      <c r="C1846" t="s">
        <v>14</v>
      </c>
      <c r="D1846">
        <v>828.9</v>
      </c>
      <c r="E1846">
        <v>834</v>
      </c>
      <c r="F1846">
        <v>810</v>
      </c>
      <c r="G1846" s="3">
        <v>813.95</v>
      </c>
      <c r="H1846">
        <v>814.55</v>
      </c>
      <c r="I1846">
        <v>825.8</v>
      </c>
      <c r="J1846">
        <v>15427</v>
      </c>
      <c r="K1846">
        <v>12711047.300000001</v>
      </c>
      <c r="L1846" s="1">
        <v>45240</v>
      </c>
      <c r="M1846">
        <v>2411</v>
      </c>
      <c r="N1846" t="s">
        <v>4155</v>
      </c>
      <c r="O1846" s="5">
        <v>45240</v>
      </c>
      <c r="P1846" s="5">
        <v>43777</v>
      </c>
    </row>
    <row r="1847" spans="1:16" x14ac:dyDescent="0.25">
      <c r="A1847" t="s">
        <v>4156</v>
      </c>
      <c r="B1847" t="str">
        <v>RBL Bank Limited</v>
      </c>
      <c r="C1847" t="s">
        <v>14</v>
      </c>
      <c r="D1847">
        <v>238.9</v>
      </c>
      <c r="E1847">
        <v>240.8</v>
      </c>
      <c r="F1847">
        <v>236.8</v>
      </c>
      <c r="G1847" s="3">
        <v>239.85</v>
      </c>
      <c r="H1847">
        <v>240.2</v>
      </c>
      <c r="I1847">
        <v>239.6</v>
      </c>
      <c r="J1847">
        <v>5675622</v>
      </c>
      <c r="K1847">
        <v>1356791142.2</v>
      </c>
      <c r="L1847" s="1">
        <v>45240</v>
      </c>
      <c r="M1847">
        <v>36920</v>
      </c>
      <c r="N1847" t="s">
        <v>4158</v>
      </c>
      <c r="O1847" s="5">
        <v>45240</v>
      </c>
      <c r="P1847" s="5">
        <v>43777</v>
      </c>
    </row>
    <row r="1848" spans="1:16" x14ac:dyDescent="0.25">
      <c r="A1848" t="s">
        <v>6134</v>
      </c>
      <c r="B1848" t="str">
        <v>Not Found</v>
      </c>
      <c r="C1848" t="s">
        <v>5788</v>
      </c>
      <c r="D1848">
        <v>226.9</v>
      </c>
      <c r="E1848">
        <v>236</v>
      </c>
      <c r="F1848">
        <v>226.9</v>
      </c>
      <c r="G1848" s="3">
        <v>233.95</v>
      </c>
      <c r="H1848">
        <v>233.95</v>
      </c>
      <c r="I1848">
        <v>238.85</v>
      </c>
      <c r="J1848">
        <v>44000</v>
      </c>
      <c r="K1848">
        <v>10118100</v>
      </c>
      <c r="L1848" s="1">
        <v>45240</v>
      </c>
      <c r="M1848">
        <v>41</v>
      </c>
      <c r="N1848" t="s">
        <v>6133</v>
      </c>
      <c r="O1848" s="5">
        <v>45240</v>
      </c>
      <c r="P1848" s="5">
        <v>43777</v>
      </c>
    </row>
    <row r="1849" spans="1:16" x14ac:dyDescent="0.25">
      <c r="A1849" t="s">
        <v>6132</v>
      </c>
      <c r="B1849" t="str">
        <v>Not Found</v>
      </c>
      <c r="C1849" t="s">
        <v>5853</v>
      </c>
      <c r="D1849">
        <v>60.2</v>
      </c>
      <c r="E1849">
        <v>60.2</v>
      </c>
      <c r="F1849">
        <v>57.7</v>
      </c>
      <c r="G1849" s="3">
        <v>58.15</v>
      </c>
      <c r="H1849">
        <v>58.15</v>
      </c>
      <c r="I1849">
        <v>60.2</v>
      </c>
      <c r="J1849">
        <v>33000</v>
      </c>
      <c r="K1849">
        <v>1921050</v>
      </c>
      <c r="L1849" s="1">
        <v>45240</v>
      </c>
      <c r="M1849">
        <v>11</v>
      </c>
      <c r="N1849" t="s">
        <v>6131</v>
      </c>
      <c r="O1849" s="5">
        <v>45240</v>
      </c>
      <c r="P1849" s="5">
        <v>43777</v>
      </c>
    </row>
    <row r="1850" spans="1:16" x14ac:dyDescent="0.25">
      <c r="A1850" t="s">
        <v>4159</v>
      </c>
      <c r="B1850" t="str">
        <v>Rashtriya Chemicals and Fertilizers Limited</v>
      </c>
      <c r="C1850" t="s">
        <v>14</v>
      </c>
      <c r="D1850">
        <v>127.65</v>
      </c>
      <c r="E1850">
        <v>129.30000000000001</v>
      </c>
      <c r="F1850">
        <v>127</v>
      </c>
      <c r="G1850" s="3">
        <v>127.65</v>
      </c>
      <c r="H1850">
        <v>127.5</v>
      </c>
      <c r="I1850">
        <v>127.65</v>
      </c>
      <c r="J1850">
        <v>1693222</v>
      </c>
      <c r="K1850">
        <v>216868004.09999999</v>
      </c>
      <c r="L1850" s="1">
        <v>45240</v>
      </c>
      <c r="M1850">
        <v>10482</v>
      </c>
      <c r="N1850" t="s">
        <v>4161</v>
      </c>
      <c r="O1850" s="5">
        <v>45240</v>
      </c>
      <c r="P1850" s="5">
        <v>43777</v>
      </c>
    </row>
    <row r="1851" spans="1:16" x14ac:dyDescent="0.25">
      <c r="A1851" t="s">
        <v>4162</v>
      </c>
      <c r="B1851" t="str">
        <v>Reliance Communications Limited</v>
      </c>
      <c r="C1851" t="s">
        <v>10</v>
      </c>
      <c r="D1851">
        <v>1.8</v>
      </c>
      <c r="E1851">
        <v>1.8</v>
      </c>
      <c r="F1851">
        <v>1.75</v>
      </c>
      <c r="G1851" s="3">
        <v>1.75</v>
      </c>
      <c r="H1851">
        <v>1.75</v>
      </c>
      <c r="I1851">
        <v>1.75</v>
      </c>
      <c r="J1851">
        <v>2577798</v>
      </c>
      <c r="K1851">
        <v>4564173</v>
      </c>
      <c r="L1851" s="1">
        <v>45240</v>
      </c>
      <c r="M1851">
        <v>2036</v>
      </c>
      <c r="N1851" t="s">
        <v>4164</v>
      </c>
      <c r="O1851" s="5">
        <v>45240</v>
      </c>
      <c r="P1851" s="5">
        <v>43777</v>
      </c>
    </row>
    <row r="1852" spans="1:16" x14ac:dyDescent="0.25">
      <c r="A1852" t="s">
        <v>4165</v>
      </c>
      <c r="B1852" t="str">
        <v>REC Limited</v>
      </c>
      <c r="C1852" t="s">
        <v>14</v>
      </c>
      <c r="D1852">
        <v>317.89999999999998</v>
      </c>
      <c r="E1852">
        <v>326.89999999999998</v>
      </c>
      <c r="F1852">
        <v>317.14999999999998</v>
      </c>
      <c r="G1852" s="3">
        <v>325.7</v>
      </c>
      <c r="H1852">
        <v>326</v>
      </c>
      <c r="I1852">
        <v>318</v>
      </c>
      <c r="J1852">
        <v>11467991</v>
      </c>
      <c r="K1852">
        <v>3691924056.75</v>
      </c>
      <c r="L1852" s="1">
        <v>45240</v>
      </c>
      <c r="M1852">
        <v>86102</v>
      </c>
      <c r="N1852" t="s">
        <v>4167</v>
      </c>
      <c r="O1852" s="5">
        <v>45240</v>
      </c>
      <c r="P1852" s="5">
        <v>43777</v>
      </c>
    </row>
    <row r="1853" spans="1:16" x14ac:dyDescent="0.25">
      <c r="A1853" t="s">
        <v>4165</v>
      </c>
      <c r="B1853" t="str">
        <v>REC Limited</v>
      </c>
      <c r="C1853" t="s">
        <v>6130</v>
      </c>
      <c r="D1853">
        <v>1221.95</v>
      </c>
      <c r="E1853">
        <v>1221.95</v>
      </c>
      <c r="F1853">
        <v>1217.1500000000001</v>
      </c>
      <c r="G1853" s="3">
        <v>1220.28</v>
      </c>
      <c r="H1853">
        <v>1220.0999999999999</v>
      </c>
      <c r="I1853">
        <v>1219</v>
      </c>
      <c r="J1853">
        <v>3433</v>
      </c>
      <c r="K1853">
        <v>4187834.21</v>
      </c>
      <c r="L1853" s="1">
        <v>45240</v>
      </c>
      <c r="M1853">
        <v>22</v>
      </c>
      <c r="N1853" t="s">
        <v>6129</v>
      </c>
      <c r="O1853" s="5">
        <v>45240</v>
      </c>
      <c r="P1853" s="5">
        <v>43777</v>
      </c>
    </row>
    <row r="1854" spans="1:16" x14ac:dyDescent="0.25">
      <c r="A1854" t="s">
        <v>4168</v>
      </c>
      <c r="B1854" t="str">
        <v>Redington Limited</v>
      </c>
      <c r="C1854" t="s">
        <v>14</v>
      </c>
      <c r="D1854">
        <v>153.94999999999999</v>
      </c>
      <c r="E1854">
        <v>155.19999999999999</v>
      </c>
      <c r="F1854">
        <v>152.19999999999999</v>
      </c>
      <c r="G1854" s="3">
        <v>154.55000000000001</v>
      </c>
      <c r="H1854">
        <v>154.19999999999999</v>
      </c>
      <c r="I1854">
        <v>154.55000000000001</v>
      </c>
      <c r="J1854">
        <v>858851</v>
      </c>
      <c r="K1854">
        <v>131683248.7</v>
      </c>
      <c r="L1854" s="1">
        <v>45240</v>
      </c>
      <c r="M1854">
        <v>10977</v>
      </c>
      <c r="N1854" t="s">
        <v>4170</v>
      </c>
      <c r="O1854" s="5">
        <v>45240</v>
      </c>
      <c r="P1854" s="5">
        <v>43777</v>
      </c>
    </row>
    <row r="1855" spans="1:16" x14ac:dyDescent="0.25">
      <c r="A1855" t="s">
        <v>4171</v>
      </c>
      <c r="B1855" t="str">
        <v>Redtape Limited</v>
      </c>
      <c r="C1855" t="s">
        <v>14</v>
      </c>
      <c r="D1855">
        <v>483.95</v>
      </c>
      <c r="E1855">
        <v>492</v>
      </c>
      <c r="F1855">
        <v>466</v>
      </c>
      <c r="G1855" s="3">
        <v>475.5</v>
      </c>
      <c r="H1855">
        <v>476.5</v>
      </c>
      <c r="I1855">
        <v>482.9</v>
      </c>
      <c r="J1855">
        <v>988505</v>
      </c>
      <c r="K1855">
        <v>469796687.5</v>
      </c>
      <c r="L1855" s="1">
        <v>45240</v>
      </c>
      <c r="M1855">
        <v>36376</v>
      </c>
      <c r="N1855" t="s">
        <v>4173</v>
      </c>
      <c r="O1855" s="5">
        <v>45240</v>
      </c>
      <c r="P1855" s="5">
        <v>43777</v>
      </c>
    </row>
    <row r="1856" spans="1:16" x14ac:dyDescent="0.25">
      <c r="A1856" t="s">
        <v>4174</v>
      </c>
      <c r="B1856" t="str">
        <v>Refex Industries Limited</v>
      </c>
      <c r="C1856" t="s">
        <v>14</v>
      </c>
      <c r="D1856">
        <v>566.70000000000005</v>
      </c>
      <c r="E1856">
        <v>575</v>
      </c>
      <c r="F1856">
        <v>557.1</v>
      </c>
      <c r="G1856" s="3">
        <v>568.45000000000005</v>
      </c>
      <c r="H1856">
        <v>567</v>
      </c>
      <c r="I1856">
        <v>559.45000000000005</v>
      </c>
      <c r="J1856">
        <v>91592</v>
      </c>
      <c r="K1856">
        <v>51944249.25</v>
      </c>
      <c r="L1856" s="1">
        <v>45240</v>
      </c>
      <c r="M1856">
        <v>5378</v>
      </c>
      <c r="N1856" t="s">
        <v>4176</v>
      </c>
      <c r="O1856" s="5">
        <v>45240</v>
      </c>
      <c r="P1856" s="5">
        <v>43777</v>
      </c>
    </row>
    <row r="1857" spans="1:16" x14ac:dyDescent="0.25">
      <c r="A1857" t="s">
        <v>4177</v>
      </c>
      <c r="B1857" t="str">
        <v>Regency Ceramics Limited</v>
      </c>
      <c r="C1857" t="s">
        <v>10</v>
      </c>
      <c r="D1857">
        <v>36.549999999999997</v>
      </c>
      <c r="E1857">
        <v>36.549999999999997</v>
      </c>
      <c r="F1857">
        <v>35.85</v>
      </c>
      <c r="G1857" s="3">
        <v>35.85</v>
      </c>
      <c r="H1857">
        <v>35.85</v>
      </c>
      <c r="I1857">
        <v>36.549999999999997</v>
      </c>
      <c r="J1857">
        <v>1457</v>
      </c>
      <c r="K1857">
        <v>52881.9</v>
      </c>
      <c r="L1857" s="1">
        <v>45240</v>
      </c>
      <c r="M1857">
        <v>11</v>
      </c>
      <c r="N1857" t="s">
        <v>4179</v>
      </c>
      <c r="O1857" s="5">
        <v>45240</v>
      </c>
      <c r="P1857" s="5">
        <v>43777</v>
      </c>
    </row>
    <row r="1858" spans="1:16" x14ac:dyDescent="0.25">
      <c r="A1858" t="s">
        <v>4180</v>
      </c>
      <c r="B1858" t="str">
        <v>Relaxo Footwears Limited</v>
      </c>
      <c r="C1858" t="s">
        <v>14</v>
      </c>
      <c r="D1858">
        <v>905</v>
      </c>
      <c r="E1858">
        <v>913.5</v>
      </c>
      <c r="F1858">
        <v>903</v>
      </c>
      <c r="G1858" s="3">
        <v>905.55</v>
      </c>
      <c r="H1858">
        <v>906.7</v>
      </c>
      <c r="I1858">
        <v>909.1</v>
      </c>
      <c r="J1858">
        <v>53790</v>
      </c>
      <c r="K1858">
        <v>48862992.25</v>
      </c>
      <c r="L1858" s="1">
        <v>45240</v>
      </c>
      <c r="M1858">
        <v>6983</v>
      </c>
      <c r="N1858" t="s">
        <v>4182</v>
      </c>
      <c r="O1858" s="5">
        <v>45240</v>
      </c>
      <c r="P1858" s="5">
        <v>43777</v>
      </c>
    </row>
    <row r="1859" spans="1:16" x14ac:dyDescent="0.25">
      <c r="A1859" t="s">
        <v>4183</v>
      </c>
      <c r="B1859" t="str">
        <v>Reliance Chemotex Industries Limited</v>
      </c>
      <c r="C1859" t="s">
        <v>14</v>
      </c>
      <c r="D1859">
        <v>254.55</v>
      </c>
      <c r="E1859">
        <v>259.2</v>
      </c>
      <c r="F1859">
        <v>250</v>
      </c>
      <c r="G1859" s="3">
        <v>254.55</v>
      </c>
      <c r="H1859">
        <v>254.8</v>
      </c>
      <c r="I1859">
        <v>254.5</v>
      </c>
      <c r="J1859">
        <v>77888</v>
      </c>
      <c r="K1859">
        <v>19857949.050000001</v>
      </c>
      <c r="L1859" s="1">
        <v>45240</v>
      </c>
      <c r="M1859">
        <v>4311</v>
      </c>
      <c r="N1859" t="s">
        <v>4185</v>
      </c>
      <c r="O1859" s="5">
        <v>45240</v>
      </c>
      <c r="P1859" s="5">
        <v>43777</v>
      </c>
    </row>
    <row r="1860" spans="1:16" x14ac:dyDescent="0.25">
      <c r="A1860" t="s">
        <v>6128</v>
      </c>
      <c r="B1860" t="str">
        <v>Not Found</v>
      </c>
      <c r="C1860" t="s">
        <v>5788</v>
      </c>
      <c r="D1860">
        <v>73.400000000000006</v>
      </c>
      <c r="E1860">
        <v>73.400000000000006</v>
      </c>
      <c r="F1860">
        <v>73.400000000000006</v>
      </c>
      <c r="G1860" s="3">
        <v>73.400000000000006</v>
      </c>
      <c r="H1860">
        <v>73.400000000000006</v>
      </c>
      <c r="I1860">
        <v>69.95</v>
      </c>
      <c r="J1860">
        <v>2400</v>
      </c>
      <c r="K1860">
        <v>176160</v>
      </c>
      <c r="L1860" s="1">
        <v>45240</v>
      </c>
      <c r="M1860">
        <v>1</v>
      </c>
      <c r="N1860" t="s">
        <v>6127</v>
      </c>
      <c r="O1860" s="5">
        <v>45240</v>
      </c>
      <c r="P1860" s="5">
        <v>43777</v>
      </c>
    </row>
    <row r="1861" spans="1:16" x14ac:dyDescent="0.25">
      <c r="A1861" t="s">
        <v>4186</v>
      </c>
      <c r="B1861" t="str">
        <v>Reliance Industries Limited</v>
      </c>
      <c r="C1861" t="s">
        <v>14</v>
      </c>
      <c r="D1861">
        <v>2305.5500000000002</v>
      </c>
      <c r="E1861">
        <v>2316.35</v>
      </c>
      <c r="F1861">
        <v>2298.0500000000002</v>
      </c>
      <c r="G1861" s="3">
        <v>2314.9</v>
      </c>
      <c r="H1861">
        <v>2315.9</v>
      </c>
      <c r="I1861">
        <v>2310.5500000000002</v>
      </c>
      <c r="J1861">
        <v>3867477</v>
      </c>
      <c r="K1861">
        <v>8928695452.3500004</v>
      </c>
      <c r="L1861" s="1">
        <v>45240</v>
      </c>
      <c r="M1861">
        <v>144846</v>
      </c>
      <c r="N1861" t="s">
        <v>4188</v>
      </c>
      <c r="O1861" s="5">
        <v>45240</v>
      </c>
      <c r="P1861" s="5">
        <v>43777</v>
      </c>
    </row>
    <row r="1862" spans="1:16" x14ac:dyDescent="0.25">
      <c r="A1862" t="s">
        <v>4189</v>
      </c>
      <c r="B1862" t="str">
        <v>Religare Enterprises Limited</v>
      </c>
      <c r="C1862" t="s">
        <v>14</v>
      </c>
      <c r="D1862">
        <v>219.9</v>
      </c>
      <c r="E1862">
        <v>226.5</v>
      </c>
      <c r="F1862">
        <v>218.55</v>
      </c>
      <c r="G1862" s="3">
        <v>222.75</v>
      </c>
      <c r="H1862">
        <v>222.95</v>
      </c>
      <c r="I1862">
        <v>220.35</v>
      </c>
      <c r="J1862">
        <v>3900738</v>
      </c>
      <c r="K1862">
        <v>863692438.5</v>
      </c>
      <c r="L1862" s="1">
        <v>45240</v>
      </c>
      <c r="M1862">
        <v>14661</v>
      </c>
      <c r="N1862" t="s">
        <v>4191</v>
      </c>
      <c r="O1862" s="5">
        <v>45240</v>
      </c>
      <c r="P1862" s="5">
        <v>43777</v>
      </c>
    </row>
    <row r="1863" spans="1:16" x14ac:dyDescent="0.25">
      <c r="A1863" t="s">
        <v>4192</v>
      </c>
      <c r="B1863" t="str">
        <v>Reliance Infrastructure Limited</v>
      </c>
      <c r="C1863" t="s">
        <v>14</v>
      </c>
      <c r="D1863">
        <v>176</v>
      </c>
      <c r="E1863">
        <v>180</v>
      </c>
      <c r="F1863">
        <v>175.25</v>
      </c>
      <c r="G1863" s="3">
        <v>177.3</v>
      </c>
      <c r="H1863">
        <v>176.9</v>
      </c>
      <c r="I1863">
        <v>178.1</v>
      </c>
      <c r="J1863">
        <v>897958</v>
      </c>
      <c r="K1863">
        <v>159517838.44999999</v>
      </c>
      <c r="L1863" s="1">
        <v>45240</v>
      </c>
      <c r="M1863">
        <v>6028</v>
      </c>
      <c r="N1863" t="s">
        <v>4194</v>
      </c>
      <c r="O1863" s="5">
        <v>45240</v>
      </c>
      <c r="P1863" s="5">
        <v>43777</v>
      </c>
    </row>
    <row r="1864" spans="1:16" x14ac:dyDescent="0.25">
      <c r="A1864" t="s">
        <v>4195</v>
      </c>
      <c r="B1864" t="str">
        <v>Remsons Industries Limited</v>
      </c>
      <c r="C1864" t="s">
        <v>10</v>
      </c>
      <c r="D1864">
        <v>468.5</v>
      </c>
      <c r="E1864">
        <v>473.4</v>
      </c>
      <c r="F1864">
        <v>453</v>
      </c>
      <c r="G1864" s="3">
        <v>458.1</v>
      </c>
      <c r="H1864">
        <v>472.35</v>
      </c>
      <c r="I1864">
        <v>450.9</v>
      </c>
      <c r="J1864">
        <v>16575</v>
      </c>
      <c r="K1864">
        <v>7707748.5499999998</v>
      </c>
      <c r="L1864" s="1">
        <v>45240</v>
      </c>
      <c r="M1864">
        <v>245</v>
      </c>
      <c r="N1864" t="s">
        <v>4197</v>
      </c>
      <c r="O1864" s="5">
        <v>45240</v>
      </c>
      <c r="P1864" s="5">
        <v>43777</v>
      </c>
    </row>
    <row r="1865" spans="1:16" x14ac:dyDescent="0.25">
      <c r="A1865" t="s">
        <v>6126</v>
      </c>
      <c r="B1865" t="str">
        <v>Not Found</v>
      </c>
      <c r="C1865" t="s">
        <v>5788</v>
      </c>
      <c r="D1865">
        <v>5449.95</v>
      </c>
      <c r="E1865">
        <v>5449.95</v>
      </c>
      <c r="F1865">
        <v>5250</v>
      </c>
      <c r="G1865" s="3">
        <v>5284.25</v>
      </c>
      <c r="H1865">
        <v>5372</v>
      </c>
      <c r="I1865">
        <v>5361.5</v>
      </c>
      <c r="J1865">
        <v>1200</v>
      </c>
      <c r="K1865">
        <v>6386967.5</v>
      </c>
      <c r="L1865" s="1">
        <v>45240</v>
      </c>
      <c r="M1865">
        <v>34</v>
      </c>
      <c r="N1865" t="s">
        <v>6125</v>
      </c>
      <c r="O1865" s="5">
        <v>45240</v>
      </c>
      <c r="P1865" s="5">
        <v>43777</v>
      </c>
    </row>
    <row r="1866" spans="1:16" x14ac:dyDescent="0.25">
      <c r="A1866" t="s">
        <v>4198</v>
      </c>
      <c r="B1866" t="str">
        <v>Shree Renuka Sugars Limited</v>
      </c>
      <c r="C1866" t="s">
        <v>14</v>
      </c>
      <c r="D1866">
        <v>49.6</v>
      </c>
      <c r="E1866">
        <v>50.55</v>
      </c>
      <c r="F1866">
        <v>49.2</v>
      </c>
      <c r="G1866" s="3">
        <v>50.3</v>
      </c>
      <c r="H1866">
        <v>50.35</v>
      </c>
      <c r="I1866">
        <v>49.65</v>
      </c>
      <c r="J1866">
        <v>7404867</v>
      </c>
      <c r="K1866">
        <v>370709967.5</v>
      </c>
      <c r="L1866" s="1">
        <v>45240</v>
      </c>
      <c r="M1866">
        <v>14963</v>
      </c>
      <c r="N1866" t="s">
        <v>4200</v>
      </c>
      <c r="O1866" s="5">
        <v>45240</v>
      </c>
      <c r="P1866" s="5">
        <v>43777</v>
      </c>
    </row>
    <row r="1867" spans="1:16" x14ac:dyDescent="0.25">
      <c r="A1867" t="s">
        <v>4201</v>
      </c>
      <c r="B1867" t="str">
        <v>Repco Home Finance Limited</v>
      </c>
      <c r="C1867" t="s">
        <v>14</v>
      </c>
      <c r="D1867">
        <v>438.75</v>
      </c>
      <c r="E1867">
        <v>450.35</v>
      </c>
      <c r="F1867">
        <v>431.3</v>
      </c>
      <c r="G1867" s="3">
        <v>433.8</v>
      </c>
      <c r="H1867">
        <v>431.3</v>
      </c>
      <c r="I1867">
        <v>442.05</v>
      </c>
      <c r="J1867">
        <v>164924</v>
      </c>
      <c r="K1867">
        <v>72262125.25</v>
      </c>
      <c r="L1867" s="1">
        <v>45240</v>
      </c>
      <c r="M1867">
        <v>6369</v>
      </c>
      <c r="N1867" t="s">
        <v>4203</v>
      </c>
      <c r="O1867" s="5">
        <v>45240</v>
      </c>
      <c r="P1867" s="5">
        <v>43777</v>
      </c>
    </row>
    <row r="1868" spans="1:16" x14ac:dyDescent="0.25">
      <c r="A1868" t="s">
        <v>4204</v>
      </c>
      <c r="B1868" t="str">
        <v>Rudrabhishek Enterprises Limited</v>
      </c>
      <c r="C1868" t="s">
        <v>14</v>
      </c>
      <c r="D1868">
        <v>215.1</v>
      </c>
      <c r="E1868">
        <v>218.85</v>
      </c>
      <c r="F1868">
        <v>209.8</v>
      </c>
      <c r="G1868" s="3">
        <v>210.25</v>
      </c>
      <c r="H1868">
        <v>209.8</v>
      </c>
      <c r="I1868">
        <v>214.1</v>
      </c>
      <c r="J1868">
        <v>39640</v>
      </c>
      <c r="K1868">
        <v>8418616.5</v>
      </c>
      <c r="L1868" s="1">
        <v>45240</v>
      </c>
      <c r="M1868">
        <v>1601</v>
      </c>
      <c r="N1868" t="s">
        <v>4206</v>
      </c>
      <c r="O1868" s="5">
        <v>45240</v>
      </c>
      <c r="P1868" s="5">
        <v>43777</v>
      </c>
    </row>
    <row r="1869" spans="1:16" x14ac:dyDescent="0.25">
      <c r="A1869" t="s">
        <v>4207</v>
      </c>
      <c r="B1869" t="str">
        <v>Repro India Limited</v>
      </c>
      <c r="C1869" t="s">
        <v>14</v>
      </c>
      <c r="D1869">
        <v>759.75</v>
      </c>
      <c r="E1869">
        <v>768.95</v>
      </c>
      <c r="F1869">
        <v>744</v>
      </c>
      <c r="G1869" s="3">
        <v>761.55</v>
      </c>
      <c r="H1869">
        <v>765</v>
      </c>
      <c r="I1869">
        <v>752.7</v>
      </c>
      <c r="J1869">
        <v>9781</v>
      </c>
      <c r="K1869">
        <v>7414015.7000000002</v>
      </c>
      <c r="L1869" s="1">
        <v>45240</v>
      </c>
      <c r="M1869">
        <v>516</v>
      </c>
      <c r="N1869" t="s">
        <v>4209</v>
      </c>
      <c r="O1869" s="5">
        <v>45240</v>
      </c>
      <c r="P1869" s="5">
        <v>43777</v>
      </c>
    </row>
    <row r="1870" spans="1:16" x14ac:dyDescent="0.25">
      <c r="A1870" t="s">
        <v>4210</v>
      </c>
      <c r="B1870" t="str">
        <v>Responsive Industries Limited</v>
      </c>
      <c r="C1870" t="s">
        <v>14</v>
      </c>
      <c r="D1870">
        <v>310.5</v>
      </c>
      <c r="E1870">
        <v>341</v>
      </c>
      <c r="F1870">
        <v>310.5</v>
      </c>
      <c r="G1870" s="3">
        <v>339.35</v>
      </c>
      <c r="H1870">
        <v>340</v>
      </c>
      <c r="I1870">
        <v>323.8</v>
      </c>
      <c r="J1870">
        <v>248728</v>
      </c>
      <c r="K1870">
        <v>83243653.099999994</v>
      </c>
      <c r="L1870" s="1">
        <v>45240</v>
      </c>
      <c r="M1870">
        <v>14215</v>
      </c>
      <c r="N1870" t="s">
        <v>4212</v>
      </c>
      <c r="O1870" s="5">
        <v>45240</v>
      </c>
      <c r="P1870" s="5">
        <v>43777</v>
      </c>
    </row>
    <row r="1871" spans="1:16" x14ac:dyDescent="0.25">
      <c r="A1871" t="s">
        <v>6124</v>
      </c>
      <c r="B1871" t="str">
        <v>Not Found</v>
      </c>
      <c r="C1871" t="s">
        <v>5788</v>
      </c>
      <c r="D1871">
        <v>70.2</v>
      </c>
      <c r="E1871">
        <v>70.2</v>
      </c>
      <c r="F1871">
        <v>70.2</v>
      </c>
      <c r="G1871" s="3">
        <v>70.2</v>
      </c>
      <c r="H1871">
        <v>70.2</v>
      </c>
      <c r="I1871">
        <v>66.900000000000006</v>
      </c>
      <c r="J1871">
        <v>10000</v>
      </c>
      <c r="K1871">
        <v>702000</v>
      </c>
      <c r="L1871" s="1">
        <v>45240</v>
      </c>
      <c r="M1871">
        <v>5</v>
      </c>
      <c r="N1871" t="s">
        <v>6123</v>
      </c>
      <c r="O1871" s="5">
        <v>45240</v>
      </c>
      <c r="P1871" s="5">
        <v>43777</v>
      </c>
    </row>
    <row r="1872" spans="1:16" x14ac:dyDescent="0.25">
      <c r="A1872" t="s">
        <v>4213</v>
      </c>
      <c r="B1872" t="str">
        <v>Renaissance Global Limited</v>
      </c>
      <c r="C1872" t="s">
        <v>14</v>
      </c>
      <c r="D1872">
        <v>106</v>
      </c>
      <c r="E1872">
        <v>108</v>
      </c>
      <c r="F1872">
        <v>99</v>
      </c>
      <c r="G1872" s="3">
        <v>102.4</v>
      </c>
      <c r="H1872">
        <v>102.6</v>
      </c>
      <c r="I1872">
        <v>112.2</v>
      </c>
      <c r="J1872">
        <v>804143</v>
      </c>
      <c r="K1872">
        <v>82254128.950000003</v>
      </c>
      <c r="L1872" s="1">
        <v>45240</v>
      </c>
      <c r="M1872">
        <v>9211</v>
      </c>
      <c r="N1872" t="s">
        <v>4215</v>
      </c>
      <c r="O1872" s="5">
        <v>45240</v>
      </c>
      <c r="P1872" s="5">
        <v>43777</v>
      </c>
    </row>
    <row r="1873" spans="1:16" x14ac:dyDescent="0.25">
      <c r="A1873" t="s">
        <v>4216</v>
      </c>
      <c r="B1873" t="str">
        <v>Reliance Home Finance Limited</v>
      </c>
      <c r="C1873" t="s">
        <v>10</v>
      </c>
      <c r="D1873">
        <v>1.95</v>
      </c>
      <c r="E1873">
        <v>2</v>
      </c>
      <c r="F1873">
        <v>1.95</v>
      </c>
      <c r="G1873" s="3">
        <v>2</v>
      </c>
      <c r="H1873">
        <v>2</v>
      </c>
      <c r="I1873">
        <v>2</v>
      </c>
      <c r="J1873">
        <v>399284</v>
      </c>
      <c r="K1873">
        <v>786708.15</v>
      </c>
      <c r="L1873" s="1">
        <v>45240</v>
      </c>
      <c r="M1873">
        <v>384</v>
      </c>
      <c r="N1873" t="s">
        <v>4218</v>
      </c>
      <c r="O1873" s="5">
        <v>45240</v>
      </c>
      <c r="P1873" s="5">
        <v>43777</v>
      </c>
    </row>
    <row r="1874" spans="1:16" x14ac:dyDescent="0.25">
      <c r="A1874" t="s">
        <v>4219</v>
      </c>
      <c r="B1874" t="str">
        <v>RHI MAGNESITA INDIA LIMITED</v>
      </c>
      <c r="C1874" t="s">
        <v>14</v>
      </c>
      <c r="D1874">
        <v>703.4</v>
      </c>
      <c r="E1874">
        <v>703.4</v>
      </c>
      <c r="F1874">
        <v>686.6</v>
      </c>
      <c r="G1874" s="3">
        <v>693.1</v>
      </c>
      <c r="H1874">
        <v>696.95</v>
      </c>
      <c r="I1874">
        <v>699.75</v>
      </c>
      <c r="J1874">
        <v>109015</v>
      </c>
      <c r="K1874">
        <v>75552195</v>
      </c>
      <c r="L1874" s="1">
        <v>45240</v>
      </c>
      <c r="M1874">
        <v>9217</v>
      </c>
      <c r="N1874" t="s">
        <v>4221</v>
      </c>
      <c r="O1874" s="5">
        <v>45240</v>
      </c>
      <c r="P1874" s="5">
        <v>43777</v>
      </c>
    </row>
    <row r="1875" spans="1:16" x14ac:dyDescent="0.25">
      <c r="A1875" t="s">
        <v>4222</v>
      </c>
      <c r="B1875" t="str">
        <v>Robust Hotels Limited</v>
      </c>
      <c r="C1875" t="s">
        <v>14</v>
      </c>
      <c r="D1875">
        <v>98.35</v>
      </c>
      <c r="E1875">
        <v>99.25</v>
      </c>
      <c r="F1875">
        <v>97.05</v>
      </c>
      <c r="G1875" s="3">
        <v>98.3</v>
      </c>
      <c r="H1875">
        <v>99</v>
      </c>
      <c r="I1875">
        <v>96.9</v>
      </c>
      <c r="J1875">
        <v>51884</v>
      </c>
      <c r="K1875">
        <v>5081336.8</v>
      </c>
      <c r="L1875" s="1">
        <v>45240</v>
      </c>
      <c r="M1875">
        <v>437</v>
      </c>
      <c r="N1875" t="s">
        <v>4224</v>
      </c>
      <c r="O1875" s="5">
        <v>45240</v>
      </c>
      <c r="P1875" s="5">
        <v>43777</v>
      </c>
    </row>
    <row r="1876" spans="1:16" x14ac:dyDescent="0.25">
      <c r="A1876" t="s">
        <v>6122</v>
      </c>
      <c r="B1876" t="str">
        <v>Not Found</v>
      </c>
      <c r="C1876" t="s">
        <v>5788</v>
      </c>
      <c r="D1876">
        <v>73.25</v>
      </c>
      <c r="E1876">
        <v>73.25</v>
      </c>
      <c r="F1876">
        <v>67.55</v>
      </c>
      <c r="G1876" s="3">
        <v>73.25</v>
      </c>
      <c r="H1876">
        <v>73.25</v>
      </c>
      <c r="I1876">
        <v>69.8</v>
      </c>
      <c r="J1876">
        <v>25000</v>
      </c>
      <c r="K1876">
        <v>1793750</v>
      </c>
      <c r="L1876" s="1">
        <v>45240</v>
      </c>
      <c r="M1876">
        <v>22</v>
      </c>
      <c r="N1876" t="s">
        <v>6121</v>
      </c>
      <c r="O1876" s="5">
        <v>45240</v>
      </c>
      <c r="P1876" s="5">
        <v>43777</v>
      </c>
    </row>
    <row r="1877" spans="1:16" x14ac:dyDescent="0.25">
      <c r="A1877" t="s">
        <v>4225</v>
      </c>
      <c r="B1877" t="str">
        <v>Rico Auto Industries Limited</v>
      </c>
      <c r="C1877" t="s">
        <v>14</v>
      </c>
      <c r="D1877">
        <v>89.2</v>
      </c>
      <c r="E1877">
        <v>90.85</v>
      </c>
      <c r="F1877">
        <v>87.5</v>
      </c>
      <c r="G1877" s="3">
        <v>87.9</v>
      </c>
      <c r="H1877">
        <v>88</v>
      </c>
      <c r="I1877">
        <v>90.15</v>
      </c>
      <c r="J1877">
        <v>503305</v>
      </c>
      <c r="K1877">
        <v>44705256.200000003</v>
      </c>
      <c r="L1877" s="1">
        <v>45240</v>
      </c>
      <c r="M1877">
        <v>4528</v>
      </c>
      <c r="N1877" t="s">
        <v>4227</v>
      </c>
      <c r="O1877" s="5">
        <v>45240</v>
      </c>
      <c r="P1877" s="5">
        <v>43777</v>
      </c>
    </row>
    <row r="1878" spans="1:16" x14ac:dyDescent="0.25">
      <c r="A1878" t="s">
        <v>4228</v>
      </c>
      <c r="B1878" t="str">
        <v>Reliance Industrial Infrastructure Limited</v>
      </c>
      <c r="C1878" t="s">
        <v>14</v>
      </c>
      <c r="D1878">
        <v>1050</v>
      </c>
      <c r="E1878">
        <v>1057.2</v>
      </c>
      <c r="F1878">
        <v>1033</v>
      </c>
      <c r="G1878" s="3">
        <v>1042.95</v>
      </c>
      <c r="H1878">
        <v>1046</v>
      </c>
      <c r="I1878">
        <v>1050.1500000000001</v>
      </c>
      <c r="J1878">
        <v>164298</v>
      </c>
      <c r="K1878">
        <v>171906465.94999999</v>
      </c>
      <c r="L1878" s="1">
        <v>45240</v>
      </c>
      <c r="M1878">
        <v>7103</v>
      </c>
      <c r="N1878" t="s">
        <v>4230</v>
      </c>
      <c r="O1878" s="5">
        <v>45240</v>
      </c>
      <c r="P1878" s="5">
        <v>43777</v>
      </c>
    </row>
    <row r="1879" spans="1:16" x14ac:dyDescent="0.25">
      <c r="A1879" t="s">
        <v>6120</v>
      </c>
      <c r="B1879" t="str">
        <v>Not Found</v>
      </c>
      <c r="C1879" t="s">
        <v>5788</v>
      </c>
      <c r="D1879">
        <v>94.05</v>
      </c>
      <c r="E1879">
        <v>98</v>
      </c>
      <c r="F1879">
        <v>94</v>
      </c>
      <c r="G1879" s="3">
        <v>94.7</v>
      </c>
      <c r="H1879">
        <v>95</v>
      </c>
      <c r="I1879">
        <v>95.9</v>
      </c>
      <c r="J1879">
        <v>7000</v>
      </c>
      <c r="K1879">
        <v>664830</v>
      </c>
      <c r="L1879" s="1">
        <v>45240</v>
      </c>
      <c r="M1879">
        <v>38</v>
      </c>
      <c r="N1879" t="s">
        <v>6119</v>
      </c>
      <c r="O1879" s="5">
        <v>45240</v>
      </c>
      <c r="P1879" s="5">
        <v>43777</v>
      </c>
    </row>
    <row r="1880" spans="1:16" x14ac:dyDescent="0.25">
      <c r="A1880" t="s">
        <v>4231</v>
      </c>
      <c r="B1880" t="str">
        <v>Rishabh Instruments Limited</v>
      </c>
      <c r="C1880" t="s">
        <v>14</v>
      </c>
      <c r="D1880">
        <v>485</v>
      </c>
      <c r="E1880">
        <v>488.7</v>
      </c>
      <c r="F1880">
        <v>476.8</v>
      </c>
      <c r="G1880" s="3">
        <v>483.35</v>
      </c>
      <c r="H1880">
        <v>483.35</v>
      </c>
      <c r="I1880">
        <v>481.7</v>
      </c>
      <c r="J1880">
        <v>36047</v>
      </c>
      <c r="K1880">
        <v>17410772.350000001</v>
      </c>
      <c r="L1880" s="1">
        <v>45240</v>
      </c>
      <c r="M1880">
        <v>2682</v>
      </c>
      <c r="N1880" t="s">
        <v>4233</v>
      </c>
      <c r="O1880" s="5">
        <v>45240</v>
      </c>
      <c r="P1880" s="5">
        <v>43777</v>
      </c>
    </row>
    <row r="1881" spans="1:16" x14ac:dyDescent="0.25">
      <c r="A1881" t="s">
        <v>4234</v>
      </c>
      <c r="B1881" t="str">
        <v>Ritco Logistics Limited</v>
      </c>
      <c r="C1881" t="s">
        <v>14</v>
      </c>
      <c r="D1881">
        <v>241.95</v>
      </c>
      <c r="E1881">
        <v>243</v>
      </c>
      <c r="F1881">
        <v>235</v>
      </c>
      <c r="G1881" s="3">
        <v>237.75</v>
      </c>
      <c r="H1881">
        <v>238.45</v>
      </c>
      <c r="I1881">
        <v>238.5</v>
      </c>
      <c r="J1881">
        <v>40732</v>
      </c>
      <c r="K1881">
        <v>9685385.5500000007</v>
      </c>
      <c r="L1881" s="1">
        <v>45240</v>
      </c>
      <c r="M1881">
        <v>721</v>
      </c>
      <c r="N1881" t="s">
        <v>4236</v>
      </c>
      <c r="O1881" s="5">
        <v>45240</v>
      </c>
      <c r="P1881" s="5">
        <v>43777</v>
      </c>
    </row>
    <row r="1882" spans="1:16" x14ac:dyDescent="0.25">
      <c r="A1882" t="s">
        <v>4237</v>
      </c>
      <c r="B1882" t="str">
        <v>RITES Limited</v>
      </c>
      <c r="C1882" t="s">
        <v>14</v>
      </c>
      <c r="D1882">
        <v>440</v>
      </c>
      <c r="E1882">
        <v>440.25</v>
      </c>
      <c r="F1882">
        <v>435.5</v>
      </c>
      <c r="G1882" s="3">
        <v>438.75</v>
      </c>
      <c r="H1882">
        <v>439.5</v>
      </c>
      <c r="I1882">
        <v>439.4</v>
      </c>
      <c r="J1882">
        <v>414742</v>
      </c>
      <c r="K1882">
        <v>181570446.69999999</v>
      </c>
      <c r="L1882" s="1">
        <v>45240</v>
      </c>
      <c r="M1882">
        <v>9618</v>
      </c>
      <c r="N1882" t="s">
        <v>4239</v>
      </c>
      <c r="O1882" s="5">
        <v>45240</v>
      </c>
      <c r="P1882" s="5">
        <v>43777</v>
      </c>
    </row>
    <row r="1883" spans="1:16" x14ac:dyDescent="0.25">
      <c r="A1883" t="s">
        <v>4240</v>
      </c>
      <c r="B1883" t="str">
        <v>Ravi Kumar Distilleries Limited</v>
      </c>
      <c r="C1883" t="s">
        <v>10</v>
      </c>
      <c r="D1883">
        <v>19.2</v>
      </c>
      <c r="E1883">
        <v>19.2</v>
      </c>
      <c r="F1883">
        <v>19.05</v>
      </c>
      <c r="G1883" s="3">
        <v>19.05</v>
      </c>
      <c r="H1883">
        <v>19.05</v>
      </c>
      <c r="I1883">
        <v>19.2</v>
      </c>
      <c r="J1883">
        <v>3496</v>
      </c>
      <c r="K1883">
        <v>66804.7</v>
      </c>
      <c r="L1883" s="1">
        <v>45240</v>
      </c>
      <c r="M1883">
        <v>34</v>
      </c>
      <c r="N1883" t="s">
        <v>4242</v>
      </c>
      <c r="O1883" s="5">
        <v>45240</v>
      </c>
      <c r="P1883" s="5">
        <v>43777</v>
      </c>
    </row>
    <row r="1884" spans="1:16" x14ac:dyDescent="0.25">
      <c r="A1884" t="s">
        <v>4243</v>
      </c>
      <c r="B1884" t="str">
        <v>RKEC Projects Limited</v>
      </c>
      <c r="C1884" t="s">
        <v>14</v>
      </c>
      <c r="D1884">
        <v>76.8</v>
      </c>
      <c r="E1884">
        <v>77.3</v>
      </c>
      <c r="F1884">
        <v>74.7</v>
      </c>
      <c r="G1884" s="3">
        <v>75.3</v>
      </c>
      <c r="H1884">
        <v>75.099999999999994</v>
      </c>
      <c r="I1884">
        <v>76.8</v>
      </c>
      <c r="J1884">
        <v>126184</v>
      </c>
      <c r="K1884">
        <v>9611917.75</v>
      </c>
      <c r="L1884" s="1">
        <v>45240</v>
      </c>
      <c r="M1884">
        <v>2710</v>
      </c>
      <c r="N1884" t="s">
        <v>4245</v>
      </c>
      <c r="O1884" s="5">
        <v>45240</v>
      </c>
      <c r="P1884" s="5">
        <v>43777</v>
      </c>
    </row>
    <row r="1885" spans="1:16" x14ac:dyDescent="0.25">
      <c r="A1885" t="s">
        <v>4246</v>
      </c>
      <c r="B1885" t="str">
        <v>Ramkrishna Forgings Limited</v>
      </c>
      <c r="C1885" t="s">
        <v>14</v>
      </c>
      <c r="D1885">
        <v>693.6</v>
      </c>
      <c r="E1885">
        <v>713.9</v>
      </c>
      <c r="F1885">
        <v>685</v>
      </c>
      <c r="G1885" s="3">
        <v>703.95</v>
      </c>
      <c r="H1885">
        <v>700</v>
      </c>
      <c r="I1885">
        <v>687.75</v>
      </c>
      <c r="J1885">
        <v>809039</v>
      </c>
      <c r="K1885">
        <v>567109023.45000005</v>
      </c>
      <c r="L1885" s="1">
        <v>45240</v>
      </c>
      <c r="M1885">
        <v>22227</v>
      </c>
      <c r="N1885" t="s">
        <v>4248</v>
      </c>
      <c r="O1885" s="5">
        <v>45240</v>
      </c>
      <c r="P1885" s="5">
        <v>43777</v>
      </c>
    </row>
    <row r="1886" spans="1:16" x14ac:dyDescent="0.25">
      <c r="A1886" t="s">
        <v>4249</v>
      </c>
      <c r="B1886" t="str">
        <v>Radha Madhav Corporation Limited</v>
      </c>
      <c r="C1886" t="s">
        <v>786</v>
      </c>
      <c r="D1886">
        <v>1.75</v>
      </c>
      <c r="E1886">
        <v>1.8</v>
      </c>
      <c r="F1886">
        <v>1.75</v>
      </c>
      <c r="G1886" s="3">
        <v>1.8</v>
      </c>
      <c r="H1886">
        <v>1.8</v>
      </c>
      <c r="I1886">
        <v>1.75</v>
      </c>
      <c r="J1886">
        <v>85807</v>
      </c>
      <c r="K1886">
        <v>153599.29999999999</v>
      </c>
      <c r="L1886" s="1">
        <v>45240</v>
      </c>
      <c r="M1886">
        <v>26</v>
      </c>
      <c r="N1886" t="s">
        <v>4251</v>
      </c>
      <c r="O1886" s="5">
        <v>45240</v>
      </c>
      <c r="P1886" s="5">
        <v>43777</v>
      </c>
    </row>
    <row r="1887" spans="1:16" x14ac:dyDescent="0.25">
      <c r="A1887" t="s">
        <v>6118</v>
      </c>
      <c r="B1887" t="str">
        <v>Not Found</v>
      </c>
      <c r="C1887" t="s">
        <v>5788</v>
      </c>
      <c r="D1887">
        <v>79</v>
      </c>
      <c r="E1887">
        <v>82.3</v>
      </c>
      <c r="F1887">
        <v>75</v>
      </c>
      <c r="G1887" s="3">
        <v>82.3</v>
      </c>
      <c r="H1887">
        <v>82.3</v>
      </c>
      <c r="I1887">
        <v>78.400000000000006</v>
      </c>
      <c r="J1887">
        <v>30000</v>
      </c>
      <c r="K1887">
        <v>2389600</v>
      </c>
      <c r="L1887" s="1">
        <v>45240</v>
      </c>
      <c r="M1887">
        <v>15</v>
      </c>
      <c r="N1887" t="s">
        <v>6117</v>
      </c>
      <c r="O1887" s="5">
        <v>45240</v>
      </c>
      <c r="P1887" s="5">
        <v>43777</v>
      </c>
    </row>
    <row r="1888" spans="1:16" x14ac:dyDescent="0.25">
      <c r="A1888" t="s">
        <v>4252</v>
      </c>
      <c r="B1888" t="str">
        <v>Rane (Madras) Limited</v>
      </c>
      <c r="C1888" t="s">
        <v>14</v>
      </c>
      <c r="D1888">
        <v>795.1</v>
      </c>
      <c r="E1888">
        <v>809</v>
      </c>
      <c r="F1888">
        <v>786.05</v>
      </c>
      <c r="G1888" s="3">
        <v>792.2</v>
      </c>
      <c r="H1888">
        <v>787.65</v>
      </c>
      <c r="I1888">
        <v>794.65</v>
      </c>
      <c r="J1888">
        <v>6354</v>
      </c>
      <c r="K1888">
        <v>5065110.6500000004</v>
      </c>
      <c r="L1888" s="1">
        <v>45240</v>
      </c>
      <c r="M1888">
        <v>1154</v>
      </c>
      <c r="N1888" t="s">
        <v>4254</v>
      </c>
      <c r="O1888" s="5">
        <v>45240</v>
      </c>
      <c r="P1888" s="5">
        <v>43777</v>
      </c>
    </row>
    <row r="1889" spans="1:16" x14ac:dyDescent="0.25">
      <c r="A1889" t="s">
        <v>4255</v>
      </c>
      <c r="B1889" t="str">
        <v>Royal Orchid Hotels Limited</v>
      </c>
      <c r="C1889" t="s">
        <v>14</v>
      </c>
      <c r="D1889">
        <v>284.3</v>
      </c>
      <c r="E1889">
        <v>289.2</v>
      </c>
      <c r="F1889">
        <v>283</v>
      </c>
      <c r="G1889" s="3">
        <v>284.89999999999998</v>
      </c>
      <c r="H1889">
        <v>285</v>
      </c>
      <c r="I1889">
        <v>286.8</v>
      </c>
      <c r="J1889">
        <v>66006</v>
      </c>
      <c r="K1889">
        <v>18852084.399999999</v>
      </c>
      <c r="L1889" s="1">
        <v>45240</v>
      </c>
      <c r="M1889">
        <v>2389</v>
      </c>
      <c r="N1889" t="s">
        <v>4257</v>
      </c>
      <c r="O1889" s="5">
        <v>45240</v>
      </c>
      <c r="P1889" s="5">
        <v>43777</v>
      </c>
    </row>
    <row r="1890" spans="1:16" x14ac:dyDescent="0.25">
      <c r="A1890" t="s">
        <v>4258</v>
      </c>
      <c r="B1890" t="str">
        <v>Rolex Rings Limited</v>
      </c>
      <c r="C1890" t="s">
        <v>14</v>
      </c>
      <c r="D1890">
        <v>2246</v>
      </c>
      <c r="E1890">
        <v>2309.5500000000002</v>
      </c>
      <c r="F1890">
        <v>2231.1</v>
      </c>
      <c r="G1890" s="3">
        <v>2289.4499999999998</v>
      </c>
      <c r="H1890">
        <v>2302.1</v>
      </c>
      <c r="I1890">
        <v>2243.9</v>
      </c>
      <c r="J1890">
        <v>11910</v>
      </c>
      <c r="K1890">
        <v>27029212.050000001</v>
      </c>
      <c r="L1890" s="1">
        <v>45240</v>
      </c>
      <c r="M1890">
        <v>2615</v>
      </c>
      <c r="N1890" t="s">
        <v>4260</v>
      </c>
      <c r="O1890" s="5">
        <v>45240</v>
      </c>
      <c r="P1890" s="5">
        <v>43777</v>
      </c>
    </row>
    <row r="1891" spans="1:16" x14ac:dyDescent="0.25">
      <c r="A1891" t="s">
        <v>4261</v>
      </c>
      <c r="B1891" t="str">
        <v>Rollatainers Limited</v>
      </c>
      <c r="C1891" t="s">
        <v>10</v>
      </c>
      <c r="D1891">
        <v>1.05</v>
      </c>
      <c r="E1891">
        <v>1.05</v>
      </c>
      <c r="F1891">
        <v>1</v>
      </c>
      <c r="G1891" s="3">
        <v>1.05</v>
      </c>
      <c r="H1891">
        <v>1.05</v>
      </c>
      <c r="I1891">
        <v>1.05</v>
      </c>
      <c r="J1891">
        <v>30394</v>
      </c>
      <c r="K1891">
        <v>31663.7</v>
      </c>
      <c r="L1891" s="1">
        <v>45240</v>
      </c>
      <c r="M1891">
        <v>50</v>
      </c>
      <c r="N1891" t="s">
        <v>4263</v>
      </c>
      <c r="O1891" s="5">
        <v>45240</v>
      </c>
      <c r="P1891" s="5">
        <v>43777</v>
      </c>
    </row>
    <row r="1892" spans="1:16" x14ac:dyDescent="0.25">
      <c r="A1892" t="s">
        <v>4264</v>
      </c>
      <c r="B1892" t="str">
        <v>Raj Oil Mills Limited</v>
      </c>
      <c r="C1892" t="s">
        <v>14</v>
      </c>
      <c r="D1892">
        <v>46.25</v>
      </c>
      <c r="E1892">
        <v>47.9</v>
      </c>
      <c r="F1892">
        <v>46.25</v>
      </c>
      <c r="G1892" s="3">
        <v>46.85</v>
      </c>
      <c r="H1892">
        <v>46.4</v>
      </c>
      <c r="I1892">
        <v>47</v>
      </c>
      <c r="J1892">
        <v>8632</v>
      </c>
      <c r="K1892">
        <v>404286.7</v>
      </c>
      <c r="L1892" s="1">
        <v>45240</v>
      </c>
      <c r="M1892">
        <v>349</v>
      </c>
      <c r="N1892" t="s">
        <v>4266</v>
      </c>
      <c r="O1892" s="5">
        <v>45240</v>
      </c>
      <c r="P1892" s="5">
        <v>43777</v>
      </c>
    </row>
    <row r="1893" spans="1:16" x14ac:dyDescent="0.25">
      <c r="A1893" t="s">
        <v>4267</v>
      </c>
      <c r="B1893" t="str">
        <v>Rossari Biotech Limited</v>
      </c>
      <c r="C1893" t="s">
        <v>14</v>
      </c>
      <c r="D1893">
        <v>715.65</v>
      </c>
      <c r="E1893">
        <v>721.3</v>
      </c>
      <c r="F1893">
        <v>711.65</v>
      </c>
      <c r="G1893" s="3">
        <v>715.85</v>
      </c>
      <c r="H1893">
        <v>715</v>
      </c>
      <c r="I1893">
        <v>715.9</v>
      </c>
      <c r="J1893">
        <v>35886</v>
      </c>
      <c r="K1893">
        <v>25664478.25</v>
      </c>
      <c r="L1893" s="1">
        <v>45240</v>
      </c>
      <c r="M1893">
        <v>4248</v>
      </c>
      <c r="N1893" t="s">
        <v>4269</v>
      </c>
      <c r="O1893" s="5">
        <v>45240</v>
      </c>
      <c r="P1893" s="5">
        <v>43777</v>
      </c>
    </row>
    <row r="1894" spans="1:16" x14ac:dyDescent="0.25">
      <c r="A1894" t="s">
        <v>4270</v>
      </c>
      <c r="B1894" t="str">
        <v>Rossell India Limited</v>
      </c>
      <c r="C1894" t="s">
        <v>14</v>
      </c>
      <c r="D1894">
        <v>456.35</v>
      </c>
      <c r="E1894">
        <v>456.5</v>
      </c>
      <c r="F1894">
        <v>448</v>
      </c>
      <c r="G1894" s="3">
        <v>452.4</v>
      </c>
      <c r="H1894">
        <v>450.3</v>
      </c>
      <c r="I1894">
        <v>456.55</v>
      </c>
      <c r="J1894">
        <v>18246</v>
      </c>
      <c r="K1894">
        <v>8236418.9500000002</v>
      </c>
      <c r="L1894" s="1">
        <v>45240</v>
      </c>
      <c r="M1894">
        <v>2117</v>
      </c>
      <c r="N1894" t="s">
        <v>4272</v>
      </c>
      <c r="O1894" s="5">
        <v>45240</v>
      </c>
      <c r="P1894" s="5">
        <v>43777</v>
      </c>
    </row>
    <row r="1895" spans="1:16" x14ac:dyDescent="0.25">
      <c r="A1895" t="s">
        <v>4273</v>
      </c>
      <c r="B1895" t="str">
        <v>Roto Pumps Limited</v>
      </c>
      <c r="C1895" t="s">
        <v>14</v>
      </c>
      <c r="D1895">
        <v>386</v>
      </c>
      <c r="E1895">
        <v>388.5</v>
      </c>
      <c r="F1895">
        <v>379.95</v>
      </c>
      <c r="G1895" s="3">
        <v>382.05</v>
      </c>
      <c r="H1895">
        <v>382.5</v>
      </c>
      <c r="I1895">
        <v>384.9</v>
      </c>
      <c r="J1895">
        <v>57528</v>
      </c>
      <c r="K1895">
        <v>22028232.600000001</v>
      </c>
      <c r="L1895" s="1">
        <v>45240</v>
      </c>
      <c r="M1895">
        <v>2262</v>
      </c>
      <c r="N1895" t="s">
        <v>4275</v>
      </c>
      <c r="O1895" s="5">
        <v>45240</v>
      </c>
      <c r="P1895" s="5">
        <v>43777</v>
      </c>
    </row>
    <row r="1896" spans="1:16" x14ac:dyDescent="0.25">
      <c r="A1896" t="s">
        <v>4276</v>
      </c>
      <c r="B1896" t="str">
        <v>ROUTE MOBILE LIMITED</v>
      </c>
      <c r="C1896" t="s">
        <v>14</v>
      </c>
      <c r="D1896">
        <v>1550</v>
      </c>
      <c r="E1896">
        <v>1559.75</v>
      </c>
      <c r="F1896">
        <v>1549</v>
      </c>
      <c r="G1896" s="3">
        <v>1555.1</v>
      </c>
      <c r="H1896">
        <v>1554.75</v>
      </c>
      <c r="I1896">
        <v>1555</v>
      </c>
      <c r="J1896">
        <v>34072</v>
      </c>
      <c r="K1896">
        <v>52951315.5</v>
      </c>
      <c r="L1896" s="1">
        <v>45240</v>
      </c>
      <c r="M1896">
        <v>2196</v>
      </c>
      <c r="N1896" t="s">
        <v>4278</v>
      </c>
      <c r="O1896" s="5">
        <v>45240</v>
      </c>
      <c r="P1896" s="5">
        <v>43777</v>
      </c>
    </row>
    <row r="1897" spans="1:16" x14ac:dyDescent="0.25">
      <c r="A1897" t="s">
        <v>4279</v>
      </c>
      <c r="B1897" t="str">
        <v>RPG Life Sciences Limited</v>
      </c>
      <c r="C1897" t="s">
        <v>14</v>
      </c>
      <c r="D1897">
        <v>1441.1</v>
      </c>
      <c r="E1897">
        <v>1467.95</v>
      </c>
      <c r="F1897">
        <v>1425.05</v>
      </c>
      <c r="G1897" s="3">
        <v>1458.35</v>
      </c>
      <c r="H1897">
        <v>1460.05</v>
      </c>
      <c r="I1897">
        <v>1431.45</v>
      </c>
      <c r="J1897">
        <v>9097</v>
      </c>
      <c r="K1897">
        <v>13263839.4</v>
      </c>
      <c r="L1897" s="1">
        <v>45240</v>
      </c>
      <c r="M1897">
        <v>1975</v>
      </c>
      <c r="N1897" t="s">
        <v>4281</v>
      </c>
      <c r="O1897" s="5">
        <v>45240</v>
      </c>
      <c r="P1897" s="5">
        <v>43777</v>
      </c>
    </row>
    <row r="1898" spans="1:16" x14ac:dyDescent="0.25">
      <c r="A1898" t="s">
        <v>4282</v>
      </c>
      <c r="B1898" t="str">
        <v>Reliance Power Limited</v>
      </c>
      <c r="C1898" t="s">
        <v>14</v>
      </c>
      <c r="D1898">
        <v>21.25</v>
      </c>
      <c r="E1898">
        <v>21.65</v>
      </c>
      <c r="F1898">
        <v>20.25</v>
      </c>
      <c r="G1898" s="3">
        <v>20.5</v>
      </c>
      <c r="H1898">
        <v>20.55</v>
      </c>
      <c r="I1898">
        <v>21.2</v>
      </c>
      <c r="J1898">
        <v>149791559</v>
      </c>
      <c r="K1898">
        <v>3134134508.8499999</v>
      </c>
      <c r="L1898" s="1">
        <v>45240</v>
      </c>
      <c r="M1898">
        <v>109220</v>
      </c>
      <c r="N1898" t="s">
        <v>4284</v>
      </c>
      <c r="O1898" s="5">
        <v>45240</v>
      </c>
      <c r="P1898" s="5">
        <v>43777</v>
      </c>
    </row>
    <row r="1899" spans="1:16" x14ac:dyDescent="0.25">
      <c r="A1899" t="s">
        <v>4285</v>
      </c>
      <c r="B1899" t="str">
        <v>R.P.P. Infra Projects Limited</v>
      </c>
      <c r="C1899" t="s">
        <v>10</v>
      </c>
      <c r="D1899">
        <v>85.7</v>
      </c>
      <c r="E1899">
        <v>85.7</v>
      </c>
      <c r="F1899">
        <v>85.7</v>
      </c>
      <c r="G1899" s="3">
        <v>85.7</v>
      </c>
      <c r="H1899">
        <v>85.7</v>
      </c>
      <c r="I1899">
        <v>81.650000000000006</v>
      </c>
      <c r="J1899">
        <v>60203</v>
      </c>
      <c r="K1899">
        <v>5159397.0999999996</v>
      </c>
      <c r="L1899" s="1">
        <v>45240</v>
      </c>
      <c r="M1899">
        <v>308</v>
      </c>
      <c r="N1899" t="s">
        <v>4287</v>
      </c>
      <c r="O1899" s="5">
        <v>45240</v>
      </c>
      <c r="P1899" s="5">
        <v>43777</v>
      </c>
    </row>
    <row r="1900" spans="1:16" x14ac:dyDescent="0.25">
      <c r="A1900" t="s">
        <v>4288</v>
      </c>
      <c r="B1900" t="str">
        <v>Rajshree Polypack Limited</v>
      </c>
      <c r="C1900" t="s">
        <v>14</v>
      </c>
      <c r="D1900">
        <v>206</v>
      </c>
      <c r="E1900">
        <v>211.75</v>
      </c>
      <c r="F1900">
        <v>202.2</v>
      </c>
      <c r="G1900" s="3">
        <v>206</v>
      </c>
      <c r="H1900">
        <v>205</v>
      </c>
      <c r="I1900">
        <v>207.9</v>
      </c>
      <c r="J1900">
        <v>26659</v>
      </c>
      <c r="K1900">
        <v>5533068.7000000002</v>
      </c>
      <c r="L1900" s="1">
        <v>45240</v>
      </c>
      <c r="M1900">
        <v>357</v>
      </c>
      <c r="N1900" t="s">
        <v>4290</v>
      </c>
      <c r="O1900" s="5">
        <v>45240</v>
      </c>
      <c r="P1900" s="5">
        <v>43777</v>
      </c>
    </row>
    <row r="1901" spans="1:16" x14ac:dyDescent="0.25">
      <c r="A1901" t="s">
        <v>4291</v>
      </c>
      <c r="B1901" t="str">
        <v>RPSG VENTURES LIMITED</v>
      </c>
      <c r="C1901" t="s">
        <v>14</v>
      </c>
      <c r="D1901">
        <v>570</v>
      </c>
      <c r="E1901">
        <v>578.79999999999995</v>
      </c>
      <c r="F1901">
        <v>525.70000000000005</v>
      </c>
      <c r="G1901" s="3">
        <v>539.85</v>
      </c>
      <c r="H1901">
        <v>539</v>
      </c>
      <c r="I1901">
        <v>565.04999999999995</v>
      </c>
      <c r="J1901">
        <v>240976</v>
      </c>
      <c r="K1901">
        <v>131547419.90000001</v>
      </c>
      <c r="L1901" s="1">
        <v>45240</v>
      </c>
      <c r="M1901">
        <v>14657</v>
      </c>
      <c r="N1901" t="s">
        <v>4293</v>
      </c>
      <c r="O1901" s="5">
        <v>45240</v>
      </c>
      <c r="P1901" s="5">
        <v>43777</v>
      </c>
    </row>
    <row r="1902" spans="1:16" x14ac:dyDescent="0.25">
      <c r="A1902" t="s">
        <v>4294</v>
      </c>
      <c r="B1902" t="str">
        <v>R R Kabel Limited</v>
      </c>
      <c r="C1902" t="s">
        <v>14</v>
      </c>
      <c r="D1902">
        <v>1618</v>
      </c>
      <c r="E1902">
        <v>1660</v>
      </c>
      <c r="F1902">
        <v>1607</v>
      </c>
      <c r="G1902" s="3">
        <v>1615.85</v>
      </c>
      <c r="H1902">
        <v>1612.7</v>
      </c>
      <c r="I1902">
        <v>1616.6</v>
      </c>
      <c r="J1902">
        <v>530222</v>
      </c>
      <c r="K1902">
        <v>862294018.10000002</v>
      </c>
      <c r="L1902" s="1">
        <v>45240</v>
      </c>
      <c r="M1902">
        <v>25550</v>
      </c>
      <c r="N1902" t="s">
        <v>4296</v>
      </c>
      <c r="O1902" s="5">
        <v>45240</v>
      </c>
      <c r="P1902" s="5">
        <v>43777</v>
      </c>
    </row>
    <row r="1903" spans="1:16" x14ac:dyDescent="0.25">
      <c r="A1903" t="s">
        <v>4297</v>
      </c>
      <c r="B1903" t="str">
        <v>R. S. Software (India) Limited</v>
      </c>
      <c r="C1903" t="s">
        <v>10</v>
      </c>
      <c r="D1903">
        <v>60.3</v>
      </c>
      <c r="E1903">
        <v>60.35</v>
      </c>
      <c r="F1903">
        <v>60</v>
      </c>
      <c r="G1903" s="3">
        <v>60.35</v>
      </c>
      <c r="H1903">
        <v>60.35</v>
      </c>
      <c r="I1903">
        <v>59.2</v>
      </c>
      <c r="J1903">
        <v>42836</v>
      </c>
      <c r="K1903">
        <v>2584281.35</v>
      </c>
      <c r="L1903" s="1">
        <v>45240</v>
      </c>
      <c r="M1903">
        <v>90</v>
      </c>
      <c r="N1903" t="s">
        <v>4299</v>
      </c>
      <c r="O1903" s="5">
        <v>45240</v>
      </c>
      <c r="P1903" s="5">
        <v>43777</v>
      </c>
    </row>
    <row r="1904" spans="1:16" x14ac:dyDescent="0.25">
      <c r="A1904" t="s">
        <v>4300</v>
      </c>
      <c r="B1904" t="str">
        <v>RSWM Limited</v>
      </c>
      <c r="C1904" t="s">
        <v>14</v>
      </c>
      <c r="D1904">
        <v>175.75</v>
      </c>
      <c r="E1904">
        <v>177.95</v>
      </c>
      <c r="F1904">
        <v>175.05</v>
      </c>
      <c r="G1904" s="3">
        <v>176.35</v>
      </c>
      <c r="H1904">
        <v>176.55</v>
      </c>
      <c r="I1904">
        <v>177</v>
      </c>
      <c r="J1904">
        <v>37992</v>
      </c>
      <c r="K1904">
        <v>6698921.3499999996</v>
      </c>
      <c r="L1904" s="1">
        <v>45240</v>
      </c>
      <c r="M1904">
        <v>960</v>
      </c>
      <c r="N1904" t="s">
        <v>4302</v>
      </c>
      <c r="O1904" s="5">
        <v>45240</v>
      </c>
      <c r="P1904" s="5">
        <v>43777</v>
      </c>
    </row>
    <row r="1905" spans="1:16" x14ac:dyDescent="0.25">
      <c r="A1905" t="s">
        <v>4303</v>
      </c>
      <c r="B1905" t="str">
        <v>R Systems International Limited</v>
      </c>
      <c r="C1905" t="s">
        <v>14</v>
      </c>
      <c r="D1905">
        <v>487</v>
      </c>
      <c r="E1905">
        <v>497.5</v>
      </c>
      <c r="F1905">
        <v>485</v>
      </c>
      <c r="G1905" s="3">
        <v>487.4</v>
      </c>
      <c r="H1905">
        <v>487.7</v>
      </c>
      <c r="I1905">
        <v>487.6</v>
      </c>
      <c r="J1905">
        <v>42895</v>
      </c>
      <c r="K1905">
        <v>20988594.300000001</v>
      </c>
      <c r="L1905" s="1">
        <v>45240</v>
      </c>
      <c r="M1905">
        <v>4064</v>
      </c>
      <c r="N1905" t="s">
        <v>4305</v>
      </c>
      <c r="O1905" s="5">
        <v>45240</v>
      </c>
      <c r="P1905" s="5">
        <v>43777</v>
      </c>
    </row>
    <row r="1906" spans="1:16" x14ac:dyDescent="0.25">
      <c r="A1906" t="s">
        <v>4306</v>
      </c>
      <c r="B1906" t="str">
        <v>RattanIndia Enterprises Limited</v>
      </c>
      <c r="C1906" t="s">
        <v>14</v>
      </c>
      <c r="D1906">
        <v>63.2</v>
      </c>
      <c r="E1906">
        <v>63.2</v>
      </c>
      <c r="F1906">
        <v>60.3</v>
      </c>
      <c r="G1906" s="3">
        <v>61.05</v>
      </c>
      <c r="H1906">
        <v>60.95</v>
      </c>
      <c r="I1906">
        <v>62.7</v>
      </c>
      <c r="J1906">
        <v>5857081</v>
      </c>
      <c r="K1906">
        <v>359810370.5</v>
      </c>
      <c r="L1906" s="1">
        <v>45240</v>
      </c>
      <c r="M1906">
        <v>21411</v>
      </c>
      <c r="N1906" t="s">
        <v>4308</v>
      </c>
      <c r="O1906" s="5">
        <v>45240</v>
      </c>
      <c r="P1906" s="5">
        <v>43777</v>
      </c>
    </row>
    <row r="1907" spans="1:16" x14ac:dyDescent="0.25">
      <c r="A1907" t="s">
        <v>4309</v>
      </c>
      <c r="B1907" t="str">
        <v>RattanIndia Power Limited</v>
      </c>
      <c r="C1907" t="s">
        <v>14</v>
      </c>
      <c r="D1907">
        <v>8.0500000000000007</v>
      </c>
      <c r="E1907">
        <v>8.5</v>
      </c>
      <c r="F1907">
        <v>7.9</v>
      </c>
      <c r="G1907" s="3">
        <v>8.5</v>
      </c>
      <c r="H1907">
        <v>8.5</v>
      </c>
      <c r="I1907">
        <v>8.1</v>
      </c>
      <c r="J1907">
        <v>221104980</v>
      </c>
      <c r="K1907">
        <v>1858934554.5999999</v>
      </c>
      <c r="L1907" s="1">
        <v>45240</v>
      </c>
      <c r="M1907">
        <v>47483</v>
      </c>
      <c r="N1907" t="s">
        <v>4311</v>
      </c>
      <c r="O1907" s="5">
        <v>45240</v>
      </c>
      <c r="P1907" s="5">
        <v>43777</v>
      </c>
    </row>
    <row r="1908" spans="1:16" x14ac:dyDescent="0.25">
      <c r="A1908" t="s">
        <v>4312</v>
      </c>
      <c r="B1908" t="str">
        <v>The Ruby Mills Limited</v>
      </c>
      <c r="C1908" t="s">
        <v>14</v>
      </c>
      <c r="D1908">
        <v>220.85</v>
      </c>
      <c r="E1908">
        <v>220.85</v>
      </c>
      <c r="F1908">
        <v>217</v>
      </c>
      <c r="G1908" s="3">
        <v>218.1</v>
      </c>
      <c r="H1908">
        <v>217.1</v>
      </c>
      <c r="I1908">
        <v>218.95</v>
      </c>
      <c r="J1908">
        <v>5977</v>
      </c>
      <c r="K1908">
        <v>1304833.55</v>
      </c>
      <c r="L1908" s="1">
        <v>45240</v>
      </c>
      <c r="M1908">
        <v>313</v>
      </c>
      <c r="N1908" t="s">
        <v>4314</v>
      </c>
      <c r="O1908" s="5">
        <v>45240</v>
      </c>
      <c r="P1908" s="5">
        <v>43777</v>
      </c>
    </row>
    <row r="1909" spans="1:16" x14ac:dyDescent="0.25">
      <c r="A1909" t="s">
        <v>4315</v>
      </c>
      <c r="B1909" t="str">
        <v>Ruchi Infrastructure Limited</v>
      </c>
      <c r="C1909" t="s">
        <v>10</v>
      </c>
      <c r="D1909">
        <v>12.5</v>
      </c>
      <c r="E1909">
        <v>12.5</v>
      </c>
      <c r="F1909">
        <v>12.5</v>
      </c>
      <c r="G1909" s="3">
        <v>12.5</v>
      </c>
      <c r="H1909">
        <v>12.5</v>
      </c>
      <c r="I1909">
        <v>12.75</v>
      </c>
      <c r="J1909">
        <v>15396</v>
      </c>
      <c r="K1909">
        <v>192450</v>
      </c>
      <c r="L1909" s="1">
        <v>45240</v>
      </c>
      <c r="M1909">
        <v>58</v>
      </c>
      <c r="N1909" t="s">
        <v>4317</v>
      </c>
      <c r="O1909" s="5">
        <v>45240</v>
      </c>
      <c r="P1909" s="5">
        <v>43777</v>
      </c>
    </row>
    <row r="1910" spans="1:16" x14ac:dyDescent="0.25">
      <c r="A1910" t="s">
        <v>4318</v>
      </c>
      <c r="B1910" t="str">
        <v>Ruchira Papers Limited</v>
      </c>
      <c r="C1910" t="s">
        <v>14</v>
      </c>
      <c r="D1910">
        <v>122</v>
      </c>
      <c r="E1910">
        <v>125.75</v>
      </c>
      <c r="F1910">
        <v>121.6</v>
      </c>
      <c r="G1910" s="3">
        <v>124.65</v>
      </c>
      <c r="H1910">
        <v>124.25</v>
      </c>
      <c r="I1910">
        <v>123.3</v>
      </c>
      <c r="J1910">
        <v>97384</v>
      </c>
      <c r="K1910">
        <v>12011036</v>
      </c>
      <c r="L1910" s="1">
        <v>45240</v>
      </c>
      <c r="M1910">
        <v>2841</v>
      </c>
      <c r="N1910" t="s">
        <v>4320</v>
      </c>
      <c r="O1910" s="5">
        <v>45240</v>
      </c>
      <c r="P1910" s="5">
        <v>43777</v>
      </c>
    </row>
    <row r="1911" spans="1:16" x14ac:dyDescent="0.25">
      <c r="A1911" t="s">
        <v>4321</v>
      </c>
      <c r="B1911" t="str">
        <v>Rupa &amp; Company Limited</v>
      </c>
      <c r="C1911" t="s">
        <v>14</v>
      </c>
      <c r="D1911">
        <v>265</v>
      </c>
      <c r="E1911">
        <v>267.35000000000002</v>
      </c>
      <c r="F1911">
        <v>263.05</v>
      </c>
      <c r="G1911" s="3">
        <v>264.25</v>
      </c>
      <c r="H1911">
        <v>264.14999999999998</v>
      </c>
      <c r="I1911">
        <v>266.25</v>
      </c>
      <c r="J1911">
        <v>72191</v>
      </c>
      <c r="K1911">
        <v>19125669.649999999</v>
      </c>
      <c r="L1911" s="1">
        <v>45240</v>
      </c>
      <c r="M1911">
        <v>2715</v>
      </c>
      <c r="N1911" t="s">
        <v>4323</v>
      </c>
      <c r="O1911" s="5">
        <v>45240</v>
      </c>
      <c r="P1911" s="5">
        <v>43777</v>
      </c>
    </row>
    <row r="1912" spans="1:16" x14ac:dyDescent="0.25">
      <c r="A1912" t="s">
        <v>4324</v>
      </c>
      <c r="B1912" t="str">
        <v>Rushil Decor Limited</v>
      </c>
      <c r="C1912" t="s">
        <v>14</v>
      </c>
      <c r="D1912">
        <v>348</v>
      </c>
      <c r="E1912">
        <v>348.8</v>
      </c>
      <c r="F1912">
        <v>335</v>
      </c>
      <c r="G1912" s="3">
        <v>344.5</v>
      </c>
      <c r="H1912">
        <v>345</v>
      </c>
      <c r="I1912">
        <v>347</v>
      </c>
      <c r="J1912">
        <v>95718</v>
      </c>
      <c r="K1912">
        <v>32939378.050000001</v>
      </c>
      <c r="L1912" s="1">
        <v>45240</v>
      </c>
      <c r="M1912">
        <v>3440</v>
      </c>
      <c r="N1912" t="s">
        <v>4326</v>
      </c>
      <c r="O1912" s="5">
        <v>45240</v>
      </c>
      <c r="P1912" s="5">
        <v>43777</v>
      </c>
    </row>
    <row r="1913" spans="1:16" x14ac:dyDescent="0.25">
      <c r="A1913" t="s">
        <v>4327</v>
      </c>
      <c r="B1913" t="str">
        <v>Keystone Realtors Limited</v>
      </c>
      <c r="C1913" t="s">
        <v>14</v>
      </c>
      <c r="D1913">
        <v>557.79999999999995</v>
      </c>
      <c r="E1913">
        <v>561.4</v>
      </c>
      <c r="F1913">
        <v>548</v>
      </c>
      <c r="G1913" s="3">
        <v>549.25</v>
      </c>
      <c r="H1913">
        <v>549</v>
      </c>
      <c r="I1913">
        <v>557.79999999999995</v>
      </c>
      <c r="J1913">
        <v>3568</v>
      </c>
      <c r="K1913">
        <v>1973141.45</v>
      </c>
      <c r="L1913" s="1">
        <v>45240</v>
      </c>
      <c r="M1913">
        <v>467</v>
      </c>
      <c r="N1913" t="s">
        <v>4329</v>
      </c>
      <c r="O1913" s="5">
        <v>45240</v>
      </c>
      <c r="P1913" s="5">
        <v>43777</v>
      </c>
    </row>
    <row r="1914" spans="1:16" x14ac:dyDescent="0.25">
      <c r="A1914" t="s">
        <v>4330</v>
      </c>
      <c r="B1914" t="str">
        <v>Ravinder Heights Limited</v>
      </c>
      <c r="C1914" t="s">
        <v>10</v>
      </c>
      <c r="D1914">
        <v>34.75</v>
      </c>
      <c r="E1914">
        <v>35.9</v>
      </c>
      <c r="F1914">
        <v>33.4</v>
      </c>
      <c r="G1914" s="3">
        <v>35.1</v>
      </c>
      <c r="H1914">
        <v>35.5</v>
      </c>
      <c r="I1914">
        <v>34.75</v>
      </c>
      <c r="J1914">
        <v>27201</v>
      </c>
      <c r="K1914">
        <v>941658.95</v>
      </c>
      <c r="L1914" s="1">
        <v>45240</v>
      </c>
      <c r="M1914">
        <v>81</v>
      </c>
      <c r="N1914" t="s">
        <v>4332</v>
      </c>
      <c r="O1914" s="5">
        <v>45240</v>
      </c>
      <c r="P1914" s="5">
        <v>43777</v>
      </c>
    </row>
    <row r="1915" spans="1:16" x14ac:dyDescent="0.25">
      <c r="A1915" t="s">
        <v>4333</v>
      </c>
      <c r="B1915" t="str">
        <v>Rail Vikas Nigam Limited</v>
      </c>
      <c r="C1915" t="s">
        <v>14</v>
      </c>
      <c r="D1915">
        <v>157.6</v>
      </c>
      <c r="E1915">
        <v>158.94999999999999</v>
      </c>
      <c r="F1915">
        <v>155.30000000000001</v>
      </c>
      <c r="G1915" s="3">
        <v>156.19999999999999</v>
      </c>
      <c r="H1915">
        <v>156.30000000000001</v>
      </c>
      <c r="I1915">
        <v>160.69999999999999</v>
      </c>
      <c r="J1915">
        <v>10860264</v>
      </c>
      <c r="K1915">
        <v>1701953985.75</v>
      </c>
      <c r="L1915" s="1">
        <v>45240</v>
      </c>
      <c r="M1915">
        <v>71684</v>
      </c>
      <c r="N1915" t="s">
        <v>4335</v>
      </c>
      <c r="O1915" s="5">
        <v>45240</v>
      </c>
      <c r="P1915" s="5">
        <v>43777</v>
      </c>
    </row>
    <row r="1916" spans="1:16" x14ac:dyDescent="0.25">
      <c r="A1916" t="s">
        <v>4336</v>
      </c>
      <c r="B1916" t="str">
        <v>S&amp;S Power Switchgears Limited</v>
      </c>
      <c r="C1916" t="s">
        <v>10</v>
      </c>
      <c r="D1916">
        <v>134</v>
      </c>
      <c r="E1916">
        <v>136.1</v>
      </c>
      <c r="F1916">
        <v>134</v>
      </c>
      <c r="G1916" s="3">
        <v>134</v>
      </c>
      <c r="H1916">
        <v>134</v>
      </c>
      <c r="I1916">
        <v>136.1</v>
      </c>
      <c r="J1916">
        <v>380</v>
      </c>
      <c r="K1916">
        <v>51282</v>
      </c>
      <c r="L1916" s="1">
        <v>45240</v>
      </c>
      <c r="M1916">
        <v>12</v>
      </c>
      <c r="N1916" t="s">
        <v>4338</v>
      </c>
      <c r="O1916" s="5">
        <v>45240</v>
      </c>
      <c r="P1916" s="5">
        <v>43777</v>
      </c>
    </row>
    <row r="1917" spans="1:16" x14ac:dyDescent="0.25">
      <c r="A1917" t="s">
        <v>6116</v>
      </c>
      <c r="B1917" t="str">
        <v>Not Found</v>
      </c>
      <c r="C1917" t="s">
        <v>5788</v>
      </c>
      <c r="D1917">
        <v>231</v>
      </c>
      <c r="E1917">
        <v>246</v>
      </c>
      <c r="F1917">
        <v>220.4</v>
      </c>
      <c r="G1917" s="3">
        <v>234.65</v>
      </c>
      <c r="H1917">
        <v>234.25</v>
      </c>
      <c r="I1917">
        <v>245.1</v>
      </c>
      <c r="J1917">
        <v>104400</v>
      </c>
      <c r="K1917">
        <v>24416460</v>
      </c>
      <c r="L1917" s="1">
        <v>45240</v>
      </c>
      <c r="M1917">
        <v>85</v>
      </c>
      <c r="N1917" t="s">
        <v>6115</v>
      </c>
      <c r="O1917" s="5">
        <v>45240</v>
      </c>
      <c r="P1917" s="5">
        <v>43777</v>
      </c>
    </row>
    <row r="1918" spans="1:16" x14ac:dyDescent="0.25">
      <c r="A1918" t="s">
        <v>6114</v>
      </c>
      <c r="B1918" t="str">
        <v>Not Found</v>
      </c>
      <c r="C1918" t="s">
        <v>5788</v>
      </c>
      <c r="D1918">
        <v>24.1</v>
      </c>
      <c r="E1918">
        <v>24.45</v>
      </c>
      <c r="F1918">
        <v>24.1</v>
      </c>
      <c r="G1918" s="3">
        <v>24.45</v>
      </c>
      <c r="H1918">
        <v>24.45</v>
      </c>
      <c r="I1918">
        <v>25.9</v>
      </c>
      <c r="J1918">
        <v>15000</v>
      </c>
      <c r="K1918">
        <v>363250</v>
      </c>
      <c r="L1918" s="1">
        <v>45240</v>
      </c>
      <c r="M1918">
        <v>3</v>
      </c>
      <c r="N1918" t="s">
        <v>6113</v>
      </c>
      <c r="O1918" s="5">
        <v>45240</v>
      </c>
      <c r="P1918" s="5">
        <v>43777</v>
      </c>
    </row>
    <row r="1919" spans="1:16" x14ac:dyDescent="0.25">
      <c r="A1919" t="s">
        <v>4339</v>
      </c>
      <c r="B1919" t="str">
        <v>Sab Events &amp; Governance Now Media Limited</v>
      </c>
      <c r="C1919" t="s">
        <v>10</v>
      </c>
      <c r="D1919">
        <v>4.6500000000000004</v>
      </c>
      <c r="E1919">
        <v>4.6500000000000004</v>
      </c>
      <c r="F1919">
        <v>4.55</v>
      </c>
      <c r="G1919" s="3">
        <v>4.55</v>
      </c>
      <c r="H1919">
        <v>4.55</v>
      </c>
      <c r="I1919">
        <v>4.6500000000000004</v>
      </c>
      <c r="J1919">
        <v>349</v>
      </c>
      <c r="K1919">
        <v>1597.85</v>
      </c>
      <c r="L1919" s="1">
        <v>45240</v>
      </c>
      <c r="M1919">
        <v>5</v>
      </c>
      <c r="N1919" t="s">
        <v>4341</v>
      </c>
      <c r="O1919" s="5">
        <v>45240</v>
      </c>
      <c r="P1919" s="5">
        <v>43777</v>
      </c>
    </row>
    <row r="1920" spans="1:16" x14ac:dyDescent="0.25">
      <c r="A1920" t="s">
        <v>4342</v>
      </c>
      <c r="B1920" t="str">
        <v>Sadbhav Engineering Limited</v>
      </c>
      <c r="C1920" t="s">
        <v>10</v>
      </c>
      <c r="D1920">
        <v>18.649999999999999</v>
      </c>
      <c r="E1920">
        <v>18.649999999999999</v>
      </c>
      <c r="F1920">
        <v>18.649999999999999</v>
      </c>
      <c r="G1920" s="3">
        <v>18.649999999999999</v>
      </c>
      <c r="H1920">
        <v>18.649999999999999</v>
      </c>
      <c r="I1920">
        <v>18.3</v>
      </c>
      <c r="J1920">
        <v>280069</v>
      </c>
      <c r="K1920">
        <v>5223286.8499999996</v>
      </c>
      <c r="L1920" s="1">
        <v>45240</v>
      </c>
      <c r="M1920">
        <v>126</v>
      </c>
      <c r="N1920" t="s">
        <v>4344</v>
      </c>
      <c r="O1920" s="5">
        <v>45240</v>
      </c>
      <c r="P1920" s="5">
        <v>43777</v>
      </c>
    </row>
    <row r="1921" spans="1:16" x14ac:dyDescent="0.25">
      <c r="A1921" t="s">
        <v>4345</v>
      </c>
      <c r="B1921" t="str">
        <v>Sadbhav Infrastructure Project Limited</v>
      </c>
      <c r="C1921" t="s">
        <v>10</v>
      </c>
      <c r="D1921">
        <v>4</v>
      </c>
      <c r="E1921">
        <v>4</v>
      </c>
      <c r="F1921">
        <v>4</v>
      </c>
      <c r="G1921" s="3">
        <v>4</v>
      </c>
      <c r="H1921">
        <v>4</v>
      </c>
      <c r="I1921">
        <v>4.05</v>
      </c>
      <c r="J1921">
        <v>64604</v>
      </c>
      <c r="K1921">
        <v>258416</v>
      </c>
      <c r="L1921" s="1">
        <v>45240</v>
      </c>
      <c r="M1921">
        <v>77</v>
      </c>
      <c r="N1921" t="s">
        <v>4347</v>
      </c>
      <c r="O1921" s="5">
        <v>45240</v>
      </c>
      <c r="P1921" s="5">
        <v>43777</v>
      </c>
    </row>
    <row r="1922" spans="1:16" x14ac:dyDescent="0.25">
      <c r="A1922" t="s">
        <v>4348</v>
      </c>
      <c r="B1922" t="str">
        <v>Sadhana Nitrochem Limited</v>
      </c>
      <c r="C1922" t="s">
        <v>14</v>
      </c>
      <c r="D1922">
        <v>95.9</v>
      </c>
      <c r="E1922">
        <v>98.5</v>
      </c>
      <c r="F1922">
        <v>92.65</v>
      </c>
      <c r="G1922" s="3">
        <v>93.25</v>
      </c>
      <c r="H1922">
        <v>93</v>
      </c>
      <c r="I1922">
        <v>95.9</v>
      </c>
      <c r="J1922">
        <v>1736779</v>
      </c>
      <c r="K1922">
        <v>165923047.69999999</v>
      </c>
      <c r="L1922" s="1">
        <v>45240</v>
      </c>
      <c r="M1922">
        <v>10770</v>
      </c>
      <c r="N1922" t="s">
        <v>4350</v>
      </c>
      <c r="O1922" s="5">
        <v>45240</v>
      </c>
      <c r="P1922" s="5">
        <v>43777</v>
      </c>
    </row>
    <row r="1923" spans="1:16" x14ac:dyDescent="0.25">
      <c r="A1923" t="s">
        <v>4351</v>
      </c>
      <c r="B1923" t="str">
        <v>Safari Industries (India) Limited</v>
      </c>
      <c r="C1923" t="s">
        <v>14</v>
      </c>
      <c r="D1923">
        <v>4200</v>
      </c>
      <c r="E1923">
        <v>4255</v>
      </c>
      <c r="F1923">
        <v>4131.3500000000004</v>
      </c>
      <c r="G1923" s="3">
        <v>4158.05</v>
      </c>
      <c r="H1923">
        <v>4235.1000000000004</v>
      </c>
      <c r="I1923">
        <v>4172.1499999999996</v>
      </c>
      <c r="J1923">
        <v>23538</v>
      </c>
      <c r="K1923">
        <v>98562312.200000003</v>
      </c>
      <c r="L1923" s="1">
        <v>45240</v>
      </c>
      <c r="M1923">
        <v>7025</v>
      </c>
      <c r="N1923" t="s">
        <v>4353</v>
      </c>
      <c r="O1923" s="5">
        <v>45240</v>
      </c>
      <c r="P1923" s="5">
        <v>43777</v>
      </c>
    </row>
    <row r="1924" spans="1:16" x14ac:dyDescent="0.25">
      <c r="A1924" t="s">
        <v>4354</v>
      </c>
      <c r="B1924" t="str">
        <v>Sagardeep Alloys Limited</v>
      </c>
      <c r="C1924" t="s">
        <v>14</v>
      </c>
      <c r="D1924">
        <v>26</v>
      </c>
      <c r="E1924">
        <v>26.75</v>
      </c>
      <c r="F1924">
        <v>26</v>
      </c>
      <c r="G1924" s="3">
        <v>26.55</v>
      </c>
      <c r="H1924">
        <v>26.5</v>
      </c>
      <c r="I1924">
        <v>26</v>
      </c>
      <c r="J1924">
        <v>18703</v>
      </c>
      <c r="K1924">
        <v>495131.2</v>
      </c>
      <c r="L1924" s="1">
        <v>45240</v>
      </c>
      <c r="M1924">
        <v>198</v>
      </c>
      <c r="N1924" t="s">
        <v>4356</v>
      </c>
      <c r="O1924" s="5">
        <v>45240</v>
      </c>
      <c r="P1924" s="5">
        <v>43777</v>
      </c>
    </row>
    <row r="1925" spans="1:16" x14ac:dyDescent="0.25">
      <c r="A1925" t="s">
        <v>4357</v>
      </c>
      <c r="B1925" t="str">
        <v>Sagar Cements Limited</v>
      </c>
      <c r="C1925" t="s">
        <v>14</v>
      </c>
      <c r="D1925">
        <v>257.39999999999998</v>
      </c>
      <c r="E1925">
        <v>265.5</v>
      </c>
      <c r="F1925">
        <v>256.10000000000002</v>
      </c>
      <c r="G1925" s="3">
        <v>260.7</v>
      </c>
      <c r="H1925">
        <v>259</v>
      </c>
      <c r="I1925">
        <v>259.5</v>
      </c>
      <c r="J1925">
        <v>180205</v>
      </c>
      <c r="K1925">
        <v>47162225.200000003</v>
      </c>
      <c r="L1925" s="1">
        <v>45240</v>
      </c>
      <c r="M1925">
        <v>9705</v>
      </c>
      <c r="N1925" t="s">
        <v>4359</v>
      </c>
      <c r="O1925" s="5">
        <v>45240</v>
      </c>
      <c r="P1925" s="5">
        <v>43777</v>
      </c>
    </row>
    <row r="1926" spans="1:16" x14ac:dyDescent="0.25">
      <c r="A1926" t="s">
        <v>4360</v>
      </c>
      <c r="B1926" t="str">
        <v>Sah Polymers Limited</v>
      </c>
      <c r="C1926" t="s">
        <v>14</v>
      </c>
      <c r="D1926">
        <v>104.55</v>
      </c>
      <c r="E1926">
        <v>104.9</v>
      </c>
      <c r="F1926">
        <v>101.35</v>
      </c>
      <c r="G1926" s="3">
        <v>101.9</v>
      </c>
      <c r="H1926">
        <v>102.3</v>
      </c>
      <c r="I1926">
        <v>104.25</v>
      </c>
      <c r="J1926">
        <v>72787</v>
      </c>
      <c r="K1926">
        <v>7523228.3499999996</v>
      </c>
      <c r="L1926" s="1">
        <v>45240</v>
      </c>
      <c r="M1926">
        <v>957</v>
      </c>
      <c r="N1926" t="s">
        <v>4362</v>
      </c>
      <c r="O1926" s="5">
        <v>45240</v>
      </c>
      <c r="P1926" s="5">
        <v>43777</v>
      </c>
    </row>
    <row r="1927" spans="1:16" x14ac:dyDescent="0.25">
      <c r="A1927" t="s">
        <v>6112</v>
      </c>
      <c r="B1927" t="str">
        <v>Not Found</v>
      </c>
      <c r="C1927" t="s">
        <v>5788</v>
      </c>
      <c r="D1927">
        <v>539.9</v>
      </c>
      <c r="E1927">
        <v>541.6</v>
      </c>
      <c r="F1927">
        <v>521.54999999999995</v>
      </c>
      <c r="G1927" s="3">
        <v>537.85</v>
      </c>
      <c r="H1927">
        <v>535</v>
      </c>
      <c r="I1927">
        <v>517.35</v>
      </c>
      <c r="J1927">
        <v>78500</v>
      </c>
      <c r="K1927">
        <v>41922925</v>
      </c>
      <c r="L1927" s="1">
        <v>45240</v>
      </c>
      <c r="M1927">
        <v>147</v>
      </c>
      <c r="N1927" t="s">
        <v>6111</v>
      </c>
      <c r="O1927" s="5">
        <v>45240</v>
      </c>
      <c r="P1927" s="5">
        <v>43777</v>
      </c>
    </row>
    <row r="1928" spans="1:16" x14ac:dyDescent="0.25">
      <c r="A1928" t="s">
        <v>4363</v>
      </c>
      <c r="B1928" t="str">
        <v>Sahyadri Industries Limited</v>
      </c>
      <c r="C1928" t="s">
        <v>14</v>
      </c>
      <c r="D1928">
        <v>364.25</v>
      </c>
      <c r="E1928">
        <v>377.5</v>
      </c>
      <c r="F1928">
        <v>364.25</v>
      </c>
      <c r="G1928" s="3">
        <v>370.2</v>
      </c>
      <c r="H1928">
        <v>375</v>
      </c>
      <c r="I1928">
        <v>375.45</v>
      </c>
      <c r="J1928">
        <v>2714</v>
      </c>
      <c r="K1928">
        <v>1010442.8</v>
      </c>
      <c r="L1928" s="1">
        <v>45240</v>
      </c>
      <c r="M1928">
        <v>307</v>
      </c>
      <c r="N1928" t="s">
        <v>4365</v>
      </c>
      <c r="O1928" s="5">
        <v>45240</v>
      </c>
      <c r="P1928" s="5">
        <v>43777</v>
      </c>
    </row>
    <row r="1929" spans="1:16" x14ac:dyDescent="0.25">
      <c r="A1929" t="s">
        <v>4366</v>
      </c>
      <c r="B1929" t="str">
        <v>Steel Authority of India Limited</v>
      </c>
      <c r="C1929" t="s">
        <v>14</v>
      </c>
      <c r="D1929">
        <v>87.15</v>
      </c>
      <c r="E1929">
        <v>88.65</v>
      </c>
      <c r="F1929">
        <v>86.6</v>
      </c>
      <c r="G1929" s="3">
        <v>88.1</v>
      </c>
      <c r="H1929">
        <v>88</v>
      </c>
      <c r="I1929">
        <v>87.15</v>
      </c>
      <c r="J1929">
        <v>14776717</v>
      </c>
      <c r="K1929">
        <v>1296781237.7</v>
      </c>
      <c r="L1929" s="1">
        <v>45240</v>
      </c>
      <c r="M1929">
        <v>34758</v>
      </c>
      <c r="N1929" t="s">
        <v>4368</v>
      </c>
      <c r="O1929" s="5">
        <v>45240</v>
      </c>
      <c r="P1929" s="5">
        <v>43777</v>
      </c>
    </row>
    <row r="1930" spans="1:16" x14ac:dyDescent="0.25">
      <c r="A1930" t="s">
        <v>4369</v>
      </c>
      <c r="B1930" t="str">
        <v>Sakar Healthcare Limited</v>
      </c>
      <c r="C1930" t="s">
        <v>14</v>
      </c>
      <c r="D1930">
        <v>380</v>
      </c>
      <c r="E1930">
        <v>398.6</v>
      </c>
      <c r="F1930">
        <v>373.05</v>
      </c>
      <c r="G1930" s="3">
        <v>389.45</v>
      </c>
      <c r="H1930">
        <v>389</v>
      </c>
      <c r="I1930">
        <v>378.25</v>
      </c>
      <c r="J1930">
        <v>75852</v>
      </c>
      <c r="K1930">
        <v>29585528.100000001</v>
      </c>
      <c r="L1930" s="1">
        <v>45240</v>
      </c>
      <c r="M1930">
        <v>4272</v>
      </c>
      <c r="N1930" t="s">
        <v>4371</v>
      </c>
      <c r="O1930" s="5">
        <v>45240</v>
      </c>
      <c r="P1930" s="5">
        <v>43777</v>
      </c>
    </row>
    <row r="1931" spans="1:16" x14ac:dyDescent="0.25">
      <c r="A1931" t="s">
        <v>4372</v>
      </c>
      <c r="B1931" t="str">
        <v>Sakthi Sugars Limited</v>
      </c>
      <c r="C1931" t="s">
        <v>14</v>
      </c>
      <c r="D1931">
        <v>30.75</v>
      </c>
      <c r="E1931">
        <v>31.9</v>
      </c>
      <c r="F1931">
        <v>30.75</v>
      </c>
      <c r="G1931" s="3">
        <v>31.05</v>
      </c>
      <c r="H1931">
        <v>31.25</v>
      </c>
      <c r="I1931">
        <v>31.45</v>
      </c>
      <c r="J1931">
        <v>1193019</v>
      </c>
      <c r="K1931">
        <v>37234383.450000003</v>
      </c>
      <c r="L1931" s="1">
        <v>45240</v>
      </c>
      <c r="M1931">
        <v>5449</v>
      </c>
      <c r="N1931" t="s">
        <v>4374</v>
      </c>
      <c r="O1931" s="5">
        <v>45240</v>
      </c>
      <c r="P1931" s="5">
        <v>43777</v>
      </c>
    </row>
    <row r="1932" spans="1:16" x14ac:dyDescent="0.25">
      <c r="A1932" t="s">
        <v>4375</v>
      </c>
      <c r="B1932" t="str">
        <v>Saksoft Limited</v>
      </c>
      <c r="C1932" t="s">
        <v>10</v>
      </c>
      <c r="D1932">
        <v>351.95</v>
      </c>
      <c r="E1932">
        <v>351.95</v>
      </c>
      <c r="F1932">
        <v>342.35</v>
      </c>
      <c r="G1932" s="3">
        <v>346.3</v>
      </c>
      <c r="H1932">
        <v>347.5</v>
      </c>
      <c r="I1932">
        <v>354.7</v>
      </c>
      <c r="J1932">
        <v>74636</v>
      </c>
      <c r="K1932">
        <v>25937931.75</v>
      </c>
      <c r="L1932" s="1">
        <v>45240</v>
      </c>
      <c r="M1932">
        <v>2977</v>
      </c>
      <c r="N1932" t="s">
        <v>4377</v>
      </c>
      <c r="O1932" s="5">
        <v>45240</v>
      </c>
      <c r="P1932" s="5">
        <v>43777</v>
      </c>
    </row>
    <row r="1933" spans="1:16" x14ac:dyDescent="0.25">
      <c r="A1933" t="s">
        <v>4378</v>
      </c>
      <c r="B1933" t="str">
        <v>Sakuma Exports Limited</v>
      </c>
      <c r="C1933" t="s">
        <v>10</v>
      </c>
      <c r="D1933">
        <v>16.7</v>
      </c>
      <c r="E1933">
        <v>16.7</v>
      </c>
      <c r="F1933">
        <v>16.100000000000001</v>
      </c>
      <c r="G1933" s="3">
        <v>16.25</v>
      </c>
      <c r="H1933">
        <v>16.399999999999999</v>
      </c>
      <c r="I1933">
        <v>16.25</v>
      </c>
      <c r="J1933">
        <v>118387</v>
      </c>
      <c r="K1933">
        <v>1930350.1</v>
      </c>
      <c r="L1933" s="1">
        <v>45240</v>
      </c>
      <c r="M1933">
        <v>315</v>
      </c>
      <c r="N1933" t="s">
        <v>4380</v>
      </c>
      <c r="O1933" s="5">
        <v>45240</v>
      </c>
      <c r="P1933" s="5">
        <v>43777</v>
      </c>
    </row>
    <row r="1934" spans="1:16" x14ac:dyDescent="0.25">
      <c r="A1934" t="s">
        <v>4381</v>
      </c>
      <c r="B1934" t="str">
        <v>Salasar Techno Engineering Limited</v>
      </c>
      <c r="C1934" t="s">
        <v>14</v>
      </c>
      <c r="D1934">
        <v>45.65</v>
      </c>
      <c r="E1934">
        <v>46.2</v>
      </c>
      <c r="F1934">
        <v>45.1</v>
      </c>
      <c r="G1934" s="3">
        <v>45.8</v>
      </c>
      <c r="H1934">
        <v>45.8</v>
      </c>
      <c r="I1934">
        <v>45.9</v>
      </c>
      <c r="J1934">
        <v>419830</v>
      </c>
      <c r="K1934">
        <v>19233280.399999999</v>
      </c>
      <c r="L1934" s="1">
        <v>45240</v>
      </c>
      <c r="M1934">
        <v>2353</v>
      </c>
      <c r="N1934" t="s">
        <v>4383</v>
      </c>
      <c r="O1934" s="5">
        <v>45240</v>
      </c>
      <c r="P1934" s="5">
        <v>43777</v>
      </c>
    </row>
    <row r="1935" spans="1:16" x14ac:dyDescent="0.25">
      <c r="A1935" t="s">
        <v>4384</v>
      </c>
      <c r="B1935" t="str">
        <v>Salona Cotspin Limited</v>
      </c>
      <c r="C1935" t="s">
        <v>14</v>
      </c>
      <c r="D1935">
        <v>290.35000000000002</v>
      </c>
      <c r="E1935">
        <v>304</v>
      </c>
      <c r="F1935">
        <v>290.35000000000002</v>
      </c>
      <c r="G1935" s="3">
        <v>294.39999999999998</v>
      </c>
      <c r="H1935">
        <v>293</v>
      </c>
      <c r="I1935">
        <v>298.35000000000002</v>
      </c>
      <c r="J1935">
        <v>5440</v>
      </c>
      <c r="K1935">
        <v>1636481.75</v>
      </c>
      <c r="L1935" s="1">
        <v>45240</v>
      </c>
      <c r="M1935">
        <v>409</v>
      </c>
      <c r="N1935" t="s">
        <v>4386</v>
      </c>
      <c r="O1935" s="5">
        <v>45240</v>
      </c>
      <c r="P1935" s="5">
        <v>43777</v>
      </c>
    </row>
    <row r="1936" spans="1:16" x14ac:dyDescent="0.25">
      <c r="A1936" t="s">
        <v>4387</v>
      </c>
      <c r="B1936" t="str">
        <v>S.A.L. Steel Limited</v>
      </c>
      <c r="C1936" t="s">
        <v>14</v>
      </c>
      <c r="D1936">
        <v>14.85</v>
      </c>
      <c r="E1936">
        <v>15.7</v>
      </c>
      <c r="F1936">
        <v>14.85</v>
      </c>
      <c r="G1936" s="3">
        <v>15.5</v>
      </c>
      <c r="H1936">
        <v>15.55</v>
      </c>
      <c r="I1936">
        <v>14.8</v>
      </c>
      <c r="J1936">
        <v>251041</v>
      </c>
      <c r="K1936">
        <v>3872940.95</v>
      </c>
      <c r="L1936" s="1">
        <v>45240</v>
      </c>
      <c r="M1936">
        <v>731</v>
      </c>
      <c r="N1936" t="s">
        <v>4389</v>
      </c>
      <c r="O1936" s="5">
        <v>45240</v>
      </c>
      <c r="P1936" s="5">
        <v>43777</v>
      </c>
    </row>
    <row r="1937" spans="1:16" x14ac:dyDescent="0.25">
      <c r="A1937" t="s">
        <v>4390</v>
      </c>
      <c r="B1937" t="str">
        <v>Salzer Electronics Limited</v>
      </c>
      <c r="C1937" t="s">
        <v>14</v>
      </c>
      <c r="D1937">
        <v>373.15</v>
      </c>
      <c r="E1937">
        <v>375.4</v>
      </c>
      <c r="F1937">
        <v>370</v>
      </c>
      <c r="G1937" s="3">
        <v>373.35</v>
      </c>
      <c r="H1937">
        <v>374</v>
      </c>
      <c r="I1937">
        <v>373.05</v>
      </c>
      <c r="J1937">
        <v>37968</v>
      </c>
      <c r="K1937">
        <v>14162194.050000001</v>
      </c>
      <c r="L1937" s="1">
        <v>45240</v>
      </c>
      <c r="M1937">
        <v>2949</v>
      </c>
      <c r="N1937" t="s">
        <v>4392</v>
      </c>
      <c r="O1937" s="5">
        <v>45240</v>
      </c>
      <c r="P1937" s="5">
        <v>43777</v>
      </c>
    </row>
    <row r="1938" spans="1:16" x14ac:dyDescent="0.25">
      <c r="A1938" t="s">
        <v>4393</v>
      </c>
      <c r="B1938" t="str">
        <v>Sambhaav Media Limited</v>
      </c>
      <c r="C1938" t="s">
        <v>10</v>
      </c>
      <c r="D1938">
        <v>3.35</v>
      </c>
      <c r="E1938">
        <v>3.45</v>
      </c>
      <c r="F1938">
        <v>3.3</v>
      </c>
      <c r="G1938" s="3">
        <v>3.35</v>
      </c>
      <c r="H1938">
        <v>3.35</v>
      </c>
      <c r="I1938">
        <v>3.35</v>
      </c>
      <c r="J1938">
        <v>49931</v>
      </c>
      <c r="K1938">
        <v>168887.1</v>
      </c>
      <c r="L1938" s="1">
        <v>45240</v>
      </c>
      <c r="M1938">
        <v>72</v>
      </c>
      <c r="N1938" t="s">
        <v>4395</v>
      </c>
      <c r="O1938" s="5">
        <v>45240</v>
      </c>
      <c r="P1938" s="5">
        <v>43777</v>
      </c>
    </row>
    <row r="1939" spans="1:16" x14ac:dyDescent="0.25">
      <c r="A1939" t="s">
        <v>4396</v>
      </c>
      <c r="B1939" t="str">
        <v>Samhi Hotels Limited</v>
      </c>
      <c r="C1939" t="s">
        <v>14</v>
      </c>
      <c r="D1939">
        <v>152.25</v>
      </c>
      <c r="E1939">
        <v>153.30000000000001</v>
      </c>
      <c r="F1939">
        <v>150.5</v>
      </c>
      <c r="G1939" s="3">
        <v>151.9</v>
      </c>
      <c r="H1939">
        <v>153</v>
      </c>
      <c r="I1939">
        <v>152.25</v>
      </c>
      <c r="J1939">
        <v>300412</v>
      </c>
      <c r="K1939">
        <v>45687710.700000003</v>
      </c>
      <c r="L1939" s="1">
        <v>45240</v>
      </c>
      <c r="M1939">
        <v>4088</v>
      </c>
      <c r="N1939" t="s">
        <v>4398</v>
      </c>
      <c r="O1939" s="5">
        <v>45240</v>
      </c>
      <c r="P1939" s="5">
        <v>43777</v>
      </c>
    </row>
    <row r="1940" spans="1:16" x14ac:dyDescent="0.25">
      <c r="A1940" t="s">
        <v>4399</v>
      </c>
      <c r="B1940" t="str">
        <v>Sampann Utpadan India Limited</v>
      </c>
      <c r="C1940" t="s">
        <v>14</v>
      </c>
      <c r="D1940">
        <v>17.8</v>
      </c>
      <c r="E1940">
        <v>18.25</v>
      </c>
      <c r="F1940">
        <v>16.899999999999999</v>
      </c>
      <c r="G1940" s="3">
        <v>17.100000000000001</v>
      </c>
      <c r="H1940">
        <v>17.25</v>
      </c>
      <c r="I1940">
        <v>17.75</v>
      </c>
      <c r="J1940">
        <v>68754</v>
      </c>
      <c r="K1940">
        <v>1184849.1499999999</v>
      </c>
      <c r="L1940" s="1">
        <v>45240</v>
      </c>
      <c r="M1940">
        <v>308</v>
      </c>
      <c r="N1940" t="s">
        <v>4401</v>
      </c>
      <c r="O1940" s="5">
        <v>45240</v>
      </c>
      <c r="P1940" s="5">
        <v>43777</v>
      </c>
    </row>
    <row r="1941" spans="1:16" x14ac:dyDescent="0.25">
      <c r="A1941" t="s">
        <v>4402</v>
      </c>
      <c r="B1941" t="str">
        <v>Sanco Industries Limited</v>
      </c>
      <c r="C1941" t="s">
        <v>786</v>
      </c>
      <c r="D1941">
        <v>6.55</v>
      </c>
      <c r="E1941">
        <v>6.95</v>
      </c>
      <c r="F1941">
        <v>6.5</v>
      </c>
      <c r="G1941" s="3">
        <v>6.95</v>
      </c>
      <c r="H1941">
        <v>6.95</v>
      </c>
      <c r="I1941">
        <v>6.75</v>
      </c>
      <c r="J1941">
        <v>3496</v>
      </c>
      <c r="K1941">
        <v>23260.7</v>
      </c>
      <c r="L1941" s="1">
        <v>45240</v>
      </c>
      <c r="M1941">
        <v>8</v>
      </c>
      <c r="N1941" t="s">
        <v>4404</v>
      </c>
      <c r="O1941" s="5">
        <v>45240</v>
      </c>
      <c r="P1941" s="5">
        <v>43777</v>
      </c>
    </row>
    <row r="1942" spans="1:16" x14ac:dyDescent="0.25">
      <c r="A1942" t="s">
        <v>4405</v>
      </c>
      <c r="B1942" t="str">
        <v>The Sandesh Limited</v>
      </c>
      <c r="C1942" t="s">
        <v>14</v>
      </c>
      <c r="D1942">
        <v>1008</v>
      </c>
      <c r="E1942">
        <v>1008</v>
      </c>
      <c r="F1942">
        <v>985.4</v>
      </c>
      <c r="G1942" s="3">
        <v>998.15</v>
      </c>
      <c r="H1942">
        <v>994</v>
      </c>
      <c r="I1942">
        <v>1008</v>
      </c>
      <c r="J1942">
        <v>1392</v>
      </c>
      <c r="K1942">
        <v>1390249.05</v>
      </c>
      <c r="L1942" s="1">
        <v>45240</v>
      </c>
      <c r="M1942">
        <v>265</v>
      </c>
      <c r="N1942" t="s">
        <v>4407</v>
      </c>
      <c r="O1942" s="5">
        <v>45240</v>
      </c>
      <c r="P1942" s="5">
        <v>43777</v>
      </c>
    </row>
    <row r="1943" spans="1:16" x14ac:dyDescent="0.25">
      <c r="A1943" t="s">
        <v>4408</v>
      </c>
      <c r="B1943" t="str">
        <v>Sandhar Technologies Limited</v>
      </c>
      <c r="C1943" t="s">
        <v>14</v>
      </c>
      <c r="D1943">
        <v>423.75</v>
      </c>
      <c r="E1943">
        <v>423.75</v>
      </c>
      <c r="F1943">
        <v>402.15</v>
      </c>
      <c r="G1943" s="3">
        <v>409.7</v>
      </c>
      <c r="H1943">
        <v>408.6</v>
      </c>
      <c r="I1943">
        <v>425.25</v>
      </c>
      <c r="J1943">
        <v>188949</v>
      </c>
      <c r="K1943">
        <v>78304962.049999997</v>
      </c>
      <c r="L1943" s="1">
        <v>45240</v>
      </c>
      <c r="M1943">
        <v>10150</v>
      </c>
      <c r="N1943" t="s">
        <v>4410</v>
      </c>
      <c r="O1943" s="5">
        <v>45240</v>
      </c>
      <c r="P1943" s="5">
        <v>43777</v>
      </c>
    </row>
    <row r="1944" spans="1:16" x14ac:dyDescent="0.25">
      <c r="A1944" t="s">
        <v>4411</v>
      </c>
      <c r="B1944" t="str">
        <v>Sandur Manganese &amp; Iron Ores Limited</v>
      </c>
      <c r="C1944" t="s">
        <v>14</v>
      </c>
      <c r="D1944">
        <v>1495</v>
      </c>
      <c r="E1944">
        <v>1509.75</v>
      </c>
      <c r="F1944">
        <v>1470.1</v>
      </c>
      <c r="G1944" s="3">
        <v>1473.4</v>
      </c>
      <c r="H1944">
        <v>1471.9</v>
      </c>
      <c r="I1944">
        <v>1499.9</v>
      </c>
      <c r="J1944">
        <v>17336</v>
      </c>
      <c r="K1944">
        <v>25724571.75</v>
      </c>
      <c r="L1944" s="1">
        <v>45240</v>
      </c>
      <c r="M1944">
        <v>3170</v>
      </c>
      <c r="N1944" t="s">
        <v>4413</v>
      </c>
      <c r="O1944" s="5">
        <v>45240</v>
      </c>
      <c r="P1944" s="5">
        <v>43777</v>
      </c>
    </row>
    <row r="1945" spans="1:16" x14ac:dyDescent="0.25">
      <c r="A1945" t="s">
        <v>4414</v>
      </c>
      <c r="B1945" t="str">
        <v>Sangam (India) Limited</v>
      </c>
      <c r="C1945" t="s">
        <v>14</v>
      </c>
      <c r="D1945">
        <v>311</v>
      </c>
      <c r="E1945">
        <v>314.10000000000002</v>
      </c>
      <c r="F1945">
        <v>304.95</v>
      </c>
      <c r="G1945" s="3">
        <v>309.8</v>
      </c>
      <c r="H1945">
        <v>308</v>
      </c>
      <c r="I1945">
        <v>310.5</v>
      </c>
      <c r="J1945">
        <v>24430</v>
      </c>
      <c r="K1945">
        <v>7561567.9500000002</v>
      </c>
      <c r="L1945" s="1">
        <v>45240</v>
      </c>
      <c r="M1945">
        <v>1504</v>
      </c>
      <c r="N1945" t="s">
        <v>4416</v>
      </c>
      <c r="O1945" s="5">
        <v>45240</v>
      </c>
      <c r="P1945" s="5">
        <v>43777</v>
      </c>
    </row>
    <row r="1946" spans="1:16" x14ac:dyDescent="0.25">
      <c r="A1946" t="s">
        <v>6110</v>
      </c>
      <c r="B1946" t="str">
        <v>Not Found</v>
      </c>
      <c r="C1946" t="s">
        <v>5788</v>
      </c>
      <c r="D1946">
        <v>40.4</v>
      </c>
      <c r="E1946">
        <v>40.5</v>
      </c>
      <c r="F1946">
        <v>39.200000000000003</v>
      </c>
      <c r="G1946" s="3">
        <v>40.450000000000003</v>
      </c>
      <c r="H1946">
        <v>40.4</v>
      </c>
      <c r="I1946">
        <v>40.5</v>
      </c>
      <c r="J1946">
        <v>36000</v>
      </c>
      <c r="K1946">
        <v>1445400</v>
      </c>
      <c r="L1946" s="1">
        <v>45240</v>
      </c>
      <c r="M1946">
        <v>9</v>
      </c>
      <c r="N1946" t="s">
        <v>6109</v>
      </c>
      <c r="O1946" s="5">
        <v>45240</v>
      </c>
      <c r="P1946" s="5">
        <v>43777</v>
      </c>
    </row>
    <row r="1947" spans="1:16" x14ac:dyDescent="0.25">
      <c r="A1947" t="s">
        <v>4417</v>
      </c>
      <c r="B1947" t="str">
        <v>Sanghi Industries Limited</v>
      </c>
      <c r="C1947" t="s">
        <v>14</v>
      </c>
      <c r="D1947">
        <v>116</v>
      </c>
      <c r="E1947">
        <v>116.3</v>
      </c>
      <c r="F1947">
        <v>114.1</v>
      </c>
      <c r="G1947" s="3">
        <v>114.6</v>
      </c>
      <c r="H1947">
        <v>114.35</v>
      </c>
      <c r="I1947">
        <v>115.7</v>
      </c>
      <c r="J1947">
        <v>108858</v>
      </c>
      <c r="K1947">
        <v>12527132.1</v>
      </c>
      <c r="L1947" s="1">
        <v>45240</v>
      </c>
      <c r="M1947">
        <v>698</v>
      </c>
      <c r="N1947" t="s">
        <v>4419</v>
      </c>
      <c r="O1947" s="5">
        <v>45240</v>
      </c>
      <c r="P1947" s="5">
        <v>43777</v>
      </c>
    </row>
    <row r="1948" spans="1:16" x14ac:dyDescent="0.25">
      <c r="A1948" t="s">
        <v>4420</v>
      </c>
      <c r="B1948" t="str">
        <v>Sanghvi Movers Limited</v>
      </c>
      <c r="C1948" t="s">
        <v>14</v>
      </c>
      <c r="D1948">
        <v>747</v>
      </c>
      <c r="E1948">
        <v>754.15</v>
      </c>
      <c r="F1948">
        <v>726</v>
      </c>
      <c r="G1948" s="3">
        <v>728.2</v>
      </c>
      <c r="H1948">
        <v>728.75</v>
      </c>
      <c r="I1948">
        <v>750.1</v>
      </c>
      <c r="J1948">
        <v>106304</v>
      </c>
      <c r="K1948">
        <v>78365368.150000006</v>
      </c>
      <c r="L1948" s="1">
        <v>45240</v>
      </c>
      <c r="M1948">
        <v>14307</v>
      </c>
      <c r="N1948" t="s">
        <v>4422</v>
      </c>
      <c r="O1948" s="5">
        <v>45240</v>
      </c>
      <c r="P1948" s="5">
        <v>43777</v>
      </c>
    </row>
    <row r="1949" spans="1:16" x14ac:dyDescent="0.25">
      <c r="A1949" t="s">
        <v>4423</v>
      </c>
      <c r="B1949" t="str">
        <v>Sanginita Chemicals Limited</v>
      </c>
      <c r="C1949" t="s">
        <v>14</v>
      </c>
      <c r="D1949">
        <v>24.2</v>
      </c>
      <c r="E1949">
        <v>24.5</v>
      </c>
      <c r="F1949">
        <v>23.75</v>
      </c>
      <c r="G1949" s="3">
        <v>24.15</v>
      </c>
      <c r="H1949">
        <v>24.35</v>
      </c>
      <c r="I1949">
        <v>24</v>
      </c>
      <c r="J1949">
        <v>16758</v>
      </c>
      <c r="K1949">
        <v>404565.4</v>
      </c>
      <c r="L1949" s="1">
        <v>45240</v>
      </c>
      <c r="M1949">
        <v>220</v>
      </c>
      <c r="N1949" t="s">
        <v>4425</v>
      </c>
      <c r="O1949" s="5">
        <v>45240</v>
      </c>
      <c r="P1949" s="5">
        <v>43777</v>
      </c>
    </row>
    <row r="1950" spans="1:16" x14ac:dyDescent="0.25">
      <c r="A1950" t="s">
        <v>4426</v>
      </c>
      <c r="B1950" t="str">
        <v>Sanofi India Limited</v>
      </c>
      <c r="C1950" t="s">
        <v>14</v>
      </c>
      <c r="D1950">
        <v>7751.05</v>
      </c>
      <c r="E1950">
        <v>7847.1</v>
      </c>
      <c r="F1950">
        <v>7691</v>
      </c>
      <c r="G1950" s="3">
        <v>7754.35</v>
      </c>
      <c r="H1950">
        <v>7787.1</v>
      </c>
      <c r="I1950">
        <v>7795</v>
      </c>
      <c r="J1950">
        <v>25830</v>
      </c>
      <c r="K1950">
        <v>200068402.15000001</v>
      </c>
      <c r="L1950" s="1">
        <v>45240</v>
      </c>
      <c r="M1950">
        <v>7540</v>
      </c>
      <c r="N1950" t="s">
        <v>4428</v>
      </c>
      <c r="O1950" s="5">
        <v>45240</v>
      </c>
      <c r="P1950" s="5">
        <v>43777</v>
      </c>
    </row>
    <row r="1951" spans="1:16" x14ac:dyDescent="0.25">
      <c r="A1951" t="s">
        <v>4429</v>
      </c>
      <c r="B1951" t="str">
        <v>Sansera Engineering Limited</v>
      </c>
      <c r="C1951" t="s">
        <v>14</v>
      </c>
      <c r="D1951">
        <v>845</v>
      </c>
      <c r="E1951">
        <v>861.85</v>
      </c>
      <c r="F1951">
        <v>832.85</v>
      </c>
      <c r="G1951" s="3">
        <v>854.9</v>
      </c>
      <c r="H1951">
        <v>856.25</v>
      </c>
      <c r="I1951">
        <v>841.95</v>
      </c>
      <c r="J1951">
        <v>213218</v>
      </c>
      <c r="K1951">
        <v>181077043.09999999</v>
      </c>
      <c r="L1951" s="1">
        <v>45240</v>
      </c>
      <c r="M1951">
        <v>16663</v>
      </c>
      <c r="N1951" t="s">
        <v>4431</v>
      </c>
      <c r="O1951" s="5">
        <v>45240</v>
      </c>
      <c r="P1951" s="5">
        <v>43777</v>
      </c>
    </row>
    <row r="1952" spans="1:16" x14ac:dyDescent="0.25">
      <c r="A1952" t="s">
        <v>4432</v>
      </c>
      <c r="B1952" t="str">
        <v>Sapphire Foods India Limited</v>
      </c>
      <c r="C1952" t="s">
        <v>14</v>
      </c>
      <c r="D1952">
        <v>1300.05</v>
      </c>
      <c r="E1952">
        <v>1313.85</v>
      </c>
      <c r="F1952">
        <v>1290</v>
      </c>
      <c r="G1952" s="3">
        <v>1300.4000000000001</v>
      </c>
      <c r="H1952">
        <v>1308.9000000000001</v>
      </c>
      <c r="I1952">
        <v>1298.95</v>
      </c>
      <c r="J1952">
        <v>146237</v>
      </c>
      <c r="K1952">
        <v>190049549.44999999</v>
      </c>
      <c r="L1952" s="1">
        <v>45240</v>
      </c>
      <c r="M1952">
        <v>11905</v>
      </c>
      <c r="N1952" t="s">
        <v>4434</v>
      </c>
      <c r="O1952" s="5">
        <v>45240</v>
      </c>
      <c r="P1952" s="5">
        <v>43777</v>
      </c>
    </row>
    <row r="1953" spans="1:16" x14ac:dyDescent="0.25">
      <c r="A1953" t="s">
        <v>4435</v>
      </c>
      <c r="B1953" t="str">
        <v>Sarda Energy &amp; Minerals Limited</v>
      </c>
      <c r="C1953" t="s">
        <v>14</v>
      </c>
      <c r="D1953">
        <v>216</v>
      </c>
      <c r="E1953">
        <v>223.5</v>
      </c>
      <c r="F1953">
        <v>210.05</v>
      </c>
      <c r="G1953" s="3">
        <v>215.5</v>
      </c>
      <c r="H1953">
        <v>212.55</v>
      </c>
      <c r="I1953">
        <v>214.25</v>
      </c>
      <c r="J1953">
        <v>221728</v>
      </c>
      <c r="K1953">
        <v>47654208.25</v>
      </c>
      <c r="L1953" s="1">
        <v>45240</v>
      </c>
      <c r="M1953">
        <v>8266</v>
      </c>
      <c r="N1953" t="s">
        <v>4437</v>
      </c>
      <c r="O1953" s="5">
        <v>45240</v>
      </c>
      <c r="P1953" s="5">
        <v>43777</v>
      </c>
    </row>
    <row r="1954" spans="1:16" x14ac:dyDescent="0.25">
      <c r="A1954" t="s">
        <v>4438</v>
      </c>
      <c r="B1954" t="str">
        <v>Saregama India Limited</v>
      </c>
      <c r="C1954" t="s">
        <v>14</v>
      </c>
      <c r="D1954">
        <v>338.05</v>
      </c>
      <c r="E1954">
        <v>343</v>
      </c>
      <c r="F1954">
        <v>331.9</v>
      </c>
      <c r="G1954" s="3">
        <v>334.6</v>
      </c>
      <c r="H1954">
        <v>334</v>
      </c>
      <c r="I1954">
        <v>338.55</v>
      </c>
      <c r="J1954">
        <v>189991</v>
      </c>
      <c r="K1954">
        <v>64024838.200000003</v>
      </c>
      <c r="L1954" s="1">
        <v>45240</v>
      </c>
      <c r="M1954">
        <v>8045</v>
      </c>
      <c r="N1954" t="s">
        <v>4440</v>
      </c>
      <c r="O1954" s="5">
        <v>45240</v>
      </c>
      <c r="P1954" s="5">
        <v>43777</v>
      </c>
    </row>
    <row r="1955" spans="1:16" x14ac:dyDescent="0.25">
      <c r="A1955" t="s">
        <v>4441</v>
      </c>
      <c r="B1955" t="str">
        <v>Sarla Performance Fibers Limited</v>
      </c>
      <c r="C1955" t="s">
        <v>14</v>
      </c>
      <c r="D1955">
        <v>46.15</v>
      </c>
      <c r="E1955">
        <v>47.1</v>
      </c>
      <c r="F1955">
        <v>46.15</v>
      </c>
      <c r="G1955" s="3">
        <v>46.75</v>
      </c>
      <c r="H1955">
        <v>46.9</v>
      </c>
      <c r="I1955">
        <v>46.65</v>
      </c>
      <c r="J1955">
        <v>45520</v>
      </c>
      <c r="K1955">
        <v>2123265</v>
      </c>
      <c r="L1955" s="1">
        <v>45240</v>
      </c>
      <c r="M1955">
        <v>577</v>
      </c>
      <c r="N1955" t="s">
        <v>4443</v>
      </c>
      <c r="O1955" s="5">
        <v>45240</v>
      </c>
      <c r="P1955" s="5">
        <v>43777</v>
      </c>
    </row>
    <row r="1956" spans="1:16" x14ac:dyDescent="0.25">
      <c r="A1956" t="s">
        <v>6108</v>
      </c>
      <c r="B1956" t="str">
        <v>Not Found</v>
      </c>
      <c r="C1956" t="s">
        <v>5788</v>
      </c>
      <c r="D1956">
        <v>62</v>
      </c>
      <c r="E1956">
        <v>62</v>
      </c>
      <c r="F1956">
        <v>60</v>
      </c>
      <c r="G1956" s="3">
        <v>61.95</v>
      </c>
      <c r="H1956">
        <v>61.95</v>
      </c>
      <c r="I1956">
        <v>59.3</v>
      </c>
      <c r="J1956">
        <v>6400</v>
      </c>
      <c r="K1956">
        <v>391920</v>
      </c>
      <c r="L1956" s="1">
        <v>45240</v>
      </c>
      <c r="M1956">
        <v>4</v>
      </c>
      <c r="N1956" t="s">
        <v>6107</v>
      </c>
      <c r="O1956" s="5">
        <v>45240</v>
      </c>
      <c r="P1956" s="5">
        <v>43777</v>
      </c>
    </row>
    <row r="1957" spans="1:16" x14ac:dyDescent="0.25">
      <c r="A1957" t="s">
        <v>6106</v>
      </c>
      <c r="B1957" t="str">
        <v>Not Found</v>
      </c>
      <c r="C1957" t="s">
        <v>5853</v>
      </c>
      <c r="D1957">
        <v>99.55</v>
      </c>
      <c r="E1957">
        <v>99.55</v>
      </c>
      <c r="F1957">
        <v>99.55</v>
      </c>
      <c r="G1957" s="3">
        <v>99.55</v>
      </c>
      <c r="H1957">
        <v>99.55</v>
      </c>
      <c r="I1957">
        <v>104.75</v>
      </c>
      <c r="J1957">
        <v>30000</v>
      </c>
      <c r="K1957">
        <v>2986500</v>
      </c>
      <c r="L1957" s="1">
        <v>45240</v>
      </c>
      <c r="M1957">
        <v>13</v>
      </c>
      <c r="N1957" t="s">
        <v>6105</v>
      </c>
      <c r="O1957" s="5">
        <v>45240</v>
      </c>
      <c r="P1957" s="5">
        <v>43777</v>
      </c>
    </row>
    <row r="1958" spans="1:16" x14ac:dyDescent="0.25">
      <c r="A1958" t="s">
        <v>4444</v>
      </c>
      <c r="B1958" t="str">
        <v>Sarveshwar Foods Limited</v>
      </c>
      <c r="C1958" t="s">
        <v>10</v>
      </c>
      <c r="D1958">
        <v>5.15</v>
      </c>
      <c r="E1958">
        <v>5.2</v>
      </c>
      <c r="F1958">
        <v>5.0999999999999996</v>
      </c>
      <c r="G1958" s="3">
        <v>5.0999999999999996</v>
      </c>
      <c r="H1958">
        <v>5.0999999999999996</v>
      </c>
      <c r="I1958">
        <v>5.2</v>
      </c>
      <c r="J1958">
        <v>598495</v>
      </c>
      <c r="K1958">
        <v>3076172.55</v>
      </c>
      <c r="L1958" s="1">
        <v>45240</v>
      </c>
      <c r="M1958">
        <v>482</v>
      </c>
      <c r="N1958" t="s">
        <v>4446</v>
      </c>
      <c r="O1958" s="5">
        <v>45240</v>
      </c>
      <c r="P1958" s="5">
        <v>43777</v>
      </c>
    </row>
    <row r="1959" spans="1:16" x14ac:dyDescent="0.25">
      <c r="A1959" t="s">
        <v>4447</v>
      </c>
      <c r="B1959" t="str">
        <v>Sasken Technologies Limited</v>
      </c>
      <c r="C1959" t="s">
        <v>14</v>
      </c>
      <c r="D1959">
        <v>1181.95</v>
      </c>
      <c r="E1959">
        <v>1181.95</v>
      </c>
      <c r="F1959">
        <v>1162.05</v>
      </c>
      <c r="G1959" s="3">
        <v>1171.2</v>
      </c>
      <c r="H1959">
        <v>1167.05</v>
      </c>
      <c r="I1959">
        <v>1180.3</v>
      </c>
      <c r="J1959">
        <v>5027</v>
      </c>
      <c r="K1959">
        <v>5891151.5499999998</v>
      </c>
      <c r="L1959" s="1">
        <v>45240</v>
      </c>
      <c r="M1959">
        <v>1234</v>
      </c>
      <c r="N1959" t="s">
        <v>4449</v>
      </c>
      <c r="O1959" s="5">
        <v>45240</v>
      </c>
      <c r="P1959" s="5">
        <v>43777</v>
      </c>
    </row>
    <row r="1960" spans="1:16" x14ac:dyDescent="0.25">
      <c r="A1960" t="s">
        <v>4450</v>
      </c>
      <c r="B1960" t="str">
        <v>Sastasundar Ventures Limited</v>
      </c>
      <c r="C1960" t="s">
        <v>14</v>
      </c>
      <c r="D1960">
        <v>416.5</v>
      </c>
      <c r="E1960">
        <v>418.9</v>
      </c>
      <c r="F1960">
        <v>405</v>
      </c>
      <c r="G1960" s="3">
        <v>415.35</v>
      </c>
      <c r="H1960">
        <v>418</v>
      </c>
      <c r="I1960">
        <v>419.35</v>
      </c>
      <c r="J1960">
        <v>70786</v>
      </c>
      <c r="K1960">
        <v>29188893.800000001</v>
      </c>
      <c r="L1960" s="1">
        <v>45240</v>
      </c>
      <c r="M1960">
        <v>4662</v>
      </c>
      <c r="N1960" t="s">
        <v>4452</v>
      </c>
      <c r="O1960" s="5">
        <v>45240</v>
      </c>
      <c r="P1960" s="5">
        <v>43777</v>
      </c>
    </row>
    <row r="1961" spans="1:16" x14ac:dyDescent="0.25">
      <c r="A1961" t="s">
        <v>4453</v>
      </c>
      <c r="B1961" t="str">
        <v>Satia Industries Limited</v>
      </c>
      <c r="C1961" t="s">
        <v>14</v>
      </c>
      <c r="D1961">
        <v>117.4</v>
      </c>
      <c r="E1961">
        <v>118.35</v>
      </c>
      <c r="F1961">
        <v>115.25</v>
      </c>
      <c r="G1961" s="3">
        <v>115.6</v>
      </c>
      <c r="H1961">
        <v>115.95</v>
      </c>
      <c r="I1961">
        <v>117.45</v>
      </c>
      <c r="J1961">
        <v>547676</v>
      </c>
      <c r="K1961">
        <v>63882417.5</v>
      </c>
      <c r="L1961" s="1">
        <v>45240</v>
      </c>
      <c r="M1961">
        <v>5906</v>
      </c>
      <c r="N1961" t="s">
        <v>4455</v>
      </c>
      <c r="O1961" s="5">
        <v>45240</v>
      </c>
      <c r="P1961" s="5">
        <v>43777</v>
      </c>
    </row>
    <row r="1962" spans="1:16" x14ac:dyDescent="0.25">
      <c r="A1962" t="s">
        <v>4456</v>
      </c>
      <c r="B1962" t="str">
        <v>Satin Creditcare Network Limited</v>
      </c>
      <c r="C1962" t="s">
        <v>14</v>
      </c>
      <c r="D1962">
        <v>259.45</v>
      </c>
      <c r="E1962">
        <v>264</v>
      </c>
      <c r="F1962">
        <v>257.14999999999998</v>
      </c>
      <c r="G1962" s="3">
        <v>261.85000000000002</v>
      </c>
      <c r="H1962">
        <v>261.89999999999998</v>
      </c>
      <c r="I1962">
        <v>259.89999999999998</v>
      </c>
      <c r="J1962">
        <v>282705</v>
      </c>
      <c r="K1962">
        <v>73588467.450000003</v>
      </c>
      <c r="L1962" s="1">
        <v>45240</v>
      </c>
      <c r="M1962">
        <v>4922</v>
      </c>
      <c r="N1962" t="s">
        <v>4458</v>
      </c>
      <c r="O1962" s="5">
        <v>45240</v>
      </c>
      <c r="P1962" s="5">
        <v>43777</v>
      </c>
    </row>
    <row r="1963" spans="1:16" x14ac:dyDescent="0.25">
      <c r="A1963" t="s">
        <v>4459</v>
      </c>
      <c r="B1963" t="str">
        <v>Sat Industries Limited</v>
      </c>
      <c r="C1963" t="s">
        <v>14</v>
      </c>
      <c r="D1963">
        <v>95.7</v>
      </c>
      <c r="E1963">
        <v>97.45</v>
      </c>
      <c r="F1963">
        <v>95.2</v>
      </c>
      <c r="G1963" s="3">
        <v>96.25</v>
      </c>
      <c r="H1963">
        <v>96.4</v>
      </c>
      <c r="I1963">
        <v>95.65</v>
      </c>
      <c r="J1963">
        <v>500324</v>
      </c>
      <c r="K1963">
        <v>48305743.5</v>
      </c>
      <c r="L1963" s="1">
        <v>45240</v>
      </c>
      <c r="M1963">
        <v>3382</v>
      </c>
      <c r="N1963" t="s">
        <v>4461</v>
      </c>
      <c r="O1963" s="5">
        <v>45240</v>
      </c>
      <c r="P1963" s="5">
        <v>43777</v>
      </c>
    </row>
    <row r="1964" spans="1:16" x14ac:dyDescent="0.25">
      <c r="A1964" t="s">
        <v>4462</v>
      </c>
      <c r="B1964" t="str">
        <v>SBC Exports Limited</v>
      </c>
      <c r="C1964" t="s">
        <v>14</v>
      </c>
      <c r="D1964">
        <v>28.6</v>
      </c>
      <c r="E1964">
        <v>29.1</v>
      </c>
      <c r="F1964">
        <v>28.55</v>
      </c>
      <c r="G1964" s="3">
        <v>28.8</v>
      </c>
      <c r="H1964">
        <v>28.65</v>
      </c>
      <c r="I1964">
        <v>29.05</v>
      </c>
      <c r="J1964">
        <v>1360209</v>
      </c>
      <c r="K1964">
        <v>39314096.399999999</v>
      </c>
      <c r="L1964" s="1">
        <v>45240</v>
      </c>
      <c r="M1964">
        <v>1964</v>
      </c>
      <c r="N1964" t="s">
        <v>4464</v>
      </c>
      <c r="O1964" s="5">
        <v>45240</v>
      </c>
      <c r="P1964" s="5">
        <v>43777</v>
      </c>
    </row>
    <row r="1965" spans="1:16" x14ac:dyDescent="0.25">
      <c r="A1965" t="s">
        <v>4465</v>
      </c>
      <c r="B1965" t="str">
        <v>Shivalik Bimetal Controls Limited</v>
      </c>
      <c r="C1965" t="s">
        <v>14</v>
      </c>
      <c r="D1965">
        <v>528</v>
      </c>
      <c r="E1965">
        <v>538</v>
      </c>
      <c r="F1965">
        <v>517</v>
      </c>
      <c r="G1965" s="3">
        <v>531.29999999999995</v>
      </c>
      <c r="H1965">
        <v>533.04999999999995</v>
      </c>
      <c r="I1965">
        <v>531.04999999999995</v>
      </c>
      <c r="J1965">
        <v>126274</v>
      </c>
      <c r="K1965">
        <v>66284581.899999999</v>
      </c>
      <c r="L1965" s="1">
        <v>45240</v>
      </c>
      <c r="M1965">
        <v>9836</v>
      </c>
      <c r="N1965" t="s">
        <v>4467</v>
      </c>
      <c r="O1965" s="5">
        <v>45240</v>
      </c>
      <c r="P1965" s="5">
        <v>43777</v>
      </c>
    </row>
    <row r="1966" spans="1:16" x14ac:dyDescent="0.25">
      <c r="A1966" t="s">
        <v>4468</v>
      </c>
      <c r="B1966" t="str">
        <v>SBFC Finance Limited</v>
      </c>
      <c r="C1966" t="s">
        <v>14</v>
      </c>
      <c r="D1966">
        <v>84.45</v>
      </c>
      <c r="E1966">
        <v>85.1</v>
      </c>
      <c r="F1966">
        <v>83.4</v>
      </c>
      <c r="G1966" s="3">
        <v>83.75</v>
      </c>
      <c r="H1966">
        <v>83.85</v>
      </c>
      <c r="I1966">
        <v>84.8</v>
      </c>
      <c r="J1966">
        <v>885183</v>
      </c>
      <c r="K1966">
        <v>74578892.75</v>
      </c>
      <c r="L1966" s="1">
        <v>45240</v>
      </c>
      <c r="M1966">
        <v>8717</v>
      </c>
      <c r="N1966" t="s">
        <v>4470</v>
      </c>
      <c r="O1966" s="5">
        <v>45240</v>
      </c>
      <c r="P1966" s="5">
        <v>43777</v>
      </c>
    </row>
    <row r="1967" spans="1:16" x14ac:dyDescent="0.25">
      <c r="A1967" t="s">
        <v>4471</v>
      </c>
      <c r="B1967" t="str">
        <v>Suratwwala Business Group Limited</v>
      </c>
      <c r="C1967" t="s">
        <v>14</v>
      </c>
      <c r="D1967">
        <v>440</v>
      </c>
      <c r="E1967">
        <v>458.75</v>
      </c>
      <c r="F1967">
        <v>437.5</v>
      </c>
      <c r="G1967" s="3">
        <v>455.2</v>
      </c>
      <c r="H1967">
        <v>457.2</v>
      </c>
      <c r="I1967">
        <v>439.55</v>
      </c>
      <c r="J1967">
        <v>67962</v>
      </c>
      <c r="K1967">
        <v>30414837.449999999</v>
      </c>
      <c r="L1967" s="1">
        <v>45240</v>
      </c>
      <c r="M1967">
        <v>4698</v>
      </c>
      <c r="N1967" t="s">
        <v>4473</v>
      </c>
      <c r="O1967" s="5">
        <v>45240</v>
      </c>
      <c r="P1967" s="5">
        <v>43777</v>
      </c>
    </row>
    <row r="1968" spans="1:16" x14ac:dyDescent="0.25">
      <c r="A1968" t="s">
        <v>4474</v>
      </c>
      <c r="B1968" t="str">
        <v>SBI Cards and Payment Services Limited</v>
      </c>
      <c r="C1968" t="s">
        <v>14</v>
      </c>
      <c r="D1968">
        <v>750.25</v>
      </c>
      <c r="E1968">
        <v>756</v>
      </c>
      <c r="F1968">
        <v>748.1</v>
      </c>
      <c r="G1968" s="3">
        <v>753.45</v>
      </c>
      <c r="H1968">
        <v>753.1</v>
      </c>
      <c r="I1968">
        <v>750.25</v>
      </c>
      <c r="J1968">
        <v>730509</v>
      </c>
      <c r="K1968">
        <v>549010237.54999995</v>
      </c>
      <c r="L1968" s="1">
        <v>45240</v>
      </c>
      <c r="M1968">
        <v>26979</v>
      </c>
      <c r="N1968" t="s">
        <v>4476</v>
      </c>
      <c r="O1968" s="5">
        <v>45240</v>
      </c>
      <c r="P1968" s="5">
        <v>43777</v>
      </c>
    </row>
    <row r="1969" spans="1:16" x14ac:dyDescent="0.25">
      <c r="A1969" t="s">
        <v>6104</v>
      </c>
      <c r="B1969" t="str">
        <v>Not Found</v>
      </c>
      <c r="C1969" t="s">
        <v>14</v>
      </c>
      <c r="D1969">
        <v>87.27</v>
      </c>
      <c r="E1969">
        <v>87.27</v>
      </c>
      <c r="F1969">
        <v>86.41</v>
      </c>
      <c r="G1969" s="3">
        <v>87.04</v>
      </c>
      <c r="H1969">
        <v>87.09</v>
      </c>
      <c r="I1969">
        <v>87</v>
      </c>
      <c r="J1969">
        <v>1223</v>
      </c>
      <c r="K1969">
        <v>106066.08</v>
      </c>
      <c r="L1969" s="1">
        <v>45240</v>
      </c>
      <c r="M1969">
        <v>56</v>
      </c>
      <c r="N1969" t="s">
        <v>6103</v>
      </c>
      <c r="O1969" s="5">
        <v>45240</v>
      </c>
      <c r="P1969" s="5">
        <v>43777</v>
      </c>
    </row>
    <row r="1970" spans="1:16" x14ac:dyDescent="0.25">
      <c r="A1970" t="s">
        <v>6102</v>
      </c>
      <c r="B1970" t="str">
        <v>Not Found</v>
      </c>
      <c r="C1970" t="s">
        <v>14</v>
      </c>
      <c r="D1970">
        <v>320.16000000000003</v>
      </c>
      <c r="E1970">
        <v>324.29000000000002</v>
      </c>
      <c r="F1970">
        <v>320.16000000000003</v>
      </c>
      <c r="G1970" s="3">
        <v>323.70999999999998</v>
      </c>
      <c r="H1970">
        <v>323.94</v>
      </c>
      <c r="I1970">
        <v>324.57</v>
      </c>
      <c r="J1970">
        <v>4417</v>
      </c>
      <c r="K1970">
        <v>1427734.21</v>
      </c>
      <c r="L1970" s="1">
        <v>45240</v>
      </c>
      <c r="M1970">
        <v>288</v>
      </c>
      <c r="N1970" t="s">
        <v>6101</v>
      </c>
      <c r="O1970" s="5">
        <v>45240</v>
      </c>
      <c r="P1970" s="5">
        <v>43777</v>
      </c>
    </row>
    <row r="1971" spans="1:16" x14ac:dyDescent="0.25">
      <c r="A1971" t="s">
        <v>6100</v>
      </c>
      <c r="B1971" t="str">
        <v>Not Found</v>
      </c>
      <c r="C1971" t="s">
        <v>14</v>
      </c>
      <c r="D1971">
        <v>229.28</v>
      </c>
      <c r="E1971">
        <v>230.75</v>
      </c>
      <c r="F1971">
        <v>228.81</v>
      </c>
      <c r="G1971" s="3">
        <v>230.08</v>
      </c>
      <c r="H1971">
        <v>230.75</v>
      </c>
      <c r="I1971">
        <v>230.23</v>
      </c>
      <c r="J1971">
        <v>2687</v>
      </c>
      <c r="K1971">
        <v>618214.61</v>
      </c>
      <c r="L1971" s="1">
        <v>45240</v>
      </c>
      <c r="M1971">
        <v>65</v>
      </c>
      <c r="N1971" t="s">
        <v>6099</v>
      </c>
      <c r="O1971" s="5">
        <v>45240</v>
      </c>
      <c r="P1971" s="5">
        <v>43777</v>
      </c>
    </row>
    <row r="1972" spans="1:16" x14ac:dyDescent="0.25">
      <c r="A1972" t="s">
        <v>6098</v>
      </c>
      <c r="B1972" t="str">
        <v>Not Found</v>
      </c>
      <c r="C1972" t="s">
        <v>14</v>
      </c>
      <c r="D1972">
        <v>173.17</v>
      </c>
      <c r="E1972">
        <v>173.45</v>
      </c>
      <c r="F1972">
        <v>172.52</v>
      </c>
      <c r="G1972" s="3">
        <v>173.44</v>
      </c>
      <c r="H1972">
        <v>173.45</v>
      </c>
      <c r="I1972">
        <v>173.33</v>
      </c>
      <c r="J1972">
        <v>39752</v>
      </c>
      <c r="K1972">
        <v>6883394.0599999996</v>
      </c>
      <c r="L1972" s="1">
        <v>45240</v>
      </c>
      <c r="M1972">
        <v>49</v>
      </c>
      <c r="N1972" t="s">
        <v>6097</v>
      </c>
      <c r="O1972" s="5">
        <v>45240</v>
      </c>
      <c r="P1972" s="5">
        <v>43777</v>
      </c>
    </row>
    <row r="1973" spans="1:16" x14ac:dyDescent="0.25">
      <c r="A1973" t="s">
        <v>4477</v>
      </c>
      <c r="B1973" t="str">
        <v>SBI Life Insurance Company Limited</v>
      </c>
      <c r="C1973" t="s">
        <v>14</v>
      </c>
      <c r="D1973">
        <v>1351.8</v>
      </c>
      <c r="E1973">
        <v>1360</v>
      </c>
      <c r="F1973">
        <v>1341</v>
      </c>
      <c r="G1973" s="3">
        <v>1355.4</v>
      </c>
      <c r="H1973">
        <v>1355</v>
      </c>
      <c r="I1973">
        <v>1350.7</v>
      </c>
      <c r="J1973">
        <v>639801</v>
      </c>
      <c r="K1973">
        <v>865599871.04999995</v>
      </c>
      <c r="L1973" s="1">
        <v>45240</v>
      </c>
      <c r="M1973">
        <v>38157</v>
      </c>
      <c r="N1973" t="s">
        <v>4479</v>
      </c>
      <c r="O1973" s="5">
        <v>45240</v>
      </c>
      <c r="P1973" s="5">
        <v>43777</v>
      </c>
    </row>
    <row r="1974" spans="1:16" x14ac:dyDescent="0.25">
      <c r="A1974" t="s">
        <v>4480</v>
      </c>
      <c r="B1974" t="str">
        <v>State Bank of India</v>
      </c>
      <c r="C1974" t="s">
        <v>14</v>
      </c>
      <c r="D1974">
        <v>577.79999999999995</v>
      </c>
      <c r="E1974">
        <v>581</v>
      </c>
      <c r="F1974">
        <v>575.4</v>
      </c>
      <c r="G1974" s="3">
        <v>579.5</v>
      </c>
      <c r="H1974">
        <v>580.25</v>
      </c>
      <c r="I1974">
        <v>578.35</v>
      </c>
      <c r="J1974">
        <v>6773038</v>
      </c>
      <c r="K1974">
        <v>3919567928.9000001</v>
      </c>
      <c r="L1974" s="1">
        <v>45240</v>
      </c>
      <c r="M1974">
        <v>119792</v>
      </c>
      <c r="N1974" t="s">
        <v>4482</v>
      </c>
      <c r="O1974" s="5">
        <v>45240</v>
      </c>
      <c r="P1974" s="5">
        <v>43777</v>
      </c>
    </row>
    <row r="1975" spans="1:16" x14ac:dyDescent="0.25">
      <c r="A1975" t="s">
        <v>4483</v>
      </c>
      <c r="B1975" t="str">
        <v>Schaeffler India Limited</v>
      </c>
      <c r="C1975" t="s">
        <v>14</v>
      </c>
      <c r="D1975">
        <v>2779.65</v>
      </c>
      <c r="E1975">
        <v>2797.15</v>
      </c>
      <c r="F1975">
        <v>2723.05</v>
      </c>
      <c r="G1975" s="3">
        <v>2748.45</v>
      </c>
      <c r="H1975">
        <v>2745</v>
      </c>
      <c r="I1975">
        <v>2773.4</v>
      </c>
      <c r="J1975">
        <v>234460</v>
      </c>
      <c r="K1975">
        <v>644556425.29999995</v>
      </c>
      <c r="L1975" s="1">
        <v>45240</v>
      </c>
      <c r="M1975">
        <v>19957</v>
      </c>
      <c r="N1975" t="s">
        <v>4485</v>
      </c>
      <c r="O1975" s="5">
        <v>45240</v>
      </c>
      <c r="P1975" s="5">
        <v>43777</v>
      </c>
    </row>
    <row r="1976" spans="1:16" x14ac:dyDescent="0.25">
      <c r="A1976" t="s">
        <v>4486</v>
      </c>
      <c r="B1976" t="str">
        <v>S Chand And Company Limited</v>
      </c>
      <c r="C1976" t="s">
        <v>14</v>
      </c>
      <c r="D1976">
        <v>249.25</v>
      </c>
      <c r="E1976">
        <v>253</v>
      </c>
      <c r="F1976">
        <v>242</v>
      </c>
      <c r="G1976" s="3">
        <v>248</v>
      </c>
      <c r="H1976">
        <v>248.8</v>
      </c>
      <c r="I1976">
        <v>249.25</v>
      </c>
      <c r="J1976">
        <v>25564</v>
      </c>
      <c r="K1976">
        <v>6318551.8499999996</v>
      </c>
      <c r="L1976" s="1">
        <v>45240</v>
      </c>
      <c r="M1976">
        <v>902</v>
      </c>
      <c r="N1976" t="s">
        <v>4488</v>
      </c>
      <c r="O1976" s="5">
        <v>45240</v>
      </c>
      <c r="P1976" s="5">
        <v>43777</v>
      </c>
    </row>
    <row r="1977" spans="1:16" x14ac:dyDescent="0.25">
      <c r="A1977" t="s">
        <v>4489</v>
      </c>
      <c r="B1977" t="str">
        <v>Schneider Electric Infrastructure Limited</v>
      </c>
      <c r="C1977" t="s">
        <v>14</v>
      </c>
      <c r="D1977">
        <v>331.95</v>
      </c>
      <c r="E1977">
        <v>343.25</v>
      </c>
      <c r="F1977">
        <v>327.8</v>
      </c>
      <c r="G1977" s="3">
        <v>332.05</v>
      </c>
      <c r="H1977">
        <v>332.5</v>
      </c>
      <c r="I1977">
        <v>331.6</v>
      </c>
      <c r="J1977">
        <v>658927</v>
      </c>
      <c r="K1977">
        <v>220978899.75</v>
      </c>
      <c r="L1977" s="1">
        <v>45240</v>
      </c>
      <c r="M1977">
        <v>13083</v>
      </c>
      <c r="N1977" t="s">
        <v>4491</v>
      </c>
      <c r="O1977" s="5">
        <v>45240</v>
      </c>
      <c r="P1977" s="5">
        <v>43777</v>
      </c>
    </row>
    <row r="1978" spans="1:16" x14ac:dyDescent="0.25">
      <c r="A1978" t="s">
        <v>4492</v>
      </c>
      <c r="B1978" t="str">
        <v>Shipping Corporation Of India Limited</v>
      </c>
      <c r="C1978" t="s">
        <v>14</v>
      </c>
      <c r="D1978">
        <v>131.9</v>
      </c>
      <c r="E1978">
        <v>133.6</v>
      </c>
      <c r="F1978">
        <v>130.75</v>
      </c>
      <c r="G1978" s="3">
        <v>131.65</v>
      </c>
      <c r="H1978">
        <v>131.4</v>
      </c>
      <c r="I1978">
        <v>131.65</v>
      </c>
      <c r="J1978">
        <v>1237621</v>
      </c>
      <c r="K1978">
        <v>163409844.30000001</v>
      </c>
      <c r="L1978" s="1">
        <v>45240</v>
      </c>
      <c r="M1978">
        <v>8142</v>
      </c>
      <c r="N1978" t="s">
        <v>4494</v>
      </c>
      <c r="O1978" s="5">
        <v>45240</v>
      </c>
      <c r="P1978" s="5">
        <v>43777</v>
      </c>
    </row>
    <row r="1979" spans="1:16" x14ac:dyDescent="0.25">
      <c r="A1979" t="s">
        <v>6096</v>
      </c>
      <c r="B1979" t="str">
        <v>Not Found</v>
      </c>
      <c r="C1979" t="s">
        <v>5788</v>
      </c>
      <c r="D1979">
        <v>84.7</v>
      </c>
      <c r="E1979">
        <v>84.7</v>
      </c>
      <c r="F1979">
        <v>81</v>
      </c>
      <c r="G1979" s="3">
        <v>83.35</v>
      </c>
      <c r="H1979">
        <v>83.75</v>
      </c>
      <c r="I1979">
        <v>85.3</v>
      </c>
      <c r="J1979">
        <v>60000</v>
      </c>
      <c r="K1979">
        <v>5021600</v>
      </c>
      <c r="L1979" s="1">
        <v>45240</v>
      </c>
      <c r="M1979">
        <v>30</v>
      </c>
      <c r="N1979" t="s">
        <v>6095</v>
      </c>
      <c r="O1979" s="5">
        <v>45240</v>
      </c>
      <c r="P1979" s="5">
        <v>43777</v>
      </c>
    </row>
    <row r="1980" spans="1:16" x14ac:dyDescent="0.25">
      <c r="A1980" t="s">
        <v>4495</v>
      </c>
      <c r="B1980" t="str">
        <v>Sheetal Cool Products Limited</v>
      </c>
      <c r="C1980" t="s">
        <v>14</v>
      </c>
      <c r="D1980">
        <v>354.8</v>
      </c>
      <c r="E1980">
        <v>354.8</v>
      </c>
      <c r="F1980">
        <v>343</v>
      </c>
      <c r="G1980" s="3">
        <v>346.7</v>
      </c>
      <c r="H1980">
        <v>350.55</v>
      </c>
      <c r="I1980">
        <v>348.85</v>
      </c>
      <c r="J1980">
        <v>18501</v>
      </c>
      <c r="K1980">
        <v>6447014.9000000004</v>
      </c>
      <c r="L1980" s="1">
        <v>45240</v>
      </c>
      <c r="M1980">
        <v>1580</v>
      </c>
      <c r="N1980" t="s">
        <v>4497</v>
      </c>
      <c r="O1980" s="5">
        <v>45240</v>
      </c>
      <c r="P1980" s="5">
        <v>43777</v>
      </c>
    </row>
    <row r="1981" spans="1:16" x14ac:dyDescent="0.25">
      <c r="A1981" t="s">
        <v>4498</v>
      </c>
      <c r="B1981" t="str">
        <v>Som Distilleries &amp; Breweries Limited</v>
      </c>
      <c r="C1981" t="s">
        <v>14</v>
      </c>
      <c r="D1981">
        <v>275</v>
      </c>
      <c r="E1981">
        <v>301.14999999999998</v>
      </c>
      <c r="F1981">
        <v>275</v>
      </c>
      <c r="G1981" s="3">
        <v>294.5</v>
      </c>
      <c r="H1981">
        <v>297</v>
      </c>
      <c r="I1981">
        <v>287.8</v>
      </c>
      <c r="J1981">
        <v>552313</v>
      </c>
      <c r="K1981">
        <v>162216076.19999999</v>
      </c>
      <c r="L1981" s="1">
        <v>45240</v>
      </c>
      <c r="M1981">
        <v>12043</v>
      </c>
      <c r="N1981" t="s">
        <v>4500</v>
      </c>
      <c r="O1981" s="5">
        <v>45240</v>
      </c>
      <c r="P1981" s="5">
        <v>43777</v>
      </c>
    </row>
    <row r="1982" spans="1:16" x14ac:dyDescent="0.25">
      <c r="A1982" t="s">
        <v>6094</v>
      </c>
      <c r="B1982" t="str">
        <v>Not Found</v>
      </c>
      <c r="C1982" t="s">
        <v>14</v>
      </c>
      <c r="D1982">
        <v>116.81</v>
      </c>
      <c r="E1982">
        <v>117.03</v>
      </c>
      <c r="F1982">
        <v>116.81</v>
      </c>
      <c r="G1982" s="3">
        <v>116.81</v>
      </c>
      <c r="H1982">
        <v>116.81</v>
      </c>
      <c r="I1982">
        <v>116.91</v>
      </c>
      <c r="J1982">
        <v>244</v>
      </c>
      <c r="K1982">
        <v>28531.97</v>
      </c>
      <c r="L1982" s="1">
        <v>45240</v>
      </c>
      <c r="M1982">
        <v>21</v>
      </c>
      <c r="N1982" t="s">
        <v>6093</v>
      </c>
      <c r="O1982" s="5">
        <v>45240</v>
      </c>
      <c r="P1982" s="5">
        <v>43777</v>
      </c>
    </row>
    <row r="1983" spans="1:16" x14ac:dyDescent="0.25">
      <c r="A1983" t="s">
        <v>6092</v>
      </c>
      <c r="B1983" t="str">
        <v>Not Found</v>
      </c>
      <c r="C1983" t="s">
        <v>14</v>
      </c>
      <c r="D1983">
        <v>116</v>
      </c>
      <c r="E1983">
        <v>116.2</v>
      </c>
      <c r="F1983">
        <v>115.95</v>
      </c>
      <c r="G1983" s="3">
        <v>115.95</v>
      </c>
      <c r="H1983">
        <v>115.95</v>
      </c>
      <c r="I1983">
        <v>115.95</v>
      </c>
      <c r="J1983">
        <v>38852</v>
      </c>
      <c r="K1983">
        <v>4505413.4000000004</v>
      </c>
      <c r="L1983" s="1">
        <v>45240</v>
      </c>
      <c r="M1983">
        <v>34</v>
      </c>
      <c r="N1983" t="s">
        <v>6091</v>
      </c>
      <c r="O1983" s="5">
        <v>45240</v>
      </c>
      <c r="P1983" s="5">
        <v>43777</v>
      </c>
    </row>
    <row r="1984" spans="1:16" x14ac:dyDescent="0.25">
      <c r="A1984" t="s">
        <v>4501</v>
      </c>
      <c r="B1984" t="str">
        <v>Seamec Limited</v>
      </c>
      <c r="C1984" t="s">
        <v>14</v>
      </c>
      <c r="D1984">
        <v>806</v>
      </c>
      <c r="E1984">
        <v>829</v>
      </c>
      <c r="F1984">
        <v>785</v>
      </c>
      <c r="G1984" s="3">
        <v>820.4</v>
      </c>
      <c r="H1984">
        <v>822.45</v>
      </c>
      <c r="I1984">
        <v>821.7</v>
      </c>
      <c r="J1984">
        <v>167314</v>
      </c>
      <c r="K1984">
        <v>135930981.59999999</v>
      </c>
      <c r="L1984" s="1">
        <v>45240</v>
      </c>
      <c r="M1984">
        <v>7618</v>
      </c>
      <c r="N1984" t="s">
        <v>4503</v>
      </c>
      <c r="O1984" s="5">
        <v>45240</v>
      </c>
      <c r="P1984" s="5">
        <v>43777</v>
      </c>
    </row>
    <row r="1985" spans="1:16" x14ac:dyDescent="0.25">
      <c r="A1985" t="s">
        <v>6090</v>
      </c>
      <c r="B1985" t="str">
        <v>Not Found</v>
      </c>
      <c r="C1985" t="s">
        <v>5788</v>
      </c>
      <c r="D1985">
        <v>23.35</v>
      </c>
      <c r="E1985">
        <v>23.35</v>
      </c>
      <c r="F1985">
        <v>21.7</v>
      </c>
      <c r="G1985" s="3">
        <v>21.7</v>
      </c>
      <c r="H1985">
        <v>21.7</v>
      </c>
      <c r="I1985">
        <v>22.8</v>
      </c>
      <c r="J1985">
        <v>100000</v>
      </c>
      <c r="K1985">
        <v>2283750</v>
      </c>
      <c r="L1985" s="1">
        <v>45240</v>
      </c>
      <c r="M1985">
        <v>7</v>
      </c>
      <c r="N1985" t="s">
        <v>6089</v>
      </c>
      <c r="O1985" s="5">
        <v>45240</v>
      </c>
      <c r="P1985" s="5">
        <v>43777</v>
      </c>
    </row>
    <row r="1986" spans="1:16" x14ac:dyDescent="0.25">
      <c r="A1986" t="s">
        <v>4504</v>
      </c>
      <c r="B1986" t="str">
        <v>SecMark Consultancy Limited</v>
      </c>
      <c r="C1986" t="s">
        <v>14</v>
      </c>
      <c r="D1986">
        <v>90.85</v>
      </c>
      <c r="E1986">
        <v>91.25</v>
      </c>
      <c r="F1986">
        <v>87.25</v>
      </c>
      <c r="G1986" s="3">
        <v>88</v>
      </c>
      <c r="H1986">
        <v>90</v>
      </c>
      <c r="I1986">
        <v>87.3</v>
      </c>
      <c r="J1986">
        <v>2898</v>
      </c>
      <c r="K1986">
        <v>257554.55</v>
      </c>
      <c r="L1986" s="1">
        <v>45240</v>
      </c>
      <c r="M1986">
        <v>101</v>
      </c>
      <c r="N1986" t="s">
        <v>4506</v>
      </c>
      <c r="O1986" s="5">
        <v>45240</v>
      </c>
      <c r="P1986" s="5">
        <v>43777</v>
      </c>
    </row>
    <row r="1987" spans="1:16" x14ac:dyDescent="0.25">
      <c r="A1987" t="s">
        <v>4507</v>
      </c>
      <c r="B1987" t="str">
        <v>SecUR Credentials Limited</v>
      </c>
      <c r="C1987" t="s">
        <v>14</v>
      </c>
      <c r="D1987">
        <v>19.45</v>
      </c>
      <c r="E1987">
        <v>21</v>
      </c>
      <c r="F1987">
        <v>19.399999999999999</v>
      </c>
      <c r="G1987" s="3">
        <v>19.850000000000001</v>
      </c>
      <c r="H1987">
        <v>19.899999999999999</v>
      </c>
      <c r="I1987">
        <v>19.45</v>
      </c>
      <c r="J1987">
        <v>915260</v>
      </c>
      <c r="K1987">
        <v>18662434.100000001</v>
      </c>
      <c r="L1987" s="1">
        <v>45240</v>
      </c>
      <c r="M1987">
        <v>2201</v>
      </c>
      <c r="N1987" t="s">
        <v>4509</v>
      </c>
      <c r="O1987" s="5">
        <v>45240</v>
      </c>
      <c r="P1987" s="5">
        <v>43777</v>
      </c>
    </row>
    <row r="1988" spans="1:16" x14ac:dyDescent="0.25">
      <c r="A1988" t="s">
        <v>4510</v>
      </c>
      <c r="B1988" t="str">
        <v>SECUREKLOUD TECHNOLOGIES LIMITED</v>
      </c>
      <c r="C1988" t="s">
        <v>14</v>
      </c>
      <c r="D1988">
        <v>36.65</v>
      </c>
      <c r="E1988">
        <v>37</v>
      </c>
      <c r="F1988">
        <v>35.85</v>
      </c>
      <c r="G1988" s="3">
        <v>36</v>
      </c>
      <c r="H1988">
        <v>36.5</v>
      </c>
      <c r="I1988">
        <v>36.6</v>
      </c>
      <c r="J1988">
        <v>19092</v>
      </c>
      <c r="K1988">
        <v>693397.45</v>
      </c>
      <c r="L1988" s="1">
        <v>45240</v>
      </c>
      <c r="M1988">
        <v>647</v>
      </c>
      <c r="N1988" t="s">
        <v>4512</v>
      </c>
      <c r="O1988" s="5">
        <v>45240</v>
      </c>
      <c r="P1988" s="5">
        <v>43777</v>
      </c>
    </row>
    <row r="1989" spans="1:16" x14ac:dyDescent="0.25">
      <c r="A1989" t="s">
        <v>4513</v>
      </c>
      <c r="B1989" t="str">
        <v>Sejal Glass Limited</v>
      </c>
      <c r="C1989" t="s">
        <v>10</v>
      </c>
      <c r="D1989">
        <v>298</v>
      </c>
      <c r="E1989">
        <v>308.35000000000002</v>
      </c>
      <c r="F1989">
        <v>293</v>
      </c>
      <c r="G1989" s="3">
        <v>295.3</v>
      </c>
      <c r="H1989">
        <v>300</v>
      </c>
      <c r="I1989">
        <v>293.7</v>
      </c>
      <c r="J1989">
        <v>27923</v>
      </c>
      <c r="K1989">
        <v>8568280.6999999993</v>
      </c>
      <c r="L1989" s="1">
        <v>45240</v>
      </c>
      <c r="M1989">
        <v>175</v>
      </c>
      <c r="N1989" t="s">
        <v>4515</v>
      </c>
      <c r="O1989" s="5">
        <v>45240</v>
      </c>
      <c r="P1989" s="5">
        <v>43777</v>
      </c>
    </row>
    <row r="1990" spans="1:16" x14ac:dyDescent="0.25">
      <c r="A1990" t="s">
        <v>6088</v>
      </c>
      <c r="B1990" t="str">
        <v>Not Found</v>
      </c>
      <c r="C1990" t="s">
        <v>5788</v>
      </c>
      <c r="D1990">
        <v>161</v>
      </c>
      <c r="E1990">
        <v>169</v>
      </c>
      <c r="F1990">
        <v>161</v>
      </c>
      <c r="G1990" s="3">
        <v>169</v>
      </c>
      <c r="H1990">
        <v>169</v>
      </c>
      <c r="I1990">
        <v>167.95</v>
      </c>
      <c r="J1990">
        <v>4000</v>
      </c>
      <c r="K1990">
        <v>662400</v>
      </c>
      <c r="L1990" s="1">
        <v>45240</v>
      </c>
      <c r="M1990">
        <v>5</v>
      </c>
      <c r="N1990" t="s">
        <v>6087</v>
      </c>
      <c r="O1990" s="5">
        <v>45240</v>
      </c>
      <c r="P1990" s="5">
        <v>43777</v>
      </c>
    </row>
    <row r="1991" spans="1:16" x14ac:dyDescent="0.25">
      <c r="A1991" t="s">
        <v>4516</v>
      </c>
      <c r="B1991" t="str">
        <v>Selan Exploration Technology Limited</v>
      </c>
      <c r="C1991" t="s">
        <v>14</v>
      </c>
      <c r="D1991">
        <v>449.75</v>
      </c>
      <c r="E1991">
        <v>459.9</v>
      </c>
      <c r="F1991">
        <v>443.35</v>
      </c>
      <c r="G1991" s="3">
        <v>453</v>
      </c>
      <c r="H1991">
        <v>457</v>
      </c>
      <c r="I1991">
        <v>450.4</v>
      </c>
      <c r="J1991">
        <v>68208</v>
      </c>
      <c r="K1991">
        <v>30731117.550000001</v>
      </c>
      <c r="L1991" s="1">
        <v>45240</v>
      </c>
      <c r="M1991">
        <v>5157</v>
      </c>
      <c r="N1991" t="s">
        <v>4518</v>
      </c>
      <c r="O1991" s="5">
        <v>45240</v>
      </c>
      <c r="P1991" s="5">
        <v>43777</v>
      </c>
    </row>
    <row r="1992" spans="1:16" x14ac:dyDescent="0.25">
      <c r="A1992" t="s">
        <v>4519</v>
      </c>
      <c r="B1992" t="str">
        <v>SEL Manufacturing Company Limited</v>
      </c>
      <c r="C1992" t="s">
        <v>10</v>
      </c>
      <c r="D1992">
        <v>99.4</v>
      </c>
      <c r="E1992">
        <v>99.45</v>
      </c>
      <c r="F1992">
        <v>97.3</v>
      </c>
      <c r="G1992" s="3">
        <v>98.45</v>
      </c>
      <c r="H1992">
        <v>98</v>
      </c>
      <c r="I1992">
        <v>97.5</v>
      </c>
      <c r="J1992">
        <v>5078</v>
      </c>
      <c r="K1992">
        <v>500509.15</v>
      </c>
      <c r="L1992" s="1">
        <v>45240</v>
      </c>
      <c r="M1992">
        <v>148</v>
      </c>
      <c r="N1992" t="s">
        <v>4521</v>
      </c>
      <c r="O1992" s="5">
        <v>45240</v>
      </c>
      <c r="P1992" s="5">
        <v>43777</v>
      </c>
    </row>
    <row r="1993" spans="1:16" x14ac:dyDescent="0.25">
      <c r="A1993" t="s">
        <v>4522</v>
      </c>
      <c r="B1993" t="str">
        <v>SEMAC CONSULTANTS LIMITED</v>
      </c>
      <c r="C1993" t="s">
        <v>10</v>
      </c>
      <c r="D1993">
        <v>1941.5</v>
      </c>
      <c r="E1993">
        <v>1941.5</v>
      </c>
      <c r="F1993">
        <v>1915</v>
      </c>
      <c r="G1993" s="3">
        <v>1939.9</v>
      </c>
      <c r="H1993">
        <v>1939.9</v>
      </c>
      <c r="I1993">
        <v>1941.4</v>
      </c>
      <c r="J1993">
        <v>584</v>
      </c>
      <c r="K1993">
        <v>1132472.5</v>
      </c>
      <c r="L1993" s="1">
        <v>45240</v>
      </c>
      <c r="M1993">
        <v>24</v>
      </c>
      <c r="N1993" t="s">
        <v>4524</v>
      </c>
      <c r="O1993" s="5">
        <v>45240</v>
      </c>
      <c r="P1993" s="5">
        <v>43777</v>
      </c>
    </row>
    <row r="1994" spans="1:16" x14ac:dyDescent="0.25">
      <c r="A1994" t="s">
        <v>4525</v>
      </c>
      <c r="B1994" t="str">
        <v>Senco Gold Limited</v>
      </c>
      <c r="C1994" t="s">
        <v>14</v>
      </c>
      <c r="D1994">
        <v>698</v>
      </c>
      <c r="E1994">
        <v>698</v>
      </c>
      <c r="F1994">
        <v>632</v>
      </c>
      <c r="G1994" s="3">
        <v>657.4</v>
      </c>
      <c r="H1994">
        <v>663</v>
      </c>
      <c r="I1994">
        <v>701.8</v>
      </c>
      <c r="J1994">
        <v>912216</v>
      </c>
      <c r="K1994">
        <v>604582139.20000005</v>
      </c>
      <c r="L1994" s="1">
        <v>45240</v>
      </c>
      <c r="M1994">
        <v>31022</v>
      </c>
      <c r="N1994" t="s">
        <v>4527</v>
      </c>
      <c r="O1994" s="5">
        <v>45240</v>
      </c>
      <c r="P1994" s="5">
        <v>43777</v>
      </c>
    </row>
    <row r="1995" spans="1:16" x14ac:dyDescent="0.25">
      <c r="A1995" t="s">
        <v>6086</v>
      </c>
      <c r="B1995" t="str">
        <v>Not Found</v>
      </c>
      <c r="C1995" t="s">
        <v>14</v>
      </c>
      <c r="D1995">
        <v>65.05</v>
      </c>
      <c r="E1995">
        <v>65.3</v>
      </c>
      <c r="F1995">
        <v>64.930000000000007</v>
      </c>
      <c r="G1995" s="3">
        <v>65.27</v>
      </c>
      <c r="H1995">
        <v>65.27</v>
      </c>
      <c r="I1995">
        <v>65.27</v>
      </c>
      <c r="J1995">
        <v>2096</v>
      </c>
      <c r="K1995">
        <v>136317.81</v>
      </c>
      <c r="L1995" s="1">
        <v>45240</v>
      </c>
      <c r="M1995">
        <v>74</v>
      </c>
      <c r="N1995" t="s">
        <v>6085</v>
      </c>
      <c r="O1995" s="5">
        <v>45240</v>
      </c>
      <c r="P1995" s="5">
        <v>43777</v>
      </c>
    </row>
    <row r="1996" spans="1:16" x14ac:dyDescent="0.25">
      <c r="A1996" t="s">
        <v>4528</v>
      </c>
      <c r="B1996" t="str">
        <v>SEPC Limited</v>
      </c>
      <c r="C1996" t="s">
        <v>14</v>
      </c>
      <c r="D1996">
        <v>22.7</v>
      </c>
      <c r="E1996">
        <v>24.5</v>
      </c>
      <c r="F1996">
        <v>22.7</v>
      </c>
      <c r="G1996" s="3">
        <v>24.3</v>
      </c>
      <c r="H1996">
        <v>24.25</v>
      </c>
      <c r="I1996">
        <v>23.5</v>
      </c>
      <c r="J1996">
        <v>11323920</v>
      </c>
      <c r="K1996">
        <v>269747612.05000001</v>
      </c>
      <c r="L1996" s="1">
        <v>45240</v>
      </c>
      <c r="M1996">
        <v>12416</v>
      </c>
      <c r="N1996" t="s">
        <v>4530</v>
      </c>
      <c r="O1996" s="5">
        <v>45240</v>
      </c>
      <c r="P1996" s="5">
        <v>43777</v>
      </c>
    </row>
    <row r="1997" spans="1:16" x14ac:dyDescent="0.25">
      <c r="A1997" t="s">
        <v>4531</v>
      </c>
      <c r="B1997" t="str">
        <v>Sequent Scientific Limited</v>
      </c>
      <c r="C1997" t="s">
        <v>14</v>
      </c>
      <c r="D1997">
        <v>98.1</v>
      </c>
      <c r="E1997">
        <v>100.35</v>
      </c>
      <c r="F1997">
        <v>97.25</v>
      </c>
      <c r="G1997" s="3">
        <v>97.7</v>
      </c>
      <c r="H1997">
        <v>97.75</v>
      </c>
      <c r="I1997">
        <v>98.2</v>
      </c>
      <c r="J1997">
        <v>974561</v>
      </c>
      <c r="K1997">
        <v>96135728</v>
      </c>
      <c r="L1997" s="1">
        <v>45240</v>
      </c>
      <c r="M1997">
        <v>8620</v>
      </c>
      <c r="N1997" t="s">
        <v>4533</v>
      </c>
      <c r="O1997" s="5">
        <v>45240</v>
      </c>
      <c r="P1997" s="5">
        <v>43777</v>
      </c>
    </row>
    <row r="1998" spans="1:16" x14ac:dyDescent="0.25">
      <c r="A1998" t="s">
        <v>4534</v>
      </c>
      <c r="B1998" t="str">
        <v>Servotech Power Systems Limited</v>
      </c>
      <c r="C1998" t="s">
        <v>10</v>
      </c>
      <c r="D1998">
        <v>74.45</v>
      </c>
      <c r="E1998">
        <v>75.25</v>
      </c>
      <c r="F1998">
        <v>73</v>
      </c>
      <c r="G1998" s="3">
        <v>74.7</v>
      </c>
      <c r="H1998">
        <v>74.7</v>
      </c>
      <c r="I1998">
        <v>73.5</v>
      </c>
      <c r="J1998">
        <v>135373</v>
      </c>
      <c r="K1998">
        <v>10094959.5</v>
      </c>
      <c r="L1998" s="1">
        <v>45240</v>
      </c>
      <c r="M1998">
        <v>1031</v>
      </c>
      <c r="N1998" t="s">
        <v>4536</v>
      </c>
      <c r="O1998" s="5">
        <v>45240</v>
      </c>
      <c r="P1998" s="5">
        <v>43777</v>
      </c>
    </row>
    <row r="1999" spans="1:16" x14ac:dyDescent="0.25">
      <c r="A1999" t="s">
        <v>4537</v>
      </c>
      <c r="B1999" t="str">
        <v>Seshasayee Paper and Boards Limited</v>
      </c>
      <c r="C1999" t="s">
        <v>14</v>
      </c>
      <c r="D1999">
        <v>331.6</v>
      </c>
      <c r="E1999">
        <v>335</v>
      </c>
      <c r="F1999">
        <v>329.1</v>
      </c>
      <c r="G1999" s="3">
        <v>331.1</v>
      </c>
      <c r="H1999">
        <v>331</v>
      </c>
      <c r="I1999">
        <v>331.6</v>
      </c>
      <c r="J1999">
        <v>48789</v>
      </c>
      <c r="K1999">
        <v>16202102.300000001</v>
      </c>
      <c r="L1999" s="1">
        <v>45240</v>
      </c>
      <c r="M1999">
        <v>3251</v>
      </c>
      <c r="N1999" t="s">
        <v>4539</v>
      </c>
      <c r="O1999" s="5">
        <v>45240</v>
      </c>
      <c r="P1999" s="5">
        <v>43777</v>
      </c>
    </row>
    <row r="2000" spans="1:16" x14ac:dyDescent="0.25">
      <c r="A2000" t="s">
        <v>4540</v>
      </c>
      <c r="B2000" t="str">
        <v>Setco Automotive Limited</v>
      </c>
      <c r="C2000" t="s">
        <v>10</v>
      </c>
      <c r="D2000">
        <v>6.65</v>
      </c>
      <c r="E2000">
        <v>6.65</v>
      </c>
      <c r="F2000">
        <v>6.6</v>
      </c>
      <c r="G2000" s="3">
        <v>6.65</v>
      </c>
      <c r="H2000">
        <v>6.65</v>
      </c>
      <c r="I2000">
        <v>6.7</v>
      </c>
      <c r="J2000">
        <v>19783</v>
      </c>
      <c r="K2000">
        <v>131121.29999999999</v>
      </c>
      <c r="L2000" s="1">
        <v>45240</v>
      </c>
      <c r="M2000">
        <v>41</v>
      </c>
      <c r="N2000" t="s">
        <v>4542</v>
      </c>
      <c r="O2000" s="5">
        <v>45240</v>
      </c>
      <c r="P2000" s="5">
        <v>43777</v>
      </c>
    </row>
    <row r="2001" spans="1:16" x14ac:dyDescent="0.25">
      <c r="A2001" t="s">
        <v>6084</v>
      </c>
      <c r="B2001" t="str">
        <v>Not Found</v>
      </c>
      <c r="C2001" t="s">
        <v>14</v>
      </c>
      <c r="D2001">
        <v>219.5</v>
      </c>
      <c r="E2001">
        <v>219.99</v>
      </c>
      <c r="F2001">
        <v>219.01</v>
      </c>
      <c r="G2001" s="3">
        <v>219.23</v>
      </c>
      <c r="H2001">
        <v>219.02</v>
      </c>
      <c r="I2001">
        <v>219.62</v>
      </c>
      <c r="J2001">
        <v>4896</v>
      </c>
      <c r="K2001">
        <v>1075751.23</v>
      </c>
      <c r="L2001" s="1">
        <v>45240</v>
      </c>
      <c r="M2001">
        <v>18</v>
      </c>
      <c r="N2001" t="s">
        <v>6083</v>
      </c>
      <c r="O2001" s="5">
        <v>45240</v>
      </c>
      <c r="P2001" s="5">
        <v>43777</v>
      </c>
    </row>
    <row r="2002" spans="1:16" x14ac:dyDescent="0.25">
      <c r="A2002" t="s">
        <v>6082</v>
      </c>
      <c r="B2002" t="str">
        <v>Not Found</v>
      </c>
      <c r="C2002" t="s">
        <v>14</v>
      </c>
      <c r="D2002">
        <v>54.05</v>
      </c>
      <c r="E2002">
        <v>54.05</v>
      </c>
      <c r="F2002">
        <v>52.61</v>
      </c>
      <c r="G2002" s="3">
        <v>52.78</v>
      </c>
      <c r="H2002">
        <v>52.79</v>
      </c>
      <c r="I2002">
        <v>52.46</v>
      </c>
      <c r="J2002">
        <v>850442</v>
      </c>
      <c r="K2002">
        <v>44866700.030000001</v>
      </c>
      <c r="L2002" s="1">
        <v>45240</v>
      </c>
      <c r="M2002">
        <v>4767</v>
      </c>
      <c r="N2002" t="s">
        <v>6081</v>
      </c>
      <c r="O2002" s="5">
        <v>45240</v>
      </c>
      <c r="P2002" s="5">
        <v>43777</v>
      </c>
    </row>
    <row r="2003" spans="1:16" x14ac:dyDescent="0.25">
      <c r="A2003" t="s">
        <v>6080</v>
      </c>
      <c r="B2003" t="str">
        <v>Not Found</v>
      </c>
      <c r="C2003" t="s">
        <v>14</v>
      </c>
      <c r="D2003">
        <v>202.59</v>
      </c>
      <c r="E2003">
        <v>202.95</v>
      </c>
      <c r="F2003">
        <v>201.35</v>
      </c>
      <c r="G2003" s="3">
        <v>202.65</v>
      </c>
      <c r="H2003">
        <v>202.9</v>
      </c>
      <c r="I2003">
        <v>202.81</v>
      </c>
      <c r="J2003">
        <v>123701</v>
      </c>
      <c r="K2003">
        <v>25017319.32</v>
      </c>
      <c r="L2003" s="1">
        <v>45240</v>
      </c>
      <c r="M2003">
        <v>2126</v>
      </c>
      <c r="N2003" t="s">
        <v>6079</v>
      </c>
      <c r="O2003" s="5">
        <v>45240</v>
      </c>
      <c r="P2003" s="5">
        <v>43777</v>
      </c>
    </row>
    <row r="2004" spans="1:16" x14ac:dyDescent="0.25">
      <c r="A2004" t="s">
        <v>6078</v>
      </c>
      <c r="B2004" t="str">
        <v>Not Found</v>
      </c>
      <c r="C2004" t="s">
        <v>14</v>
      </c>
      <c r="D2004">
        <v>443.15</v>
      </c>
      <c r="E2004">
        <v>443.7</v>
      </c>
      <c r="F2004">
        <v>440</v>
      </c>
      <c r="G2004" s="3">
        <v>442.64</v>
      </c>
      <c r="H2004">
        <v>443.7</v>
      </c>
      <c r="I2004">
        <v>441.28</v>
      </c>
      <c r="J2004">
        <v>10487</v>
      </c>
      <c r="K2004">
        <v>4629717.75</v>
      </c>
      <c r="L2004" s="1">
        <v>45240</v>
      </c>
      <c r="M2004">
        <v>287</v>
      </c>
      <c r="N2004" t="s">
        <v>6077</v>
      </c>
      <c r="O2004" s="5">
        <v>45240</v>
      </c>
      <c r="P2004" s="5">
        <v>43777</v>
      </c>
    </row>
    <row r="2005" spans="1:16" x14ac:dyDescent="0.25">
      <c r="A2005" t="s">
        <v>6076</v>
      </c>
      <c r="B2005" t="str">
        <v>Not Found</v>
      </c>
      <c r="C2005" t="s">
        <v>14</v>
      </c>
      <c r="D2005">
        <v>483.48</v>
      </c>
      <c r="E2005">
        <v>483.48</v>
      </c>
      <c r="F2005">
        <v>476.81</v>
      </c>
      <c r="G2005" s="3">
        <v>481.13</v>
      </c>
      <c r="H2005">
        <v>481.3</v>
      </c>
      <c r="I2005">
        <v>480.51</v>
      </c>
      <c r="J2005">
        <v>7789</v>
      </c>
      <c r="K2005">
        <v>3737818.01</v>
      </c>
      <c r="L2005" s="1">
        <v>45240</v>
      </c>
      <c r="M2005">
        <v>373</v>
      </c>
      <c r="N2005" t="s">
        <v>6075</v>
      </c>
      <c r="O2005" s="5">
        <v>45240</v>
      </c>
      <c r="P2005" s="5">
        <v>43777</v>
      </c>
    </row>
    <row r="2006" spans="1:16" x14ac:dyDescent="0.25">
      <c r="A2006" t="s">
        <v>4543</v>
      </c>
      <c r="B2006" t="str">
        <v>Seya Industries Limited</v>
      </c>
      <c r="C2006" t="s">
        <v>10</v>
      </c>
      <c r="D2006">
        <v>24.65</v>
      </c>
      <c r="E2006">
        <v>24.65</v>
      </c>
      <c r="F2006">
        <v>24.65</v>
      </c>
      <c r="G2006" s="3">
        <v>24.65</v>
      </c>
      <c r="H2006">
        <v>24.65</v>
      </c>
      <c r="I2006">
        <v>25.15</v>
      </c>
      <c r="J2006">
        <v>4136</v>
      </c>
      <c r="K2006">
        <v>101952.4</v>
      </c>
      <c r="L2006" s="1">
        <v>45240</v>
      </c>
      <c r="M2006">
        <v>9</v>
      </c>
      <c r="N2006" t="s">
        <v>4545</v>
      </c>
      <c r="O2006" s="5">
        <v>45240</v>
      </c>
      <c r="P2006" s="5">
        <v>43777</v>
      </c>
    </row>
    <row r="2007" spans="1:16" x14ac:dyDescent="0.25">
      <c r="A2007" t="s">
        <v>4546</v>
      </c>
      <c r="B2007" t="str">
        <v>Sheela Foam Limited</v>
      </c>
      <c r="C2007" t="s">
        <v>14</v>
      </c>
      <c r="D2007">
        <v>1070.9000000000001</v>
      </c>
      <c r="E2007">
        <v>1106</v>
      </c>
      <c r="F2007">
        <v>1067.05</v>
      </c>
      <c r="G2007" s="3">
        <v>1090.25</v>
      </c>
      <c r="H2007">
        <v>1088</v>
      </c>
      <c r="I2007">
        <v>1074.7</v>
      </c>
      <c r="J2007">
        <v>80655</v>
      </c>
      <c r="K2007">
        <v>87473939</v>
      </c>
      <c r="L2007" s="1">
        <v>45240</v>
      </c>
      <c r="M2007">
        <v>5820</v>
      </c>
      <c r="N2007" t="s">
        <v>4548</v>
      </c>
      <c r="O2007" s="5">
        <v>45240</v>
      </c>
      <c r="P2007" s="5">
        <v>43777</v>
      </c>
    </row>
    <row r="2008" spans="1:16" x14ac:dyDescent="0.25">
      <c r="A2008" t="s">
        <v>6074</v>
      </c>
      <c r="B2008" t="str">
        <v>Not Found</v>
      </c>
      <c r="C2008" t="s">
        <v>5953</v>
      </c>
      <c r="D2008">
        <v>5999.99</v>
      </c>
      <c r="E2008">
        <v>6139</v>
      </c>
      <c r="F2008">
        <v>5990</v>
      </c>
      <c r="G2008" s="3">
        <v>6102.54</v>
      </c>
      <c r="H2008">
        <v>6100</v>
      </c>
      <c r="I2008">
        <v>5989.1</v>
      </c>
      <c r="J2008">
        <v>2472</v>
      </c>
      <c r="K2008">
        <v>14851508.25</v>
      </c>
      <c r="L2008" s="1">
        <v>45240</v>
      </c>
      <c r="M2008">
        <v>152</v>
      </c>
      <c r="N2008" t="s">
        <v>6073</v>
      </c>
      <c r="O2008" s="5">
        <v>45240</v>
      </c>
      <c r="P2008" s="5">
        <v>43777</v>
      </c>
    </row>
    <row r="2009" spans="1:16" x14ac:dyDescent="0.25">
      <c r="A2009" t="s">
        <v>6072</v>
      </c>
      <c r="B2009" t="str">
        <v>Not Found</v>
      </c>
      <c r="C2009" t="s">
        <v>5953</v>
      </c>
      <c r="D2009">
        <v>6059</v>
      </c>
      <c r="E2009">
        <v>6125</v>
      </c>
      <c r="F2009">
        <v>6035.11</v>
      </c>
      <c r="G2009" s="3">
        <v>6094.6</v>
      </c>
      <c r="H2009">
        <v>6093</v>
      </c>
      <c r="I2009">
        <v>6000</v>
      </c>
      <c r="J2009">
        <v>242</v>
      </c>
      <c r="K2009">
        <v>1472590.15</v>
      </c>
      <c r="L2009" s="1">
        <v>45240</v>
      </c>
      <c r="M2009">
        <v>109</v>
      </c>
      <c r="N2009" t="s">
        <v>6071</v>
      </c>
      <c r="O2009" s="5">
        <v>45240</v>
      </c>
      <c r="P2009" s="5">
        <v>43777</v>
      </c>
    </row>
    <row r="2010" spans="1:16" x14ac:dyDescent="0.25">
      <c r="A2010" t="s">
        <v>6070</v>
      </c>
      <c r="B2010" t="str">
        <v>Not Found</v>
      </c>
      <c r="C2010" t="s">
        <v>5953</v>
      </c>
      <c r="D2010">
        <v>6050</v>
      </c>
      <c r="E2010">
        <v>6099</v>
      </c>
      <c r="F2010">
        <v>5990</v>
      </c>
      <c r="G2010" s="3">
        <v>6061.42</v>
      </c>
      <c r="H2010">
        <v>6090</v>
      </c>
      <c r="I2010">
        <v>6035</v>
      </c>
      <c r="J2010">
        <v>108</v>
      </c>
      <c r="K2010">
        <v>655558.91</v>
      </c>
      <c r="L2010" s="1">
        <v>45240</v>
      </c>
      <c r="M2010">
        <v>48</v>
      </c>
      <c r="N2010" t="s">
        <v>6069</v>
      </c>
      <c r="O2010" s="5">
        <v>45240</v>
      </c>
      <c r="P2010" s="5">
        <v>43777</v>
      </c>
    </row>
    <row r="2011" spans="1:16" x14ac:dyDescent="0.25">
      <c r="A2011" t="s">
        <v>6068</v>
      </c>
      <c r="B2011" t="str">
        <v>Not Found</v>
      </c>
      <c r="C2011" t="s">
        <v>5953</v>
      </c>
      <c r="D2011">
        <v>5990</v>
      </c>
      <c r="E2011">
        <v>6060</v>
      </c>
      <c r="F2011">
        <v>5980</v>
      </c>
      <c r="G2011" s="3">
        <v>6049.79</v>
      </c>
      <c r="H2011">
        <v>6060</v>
      </c>
      <c r="I2011">
        <v>5975.47</v>
      </c>
      <c r="J2011">
        <v>3742</v>
      </c>
      <c r="K2011">
        <v>22526261.559999999</v>
      </c>
      <c r="L2011" s="1">
        <v>45240</v>
      </c>
      <c r="M2011">
        <v>745</v>
      </c>
      <c r="N2011" t="s">
        <v>6067</v>
      </c>
      <c r="O2011" s="5">
        <v>45240</v>
      </c>
      <c r="P2011" s="5">
        <v>43777</v>
      </c>
    </row>
    <row r="2012" spans="1:16" x14ac:dyDescent="0.25">
      <c r="A2012" t="s">
        <v>6066</v>
      </c>
      <c r="B2012" t="str">
        <v>Not Found</v>
      </c>
      <c r="C2012" t="s">
        <v>5953</v>
      </c>
      <c r="D2012">
        <v>6048</v>
      </c>
      <c r="E2012">
        <v>6069.8</v>
      </c>
      <c r="F2012">
        <v>5992</v>
      </c>
      <c r="G2012" s="3">
        <v>6061.72</v>
      </c>
      <c r="H2012">
        <v>6062</v>
      </c>
      <c r="I2012">
        <v>5961</v>
      </c>
      <c r="J2012">
        <v>256</v>
      </c>
      <c r="K2012">
        <v>1547589.61</v>
      </c>
      <c r="L2012" s="1">
        <v>45240</v>
      </c>
      <c r="M2012">
        <v>76</v>
      </c>
      <c r="N2012" t="s">
        <v>6065</v>
      </c>
      <c r="O2012" s="5">
        <v>45240</v>
      </c>
      <c r="P2012" s="5">
        <v>43777</v>
      </c>
    </row>
    <row r="2013" spans="1:16" x14ac:dyDescent="0.25">
      <c r="A2013" t="s">
        <v>6064</v>
      </c>
      <c r="B2013" t="str">
        <v>Not Found</v>
      </c>
      <c r="C2013" t="s">
        <v>5953</v>
      </c>
      <c r="D2013">
        <v>6019</v>
      </c>
      <c r="E2013">
        <v>6142.98</v>
      </c>
      <c r="F2013">
        <v>5980</v>
      </c>
      <c r="G2013" s="3">
        <v>6111.2</v>
      </c>
      <c r="H2013">
        <v>6060</v>
      </c>
      <c r="I2013">
        <v>5996.07</v>
      </c>
      <c r="J2013">
        <v>676</v>
      </c>
      <c r="K2013">
        <v>4084038.77</v>
      </c>
      <c r="L2013" s="1">
        <v>45240</v>
      </c>
      <c r="M2013">
        <v>168</v>
      </c>
      <c r="N2013" t="s">
        <v>6063</v>
      </c>
      <c r="O2013" s="5">
        <v>45240</v>
      </c>
      <c r="P2013" s="5">
        <v>43777</v>
      </c>
    </row>
    <row r="2014" spans="1:16" x14ac:dyDescent="0.25">
      <c r="A2014" t="s">
        <v>6062</v>
      </c>
      <c r="B2014" t="str">
        <v>Not Found</v>
      </c>
      <c r="C2014" t="s">
        <v>5953</v>
      </c>
      <c r="D2014">
        <v>6000</v>
      </c>
      <c r="E2014">
        <v>6050</v>
      </c>
      <c r="F2014">
        <v>5980.01</v>
      </c>
      <c r="G2014" s="3">
        <v>6041.12</v>
      </c>
      <c r="H2014">
        <v>6049.97</v>
      </c>
      <c r="I2014">
        <v>5968</v>
      </c>
      <c r="J2014">
        <v>376</v>
      </c>
      <c r="K2014">
        <v>2270012.8199999998</v>
      </c>
      <c r="L2014" s="1">
        <v>45240</v>
      </c>
      <c r="M2014">
        <v>77</v>
      </c>
      <c r="N2014" t="s">
        <v>6061</v>
      </c>
      <c r="O2014" s="5">
        <v>45240</v>
      </c>
      <c r="P2014" s="5">
        <v>43777</v>
      </c>
    </row>
    <row r="2015" spans="1:16" x14ac:dyDescent="0.25">
      <c r="A2015" t="s">
        <v>6060</v>
      </c>
      <c r="B2015" t="str">
        <v>Not Found</v>
      </c>
      <c r="C2015" t="s">
        <v>5953</v>
      </c>
      <c r="D2015">
        <v>6078</v>
      </c>
      <c r="E2015">
        <v>6120</v>
      </c>
      <c r="F2015">
        <v>6000</v>
      </c>
      <c r="G2015" s="3">
        <v>6073.66</v>
      </c>
      <c r="H2015">
        <v>6100</v>
      </c>
      <c r="I2015">
        <v>5999</v>
      </c>
      <c r="J2015">
        <v>32</v>
      </c>
      <c r="K2015">
        <v>193991.99</v>
      </c>
      <c r="L2015" s="1">
        <v>45240</v>
      </c>
      <c r="M2015">
        <v>13</v>
      </c>
      <c r="N2015" t="s">
        <v>6059</v>
      </c>
      <c r="O2015" s="5">
        <v>45240</v>
      </c>
      <c r="P2015" s="5">
        <v>43777</v>
      </c>
    </row>
    <row r="2016" spans="1:16" x14ac:dyDescent="0.25">
      <c r="A2016" t="s">
        <v>6058</v>
      </c>
      <c r="B2016" t="str">
        <v>Not Found</v>
      </c>
      <c r="C2016" t="s">
        <v>5953</v>
      </c>
      <c r="D2016">
        <v>5999.8</v>
      </c>
      <c r="E2016">
        <v>6080</v>
      </c>
      <c r="F2016">
        <v>5995</v>
      </c>
      <c r="G2016" s="3">
        <v>6054.09</v>
      </c>
      <c r="H2016">
        <v>6079</v>
      </c>
      <c r="I2016">
        <v>5986.82</v>
      </c>
      <c r="J2016">
        <v>670</v>
      </c>
      <c r="K2016">
        <v>4039488.9</v>
      </c>
      <c r="L2016" s="1">
        <v>45240</v>
      </c>
      <c r="M2016">
        <v>190</v>
      </c>
      <c r="N2016" t="s">
        <v>6057</v>
      </c>
      <c r="O2016" s="5">
        <v>45240</v>
      </c>
      <c r="P2016" s="5">
        <v>43777</v>
      </c>
    </row>
    <row r="2017" spans="1:16" x14ac:dyDescent="0.25">
      <c r="A2017" t="s">
        <v>6056</v>
      </c>
      <c r="B2017" t="str">
        <v>Not Found</v>
      </c>
      <c r="C2017" t="s">
        <v>5953</v>
      </c>
      <c r="D2017">
        <v>6250</v>
      </c>
      <c r="E2017">
        <v>6250</v>
      </c>
      <c r="F2017">
        <v>6250</v>
      </c>
      <c r="G2017" s="3">
        <v>6250</v>
      </c>
      <c r="H2017">
        <v>6250</v>
      </c>
      <c r="I2017">
        <v>6100</v>
      </c>
      <c r="J2017">
        <v>5</v>
      </c>
      <c r="K2017">
        <v>31250</v>
      </c>
      <c r="L2017" s="1">
        <v>45240</v>
      </c>
      <c r="M2017">
        <v>1</v>
      </c>
      <c r="N2017" t="s">
        <v>6055</v>
      </c>
      <c r="O2017" s="5">
        <v>45240</v>
      </c>
      <c r="P2017" s="5">
        <v>43777</v>
      </c>
    </row>
    <row r="2018" spans="1:16" x14ac:dyDescent="0.25">
      <c r="A2018" t="s">
        <v>6054</v>
      </c>
      <c r="B2018" t="str">
        <v>Not Found</v>
      </c>
      <c r="C2018" t="s">
        <v>5953</v>
      </c>
      <c r="D2018">
        <v>6075</v>
      </c>
      <c r="E2018">
        <v>6099</v>
      </c>
      <c r="F2018">
        <v>6049</v>
      </c>
      <c r="G2018" s="3">
        <v>6049</v>
      </c>
      <c r="H2018">
        <v>6049</v>
      </c>
      <c r="I2018">
        <v>5999</v>
      </c>
      <c r="J2018">
        <v>11</v>
      </c>
      <c r="K2018">
        <v>66743</v>
      </c>
      <c r="L2018" s="1">
        <v>45240</v>
      </c>
      <c r="M2018">
        <v>8</v>
      </c>
      <c r="N2018" t="s">
        <v>6053</v>
      </c>
      <c r="O2018" s="5">
        <v>45240</v>
      </c>
      <c r="P2018" s="5">
        <v>43777</v>
      </c>
    </row>
    <row r="2019" spans="1:16" x14ac:dyDescent="0.25">
      <c r="A2019" t="s">
        <v>6052</v>
      </c>
      <c r="B2019" t="str">
        <v>Not Found</v>
      </c>
      <c r="C2019" t="s">
        <v>5953</v>
      </c>
      <c r="D2019">
        <v>6025</v>
      </c>
      <c r="E2019">
        <v>6125</v>
      </c>
      <c r="F2019">
        <v>6025</v>
      </c>
      <c r="G2019" s="3">
        <v>6125</v>
      </c>
      <c r="H2019">
        <v>6125</v>
      </c>
      <c r="I2019">
        <v>6040</v>
      </c>
      <c r="J2019">
        <v>15</v>
      </c>
      <c r="K2019">
        <v>90502.99</v>
      </c>
      <c r="L2019" s="1">
        <v>45240</v>
      </c>
      <c r="M2019">
        <v>14</v>
      </c>
      <c r="N2019" t="s">
        <v>6051</v>
      </c>
      <c r="O2019" s="5">
        <v>45240</v>
      </c>
      <c r="P2019" s="5">
        <v>43777</v>
      </c>
    </row>
    <row r="2020" spans="1:16" x14ac:dyDescent="0.25">
      <c r="A2020" t="s">
        <v>6050</v>
      </c>
      <c r="B2020" t="str">
        <v>Not Found</v>
      </c>
      <c r="C2020" t="s">
        <v>5953</v>
      </c>
      <c r="D2020">
        <v>6080</v>
      </c>
      <c r="E2020">
        <v>6095</v>
      </c>
      <c r="F2020">
        <v>6050</v>
      </c>
      <c r="G2020" s="3">
        <v>6077.13</v>
      </c>
      <c r="H2020">
        <v>6050</v>
      </c>
      <c r="I2020">
        <v>6010</v>
      </c>
      <c r="J2020">
        <v>71</v>
      </c>
      <c r="K2020">
        <v>431893</v>
      </c>
      <c r="L2020" s="1">
        <v>45240</v>
      </c>
      <c r="M2020">
        <v>18</v>
      </c>
      <c r="N2020" t="s">
        <v>6049</v>
      </c>
      <c r="O2020" s="5">
        <v>45240</v>
      </c>
      <c r="P2020" s="5">
        <v>43777</v>
      </c>
    </row>
    <row r="2021" spans="1:16" x14ac:dyDescent="0.25">
      <c r="A2021" t="s">
        <v>6048</v>
      </c>
      <c r="B2021" t="str">
        <v>Not Found</v>
      </c>
      <c r="C2021" t="s">
        <v>5953</v>
      </c>
      <c r="D2021">
        <v>6047.91</v>
      </c>
      <c r="E2021">
        <v>6047.91</v>
      </c>
      <c r="F2021">
        <v>6040</v>
      </c>
      <c r="G2021" s="3">
        <v>6040</v>
      </c>
      <c r="H2021">
        <v>6040</v>
      </c>
      <c r="I2021">
        <v>5951.5</v>
      </c>
      <c r="J2021">
        <v>15</v>
      </c>
      <c r="K2021">
        <v>90646.54</v>
      </c>
      <c r="L2021" s="1">
        <v>45240</v>
      </c>
      <c r="M2021">
        <v>10</v>
      </c>
      <c r="N2021" t="s">
        <v>6047</v>
      </c>
      <c r="O2021" s="5">
        <v>45240</v>
      </c>
      <c r="P2021" s="5">
        <v>43777</v>
      </c>
    </row>
    <row r="2022" spans="1:16" x14ac:dyDescent="0.25">
      <c r="A2022" t="s">
        <v>6046</v>
      </c>
      <c r="B2022" t="str">
        <v>Not Found</v>
      </c>
      <c r="C2022" t="s">
        <v>5953</v>
      </c>
      <c r="D2022">
        <v>6000</v>
      </c>
      <c r="E2022">
        <v>6120</v>
      </c>
      <c r="F2022">
        <v>5952.12</v>
      </c>
      <c r="G2022" s="3">
        <v>5960</v>
      </c>
      <c r="H2022">
        <v>5960</v>
      </c>
      <c r="I2022">
        <v>5975</v>
      </c>
      <c r="J2022">
        <v>57</v>
      </c>
      <c r="K2022">
        <v>343710</v>
      </c>
      <c r="L2022" s="1">
        <v>45240</v>
      </c>
      <c r="M2022">
        <v>14</v>
      </c>
      <c r="N2022" t="s">
        <v>6045</v>
      </c>
      <c r="O2022" s="5">
        <v>45240</v>
      </c>
      <c r="P2022" s="5">
        <v>43777</v>
      </c>
    </row>
    <row r="2023" spans="1:16" x14ac:dyDescent="0.25">
      <c r="A2023" t="s">
        <v>6044</v>
      </c>
      <c r="B2023" t="str">
        <v>Not Found</v>
      </c>
      <c r="C2023" t="s">
        <v>5953</v>
      </c>
      <c r="D2023">
        <v>5953</v>
      </c>
      <c r="E2023">
        <v>6030</v>
      </c>
      <c r="F2023">
        <v>5953</v>
      </c>
      <c r="G2023" s="3">
        <v>6019.58</v>
      </c>
      <c r="H2023">
        <v>6021</v>
      </c>
      <c r="I2023">
        <v>5951</v>
      </c>
      <c r="J2023">
        <v>233</v>
      </c>
      <c r="K2023">
        <v>1399198.77</v>
      </c>
      <c r="L2023" s="1">
        <v>45240</v>
      </c>
      <c r="M2023">
        <v>68</v>
      </c>
      <c r="N2023" t="s">
        <v>6043</v>
      </c>
      <c r="O2023" s="5">
        <v>45240</v>
      </c>
      <c r="P2023" s="5">
        <v>43777</v>
      </c>
    </row>
    <row r="2024" spans="1:16" x14ac:dyDescent="0.25">
      <c r="A2024" t="s">
        <v>6042</v>
      </c>
      <c r="B2024" t="str">
        <v>Not Found</v>
      </c>
      <c r="C2024" t="s">
        <v>5953</v>
      </c>
      <c r="D2024">
        <v>5998</v>
      </c>
      <c r="E2024">
        <v>6030</v>
      </c>
      <c r="F2024">
        <v>5998</v>
      </c>
      <c r="G2024" s="3">
        <v>6030</v>
      </c>
      <c r="H2024">
        <v>6030</v>
      </c>
      <c r="I2024">
        <v>5936.01</v>
      </c>
      <c r="J2024">
        <v>41</v>
      </c>
      <c r="K2024">
        <v>246775.12</v>
      </c>
      <c r="L2024" s="1">
        <v>45240</v>
      </c>
      <c r="M2024">
        <v>17</v>
      </c>
      <c r="N2024" t="s">
        <v>6041</v>
      </c>
      <c r="O2024" s="5">
        <v>45240</v>
      </c>
      <c r="P2024" s="5">
        <v>43777</v>
      </c>
    </row>
    <row r="2025" spans="1:16" x14ac:dyDescent="0.25">
      <c r="A2025" t="s">
        <v>6040</v>
      </c>
      <c r="B2025" t="str">
        <v>Not Found</v>
      </c>
      <c r="C2025" t="s">
        <v>5953</v>
      </c>
      <c r="D2025">
        <v>6099</v>
      </c>
      <c r="E2025">
        <v>6099</v>
      </c>
      <c r="F2025">
        <v>6089</v>
      </c>
      <c r="G2025" s="3">
        <v>6090</v>
      </c>
      <c r="H2025">
        <v>6090</v>
      </c>
      <c r="I2025">
        <v>6009.99</v>
      </c>
      <c r="J2025">
        <v>4</v>
      </c>
      <c r="K2025">
        <v>24377</v>
      </c>
      <c r="L2025" s="1">
        <v>45240</v>
      </c>
      <c r="M2025">
        <v>4</v>
      </c>
      <c r="N2025" t="s">
        <v>6039</v>
      </c>
      <c r="O2025" s="5">
        <v>45240</v>
      </c>
      <c r="P2025" s="5">
        <v>43777</v>
      </c>
    </row>
    <row r="2026" spans="1:16" x14ac:dyDescent="0.25">
      <c r="A2026" t="s">
        <v>6038</v>
      </c>
      <c r="B2026" t="str">
        <v>Not Found</v>
      </c>
      <c r="C2026" t="s">
        <v>5953</v>
      </c>
      <c r="D2026">
        <v>6089.52</v>
      </c>
      <c r="E2026">
        <v>6089.52</v>
      </c>
      <c r="F2026">
        <v>6055.1</v>
      </c>
      <c r="G2026" s="3">
        <v>6059.18</v>
      </c>
      <c r="H2026">
        <v>6055.1</v>
      </c>
      <c r="I2026">
        <v>5941</v>
      </c>
      <c r="J2026">
        <v>16</v>
      </c>
      <c r="K2026">
        <v>96984.62</v>
      </c>
      <c r="L2026" s="1">
        <v>45240</v>
      </c>
      <c r="M2026">
        <v>7</v>
      </c>
      <c r="N2026" t="s">
        <v>6037</v>
      </c>
      <c r="O2026" s="5">
        <v>45240</v>
      </c>
      <c r="P2026" s="5">
        <v>43777</v>
      </c>
    </row>
    <row r="2027" spans="1:16" x14ac:dyDescent="0.25">
      <c r="A2027" t="s">
        <v>6036</v>
      </c>
      <c r="B2027" t="str">
        <v>Not Found</v>
      </c>
      <c r="C2027" t="s">
        <v>5953</v>
      </c>
      <c r="D2027">
        <v>6000</v>
      </c>
      <c r="E2027">
        <v>6040</v>
      </c>
      <c r="F2027">
        <v>5999</v>
      </c>
      <c r="G2027" s="3">
        <v>6032.89</v>
      </c>
      <c r="H2027">
        <v>6033</v>
      </c>
      <c r="I2027">
        <v>5974.23</v>
      </c>
      <c r="J2027">
        <v>431</v>
      </c>
      <c r="K2027">
        <v>2593217.9700000002</v>
      </c>
      <c r="L2027" s="1">
        <v>45240</v>
      </c>
      <c r="M2027">
        <v>106</v>
      </c>
      <c r="N2027" t="s">
        <v>6035</v>
      </c>
      <c r="O2027" s="5">
        <v>45240</v>
      </c>
      <c r="P2027" s="5">
        <v>43777</v>
      </c>
    </row>
    <row r="2028" spans="1:16" x14ac:dyDescent="0.25">
      <c r="A2028" t="s">
        <v>6034</v>
      </c>
      <c r="B2028" t="str">
        <v>Not Found</v>
      </c>
      <c r="C2028" t="s">
        <v>5953</v>
      </c>
      <c r="D2028">
        <v>5945.01</v>
      </c>
      <c r="E2028">
        <v>6030</v>
      </c>
      <c r="F2028">
        <v>5945.01</v>
      </c>
      <c r="G2028" s="3">
        <v>6019.84</v>
      </c>
      <c r="H2028">
        <v>6030</v>
      </c>
      <c r="I2028">
        <v>5957.2</v>
      </c>
      <c r="J2028">
        <v>137</v>
      </c>
      <c r="K2028">
        <v>822957</v>
      </c>
      <c r="L2028" s="1">
        <v>45240</v>
      </c>
      <c r="M2028">
        <v>32</v>
      </c>
      <c r="N2028" t="s">
        <v>6033</v>
      </c>
      <c r="O2028" s="5">
        <v>45240</v>
      </c>
      <c r="P2028" s="5">
        <v>43777</v>
      </c>
    </row>
    <row r="2029" spans="1:16" x14ac:dyDescent="0.25">
      <c r="A2029" t="s">
        <v>6032</v>
      </c>
      <c r="B2029" t="str">
        <v>Not Found</v>
      </c>
      <c r="C2029" t="s">
        <v>5953</v>
      </c>
      <c r="D2029">
        <v>5999.95</v>
      </c>
      <c r="E2029">
        <v>6045</v>
      </c>
      <c r="F2029">
        <v>5971</v>
      </c>
      <c r="G2029" s="3">
        <v>6037.95</v>
      </c>
      <c r="H2029">
        <v>6040</v>
      </c>
      <c r="I2029">
        <v>5969.26</v>
      </c>
      <c r="J2029">
        <v>316</v>
      </c>
      <c r="K2029">
        <v>1902845.66</v>
      </c>
      <c r="L2029" s="1">
        <v>45240</v>
      </c>
      <c r="M2029">
        <v>92</v>
      </c>
      <c r="N2029" t="s">
        <v>6031</v>
      </c>
      <c r="O2029" s="5">
        <v>45240</v>
      </c>
      <c r="P2029" s="5">
        <v>43777</v>
      </c>
    </row>
    <row r="2030" spans="1:16" x14ac:dyDescent="0.25">
      <c r="A2030" t="s">
        <v>6030</v>
      </c>
      <c r="B2030" t="str">
        <v>Not Found</v>
      </c>
      <c r="C2030" t="s">
        <v>5953</v>
      </c>
      <c r="D2030">
        <v>6000</v>
      </c>
      <c r="E2030">
        <v>6040</v>
      </c>
      <c r="F2030">
        <v>5985</v>
      </c>
      <c r="G2030" s="3">
        <v>6040</v>
      </c>
      <c r="H2030">
        <v>6040</v>
      </c>
      <c r="I2030">
        <v>5968.26</v>
      </c>
      <c r="J2030">
        <v>171</v>
      </c>
      <c r="K2030">
        <v>1029119.28</v>
      </c>
      <c r="L2030" s="1">
        <v>45240</v>
      </c>
      <c r="M2030">
        <v>38</v>
      </c>
      <c r="N2030" t="s">
        <v>6029</v>
      </c>
      <c r="O2030" s="5">
        <v>45240</v>
      </c>
      <c r="P2030" s="5">
        <v>43777</v>
      </c>
    </row>
    <row r="2031" spans="1:16" x14ac:dyDescent="0.25">
      <c r="A2031" t="s">
        <v>6028</v>
      </c>
      <c r="B2031" t="str">
        <v>Not Found</v>
      </c>
      <c r="C2031" t="s">
        <v>5953</v>
      </c>
      <c r="D2031">
        <v>6040</v>
      </c>
      <c r="E2031">
        <v>6050</v>
      </c>
      <c r="F2031">
        <v>6018</v>
      </c>
      <c r="G2031" s="3">
        <v>6035</v>
      </c>
      <c r="H2031">
        <v>6049.95</v>
      </c>
      <c r="I2031">
        <v>6003.42</v>
      </c>
      <c r="J2031">
        <v>51</v>
      </c>
      <c r="K2031">
        <v>308237.15000000002</v>
      </c>
      <c r="L2031" s="1">
        <v>45240</v>
      </c>
      <c r="M2031">
        <v>18</v>
      </c>
      <c r="N2031" t="s">
        <v>6027</v>
      </c>
      <c r="O2031" s="5">
        <v>45240</v>
      </c>
      <c r="P2031" s="5">
        <v>43777</v>
      </c>
    </row>
    <row r="2032" spans="1:16" x14ac:dyDescent="0.25">
      <c r="A2032" t="s">
        <v>6026</v>
      </c>
      <c r="B2032" t="str">
        <v>Not Found</v>
      </c>
      <c r="C2032" t="s">
        <v>5953</v>
      </c>
      <c r="D2032">
        <v>5997.57</v>
      </c>
      <c r="E2032">
        <v>6065</v>
      </c>
      <c r="F2032">
        <v>5997.23</v>
      </c>
      <c r="G2032" s="3">
        <v>6049.75</v>
      </c>
      <c r="H2032">
        <v>6049.75</v>
      </c>
      <c r="I2032">
        <v>5980</v>
      </c>
      <c r="J2032">
        <v>48</v>
      </c>
      <c r="K2032">
        <v>289162.37</v>
      </c>
      <c r="L2032" s="1">
        <v>45240</v>
      </c>
      <c r="M2032">
        <v>16</v>
      </c>
      <c r="N2032" t="s">
        <v>6025</v>
      </c>
      <c r="O2032" s="5">
        <v>45240</v>
      </c>
      <c r="P2032" s="5">
        <v>43777</v>
      </c>
    </row>
    <row r="2033" spans="1:16" x14ac:dyDescent="0.25">
      <c r="A2033" t="s">
        <v>6024</v>
      </c>
      <c r="B2033" t="str">
        <v>Not Found</v>
      </c>
      <c r="C2033" t="s">
        <v>5953</v>
      </c>
      <c r="D2033">
        <v>5969</v>
      </c>
      <c r="E2033">
        <v>6040</v>
      </c>
      <c r="F2033">
        <v>5969</v>
      </c>
      <c r="G2033" s="3">
        <v>6031.94</v>
      </c>
      <c r="H2033">
        <v>6033</v>
      </c>
      <c r="I2033">
        <v>5969.66</v>
      </c>
      <c r="J2033">
        <v>797</v>
      </c>
      <c r="K2033">
        <v>4792022.3899999997</v>
      </c>
      <c r="L2033" s="1">
        <v>45240</v>
      </c>
      <c r="M2033">
        <v>114</v>
      </c>
      <c r="N2033" t="s">
        <v>6023</v>
      </c>
      <c r="O2033" s="5">
        <v>45240</v>
      </c>
      <c r="P2033" s="5">
        <v>43777</v>
      </c>
    </row>
    <row r="2034" spans="1:16" x14ac:dyDescent="0.25">
      <c r="A2034" t="s">
        <v>6022</v>
      </c>
      <c r="B2034" t="str">
        <v>Not Found</v>
      </c>
      <c r="C2034" t="s">
        <v>5953</v>
      </c>
      <c r="D2034">
        <v>5997.57</v>
      </c>
      <c r="E2034">
        <v>6025</v>
      </c>
      <c r="F2034">
        <v>5993.71</v>
      </c>
      <c r="G2034" s="3">
        <v>6020.92</v>
      </c>
      <c r="H2034">
        <v>6025</v>
      </c>
      <c r="I2034">
        <v>5975</v>
      </c>
      <c r="J2034">
        <v>360</v>
      </c>
      <c r="K2034">
        <v>2165895.75</v>
      </c>
      <c r="L2034" s="1">
        <v>45240</v>
      </c>
      <c r="M2034">
        <v>84</v>
      </c>
      <c r="N2034" t="s">
        <v>6021</v>
      </c>
      <c r="O2034" s="5">
        <v>45240</v>
      </c>
      <c r="P2034" s="5">
        <v>43777</v>
      </c>
    </row>
    <row r="2035" spans="1:16" x14ac:dyDescent="0.25">
      <c r="A2035" t="s">
        <v>6020</v>
      </c>
      <c r="B2035" t="str">
        <v>Not Found</v>
      </c>
      <c r="C2035" t="s">
        <v>5953</v>
      </c>
      <c r="D2035">
        <v>5997.76</v>
      </c>
      <c r="E2035">
        <v>6046</v>
      </c>
      <c r="F2035">
        <v>5997.76</v>
      </c>
      <c r="G2035" s="3">
        <v>6046</v>
      </c>
      <c r="H2035">
        <v>6046</v>
      </c>
      <c r="I2035">
        <v>5952</v>
      </c>
      <c r="J2035">
        <v>158</v>
      </c>
      <c r="K2035">
        <v>950703.32</v>
      </c>
      <c r="L2035" s="1">
        <v>45240</v>
      </c>
      <c r="M2035">
        <v>28</v>
      </c>
      <c r="N2035" t="s">
        <v>6019</v>
      </c>
      <c r="O2035" s="5">
        <v>45240</v>
      </c>
      <c r="P2035" s="5">
        <v>43777</v>
      </c>
    </row>
    <row r="2036" spans="1:16" x14ac:dyDescent="0.25">
      <c r="A2036" t="s">
        <v>6018</v>
      </c>
      <c r="B2036" t="str">
        <v>Not Found</v>
      </c>
      <c r="C2036" t="s">
        <v>5953</v>
      </c>
      <c r="D2036">
        <v>5985</v>
      </c>
      <c r="E2036">
        <v>6045</v>
      </c>
      <c r="F2036">
        <v>5985</v>
      </c>
      <c r="G2036" s="3">
        <v>6038.73</v>
      </c>
      <c r="H2036">
        <v>6045</v>
      </c>
      <c r="I2036">
        <v>5984</v>
      </c>
      <c r="J2036">
        <v>582</v>
      </c>
      <c r="K2036">
        <v>3498836.41</v>
      </c>
      <c r="L2036" s="1">
        <v>45240</v>
      </c>
      <c r="M2036">
        <v>62</v>
      </c>
      <c r="N2036" t="s">
        <v>6017</v>
      </c>
      <c r="O2036" s="5">
        <v>45240</v>
      </c>
      <c r="P2036" s="5">
        <v>43777</v>
      </c>
    </row>
    <row r="2037" spans="1:16" x14ac:dyDescent="0.25">
      <c r="A2037" t="s">
        <v>6016</v>
      </c>
      <c r="B2037" t="str">
        <v>Not Found</v>
      </c>
      <c r="C2037" t="s">
        <v>5953</v>
      </c>
      <c r="D2037">
        <v>5990</v>
      </c>
      <c r="E2037">
        <v>6050</v>
      </c>
      <c r="F2037">
        <v>5990</v>
      </c>
      <c r="G2037" s="3">
        <v>6041.33</v>
      </c>
      <c r="H2037">
        <v>6049.99</v>
      </c>
      <c r="I2037">
        <v>5982.01</v>
      </c>
      <c r="J2037">
        <v>327</v>
      </c>
      <c r="K2037">
        <v>1969631.78</v>
      </c>
      <c r="L2037" s="1">
        <v>45240</v>
      </c>
      <c r="M2037">
        <v>69</v>
      </c>
      <c r="N2037" t="s">
        <v>6015</v>
      </c>
      <c r="O2037" s="5">
        <v>45240</v>
      </c>
      <c r="P2037" s="5">
        <v>43777</v>
      </c>
    </row>
    <row r="2038" spans="1:16" x14ac:dyDescent="0.25">
      <c r="A2038" t="s">
        <v>6014</v>
      </c>
      <c r="B2038" t="str">
        <v>Not Found</v>
      </c>
      <c r="C2038" t="s">
        <v>5953</v>
      </c>
      <c r="D2038">
        <v>6259.56</v>
      </c>
      <c r="E2038">
        <v>6259.56</v>
      </c>
      <c r="F2038">
        <v>5990</v>
      </c>
      <c r="G2038" s="3">
        <v>6032.23</v>
      </c>
      <c r="H2038">
        <v>6031.01</v>
      </c>
      <c r="I2038">
        <v>5990</v>
      </c>
      <c r="J2038">
        <v>209</v>
      </c>
      <c r="K2038">
        <v>1260249.81</v>
      </c>
      <c r="L2038" s="1">
        <v>45240</v>
      </c>
      <c r="M2038">
        <v>68</v>
      </c>
      <c r="N2038" t="s">
        <v>6013</v>
      </c>
      <c r="O2038" s="5">
        <v>45240</v>
      </c>
      <c r="P2038" s="5">
        <v>43777</v>
      </c>
    </row>
    <row r="2039" spans="1:16" x14ac:dyDescent="0.25">
      <c r="A2039" t="s">
        <v>6012</v>
      </c>
      <c r="B2039" t="str">
        <v>Not Found</v>
      </c>
      <c r="C2039" t="s">
        <v>5953</v>
      </c>
      <c r="D2039">
        <v>6000.01</v>
      </c>
      <c r="E2039">
        <v>6084</v>
      </c>
      <c r="F2039">
        <v>6000.01</v>
      </c>
      <c r="G2039" s="3">
        <v>6077.79</v>
      </c>
      <c r="H2039">
        <v>6080</v>
      </c>
      <c r="I2039">
        <v>5999.3</v>
      </c>
      <c r="J2039">
        <v>2092</v>
      </c>
      <c r="K2039">
        <v>12667793.16</v>
      </c>
      <c r="L2039" s="1">
        <v>45240</v>
      </c>
      <c r="M2039">
        <v>441</v>
      </c>
      <c r="N2039" t="s">
        <v>6011</v>
      </c>
      <c r="O2039" s="5">
        <v>45240</v>
      </c>
      <c r="P2039" s="5">
        <v>43777</v>
      </c>
    </row>
    <row r="2040" spans="1:16" x14ac:dyDescent="0.25">
      <c r="A2040" t="s">
        <v>6010</v>
      </c>
      <c r="B2040" t="str">
        <v>Not Found</v>
      </c>
      <c r="C2040" t="s">
        <v>5953</v>
      </c>
      <c r="D2040">
        <v>6090</v>
      </c>
      <c r="E2040">
        <v>6090</v>
      </c>
      <c r="F2040">
        <v>6000.01</v>
      </c>
      <c r="G2040" s="3">
        <v>6050</v>
      </c>
      <c r="H2040">
        <v>6050</v>
      </c>
      <c r="I2040">
        <v>5951.11</v>
      </c>
      <c r="J2040">
        <v>126</v>
      </c>
      <c r="K2040">
        <v>763483.15</v>
      </c>
      <c r="L2040" s="1">
        <v>45240</v>
      </c>
      <c r="M2040">
        <v>25</v>
      </c>
      <c r="N2040" t="s">
        <v>6009</v>
      </c>
      <c r="O2040" s="5">
        <v>45240</v>
      </c>
      <c r="P2040" s="5">
        <v>43777</v>
      </c>
    </row>
    <row r="2041" spans="1:16" x14ac:dyDescent="0.25">
      <c r="A2041" t="s">
        <v>6008</v>
      </c>
      <c r="B2041" t="str">
        <v>Not Found</v>
      </c>
      <c r="C2041" t="s">
        <v>5953</v>
      </c>
      <c r="D2041">
        <v>6023.99</v>
      </c>
      <c r="E2041">
        <v>6050</v>
      </c>
      <c r="F2041">
        <v>6015</v>
      </c>
      <c r="G2041" s="3">
        <v>6045.56</v>
      </c>
      <c r="H2041">
        <v>6049.99</v>
      </c>
      <c r="I2041">
        <v>6023.99</v>
      </c>
      <c r="J2041">
        <v>91</v>
      </c>
      <c r="K2041">
        <v>549478.56000000006</v>
      </c>
      <c r="L2041" s="1">
        <v>45240</v>
      </c>
      <c r="M2041">
        <v>26</v>
      </c>
      <c r="N2041" t="s">
        <v>6007</v>
      </c>
      <c r="O2041" s="5">
        <v>45240</v>
      </c>
      <c r="P2041" s="5">
        <v>43777</v>
      </c>
    </row>
    <row r="2042" spans="1:16" x14ac:dyDescent="0.25">
      <c r="A2042" t="s">
        <v>6006</v>
      </c>
      <c r="B2042" t="str">
        <v>Not Found</v>
      </c>
      <c r="C2042" t="s">
        <v>5953</v>
      </c>
      <c r="D2042">
        <v>5996</v>
      </c>
      <c r="E2042">
        <v>6057</v>
      </c>
      <c r="F2042">
        <v>5995.38</v>
      </c>
      <c r="G2042" s="3">
        <v>6019.22</v>
      </c>
      <c r="H2042">
        <v>6005</v>
      </c>
      <c r="I2042">
        <v>5998</v>
      </c>
      <c r="J2042">
        <v>64</v>
      </c>
      <c r="K2042">
        <v>384633.3</v>
      </c>
      <c r="L2042" s="1">
        <v>45240</v>
      </c>
      <c r="M2042">
        <v>36</v>
      </c>
      <c r="N2042" t="s">
        <v>6005</v>
      </c>
      <c r="O2042" s="5">
        <v>45240</v>
      </c>
      <c r="P2042" s="5">
        <v>43777</v>
      </c>
    </row>
    <row r="2043" spans="1:16" x14ac:dyDescent="0.25">
      <c r="A2043" t="s">
        <v>6004</v>
      </c>
      <c r="B2043" t="str">
        <v>Not Found</v>
      </c>
      <c r="C2043" t="s">
        <v>5953</v>
      </c>
      <c r="D2043">
        <v>6056</v>
      </c>
      <c r="E2043">
        <v>6160</v>
      </c>
      <c r="F2043">
        <v>5972</v>
      </c>
      <c r="G2043" s="3">
        <v>6025.53</v>
      </c>
      <c r="H2043">
        <v>6090</v>
      </c>
      <c r="I2043">
        <v>5995.2</v>
      </c>
      <c r="J2043">
        <v>82</v>
      </c>
      <c r="K2043">
        <v>495974.89</v>
      </c>
      <c r="L2043" s="1">
        <v>45240</v>
      </c>
      <c r="M2043">
        <v>33</v>
      </c>
      <c r="N2043" t="s">
        <v>6003</v>
      </c>
      <c r="O2043" s="5">
        <v>45240</v>
      </c>
      <c r="P2043" s="5">
        <v>43777</v>
      </c>
    </row>
    <row r="2044" spans="1:16" x14ac:dyDescent="0.25">
      <c r="A2044" t="s">
        <v>6002</v>
      </c>
      <c r="B2044" t="str">
        <v>Not Found</v>
      </c>
      <c r="C2044" t="s">
        <v>5953</v>
      </c>
      <c r="D2044">
        <v>5995</v>
      </c>
      <c r="E2044">
        <v>6019</v>
      </c>
      <c r="F2044">
        <v>5976</v>
      </c>
      <c r="G2044" s="3">
        <v>6017.13</v>
      </c>
      <c r="H2044">
        <v>6018</v>
      </c>
      <c r="I2044">
        <v>5948.53</v>
      </c>
      <c r="J2044">
        <v>1162</v>
      </c>
      <c r="K2044">
        <v>6975704.8200000003</v>
      </c>
      <c r="L2044" s="1">
        <v>45240</v>
      </c>
      <c r="M2044">
        <v>202</v>
      </c>
      <c r="N2044" t="s">
        <v>6001</v>
      </c>
      <c r="O2044" s="5">
        <v>45240</v>
      </c>
      <c r="P2044" s="5">
        <v>43777</v>
      </c>
    </row>
    <row r="2045" spans="1:16" x14ac:dyDescent="0.25">
      <c r="A2045" t="s">
        <v>6000</v>
      </c>
      <c r="B2045" t="str">
        <v>Not Found</v>
      </c>
      <c r="C2045" t="s">
        <v>5953</v>
      </c>
      <c r="D2045">
        <v>6048</v>
      </c>
      <c r="E2045">
        <v>6048</v>
      </c>
      <c r="F2045">
        <v>6000</v>
      </c>
      <c r="G2045" s="3">
        <v>6034.94</v>
      </c>
      <c r="H2045">
        <v>6034.6</v>
      </c>
      <c r="I2045">
        <v>5988.7</v>
      </c>
      <c r="J2045">
        <v>149</v>
      </c>
      <c r="K2045">
        <v>899612.46</v>
      </c>
      <c r="L2045" s="1">
        <v>45240</v>
      </c>
      <c r="M2045">
        <v>22</v>
      </c>
      <c r="N2045" t="s">
        <v>5999</v>
      </c>
      <c r="O2045" s="5">
        <v>45240</v>
      </c>
      <c r="P2045" s="5">
        <v>43777</v>
      </c>
    </row>
    <row r="2046" spans="1:16" x14ac:dyDescent="0.25">
      <c r="A2046" t="s">
        <v>5998</v>
      </c>
      <c r="B2046" t="str">
        <v>Not Found</v>
      </c>
      <c r="C2046" t="s">
        <v>5953</v>
      </c>
      <c r="D2046">
        <v>6029.99</v>
      </c>
      <c r="E2046">
        <v>6032</v>
      </c>
      <c r="F2046">
        <v>5880</v>
      </c>
      <c r="G2046" s="3">
        <v>5972.2</v>
      </c>
      <c r="H2046">
        <v>6000</v>
      </c>
      <c r="I2046">
        <v>5964</v>
      </c>
      <c r="J2046">
        <v>95</v>
      </c>
      <c r="K2046">
        <v>568624.06000000006</v>
      </c>
      <c r="L2046" s="1">
        <v>45240</v>
      </c>
      <c r="M2046">
        <v>29</v>
      </c>
      <c r="N2046" t="s">
        <v>5997</v>
      </c>
      <c r="O2046" s="5">
        <v>45240</v>
      </c>
      <c r="P2046" s="5">
        <v>43777</v>
      </c>
    </row>
    <row r="2047" spans="1:16" x14ac:dyDescent="0.25">
      <c r="A2047" t="s">
        <v>5996</v>
      </c>
      <c r="B2047" t="str">
        <v>Not Found</v>
      </c>
      <c r="C2047" t="s">
        <v>5953</v>
      </c>
      <c r="D2047">
        <v>6008</v>
      </c>
      <c r="E2047">
        <v>6080</v>
      </c>
      <c r="F2047">
        <v>6008</v>
      </c>
      <c r="G2047" s="3">
        <v>6054.04</v>
      </c>
      <c r="H2047">
        <v>6055</v>
      </c>
      <c r="I2047">
        <v>6010</v>
      </c>
      <c r="J2047">
        <v>293</v>
      </c>
      <c r="K2047">
        <v>1772803.95</v>
      </c>
      <c r="L2047" s="1">
        <v>45240</v>
      </c>
      <c r="M2047">
        <v>64</v>
      </c>
      <c r="N2047" t="s">
        <v>5995</v>
      </c>
      <c r="O2047" s="5">
        <v>45240</v>
      </c>
      <c r="P2047" s="5">
        <v>43777</v>
      </c>
    </row>
    <row r="2048" spans="1:16" x14ac:dyDescent="0.25">
      <c r="A2048" t="s">
        <v>5994</v>
      </c>
      <c r="B2048" t="str">
        <v>Not Found</v>
      </c>
      <c r="C2048" t="s">
        <v>5953</v>
      </c>
      <c r="D2048">
        <v>6009</v>
      </c>
      <c r="E2048">
        <v>6070</v>
      </c>
      <c r="F2048">
        <v>5925.05</v>
      </c>
      <c r="G2048" s="3">
        <v>6015.37</v>
      </c>
      <c r="H2048">
        <v>6035</v>
      </c>
      <c r="I2048">
        <v>6007.99</v>
      </c>
      <c r="J2048">
        <v>2089</v>
      </c>
      <c r="K2048">
        <v>12630099.369999999</v>
      </c>
      <c r="L2048" s="1">
        <v>45240</v>
      </c>
      <c r="M2048">
        <v>252</v>
      </c>
      <c r="N2048" t="s">
        <v>5993</v>
      </c>
      <c r="O2048" s="5">
        <v>45240</v>
      </c>
      <c r="P2048" s="5">
        <v>43777</v>
      </c>
    </row>
    <row r="2049" spans="1:16" x14ac:dyDescent="0.25">
      <c r="A2049" t="s">
        <v>5992</v>
      </c>
      <c r="B2049" t="str">
        <v>Not Found</v>
      </c>
      <c r="C2049" t="s">
        <v>5953</v>
      </c>
      <c r="D2049">
        <v>5980</v>
      </c>
      <c r="E2049">
        <v>6021</v>
      </c>
      <c r="F2049">
        <v>5965</v>
      </c>
      <c r="G2049" s="3">
        <v>6020</v>
      </c>
      <c r="H2049">
        <v>6020</v>
      </c>
      <c r="I2049">
        <v>5940.35</v>
      </c>
      <c r="J2049">
        <v>545</v>
      </c>
      <c r="K2049">
        <v>3271863.94</v>
      </c>
      <c r="L2049" s="1">
        <v>45240</v>
      </c>
      <c r="M2049">
        <v>127</v>
      </c>
      <c r="N2049" t="s">
        <v>5991</v>
      </c>
      <c r="O2049" s="5">
        <v>45240</v>
      </c>
      <c r="P2049" s="5">
        <v>43777</v>
      </c>
    </row>
    <row r="2050" spans="1:16" x14ac:dyDescent="0.25">
      <c r="A2050" t="s">
        <v>5990</v>
      </c>
      <c r="B2050" t="str">
        <v>Not Found</v>
      </c>
      <c r="C2050" t="s">
        <v>5953</v>
      </c>
      <c r="D2050">
        <v>6000.01</v>
      </c>
      <c r="E2050">
        <v>6069</v>
      </c>
      <c r="F2050">
        <v>6000.01</v>
      </c>
      <c r="G2050" s="3">
        <v>6047.54</v>
      </c>
      <c r="H2050">
        <v>6043</v>
      </c>
      <c r="I2050">
        <v>6012.01</v>
      </c>
      <c r="J2050">
        <v>248</v>
      </c>
      <c r="K2050">
        <v>1499138.83</v>
      </c>
      <c r="L2050" s="1">
        <v>45240</v>
      </c>
      <c r="M2050">
        <v>56</v>
      </c>
      <c r="N2050" t="s">
        <v>5989</v>
      </c>
      <c r="O2050" s="5">
        <v>45240</v>
      </c>
      <c r="P2050" s="5">
        <v>43777</v>
      </c>
    </row>
    <row r="2051" spans="1:16" x14ac:dyDescent="0.25">
      <c r="A2051" t="s">
        <v>5988</v>
      </c>
      <c r="B2051" t="str">
        <v>Not Found</v>
      </c>
      <c r="C2051" t="s">
        <v>5953</v>
      </c>
      <c r="D2051">
        <v>6100</v>
      </c>
      <c r="E2051">
        <v>6270</v>
      </c>
      <c r="F2051">
        <v>6051</v>
      </c>
      <c r="G2051" s="3">
        <v>6099</v>
      </c>
      <c r="H2051">
        <v>6099</v>
      </c>
      <c r="I2051">
        <v>6030</v>
      </c>
      <c r="J2051">
        <v>44</v>
      </c>
      <c r="K2051">
        <v>269956.7</v>
      </c>
      <c r="L2051" s="1">
        <v>45240</v>
      </c>
      <c r="M2051">
        <v>14</v>
      </c>
      <c r="N2051" t="s">
        <v>5987</v>
      </c>
      <c r="O2051" s="5">
        <v>45240</v>
      </c>
      <c r="P2051" s="5">
        <v>43777</v>
      </c>
    </row>
    <row r="2052" spans="1:16" x14ac:dyDescent="0.25">
      <c r="A2052" t="s">
        <v>5986</v>
      </c>
      <c r="B2052" t="str">
        <v>Not Found</v>
      </c>
      <c r="C2052" t="s">
        <v>5953</v>
      </c>
      <c r="D2052">
        <v>6083.99</v>
      </c>
      <c r="E2052">
        <v>6084</v>
      </c>
      <c r="F2052">
        <v>6021</v>
      </c>
      <c r="G2052" s="3">
        <v>6069.83</v>
      </c>
      <c r="H2052">
        <v>6078</v>
      </c>
      <c r="I2052">
        <v>6007.72</v>
      </c>
      <c r="J2052">
        <v>222</v>
      </c>
      <c r="K2052">
        <v>1349203.71</v>
      </c>
      <c r="L2052" s="1">
        <v>45240</v>
      </c>
      <c r="M2052">
        <v>45</v>
      </c>
      <c r="N2052" t="s">
        <v>5985</v>
      </c>
      <c r="O2052" s="5">
        <v>45240</v>
      </c>
      <c r="P2052" s="5">
        <v>43777</v>
      </c>
    </row>
    <row r="2053" spans="1:16" x14ac:dyDescent="0.25">
      <c r="A2053" t="s">
        <v>5984</v>
      </c>
      <c r="B2053" t="str">
        <v>Not Found</v>
      </c>
      <c r="C2053" t="s">
        <v>5953</v>
      </c>
      <c r="D2053">
        <v>6100</v>
      </c>
      <c r="E2053">
        <v>6100</v>
      </c>
      <c r="F2053">
        <v>6100</v>
      </c>
      <c r="G2053" s="3">
        <v>6100</v>
      </c>
      <c r="H2053">
        <v>6100</v>
      </c>
      <c r="I2053">
        <v>6000</v>
      </c>
      <c r="J2053">
        <v>3</v>
      </c>
      <c r="K2053">
        <v>18300</v>
      </c>
      <c r="L2053" s="1">
        <v>45240</v>
      </c>
      <c r="M2053">
        <v>1</v>
      </c>
      <c r="N2053" t="s">
        <v>5983</v>
      </c>
      <c r="O2053" s="5">
        <v>45240</v>
      </c>
      <c r="P2053" s="5">
        <v>43777</v>
      </c>
    </row>
    <row r="2054" spans="1:16" x14ac:dyDescent="0.25">
      <c r="A2054" t="s">
        <v>5982</v>
      </c>
      <c r="B2054" t="str">
        <v>Not Found</v>
      </c>
      <c r="C2054" t="s">
        <v>5953</v>
      </c>
      <c r="D2054">
        <v>6084.89</v>
      </c>
      <c r="E2054">
        <v>6084.89</v>
      </c>
      <c r="F2054">
        <v>6084.89</v>
      </c>
      <c r="G2054" s="3">
        <v>6084.89</v>
      </c>
      <c r="H2054">
        <v>6084.89</v>
      </c>
      <c r="I2054">
        <v>5960.11</v>
      </c>
      <c r="J2054">
        <v>1</v>
      </c>
      <c r="K2054">
        <v>6084.89</v>
      </c>
      <c r="L2054" s="1">
        <v>45240</v>
      </c>
      <c r="M2054">
        <v>1</v>
      </c>
      <c r="N2054" t="s">
        <v>5981</v>
      </c>
      <c r="O2054" s="5">
        <v>45240</v>
      </c>
      <c r="P2054" s="5">
        <v>43777</v>
      </c>
    </row>
    <row r="2055" spans="1:16" x14ac:dyDescent="0.25">
      <c r="A2055" t="s">
        <v>5980</v>
      </c>
      <c r="B2055" t="str">
        <v>Not Found</v>
      </c>
      <c r="C2055" t="s">
        <v>5953</v>
      </c>
      <c r="D2055">
        <v>6086.99</v>
      </c>
      <c r="E2055">
        <v>6086.99</v>
      </c>
      <c r="F2055">
        <v>6085</v>
      </c>
      <c r="G2055" s="3">
        <v>6085</v>
      </c>
      <c r="H2055">
        <v>6085</v>
      </c>
      <c r="I2055">
        <v>5961.04</v>
      </c>
      <c r="J2055">
        <v>3</v>
      </c>
      <c r="K2055">
        <v>18258.98</v>
      </c>
      <c r="L2055" s="1">
        <v>45240</v>
      </c>
      <c r="M2055">
        <v>3</v>
      </c>
      <c r="N2055" t="s">
        <v>5979</v>
      </c>
      <c r="O2055" s="5">
        <v>45240</v>
      </c>
      <c r="P2055" s="5">
        <v>43777</v>
      </c>
    </row>
    <row r="2056" spans="1:16" x14ac:dyDescent="0.25">
      <c r="A2056" t="s">
        <v>5978</v>
      </c>
      <c r="B2056" t="str">
        <v>Not Found</v>
      </c>
      <c r="C2056" t="s">
        <v>5953</v>
      </c>
      <c r="D2056">
        <v>6090</v>
      </c>
      <c r="E2056">
        <v>6090</v>
      </c>
      <c r="F2056">
        <v>6074.99</v>
      </c>
      <c r="G2056" s="3">
        <v>6079.99</v>
      </c>
      <c r="H2056">
        <v>6079.99</v>
      </c>
      <c r="I2056">
        <v>6100</v>
      </c>
      <c r="J2056">
        <v>28</v>
      </c>
      <c r="K2056">
        <v>170174.11</v>
      </c>
      <c r="L2056" s="1">
        <v>45240</v>
      </c>
      <c r="M2056">
        <v>8</v>
      </c>
      <c r="N2056" t="s">
        <v>5977</v>
      </c>
      <c r="O2056" s="5">
        <v>45240</v>
      </c>
      <c r="P2056" s="5">
        <v>43777</v>
      </c>
    </row>
    <row r="2057" spans="1:16" x14ac:dyDescent="0.25">
      <c r="A2057" t="s">
        <v>5976</v>
      </c>
      <c r="B2057" t="str">
        <v>Not Found</v>
      </c>
      <c r="C2057" t="s">
        <v>5953</v>
      </c>
      <c r="D2057">
        <v>5945</v>
      </c>
      <c r="E2057">
        <v>6018.99</v>
      </c>
      <c r="F2057">
        <v>5935</v>
      </c>
      <c r="G2057" s="3">
        <v>5998.05</v>
      </c>
      <c r="H2057">
        <v>5989</v>
      </c>
      <c r="I2057">
        <v>5934.19</v>
      </c>
      <c r="J2057">
        <v>1044</v>
      </c>
      <c r="K2057">
        <v>6253826.9100000001</v>
      </c>
      <c r="L2057" s="1">
        <v>45240</v>
      </c>
      <c r="M2057">
        <v>239</v>
      </c>
      <c r="N2057" t="s">
        <v>5975</v>
      </c>
      <c r="O2057" s="5">
        <v>45240</v>
      </c>
      <c r="P2057" s="5">
        <v>43777</v>
      </c>
    </row>
    <row r="2058" spans="1:16" x14ac:dyDescent="0.25">
      <c r="A2058" t="s">
        <v>5974</v>
      </c>
      <c r="B2058" t="str">
        <v>Not Found</v>
      </c>
      <c r="C2058" t="s">
        <v>5953</v>
      </c>
      <c r="D2058">
        <v>5990</v>
      </c>
      <c r="E2058">
        <v>6038</v>
      </c>
      <c r="F2058">
        <v>5975</v>
      </c>
      <c r="G2058" s="3">
        <v>6022.87</v>
      </c>
      <c r="H2058">
        <v>6015</v>
      </c>
      <c r="I2058">
        <v>5937.65</v>
      </c>
      <c r="J2058">
        <v>475</v>
      </c>
      <c r="K2058">
        <v>2849170.87</v>
      </c>
      <c r="L2058" s="1">
        <v>45240</v>
      </c>
      <c r="M2058">
        <v>147</v>
      </c>
      <c r="N2058" t="s">
        <v>5973</v>
      </c>
      <c r="O2058" s="5">
        <v>45240</v>
      </c>
      <c r="P2058" s="5">
        <v>43777</v>
      </c>
    </row>
    <row r="2059" spans="1:16" x14ac:dyDescent="0.25">
      <c r="A2059" t="s">
        <v>5972</v>
      </c>
      <c r="B2059" t="str">
        <v>Not Found</v>
      </c>
      <c r="C2059" t="s">
        <v>5953</v>
      </c>
      <c r="D2059">
        <v>6010</v>
      </c>
      <c r="E2059">
        <v>6068</v>
      </c>
      <c r="F2059">
        <v>6010</v>
      </c>
      <c r="G2059" s="3">
        <v>6060</v>
      </c>
      <c r="H2059">
        <v>6060</v>
      </c>
      <c r="I2059">
        <v>6000</v>
      </c>
      <c r="J2059">
        <v>28</v>
      </c>
      <c r="K2059">
        <v>169284.02</v>
      </c>
      <c r="L2059" s="1">
        <v>45240</v>
      </c>
      <c r="M2059">
        <v>17</v>
      </c>
      <c r="N2059" t="s">
        <v>5971</v>
      </c>
      <c r="O2059" s="5">
        <v>45240</v>
      </c>
      <c r="P2059" s="5">
        <v>43777</v>
      </c>
    </row>
    <row r="2060" spans="1:16" x14ac:dyDescent="0.25">
      <c r="A2060" t="s">
        <v>5970</v>
      </c>
      <c r="B2060" t="str">
        <v>Not Found</v>
      </c>
      <c r="C2060" t="s">
        <v>5953</v>
      </c>
      <c r="D2060">
        <v>6023</v>
      </c>
      <c r="E2060">
        <v>6083</v>
      </c>
      <c r="F2060">
        <v>6023</v>
      </c>
      <c r="G2060" s="3">
        <v>6083</v>
      </c>
      <c r="H2060">
        <v>6083</v>
      </c>
      <c r="I2060">
        <v>6023</v>
      </c>
      <c r="J2060">
        <v>25</v>
      </c>
      <c r="K2060">
        <v>151807.79999999999</v>
      </c>
      <c r="L2060" s="1">
        <v>45240</v>
      </c>
      <c r="M2060">
        <v>10</v>
      </c>
      <c r="N2060" t="s">
        <v>5969</v>
      </c>
      <c r="O2060" s="5">
        <v>45240</v>
      </c>
      <c r="P2060" s="5">
        <v>43777</v>
      </c>
    </row>
    <row r="2061" spans="1:16" x14ac:dyDescent="0.25">
      <c r="A2061" t="s">
        <v>5968</v>
      </c>
      <c r="B2061" t="str">
        <v>Not Found</v>
      </c>
      <c r="C2061" t="s">
        <v>5953</v>
      </c>
      <c r="D2061">
        <v>6006</v>
      </c>
      <c r="E2061">
        <v>6055</v>
      </c>
      <c r="F2061">
        <v>5994.41</v>
      </c>
      <c r="G2061" s="3">
        <v>6055</v>
      </c>
      <c r="H2061">
        <v>6055</v>
      </c>
      <c r="I2061">
        <v>5994.41</v>
      </c>
      <c r="J2061">
        <v>46</v>
      </c>
      <c r="K2061">
        <v>276222.3</v>
      </c>
      <c r="L2061" s="1">
        <v>45240</v>
      </c>
      <c r="M2061">
        <v>18</v>
      </c>
      <c r="N2061" t="s">
        <v>5967</v>
      </c>
      <c r="O2061" s="5">
        <v>45240</v>
      </c>
      <c r="P2061" s="5">
        <v>43777</v>
      </c>
    </row>
    <row r="2062" spans="1:16" x14ac:dyDescent="0.25">
      <c r="A2062" t="s">
        <v>5966</v>
      </c>
      <c r="B2062" t="str">
        <v>Not Found</v>
      </c>
      <c r="C2062" t="s">
        <v>5953</v>
      </c>
      <c r="D2062">
        <v>6070</v>
      </c>
      <c r="E2062">
        <v>6080</v>
      </c>
      <c r="F2062">
        <v>6070</v>
      </c>
      <c r="G2062" s="3">
        <v>6080</v>
      </c>
      <c r="H2062">
        <v>6080</v>
      </c>
      <c r="I2062">
        <v>6090</v>
      </c>
      <c r="J2062">
        <v>171</v>
      </c>
      <c r="K2062">
        <v>1039395</v>
      </c>
      <c r="L2062" s="1">
        <v>45240</v>
      </c>
      <c r="M2062">
        <v>14</v>
      </c>
      <c r="N2062" t="s">
        <v>5965</v>
      </c>
      <c r="O2062" s="5">
        <v>45240</v>
      </c>
      <c r="P2062" s="5">
        <v>43777</v>
      </c>
    </row>
    <row r="2063" spans="1:16" x14ac:dyDescent="0.25">
      <c r="A2063" t="s">
        <v>5964</v>
      </c>
      <c r="B2063" t="str">
        <v>Not Found</v>
      </c>
      <c r="C2063" t="s">
        <v>5953</v>
      </c>
      <c r="D2063">
        <v>5980</v>
      </c>
      <c r="E2063">
        <v>6028.4</v>
      </c>
      <c r="F2063">
        <v>5980</v>
      </c>
      <c r="G2063" s="3">
        <v>6021.1</v>
      </c>
      <c r="H2063">
        <v>6028.4</v>
      </c>
      <c r="I2063">
        <v>5984.92</v>
      </c>
      <c r="J2063">
        <v>135</v>
      </c>
      <c r="K2063">
        <v>810450.6</v>
      </c>
      <c r="L2063" s="1">
        <v>45240</v>
      </c>
      <c r="M2063">
        <v>34</v>
      </c>
      <c r="N2063" t="s">
        <v>5963</v>
      </c>
      <c r="O2063" s="5">
        <v>45240</v>
      </c>
      <c r="P2063" s="5">
        <v>43777</v>
      </c>
    </row>
    <row r="2064" spans="1:16" x14ac:dyDescent="0.25">
      <c r="A2064" t="s">
        <v>5962</v>
      </c>
      <c r="B2064" t="str">
        <v>Not Found</v>
      </c>
      <c r="C2064" t="s">
        <v>5953</v>
      </c>
      <c r="D2064">
        <v>6050</v>
      </c>
      <c r="E2064">
        <v>6100</v>
      </c>
      <c r="F2064">
        <v>5999</v>
      </c>
      <c r="G2064" s="3">
        <v>6012.09</v>
      </c>
      <c r="H2064">
        <v>6005</v>
      </c>
      <c r="I2064">
        <v>6024.99</v>
      </c>
      <c r="J2064">
        <v>299</v>
      </c>
      <c r="K2064">
        <v>1802861.48</v>
      </c>
      <c r="L2064" s="1">
        <v>45240</v>
      </c>
      <c r="M2064">
        <v>81</v>
      </c>
      <c r="N2064" t="s">
        <v>5961</v>
      </c>
      <c r="O2064" s="5">
        <v>45240</v>
      </c>
      <c r="P2064" s="5">
        <v>43777</v>
      </c>
    </row>
    <row r="2065" spans="1:16" x14ac:dyDescent="0.25">
      <c r="A2065" t="s">
        <v>5960</v>
      </c>
      <c r="B2065" t="str">
        <v>Not Found</v>
      </c>
      <c r="C2065" t="s">
        <v>5953</v>
      </c>
      <c r="D2065">
        <v>6024</v>
      </c>
      <c r="E2065">
        <v>6024.99</v>
      </c>
      <c r="F2065">
        <v>5965.01</v>
      </c>
      <c r="G2065" s="3">
        <v>6024.46</v>
      </c>
      <c r="H2065">
        <v>6024</v>
      </c>
      <c r="I2065">
        <v>5951</v>
      </c>
      <c r="J2065">
        <v>65</v>
      </c>
      <c r="K2065">
        <v>390334.03</v>
      </c>
      <c r="L2065" s="1">
        <v>45240</v>
      </c>
      <c r="M2065">
        <v>29</v>
      </c>
      <c r="N2065" t="s">
        <v>5959</v>
      </c>
      <c r="O2065" s="5">
        <v>45240</v>
      </c>
      <c r="P2065" s="5">
        <v>43777</v>
      </c>
    </row>
    <row r="2066" spans="1:16" x14ac:dyDescent="0.25">
      <c r="A2066" t="s">
        <v>5958</v>
      </c>
      <c r="B2066" t="str">
        <v>Not Found</v>
      </c>
      <c r="C2066" t="s">
        <v>5953</v>
      </c>
      <c r="D2066">
        <v>5960</v>
      </c>
      <c r="E2066">
        <v>6090</v>
      </c>
      <c r="F2066">
        <v>5960</v>
      </c>
      <c r="G2066" s="3">
        <v>6040.6</v>
      </c>
      <c r="H2066">
        <v>6035</v>
      </c>
      <c r="I2066">
        <v>5957.19</v>
      </c>
      <c r="J2066">
        <v>577</v>
      </c>
      <c r="K2066">
        <v>3467369.44</v>
      </c>
      <c r="L2066" s="1">
        <v>45240</v>
      </c>
      <c r="M2066">
        <v>164</v>
      </c>
      <c r="N2066" t="s">
        <v>5957</v>
      </c>
      <c r="O2066" s="5">
        <v>45240</v>
      </c>
      <c r="P2066" s="5">
        <v>43777</v>
      </c>
    </row>
    <row r="2067" spans="1:16" x14ac:dyDescent="0.25">
      <c r="A2067" t="s">
        <v>5956</v>
      </c>
      <c r="B2067" t="str">
        <v>Not Found</v>
      </c>
      <c r="C2067" t="s">
        <v>5953</v>
      </c>
      <c r="D2067">
        <v>5940</v>
      </c>
      <c r="E2067">
        <v>6020</v>
      </c>
      <c r="F2067">
        <v>5935.02</v>
      </c>
      <c r="G2067" s="3">
        <v>6014.86</v>
      </c>
      <c r="H2067">
        <v>6017.88</v>
      </c>
      <c r="I2067">
        <v>5935.02</v>
      </c>
      <c r="J2067">
        <v>592</v>
      </c>
      <c r="K2067">
        <v>3554450.97</v>
      </c>
      <c r="L2067" s="1">
        <v>45240</v>
      </c>
      <c r="M2067">
        <v>152</v>
      </c>
      <c r="N2067" t="s">
        <v>5955</v>
      </c>
      <c r="O2067" s="5">
        <v>45240</v>
      </c>
      <c r="P2067" s="5">
        <v>43777</v>
      </c>
    </row>
    <row r="2068" spans="1:16" x14ac:dyDescent="0.25">
      <c r="A2068" t="s">
        <v>5954</v>
      </c>
      <c r="B2068" t="str">
        <v>Not Found</v>
      </c>
      <c r="C2068" t="s">
        <v>5953</v>
      </c>
      <c r="D2068">
        <v>5970.55</v>
      </c>
      <c r="E2068">
        <v>6011</v>
      </c>
      <c r="F2068">
        <v>5970.55</v>
      </c>
      <c r="G2068" s="3">
        <v>6008.3</v>
      </c>
      <c r="H2068">
        <v>6011</v>
      </c>
      <c r="I2068">
        <v>5960.82</v>
      </c>
      <c r="J2068">
        <v>11318</v>
      </c>
      <c r="K2068">
        <v>67842978.450000003</v>
      </c>
      <c r="L2068" s="1">
        <v>45240</v>
      </c>
      <c r="M2068">
        <v>1690</v>
      </c>
      <c r="N2068" t="s">
        <v>5952</v>
      </c>
      <c r="O2068" s="5">
        <v>45240</v>
      </c>
      <c r="P2068" s="5">
        <v>43777</v>
      </c>
    </row>
    <row r="2069" spans="1:16" x14ac:dyDescent="0.25">
      <c r="A2069" t="s">
        <v>4549</v>
      </c>
      <c r="B2069" t="str">
        <v>Synergy Green Industries Limited</v>
      </c>
      <c r="C2069" t="s">
        <v>10</v>
      </c>
      <c r="D2069">
        <v>254</v>
      </c>
      <c r="E2069">
        <v>255</v>
      </c>
      <c r="F2069">
        <v>254</v>
      </c>
      <c r="G2069" s="3">
        <v>255</v>
      </c>
      <c r="H2069">
        <v>255</v>
      </c>
      <c r="I2069">
        <v>255</v>
      </c>
      <c r="J2069">
        <v>8577</v>
      </c>
      <c r="K2069">
        <v>2186231</v>
      </c>
      <c r="L2069" s="1">
        <v>45240</v>
      </c>
      <c r="M2069">
        <v>30</v>
      </c>
      <c r="N2069" t="s">
        <v>4551</v>
      </c>
      <c r="O2069" s="5">
        <v>45240</v>
      </c>
      <c r="P2069" s="5">
        <v>43777</v>
      </c>
    </row>
    <row r="2070" spans="1:16" x14ac:dyDescent="0.25">
      <c r="A2070" t="s">
        <v>4552</v>
      </c>
      <c r="B2070" t="str">
        <v>STL Global Limited</v>
      </c>
      <c r="C2070" t="s">
        <v>10</v>
      </c>
      <c r="D2070">
        <v>15</v>
      </c>
      <c r="E2070">
        <v>15.35</v>
      </c>
      <c r="F2070">
        <v>14.8</v>
      </c>
      <c r="G2070" s="3">
        <v>15.05</v>
      </c>
      <c r="H2070">
        <v>15.25</v>
      </c>
      <c r="I2070">
        <v>15.15</v>
      </c>
      <c r="J2070">
        <v>10009</v>
      </c>
      <c r="K2070">
        <v>150544.79999999999</v>
      </c>
      <c r="L2070" s="1">
        <v>45240</v>
      </c>
      <c r="M2070">
        <v>62</v>
      </c>
      <c r="N2070" t="s">
        <v>4554</v>
      </c>
      <c r="O2070" s="5">
        <v>45240</v>
      </c>
      <c r="P2070" s="5">
        <v>43777</v>
      </c>
    </row>
    <row r="2071" spans="1:16" x14ac:dyDescent="0.25">
      <c r="A2071" t="s">
        <v>4555</v>
      </c>
      <c r="B2071" t="str">
        <v>Shah Metacorp Limited</v>
      </c>
      <c r="C2071" t="s">
        <v>14</v>
      </c>
      <c r="D2071">
        <v>2.7</v>
      </c>
      <c r="E2071">
        <v>2.8</v>
      </c>
      <c r="F2071">
        <v>2.7</v>
      </c>
      <c r="G2071" s="3">
        <v>2.8</v>
      </c>
      <c r="H2071">
        <v>2.8</v>
      </c>
      <c r="I2071">
        <v>2.75</v>
      </c>
      <c r="J2071">
        <v>1606244</v>
      </c>
      <c r="K2071">
        <v>4423787.7</v>
      </c>
      <c r="L2071" s="1">
        <v>45240</v>
      </c>
      <c r="M2071">
        <v>406</v>
      </c>
      <c r="N2071" t="s">
        <v>4557</v>
      </c>
      <c r="O2071" s="5">
        <v>45240</v>
      </c>
      <c r="P2071" s="5">
        <v>43777</v>
      </c>
    </row>
    <row r="2072" spans="1:16" x14ac:dyDescent="0.25">
      <c r="A2072" t="s">
        <v>4558</v>
      </c>
      <c r="B2072" t="str">
        <v>Shah Alloys Limited</v>
      </c>
      <c r="C2072" t="s">
        <v>10</v>
      </c>
      <c r="D2072">
        <v>51</v>
      </c>
      <c r="E2072">
        <v>51.5</v>
      </c>
      <c r="F2072">
        <v>50</v>
      </c>
      <c r="G2072" s="3">
        <v>51.5</v>
      </c>
      <c r="H2072">
        <v>51.5</v>
      </c>
      <c r="I2072">
        <v>50.5</v>
      </c>
      <c r="J2072">
        <v>2699</v>
      </c>
      <c r="K2072">
        <v>135222</v>
      </c>
      <c r="L2072" s="1">
        <v>45240</v>
      </c>
      <c r="M2072">
        <v>15</v>
      </c>
      <c r="N2072" t="s">
        <v>4560</v>
      </c>
      <c r="O2072" s="5">
        <v>45240</v>
      </c>
      <c r="P2072" s="5">
        <v>43777</v>
      </c>
    </row>
    <row r="2073" spans="1:16" x14ac:dyDescent="0.25">
      <c r="A2073" t="s">
        <v>4561</v>
      </c>
      <c r="B2073" t="str">
        <v>Shaily Engineering Plastics Limited</v>
      </c>
      <c r="C2073" t="s">
        <v>14</v>
      </c>
      <c r="D2073">
        <v>1785.1</v>
      </c>
      <c r="E2073">
        <v>1797</v>
      </c>
      <c r="F2073">
        <v>1759</v>
      </c>
      <c r="G2073" s="3">
        <v>1790.45</v>
      </c>
      <c r="H2073">
        <v>1780.1</v>
      </c>
      <c r="I2073">
        <v>1758.7</v>
      </c>
      <c r="J2073">
        <v>6743</v>
      </c>
      <c r="K2073">
        <v>12029451.35</v>
      </c>
      <c r="L2073" s="1">
        <v>45240</v>
      </c>
      <c r="M2073">
        <v>1924</v>
      </c>
      <c r="N2073" t="s">
        <v>4563</v>
      </c>
      <c r="O2073" s="5">
        <v>45240</v>
      </c>
      <c r="P2073" s="5">
        <v>43777</v>
      </c>
    </row>
    <row r="2074" spans="1:16" x14ac:dyDescent="0.25">
      <c r="A2074" t="s">
        <v>4564</v>
      </c>
      <c r="B2074" t="str">
        <v>Shakti Pumps (India) Limited</v>
      </c>
      <c r="C2074" t="s">
        <v>14</v>
      </c>
      <c r="D2074">
        <v>1066.1500000000001</v>
      </c>
      <c r="E2074">
        <v>1069.7</v>
      </c>
      <c r="F2074">
        <v>1050.0999999999999</v>
      </c>
      <c r="G2074" s="3">
        <v>1058.8499999999999</v>
      </c>
      <c r="H2074">
        <v>1055.2</v>
      </c>
      <c r="I2074">
        <v>1066.1500000000001</v>
      </c>
      <c r="J2074">
        <v>60476</v>
      </c>
      <c r="K2074">
        <v>64122244.049999997</v>
      </c>
      <c r="L2074" s="1">
        <v>45240</v>
      </c>
      <c r="M2074">
        <v>4462</v>
      </c>
      <c r="N2074" t="s">
        <v>4566</v>
      </c>
      <c r="O2074" s="5">
        <v>45240</v>
      </c>
      <c r="P2074" s="5">
        <v>43777</v>
      </c>
    </row>
    <row r="2075" spans="1:16" x14ac:dyDescent="0.25">
      <c r="A2075" t="s">
        <v>4567</v>
      </c>
      <c r="B2075" t="str">
        <v>Shalby Limited</v>
      </c>
      <c r="C2075" t="s">
        <v>14</v>
      </c>
      <c r="D2075">
        <v>286.7</v>
      </c>
      <c r="E2075">
        <v>293.95</v>
      </c>
      <c r="F2075">
        <v>286</v>
      </c>
      <c r="G2075" s="3">
        <v>288.64999999999998</v>
      </c>
      <c r="H2075">
        <v>289</v>
      </c>
      <c r="I2075">
        <v>286.60000000000002</v>
      </c>
      <c r="J2075">
        <v>404617</v>
      </c>
      <c r="K2075">
        <v>117049094</v>
      </c>
      <c r="L2075" s="1">
        <v>45240</v>
      </c>
      <c r="M2075">
        <v>6963</v>
      </c>
      <c r="N2075" t="s">
        <v>4569</v>
      </c>
      <c r="O2075" s="5">
        <v>45240</v>
      </c>
      <c r="P2075" s="5">
        <v>43777</v>
      </c>
    </row>
    <row r="2076" spans="1:16" x14ac:dyDescent="0.25">
      <c r="A2076" t="s">
        <v>4570</v>
      </c>
      <c r="B2076" t="str">
        <v>Shalimar Paints Limited</v>
      </c>
      <c r="C2076" t="s">
        <v>14</v>
      </c>
      <c r="D2076">
        <v>172</v>
      </c>
      <c r="E2076">
        <v>175</v>
      </c>
      <c r="F2076">
        <v>169.05</v>
      </c>
      <c r="G2076" s="3">
        <v>173.4</v>
      </c>
      <c r="H2076">
        <v>171.5</v>
      </c>
      <c r="I2076">
        <v>175.15</v>
      </c>
      <c r="J2076">
        <v>218035</v>
      </c>
      <c r="K2076">
        <v>37523246.25</v>
      </c>
      <c r="L2076" s="1">
        <v>45240</v>
      </c>
      <c r="M2076">
        <v>4495</v>
      </c>
      <c r="N2076" t="s">
        <v>4572</v>
      </c>
      <c r="O2076" s="5">
        <v>45240</v>
      </c>
      <c r="P2076" s="5">
        <v>43777</v>
      </c>
    </row>
    <row r="2077" spans="1:16" x14ac:dyDescent="0.25">
      <c r="A2077" t="s">
        <v>4573</v>
      </c>
      <c r="B2077" t="str">
        <v>Shankara Building Products Limited</v>
      </c>
      <c r="C2077" t="s">
        <v>14</v>
      </c>
      <c r="D2077">
        <v>719.05</v>
      </c>
      <c r="E2077">
        <v>747</v>
      </c>
      <c r="F2077">
        <v>718</v>
      </c>
      <c r="G2077" s="3">
        <v>736.05</v>
      </c>
      <c r="H2077">
        <v>738</v>
      </c>
      <c r="I2077">
        <v>713.85</v>
      </c>
      <c r="J2077">
        <v>87970</v>
      </c>
      <c r="K2077">
        <v>64384638.450000003</v>
      </c>
      <c r="L2077" s="1">
        <v>45240</v>
      </c>
      <c r="M2077">
        <v>6334</v>
      </c>
      <c r="N2077" t="s">
        <v>4575</v>
      </c>
      <c r="O2077" s="5">
        <v>45240</v>
      </c>
      <c r="P2077" s="5">
        <v>43777</v>
      </c>
    </row>
    <row r="2078" spans="1:16" x14ac:dyDescent="0.25">
      <c r="A2078" t="s">
        <v>5951</v>
      </c>
      <c r="B2078" t="str">
        <v>Not Found</v>
      </c>
      <c r="C2078" t="s">
        <v>5853</v>
      </c>
      <c r="D2078">
        <v>106</v>
      </c>
      <c r="E2078">
        <v>108</v>
      </c>
      <c r="F2078">
        <v>105</v>
      </c>
      <c r="G2078" s="3">
        <v>107.45</v>
      </c>
      <c r="H2078">
        <v>107.95</v>
      </c>
      <c r="I2078">
        <v>105.3</v>
      </c>
      <c r="J2078">
        <v>45600</v>
      </c>
      <c r="K2078">
        <v>4866240</v>
      </c>
      <c r="L2078" s="1">
        <v>45240</v>
      </c>
      <c r="M2078">
        <v>34</v>
      </c>
      <c r="N2078" t="s">
        <v>5950</v>
      </c>
      <c r="O2078" s="5">
        <v>45240</v>
      </c>
      <c r="P2078" s="5">
        <v>43777</v>
      </c>
    </row>
    <row r="2079" spans="1:16" x14ac:dyDescent="0.25">
      <c r="A2079" t="s">
        <v>4576</v>
      </c>
      <c r="B2079" t="str">
        <v>Shanti Overseas (India) Limited</v>
      </c>
      <c r="C2079" t="s">
        <v>14</v>
      </c>
      <c r="D2079">
        <v>18.45</v>
      </c>
      <c r="E2079">
        <v>19.5</v>
      </c>
      <c r="F2079">
        <v>18.45</v>
      </c>
      <c r="G2079" s="3">
        <v>18.7</v>
      </c>
      <c r="H2079">
        <v>18.55</v>
      </c>
      <c r="I2079">
        <v>19</v>
      </c>
      <c r="J2079">
        <v>12338</v>
      </c>
      <c r="K2079">
        <v>232595.15</v>
      </c>
      <c r="L2079" s="1">
        <v>45240</v>
      </c>
      <c r="M2079">
        <v>128</v>
      </c>
      <c r="N2079" t="s">
        <v>4578</v>
      </c>
      <c r="O2079" s="5">
        <v>45240</v>
      </c>
      <c r="P2079" s="5">
        <v>43777</v>
      </c>
    </row>
    <row r="2080" spans="1:16" x14ac:dyDescent="0.25">
      <c r="A2080" t="s">
        <v>4579</v>
      </c>
      <c r="B2080" t="str">
        <v>Shanthi Gears Limited</v>
      </c>
      <c r="C2080" t="s">
        <v>14</v>
      </c>
      <c r="D2080">
        <v>459.65</v>
      </c>
      <c r="E2080">
        <v>468.5</v>
      </c>
      <c r="F2080">
        <v>454.15</v>
      </c>
      <c r="G2080" s="3">
        <v>456.9</v>
      </c>
      <c r="H2080">
        <v>458</v>
      </c>
      <c r="I2080">
        <v>458.3</v>
      </c>
      <c r="J2080">
        <v>78594</v>
      </c>
      <c r="K2080">
        <v>36155914.100000001</v>
      </c>
      <c r="L2080" s="1">
        <v>45240</v>
      </c>
      <c r="M2080">
        <v>6069</v>
      </c>
      <c r="N2080" t="s">
        <v>4581</v>
      </c>
      <c r="O2080" s="5">
        <v>45240</v>
      </c>
      <c r="P2080" s="5">
        <v>43777</v>
      </c>
    </row>
    <row r="2081" spans="1:16" x14ac:dyDescent="0.25">
      <c r="A2081" t="s">
        <v>4582</v>
      </c>
      <c r="B2081" t="str">
        <v>Sharda Cropchem Limited</v>
      </c>
      <c r="C2081" t="s">
        <v>14</v>
      </c>
      <c r="D2081">
        <v>414</v>
      </c>
      <c r="E2081">
        <v>418.95</v>
      </c>
      <c r="F2081">
        <v>407.65</v>
      </c>
      <c r="G2081" s="3">
        <v>415.35</v>
      </c>
      <c r="H2081">
        <v>418</v>
      </c>
      <c r="I2081">
        <v>410.7</v>
      </c>
      <c r="J2081">
        <v>61841</v>
      </c>
      <c r="K2081">
        <v>25625306.399999999</v>
      </c>
      <c r="L2081" s="1">
        <v>45240</v>
      </c>
      <c r="M2081">
        <v>5438</v>
      </c>
      <c r="N2081" t="s">
        <v>4584</v>
      </c>
      <c r="O2081" s="5">
        <v>45240</v>
      </c>
      <c r="P2081" s="5">
        <v>43777</v>
      </c>
    </row>
    <row r="2082" spans="1:16" x14ac:dyDescent="0.25">
      <c r="A2082" t="s">
        <v>4585</v>
      </c>
      <c r="B2082" t="str">
        <v>Sharda Motor Industries Limited</v>
      </c>
      <c r="C2082" t="s">
        <v>14</v>
      </c>
      <c r="D2082">
        <v>1025.95</v>
      </c>
      <c r="E2082">
        <v>1158.75</v>
      </c>
      <c r="F2082">
        <v>1025.05</v>
      </c>
      <c r="G2082" s="3">
        <v>1100.75</v>
      </c>
      <c r="H2082">
        <v>1100</v>
      </c>
      <c r="I2082">
        <v>973.8</v>
      </c>
      <c r="J2082">
        <v>573419</v>
      </c>
      <c r="K2082">
        <v>628359497.45000005</v>
      </c>
      <c r="L2082" s="1">
        <v>45240</v>
      </c>
      <c r="M2082">
        <v>35477</v>
      </c>
      <c r="N2082" t="s">
        <v>4587</v>
      </c>
      <c r="O2082" s="5">
        <v>45240</v>
      </c>
      <c r="P2082" s="5">
        <v>43777</v>
      </c>
    </row>
    <row r="2083" spans="1:16" x14ac:dyDescent="0.25">
      <c r="A2083" t="s">
        <v>4588</v>
      </c>
      <c r="B2083" t="str">
        <v>Share India Securities Limited</v>
      </c>
      <c r="C2083" t="s">
        <v>14</v>
      </c>
      <c r="D2083">
        <v>1493.95</v>
      </c>
      <c r="E2083">
        <v>1529.65</v>
      </c>
      <c r="F2083">
        <v>1490.05</v>
      </c>
      <c r="G2083" s="3">
        <v>1521.2</v>
      </c>
      <c r="H2083">
        <v>1526.05</v>
      </c>
      <c r="I2083">
        <v>1495</v>
      </c>
      <c r="J2083">
        <v>121607</v>
      </c>
      <c r="K2083">
        <v>184037513.5</v>
      </c>
      <c r="L2083" s="1">
        <v>45240</v>
      </c>
      <c r="M2083">
        <v>5083</v>
      </c>
      <c r="N2083" t="s">
        <v>4590</v>
      </c>
      <c r="O2083" s="5">
        <v>45240</v>
      </c>
      <c r="P2083" s="5">
        <v>43777</v>
      </c>
    </row>
    <row r="2084" spans="1:16" x14ac:dyDescent="0.25">
      <c r="A2084" t="s">
        <v>4588</v>
      </c>
      <c r="B2084" t="str">
        <v>Share India Securities Limited</v>
      </c>
      <c r="C2084" t="s">
        <v>5949</v>
      </c>
      <c r="D2084">
        <v>927</v>
      </c>
      <c r="E2084">
        <v>927</v>
      </c>
      <c r="F2084">
        <v>920</v>
      </c>
      <c r="G2084" s="3">
        <v>920</v>
      </c>
      <c r="H2084">
        <v>920</v>
      </c>
      <c r="I2084">
        <v>920.1</v>
      </c>
      <c r="J2084">
        <v>20500</v>
      </c>
      <c r="K2084">
        <v>18865290.5</v>
      </c>
      <c r="L2084" s="1">
        <v>45240</v>
      </c>
      <c r="M2084">
        <v>57</v>
      </c>
      <c r="N2084" t="s">
        <v>5948</v>
      </c>
      <c r="O2084" s="5">
        <v>45240</v>
      </c>
      <c r="P2084" s="5">
        <v>43777</v>
      </c>
    </row>
    <row r="2085" spans="1:16" x14ac:dyDescent="0.25">
      <c r="A2085" t="s">
        <v>5947</v>
      </c>
      <c r="B2085" t="str">
        <v>Not Found</v>
      </c>
      <c r="C2085" t="s">
        <v>14</v>
      </c>
      <c r="D2085">
        <v>433.01</v>
      </c>
      <c r="E2085">
        <v>433.07</v>
      </c>
      <c r="F2085">
        <v>431</v>
      </c>
      <c r="G2085" s="3">
        <v>432</v>
      </c>
      <c r="H2085">
        <v>433.07</v>
      </c>
      <c r="I2085">
        <v>432.87</v>
      </c>
      <c r="J2085">
        <v>644</v>
      </c>
      <c r="K2085">
        <v>278056.96999999997</v>
      </c>
      <c r="L2085" s="1">
        <v>45240</v>
      </c>
      <c r="M2085">
        <v>66</v>
      </c>
      <c r="N2085" t="s">
        <v>5946</v>
      </c>
      <c r="O2085" s="5">
        <v>45240</v>
      </c>
      <c r="P2085" s="5">
        <v>43777</v>
      </c>
    </row>
    <row r="2086" spans="1:16" x14ac:dyDescent="0.25">
      <c r="A2086" t="s">
        <v>4591</v>
      </c>
      <c r="B2086" t="str">
        <v>Shemaroo Entertainment Limited</v>
      </c>
      <c r="C2086" t="s">
        <v>14</v>
      </c>
      <c r="D2086">
        <v>140.1</v>
      </c>
      <c r="E2086">
        <v>145.65</v>
      </c>
      <c r="F2086">
        <v>140.1</v>
      </c>
      <c r="G2086" s="3">
        <v>142.80000000000001</v>
      </c>
      <c r="H2086">
        <v>143.19999999999999</v>
      </c>
      <c r="I2086">
        <v>142</v>
      </c>
      <c r="J2086">
        <v>51521</v>
      </c>
      <c r="K2086">
        <v>7377518.7999999998</v>
      </c>
      <c r="L2086" s="1">
        <v>45240</v>
      </c>
      <c r="M2086">
        <v>1952</v>
      </c>
      <c r="N2086" t="s">
        <v>4593</v>
      </c>
      <c r="O2086" s="5">
        <v>45240</v>
      </c>
      <c r="P2086" s="5">
        <v>43777</v>
      </c>
    </row>
    <row r="2087" spans="1:16" x14ac:dyDescent="0.25">
      <c r="A2087" t="s">
        <v>5945</v>
      </c>
      <c r="B2087" t="str">
        <v>Not Found</v>
      </c>
      <c r="C2087" t="s">
        <v>5788</v>
      </c>
      <c r="D2087">
        <v>168.95</v>
      </c>
      <c r="E2087">
        <v>171</v>
      </c>
      <c r="F2087">
        <v>168</v>
      </c>
      <c r="G2087" s="3">
        <v>170</v>
      </c>
      <c r="H2087">
        <v>170</v>
      </c>
      <c r="I2087">
        <v>168.3</v>
      </c>
      <c r="J2087">
        <v>57000</v>
      </c>
      <c r="K2087">
        <v>9674850</v>
      </c>
      <c r="L2087" s="1">
        <v>45240</v>
      </c>
      <c r="M2087">
        <v>53</v>
      </c>
      <c r="N2087" t="s">
        <v>5944</v>
      </c>
      <c r="O2087" s="5">
        <v>45240</v>
      </c>
      <c r="P2087" s="5">
        <v>43777</v>
      </c>
    </row>
    <row r="2088" spans="1:16" x14ac:dyDescent="0.25">
      <c r="A2088" t="s">
        <v>5943</v>
      </c>
      <c r="B2088" t="str">
        <v>Not Found</v>
      </c>
      <c r="C2088" t="s">
        <v>5788</v>
      </c>
      <c r="D2088">
        <v>99.2</v>
      </c>
      <c r="E2088">
        <v>99.2</v>
      </c>
      <c r="F2088">
        <v>96</v>
      </c>
      <c r="G2088" s="3">
        <v>97.7</v>
      </c>
      <c r="H2088">
        <v>96</v>
      </c>
      <c r="I2088">
        <v>99.1</v>
      </c>
      <c r="J2088">
        <v>9000</v>
      </c>
      <c r="K2088">
        <v>881550</v>
      </c>
      <c r="L2088" s="1">
        <v>45240</v>
      </c>
      <c r="M2088">
        <v>6</v>
      </c>
      <c r="N2088" t="s">
        <v>5942</v>
      </c>
      <c r="O2088" s="5">
        <v>45240</v>
      </c>
      <c r="P2088" s="5">
        <v>43777</v>
      </c>
    </row>
    <row r="2089" spans="1:16" x14ac:dyDescent="0.25">
      <c r="A2089" t="s">
        <v>4594</v>
      </c>
      <c r="B2089" t="str">
        <v>Shilpa Medicare Limited</v>
      </c>
      <c r="C2089" t="s">
        <v>14</v>
      </c>
      <c r="D2089">
        <v>357.9</v>
      </c>
      <c r="E2089">
        <v>384</v>
      </c>
      <c r="F2089">
        <v>348.7</v>
      </c>
      <c r="G2089" s="3">
        <v>373.75</v>
      </c>
      <c r="H2089">
        <v>376.5</v>
      </c>
      <c r="I2089">
        <v>357.3</v>
      </c>
      <c r="J2089">
        <v>1661664</v>
      </c>
      <c r="K2089">
        <v>617688468.54999995</v>
      </c>
      <c r="L2089" s="1">
        <v>45240</v>
      </c>
      <c r="M2089">
        <v>30635</v>
      </c>
      <c r="N2089" t="s">
        <v>4596</v>
      </c>
      <c r="O2089" s="5">
        <v>45240</v>
      </c>
      <c r="P2089" s="5">
        <v>43777</v>
      </c>
    </row>
    <row r="2090" spans="1:16" x14ac:dyDescent="0.25">
      <c r="A2090" t="s">
        <v>4597</v>
      </c>
      <c r="B2090" t="str">
        <v>Shivalik Rasayan Limited</v>
      </c>
      <c r="C2090" t="s">
        <v>14</v>
      </c>
      <c r="D2090">
        <v>671.95</v>
      </c>
      <c r="E2090">
        <v>676</v>
      </c>
      <c r="F2090">
        <v>663</v>
      </c>
      <c r="G2090" s="3">
        <v>671.35</v>
      </c>
      <c r="H2090">
        <v>671.45</v>
      </c>
      <c r="I2090">
        <v>662</v>
      </c>
      <c r="J2090">
        <v>18489</v>
      </c>
      <c r="K2090">
        <v>12410180.25</v>
      </c>
      <c r="L2090" s="1">
        <v>45240</v>
      </c>
      <c r="M2090">
        <v>582</v>
      </c>
      <c r="N2090" t="s">
        <v>4599</v>
      </c>
      <c r="O2090" s="5">
        <v>45240</v>
      </c>
      <c r="P2090" s="5">
        <v>43777</v>
      </c>
    </row>
    <row r="2091" spans="1:16" x14ac:dyDescent="0.25">
      <c r="A2091" t="s">
        <v>4600</v>
      </c>
      <c r="B2091" t="str">
        <v>Shivam Autotech Limited</v>
      </c>
      <c r="C2091" t="s">
        <v>10</v>
      </c>
      <c r="D2091">
        <v>31.25</v>
      </c>
      <c r="E2091">
        <v>31.6</v>
      </c>
      <c r="F2091">
        <v>30.1</v>
      </c>
      <c r="G2091" s="3">
        <v>30.15</v>
      </c>
      <c r="H2091">
        <v>30.1</v>
      </c>
      <c r="I2091">
        <v>31.65</v>
      </c>
      <c r="J2091">
        <v>113350</v>
      </c>
      <c r="K2091">
        <v>3462041.45</v>
      </c>
      <c r="L2091" s="1">
        <v>45240</v>
      </c>
      <c r="M2091">
        <v>422</v>
      </c>
      <c r="N2091" t="s">
        <v>4602</v>
      </c>
      <c r="O2091" s="5">
        <v>45240</v>
      </c>
      <c r="P2091" s="5">
        <v>43777</v>
      </c>
    </row>
    <row r="2092" spans="1:16" x14ac:dyDescent="0.25">
      <c r="A2092" t="s">
        <v>4603</v>
      </c>
      <c r="B2092" t="str">
        <v>Shiva Mills Limited</v>
      </c>
      <c r="C2092" t="s">
        <v>14</v>
      </c>
      <c r="D2092">
        <v>81</v>
      </c>
      <c r="E2092">
        <v>81</v>
      </c>
      <c r="F2092">
        <v>77</v>
      </c>
      <c r="G2092" s="3">
        <v>77.349999999999994</v>
      </c>
      <c r="H2092">
        <v>77</v>
      </c>
      <c r="I2092">
        <v>78.900000000000006</v>
      </c>
      <c r="J2092">
        <v>3794</v>
      </c>
      <c r="K2092">
        <v>294850.45</v>
      </c>
      <c r="L2092" s="1">
        <v>45240</v>
      </c>
      <c r="M2092">
        <v>134</v>
      </c>
      <c r="N2092" t="s">
        <v>4605</v>
      </c>
      <c r="O2092" s="5">
        <v>45240</v>
      </c>
      <c r="P2092" s="5">
        <v>43777</v>
      </c>
    </row>
    <row r="2093" spans="1:16" x14ac:dyDescent="0.25">
      <c r="A2093" t="s">
        <v>4606</v>
      </c>
      <c r="B2093" t="str">
        <v>Shiva Texyarn Limited</v>
      </c>
      <c r="C2093" t="s">
        <v>14</v>
      </c>
      <c r="D2093">
        <v>125.05</v>
      </c>
      <c r="E2093">
        <v>129.35</v>
      </c>
      <c r="F2093">
        <v>125.05</v>
      </c>
      <c r="G2093" s="3">
        <v>128.19999999999999</v>
      </c>
      <c r="H2093">
        <v>128.19999999999999</v>
      </c>
      <c r="I2093">
        <v>127.85</v>
      </c>
      <c r="J2093">
        <v>3236</v>
      </c>
      <c r="K2093">
        <v>413125.1</v>
      </c>
      <c r="L2093" s="1">
        <v>45240</v>
      </c>
      <c r="M2093">
        <v>94</v>
      </c>
      <c r="N2093" t="s">
        <v>4608</v>
      </c>
      <c r="O2093" s="5">
        <v>45240</v>
      </c>
      <c r="P2093" s="5">
        <v>43777</v>
      </c>
    </row>
    <row r="2094" spans="1:16" x14ac:dyDescent="0.25">
      <c r="A2094" t="s">
        <v>4609</v>
      </c>
      <c r="B2094" t="str">
        <v>S H Kelkar and Company Limited</v>
      </c>
      <c r="C2094" t="s">
        <v>14</v>
      </c>
      <c r="D2094">
        <v>147</v>
      </c>
      <c r="E2094">
        <v>150.1</v>
      </c>
      <c r="F2094">
        <v>145.9</v>
      </c>
      <c r="G2094" s="3">
        <v>149.19999999999999</v>
      </c>
      <c r="H2094">
        <v>149</v>
      </c>
      <c r="I2094">
        <v>148.4</v>
      </c>
      <c r="J2094">
        <v>202496</v>
      </c>
      <c r="K2094">
        <v>29943624.149999999</v>
      </c>
      <c r="L2094" s="1">
        <v>45240</v>
      </c>
      <c r="M2094">
        <v>2660</v>
      </c>
      <c r="N2094" t="s">
        <v>4611</v>
      </c>
      <c r="O2094" s="5">
        <v>45240</v>
      </c>
      <c r="P2094" s="5">
        <v>43777</v>
      </c>
    </row>
    <row r="2095" spans="1:16" x14ac:dyDescent="0.25">
      <c r="A2095" t="s">
        <v>4612</v>
      </c>
      <c r="B2095" t="str">
        <v>Shoppers Stop Limited</v>
      </c>
      <c r="C2095" t="s">
        <v>14</v>
      </c>
      <c r="D2095">
        <v>650.75</v>
      </c>
      <c r="E2095">
        <v>658.35</v>
      </c>
      <c r="F2095">
        <v>644</v>
      </c>
      <c r="G2095" s="3">
        <v>656.15</v>
      </c>
      <c r="H2095">
        <v>657.85</v>
      </c>
      <c r="I2095">
        <v>651.65</v>
      </c>
      <c r="J2095">
        <v>24996</v>
      </c>
      <c r="K2095">
        <v>16310827.75</v>
      </c>
      <c r="L2095" s="1">
        <v>45240</v>
      </c>
      <c r="M2095">
        <v>3093</v>
      </c>
      <c r="N2095" t="s">
        <v>4614</v>
      </c>
      <c r="O2095" s="5">
        <v>45240</v>
      </c>
      <c r="P2095" s="5">
        <v>43777</v>
      </c>
    </row>
    <row r="2096" spans="1:16" x14ac:dyDescent="0.25">
      <c r="A2096" t="s">
        <v>4615</v>
      </c>
      <c r="B2096" t="str">
        <v>Shradha Infraprojects Limited</v>
      </c>
      <c r="C2096" t="s">
        <v>14</v>
      </c>
      <c r="D2096">
        <v>50</v>
      </c>
      <c r="E2096">
        <v>51.2</v>
      </c>
      <c r="F2096">
        <v>49.45</v>
      </c>
      <c r="G2096" s="3">
        <v>49.9</v>
      </c>
      <c r="H2096">
        <v>49.5</v>
      </c>
      <c r="I2096">
        <v>49.85</v>
      </c>
      <c r="J2096">
        <v>115829</v>
      </c>
      <c r="K2096">
        <v>5819643.4500000002</v>
      </c>
      <c r="L2096" s="1">
        <v>45240</v>
      </c>
      <c r="M2096">
        <v>1125</v>
      </c>
      <c r="N2096" t="s">
        <v>4617</v>
      </c>
      <c r="O2096" s="5">
        <v>45240</v>
      </c>
      <c r="P2096" s="5">
        <v>43777</v>
      </c>
    </row>
    <row r="2097" spans="1:16" x14ac:dyDescent="0.25">
      <c r="A2097" t="s">
        <v>4618</v>
      </c>
      <c r="B2097" t="str">
        <v>Shree Digvijay Cement Co.Ltd</v>
      </c>
      <c r="C2097" t="s">
        <v>14</v>
      </c>
      <c r="D2097">
        <v>85.8</v>
      </c>
      <c r="E2097">
        <v>86.4</v>
      </c>
      <c r="F2097">
        <v>85.2</v>
      </c>
      <c r="G2097" s="3">
        <v>85.45</v>
      </c>
      <c r="H2097">
        <v>85.6</v>
      </c>
      <c r="I2097">
        <v>86.15</v>
      </c>
      <c r="J2097">
        <v>204266</v>
      </c>
      <c r="K2097">
        <v>17518388.550000001</v>
      </c>
      <c r="L2097" s="1">
        <v>45240</v>
      </c>
      <c r="M2097">
        <v>2306</v>
      </c>
      <c r="N2097" t="s">
        <v>4620</v>
      </c>
      <c r="O2097" s="5">
        <v>45240</v>
      </c>
      <c r="P2097" s="5">
        <v>43777</v>
      </c>
    </row>
    <row r="2098" spans="1:16" x14ac:dyDescent="0.25">
      <c r="A2098" t="s">
        <v>4621</v>
      </c>
      <c r="B2098" t="str">
        <v>SHREE CEMENT LIMITED</v>
      </c>
      <c r="C2098" t="s">
        <v>14</v>
      </c>
      <c r="D2098">
        <v>25960.5</v>
      </c>
      <c r="E2098">
        <v>26471.95</v>
      </c>
      <c r="F2098">
        <v>25758.05</v>
      </c>
      <c r="G2098" s="3">
        <v>26358.5</v>
      </c>
      <c r="H2098">
        <v>26301</v>
      </c>
      <c r="I2098">
        <v>25951.4</v>
      </c>
      <c r="J2098">
        <v>41966</v>
      </c>
      <c r="K2098">
        <v>1100582142.8499999</v>
      </c>
      <c r="L2098" s="1">
        <v>45240</v>
      </c>
      <c r="M2098">
        <v>17016</v>
      </c>
      <c r="N2098" t="s">
        <v>4623</v>
      </c>
      <c r="O2098" s="5">
        <v>45240</v>
      </c>
      <c r="P2098" s="5">
        <v>43777</v>
      </c>
    </row>
    <row r="2099" spans="1:16" x14ac:dyDescent="0.25">
      <c r="A2099" t="s">
        <v>4624</v>
      </c>
      <c r="B2099" t="str">
        <v>Shree Pushkar Chemicals &amp; Fertilisers Limited</v>
      </c>
      <c r="C2099" t="s">
        <v>14</v>
      </c>
      <c r="D2099">
        <v>192.85</v>
      </c>
      <c r="E2099">
        <v>193.1</v>
      </c>
      <c r="F2099">
        <v>189.45</v>
      </c>
      <c r="G2099" s="3">
        <v>190.65</v>
      </c>
      <c r="H2099">
        <v>191.05</v>
      </c>
      <c r="I2099">
        <v>193.1</v>
      </c>
      <c r="J2099">
        <v>27292</v>
      </c>
      <c r="K2099">
        <v>5219966.5</v>
      </c>
      <c r="L2099" s="1">
        <v>45240</v>
      </c>
      <c r="M2099">
        <v>1070</v>
      </c>
      <c r="N2099" t="s">
        <v>4626</v>
      </c>
      <c r="O2099" s="5">
        <v>45240</v>
      </c>
      <c r="P2099" s="5">
        <v>43777</v>
      </c>
    </row>
    <row r="2100" spans="1:16" x14ac:dyDescent="0.25">
      <c r="A2100" t="s">
        <v>4627</v>
      </c>
      <c r="B2100" t="str">
        <v>Shree Rama Multi-Tech Limited</v>
      </c>
      <c r="C2100" t="s">
        <v>10</v>
      </c>
      <c r="D2100">
        <v>29.7</v>
      </c>
      <c r="E2100">
        <v>29.7</v>
      </c>
      <c r="F2100">
        <v>29.7</v>
      </c>
      <c r="G2100" s="3">
        <v>29.7</v>
      </c>
      <c r="H2100">
        <v>29.7</v>
      </c>
      <c r="I2100">
        <v>29.15</v>
      </c>
      <c r="J2100">
        <v>95369</v>
      </c>
      <c r="K2100">
        <v>2832459.3</v>
      </c>
      <c r="L2100" s="1">
        <v>45240</v>
      </c>
      <c r="M2100">
        <v>59</v>
      </c>
      <c r="N2100" t="s">
        <v>4629</v>
      </c>
      <c r="O2100" s="5">
        <v>45240</v>
      </c>
      <c r="P2100" s="5">
        <v>43777</v>
      </c>
    </row>
    <row r="2101" spans="1:16" x14ac:dyDescent="0.25">
      <c r="A2101" t="s">
        <v>4630</v>
      </c>
      <c r="B2101" t="str">
        <v>Shrenik Limited</v>
      </c>
      <c r="C2101" t="s">
        <v>14</v>
      </c>
      <c r="D2101">
        <v>1</v>
      </c>
      <c r="E2101">
        <v>1</v>
      </c>
      <c r="F2101">
        <v>0.9</v>
      </c>
      <c r="G2101" s="3">
        <v>0.95</v>
      </c>
      <c r="H2101">
        <v>0.95</v>
      </c>
      <c r="I2101">
        <v>0.95</v>
      </c>
      <c r="J2101">
        <v>1631720</v>
      </c>
      <c r="K2101">
        <v>1561185.5</v>
      </c>
      <c r="L2101" s="1">
        <v>45240</v>
      </c>
      <c r="M2101">
        <v>773</v>
      </c>
      <c r="N2101" t="s">
        <v>4632</v>
      </c>
      <c r="O2101" s="5">
        <v>45240</v>
      </c>
      <c r="P2101" s="5">
        <v>43777</v>
      </c>
    </row>
    <row r="2102" spans="1:16" x14ac:dyDescent="0.25">
      <c r="A2102" t="s">
        <v>4633</v>
      </c>
      <c r="B2102" t="str">
        <v>Shreyans Industries Limited</v>
      </c>
      <c r="C2102" t="s">
        <v>10</v>
      </c>
      <c r="D2102">
        <v>275.35000000000002</v>
      </c>
      <c r="E2102">
        <v>275.35000000000002</v>
      </c>
      <c r="F2102">
        <v>275.35000000000002</v>
      </c>
      <c r="G2102" s="3">
        <v>275.35000000000002</v>
      </c>
      <c r="H2102">
        <v>275.35000000000002</v>
      </c>
      <c r="I2102">
        <v>280.95</v>
      </c>
      <c r="J2102">
        <v>3248</v>
      </c>
      <c r="K2102">
        <v>894336.8</v>
      </c>
      <c r="L2102" s="1">
        <v>45240</v>
      </c>
      <c r="M2102">
        <v>62</v>
      </c>
      <c r="N2102" t="s">
        <v>4635</v>
      </c>
      <c r="O2102" s="5">
        <v>45240</v>
      </c>
      <c r="P2102" s="5">
        <v>43777</v>
      </c>
    </row>
    <row r="2103" spans="1:16" x14ac:dyDescent="0.25">
      <c r="A2103" t="s">
        <v>4636</v>
      </c>
      <c r="B2103" t="str">
        <v>Shreyas Shipping &amp; Logistics Limited</v>
      </c>
      <c r="C2103" t="s">
        <v>14</v>
      </c>
      <c r="D2103">
        <v>296.8</v>
      </c>
      <c r="E2103">
        <v>299</v>
      </c>
      <c r="F2103">
        <v>289.14999999999998</v>
      </c>
      <c r="G2103" s="3">
        <v>290.7</v>
      </c>
      <c r="H2103">
        <v>291</v>
      </c>
      <c r="I2103">
        <v>295.60000000000002</v>
      </c>
      <c r="J2103">
        <v>60727</v>
      </c>
      <c r="K2103">
        <v>17802216.800000001</v>
      </c>
      <c r="L2103" s="1">
        <v>45240</v>
      </c>
      <c r="M2103">
        <v>3170</v>
      </c>
      <c r="N2103" t="s">
        <v>4638</v>
      </c>
      <c r="O2103" s="5">
        <v>45240</v>
      </c>
      <c r="P2103" s="5">
        <v>43777</v>
      </c>
    </row>
    <row r="2104" spans="1:16" x14ac:dyDescent="0.25">
      <c r="A2104" t="s">
        <v>4639</v>
      </c>
      <c r="B2104" t="str">
        <v>Shriram Pistons &amp; Rings Limited</v>
      </c>
      <c r="C2104" t="s">
        <v>14</v>
      </c>
      <c r="D2104">
        <v>1035</v>
      </c>
      <c r="E2104">
        <v>1052.5999999999999</v>
      </c>
      <c r="F2104">
        <v>1002</v>
      </c>
      <c r="G2104" s="3">
        <v>1037.4000000000001</v>
      </c>
      <c r="H2104">
        <v>1035</v>
      </c>
      <c r="I2104">
        <v>1033.8499999999999</v>
      </c>
      <c r="J2104">
        <v>80992</v>
      </c>
      <c r="K2104">
        <v>84271427.049999997</v>
      </c>
      <c r="L2104" s="1">
        <v>45240</v>
      </c>
      <c r="M2104">
        <v>3033</v>
      </c>
      <c r="N2104" t="s">
        <v>4641</v>
      </c>
      <c r="O2104" s="5">
        <v>45240</v>
      </c>
      <c r="P2104" s="5">
        <v>43777</v>
      </c>
    </row>
    <row r="2105" spans="1:16" x14ac:dyDescent="0.25">
      <c r="A2105" t="s">
        <v>4642</v>
      </c>
      <c r="B2105" t="str">
        <v>Shriram Finance Limited</v>
      </c>
      <c r="C2105" t="s">
        <v>14</v>
      </c>
      <c r="D2105">
        <v>1940</v>
      </c>
      <c r="E2105">
        <v>1965.95</v>
      </c>
      <c r="F2105">
        <v>1926.9</v>
      </c>
      <c r="G2105" s="3">
        <v>1952.2</v>
      </c>
      <c r="H2105">
        <v>1955.5</v>
      </c>
      <c r="I2105">
        <v>1943.4</v>
      </c>
      <c r="J2105">
        <v>486020</v>
      </c>
      <c r="K2105">
        <v>947561122.89999998</v>
      </c>
      <c r="L2105" s="1">
        <v>45240</v>
      </c>
      <c r="M2105">
        <v>26309</v>
      </c>
      <c r="N2105" t="s">
        <v>4644</v>
      </c>
      <c r="O2105" s="5">
        <v>45240</v>
      </c>
      <c r="P2105" s="5">
        <v>43777</v>
      </c>
    </row>
    <row r="2106" spans="1:16" x14ac:dyDescent="0.25">
      <c r="A2106" t="s">
        <v>4642</v>
      </c>
      <c r="B2106" t="str">
        <v>Shriram Finance Limited</v>
      </c>
      <c r="C2106" t="s">
        <v>5941</v>
      </c>
      <c r="D2106">
        <v>1052</v>
      </c>
      <c r="E2106">
        <v>1052</v>
      </c>
      <c r="F2106">
        <v>1052</v>
      </c>
      <c r="G2106" s="3">
        <v>1052</v>
      </c>
      <c r="H2106">
        <v>1052</v>
      </c>
      <c r="I2106">
        <v>1052</v>
      </c>
      <c r="J2106">
        <v>500</v>
      </c>
      <c r="K2106">
        <v>526000</v>
      </c>
      <c r="L2106" s="1">
        <v>45240</v>
      </c>
      <c r="M2106">
        <v>3</v>
      </c>
      <c r="N2106" t="s">
        <v>5940</v>
      </c>
      <c r="O2106" s="5">
        <v>45240</v>
      </c>
      <c r="P2106" s="5">
        <v>43777</v>
      </c>
    </row>
    <row r="2107" spans="1:16" x14ac:dyDescent="0.25">
      <c r="A2107" t="s">
        <v>4642</v>
      </c>
      <c r="B2107" t="str">
        <v>Shriram Finance Limited</v>
      </c>
      <c r="C2107" t="s">
        <v>5939</v>
      </c>
      <c r="D2107">
        <v>1026</v>
      </c>
      <c r="E2107">
        <v>1026</v>
      </c>
      <c r="F2107">
        <v>1026</v>
      </c>
      <c r="G2107" s="3">
        <v>1026</v>
      </c>
      <c r="H2107">
        <v>1026</v>
      </c>
      <c r="I2107">
        <v>1026</v>
      </c>
      <c r="J2107">
        <v>50</v>
      </c>
      <c r="K2107">
        <v>51300</v>
      </c>
      <c r="L2107" s="1">
        <v>45240</v>
      </c>
      <c r="M2107">
        <v>2</v>
      </c>
      <c r="N2107" t="s">
        <v>5938</v>
      </c>
      <c r="O2107" s="5">
        <v>45240</v>
      </c>
      <c r="P2107" s="5">
        <v>43777</v>
      </c>
    </row>
    <row r="2108" spans="1:16" x14ac:dyDescent="0.25">
      <c r="A2108" t="s">
        <v>4642</v>
      </c>
      <c r="B2108" t="str">
        <v>Shriram Finance Limited</v>
      </c>
      <c r="C2108" t="s">
        <v>5937</v>
      </c>
      <c r="D2108">
        <v>1044</v>
      </c>
      <c r="E2108">
        <v>1044</v>
      </c>
      <c r="F2108">
        <v>1044</v>
      </c>
      <c r="G2108" s="3">
        <v>1044</v>
      </c>
      <c r="H2108">
        <v>1044</v>
      </c>
      <c r="I2108">
        <v>1042</v>
      </c>
      <c r="J2108">
        <v>50</v>
      </c>
      <c r="K2108">
        <v>52200</v>
      </c>
      <c r="L2108" s="1">
        <v>45240</v>
      </c>
      <c r="M2108">
        <v>2</v>
      </c>
      <c r="N2108" t="s">
        <v>5936</v>
      </c>
      <c r="O2108" s="5">
        <v>45240</v>
      </c>
      <c r="P2108" s="5">
        <v>43777</v>
      </c>
    </row>
    <row r="2109" spans="1:16" x14ac:dyDescent="0.25">
      <c r="A2109" t="s">
        <v>4642</v>
      </c>
      <c r="B2109" t="str">
        <v>Shriram Finance Limited</v>
      </c>
      <c r="C2109" t="s">
        <v>5935</v>
      </c>
      <c r="D2109">
        <v>1004</v>
      </c>
      <c r="E2109">
        <v>1004</v>
      </c>
      <c r="F2109">
        <v>1003.5</v>
      </c>
      <c r="G2109" s="3">
        <v>1003.5</v>
      </c>
      <c r="H2109">
        <v>1003.5</v>
      </c>
      <c r="I2109">
        <v>1006</v>
      </c>
      <c r="J2109">
        <v>90</v>
      </c>
      <c r="K2109">
        <v>90347</v>
      </c>
      <c r="L2109" s="1">
        <v>45240</v>
      </c>
      <c r="M2109">
        <v>3</v>
      </c>
      <c r="N2109" t="s">
        <v>5934</v>
      </c>
      <c r="O2109" s="5">
        <v>45240</v>
      </c>
      <c r="P2109" s="5">
        <v>43777</v>
      </c>
    </row>
    <row r="2110" spans="1:16" x14ac:dyDescent="0.25">
      <c r="A2110" t="s">
        <v>4642</v>
      </c>
      <c r="B2110" t="str">
        <v>Shriram Finance Limited</v>
      </c>
      <c r="C2110" t="s">
        <v>5933</v>
      </c>
      <c r="D2110">
        <v>1538</v>
      </c>
      <c r="E2110">
        <v>1538</v>
      </c>
      <c r="F2110">
        <v>1538</v>
      </c>
      <c r="G2110" s="3">
        <v>1538</v>
      </c>
      <c r="H2110">
        <v>1538</v>
      </c>
      <c r="I2110">
        <v>1537</v>
      </c>
      <c r="J2110">
        <v>50</v>
      </c>
      <c r="K2110">
        <v>76900</v>
      </c>
      <c r="L2110" s="1">
        <v>45240</v>
      </c>
      <c r="M2110">
        <v>1</v>
      </c>
      <c r="N2110" t="s">
        <v>5932</v>
      </c>
      <c r="O2110" s="5">
        <v>45240</v>
      </c>
      <c r="P2110" s="5">
        <v>43777</v>
      </c>
    </row>
    <row r="2111" spans="1:16" x14ac:dyDescent="0.25">
      <c r="A2111" t="s">
        <v>4642</v>
      </c>
      <c r="B2111" t="str">
        <v>Shriram Finance Limited</v>
      </c>
      <c r="C2111" t="s">
        <v>5931</v>
      </c>
      <c r="D2111">
        <v>988</v>
      </c>
      <c r="E2111">
        <v>1000</v>
      </c>
      <c r="F2111">
        <v>987.13</v>
      </c>
      <c r="G2111" s="3">
        <v>1000</v>
      </c>
      <c r="H2111">
        <v>1000</v>
      </c>
      <c r="I2111">
        <v>1001</v>
      </c>
      <c r="J2111">
        <v>54</v>
      </c>
      <c r="K2111">
        <v>53507.82</v>
      </c>
      <c r="L2111" s="1">
        <v>45240</v>
      </c>
      <c r="M2111">
        <v>4</v>
      </c>
      <c r="N2111" t="s">
        <v>5930</v>
      </c>
      <c r="O2111" s="5">
        <v>45240</v>
      </c>
      <c r="P2111" s="5">
        <v>43777</v>
      </c>
    </row>
    <row r="2112" spans="1:16" x14ac:dyDescent="0.25">
      <c r="A2112" t="s">
        <v>4642</v>
      </c>
      <c r="B2112" t="str">
        <v>Shriram Finance Limited</v>
      </c>
      <c r="C2112" t="s">
        <v>5929</v>
      </c>
      <c r="D2112">
        <v>999</v>
      </c>
      <c r="E2112">
        <v>999</v>
      </c>
      <c r="F2112">
        <v>999</v>
      </c>
      <c r="G2112" s="3">
        <v>999</v>
      </c>
      <c r="H2112">
        <v>999</v>
      </c>
      <c r="I2112">
        <v>1015</v>
      </c>
      <c r="J2112">
        <v>20</v>
      </c>
      <c r="K2112">
        <v>19980</v>
      </c>
      <c r="L2112" s="1">
        <v>45240</v>
      </c>
      <c r="M2112">
        <v>1</v>
      </c>
      <c r="N2112" t="s">
        <v>5928</v>
      </c>
      <c r="O2112" s="5">
        <v>45240</v>
      </c>
      <c r="P2112" s="5">
        <v>43777</v>
      </c>
    </row>
    <row r="2113" spans="1:16" x14ac:dyDescent="0.25">
      <c r="A2113" t="s">
        <v>4642</v>
      </c>
      <c r="B2113" t="str">
        <v>Shriram Finance Limited</v>
      </c>
      <c r="C2113" t="s">
        <v>5927</v>
      </c>
      <c r="D2113">
        <v>1000</v>
      </c>
      <c r="E2113">
        <v>1000</v>
      </c>
      <c r="F2113">
        <v>1000</v>
      </c>
      <c r="G2113" s="3">
        <v>1000</v>
      </c>
      <c r="H2113">
        <v>1000</v>
      </c>
      <c r="I2113">
        <v>1000.02</v>
      </c>
      <c r="J2113">
        <v>100</v>
      </c>
      <c r="K2113">
        <v>100000</v>
      </c>
      <c r="L2113" s="1">
        <v>45240</v>
      </c>
      <c r="M2113">
        <v>2</v>
      </c>
      <c r="N2113" t="s">
        <v>5926</v>
      </c>
      <c r="O2113" s="5">
        <v>45240</v>
      </c>
      <c r="P2113" s="5">
        <v>43777</v>
      </c>
    </row>
    <row r="2114" spans="1:16" x14ac:dyDescent="0.25">
      <c r="A2114" t="s">
        <v>4642</v>
      </c>
      <c r="B2114" t="str">
        <v>Shriram Finance Limited</v>
      </c>
      <c r="C2114" t="s">
        <v>5925</v>
      </c>
      <c r="D2114">
        <v>1385</v>
      </c>
      <c r="E2114">
        <v>1385</v>
      </c>
      <c r="F2114">
        <v>1385</v>
      </c>
      <c r="G2114" s="3">
        <v>1385</v>
      </c>
      <c r="H2114">
        <v>1385</v>
      </c>
      <c r="I2114">
        <v>1380</v>
      </c>
      <c r="J2114">
        <v>100</v>
      </c>
      <c r="K2114">
        <v>138500</v>
      </c>
      <c r="L2114" s="1">
        <v>45240</v>
      </c>
      <c r="M2114">
        <v>2</v>
      </c>
      <c r="N2114" t="s">
        <v>5924</v>
      </c>
      <c r="O2114" s="5">
        <v>45240</v>
      </c>
      <c r="P2114" s="5">
        <v>43777</v>
      </c>
    </row>
    <row r="2115" spans="1:16" x14ac:dyDescent="0.25">
      <c r="A2115" t="s">
        <v>4645</v>
      </c>
      <c r="B2115" t="str">
        <v>Shriram Properties Limited</v>
      </c>
      <c r="C2115" t="s">
        <v>14</v>
      </c>
      <c r="D2115">
        <v>106.55</v>
      </c>
      <c r="E2115">
        <v>108.5</v>
      </c>
      <c r="F2115">
        <v>102.5</v>
      </c>
      <c r="G2115" s="3">
        <v>104.1</v>
      </c>
      <c r="H2115">
        <v>103.9</v>
      </c>
      <c r="I2115">
        <v>106.2</v>
      </c>
      <c r="J2115">
        <v>4304498</v>
      </c>
      <c r="K2115">
        <v>452701692.39999998</v>
      </c>
      <c r="L2115" s="1">
        <v>45240</v>
      </c>
      <c r="M2115">
        <v>23690</v>
      </c>
      <c r="N2115" t="s">
        <v>4647</v>
      </c>
      <c r="O2115" s="5">
        <v>45240</v>
      </c>
      <c r="P2115" s="5">
        <v>43777</v>
      </c>
    </row>
    <row r="2116" spans="1:16" x14ac:dyDescent="0.25">
      <c r="A2116" t="s">
        <v>5923</v>
      </c>
      <c r="B2116" t="str">
        <v>Not Found</v>
      </c>
      <c r="C2116" t="s">
        <v>5788</v>
      </c>
      <c r="D2116">
        <v>91</v>
      </c>
      <c r="E2116">
        <v>91</v>
      </c>
      <c r="F2116">
        <v>87.25</v>
      </c>
      <c r="G2116" s="3">
        <v>89</v>
      </c>
      <c r="H2116">
        <v>89</v>
      </c>
      <c r="I2116">
        <v>89.4</v>
      </c>
      <c r="J2116">
        <v>232000</v>
      </c>
      <c r="K2116">
        <v>20625900</v>
      </c>
      <c r="L2116" s="1">
        <v>45240</v>
      </c>
      <c r="M2116">
        <v>76</v>
      </c>
      <c r="N2116" t="s">
        <v>5922</v>
      </c>
      <c r="O2116" s="5">
        <v>45240</v>
      </c>
      <c r="P2116" s="5">
        <v>43777</v>
      </c>
    </row>
    <row r="2117" spans="1:16" x14ac:dyDescent="0.25">
      <c r="A2117" t="s">
        <v>5921</v>
      </c>
      <c r="B2117" t="str">
        <v>Not Found</v>
      </c>
      <c r="C2117" t="s">
        <v>5788</v>
      </c>
      <c r="D2117">
        <v>90</v>
      </c>
      <c r="E2117">
        <v>92.9</v>
      </c>
      <c r="F2117">
        <v>90</v>
      </c>
      <c r="G2117" s="3">
        <v>92.4</v>
      </c>
      <c r="H2117">
        <v>92.4</v>
      </c>
      <c r="I2117">
        <v>93.9</v>
      </c>
      <c r="J2117">
        <v>26000</v>
      </c>
      <c r="K2117">
        <v>2396000</v>
      </c>
      <c r="L2117" s="1">
        <v>45240</v>
      </c>
      <c r="M2117">
        <v>11</v>
      </c>
      <c r="N2117" t="s">
        <v>5920</v>
      </c>
      <c r="O2117" s="5">
        <v>45240</v>
      </c>
      <c r="P2117" s="5">
        <v>43777</v>
      </c>
    </row>
    <row r="2118" spans="1:16" x14ac:dyDescent="0.25">
      <c r="A2118" t="s">
        <v>4648</v>
      </c>
      <c r="B2118" t="str">
        <v>Shyam Century Ferrous Limited</v>
      </c>
      <c r="C2118" t="s">
        <v>14</v>
      </c>
      <c r="D2118">
        <v>19.75</v>
      </c>
      <c r="E2118">
        <v>20.100000000000001</v>
      </c>
      <c r="F2118">
        <v>19.399999999999999</v>
      </c>
      <c r="G2118" s="3">
        <v>19.75</v>
      </c>
      <c r="H2118">
        <v>19.8</v>
      </c>
      <c r="I2118">
        <v>20.5</v>
      </c>
      <c r="J2118">
        <v>474863</v>
      </c>
      <c r="K2118">
        <v>9410753.3499999996</v>
      </c>
      <c r="L2118" s="1">
        <v>45240</v>
      </c>
      <c r="M2118">
        <v>2609</v>
      </c>
      <c r="N2118" t="s">
        <v>4650</v>
      </c>
      <c r="O2118" s="5">
        <v>45240</v>
      </c>
      <c r="P2118" s="5">
        <v>43777</v>
      </c>
    </row>
    <row r="2119" spans="1:16" x14ac:dyDescent="0.25">
      <c r="A2119" t="s">
        <v>4651</v>
      </c>
      <c r="B2119" t="str">
        <v>Shyam Metalics and Energy Limited</v>
      </c>
      <c r="C2119" t="s">
        <v>14</v>
      </c>
      <c r="D2119">
        <v>449.55</v>
      </c>
      <c r="E2119">
        <v>460</v>
      </c>
      <c r="F2119">
        <v>443</v>
      </c>
      <c r="G2119" s="3">
        <v>456.3</v>
      </c>
      <c r="H2119">
        <v>456.75</v>
      </c>
      <c r="I2119">
        <v>446.85</v>
      </c>
      <c r="J2119">
        <v>1088915</v>
      </c>
      <c r="K2119">
        <v>494956456.44999999</v>
      </c>
      <c r="L2119" s="1">
        <v>45240</v>
      </c>
      <c r="M2119">
        <v>13061</v>
      </c>
      <c r="N2119" t="s">
        <v>4653</v>
      </c>
      <c r="O2119" s="5">
        <v>45240</v>
      </c>
      <c r="P2119" s="5">
        <v>43777</v>
      </c>
    </row>
    <row r="2120" spans="1:16" x14ac:dyDescent="0.25">
      <c r="A2120" t="s">
        <v>4654</v>
      </c>
      <c r="B2120" t="str">
        <v>Shyam Telecom Limited</v>
      </c>
      <c r="C2120" t="s">
        <v>14</v>
      </c>
      <c r="D2120">
        <v>7.25</v>
      </c>
      <c r="E2120">
        <v>7.8</v>
      </c>
      <c r="F2120">
        <v>7.25</v>
      </c>
      <c r="G2120" s="3">
        <v>7.8</v>
      </c>
      <c r="H2120">
        <v>7.8</v>
      </c>
      <c r="I2120">
        <v>8</v>
      </c>
      <c r="J2120">
        <v>5700</v>
      </c>
      <c r="K2120">
        <v>41435</v>
      </c>
      <c r="L2120" s="1">
        <v>45240</v>
      </c>
      <c r="M2120">
        <v>11</v>
      </c>
      <c r="N2120" t="s">
        <v>4656</v>
      </c>
      <c r="O2120" s="5">
        <v>45240</v>
      </c>
      <c r="P2120" s="5">
        <v>43777</v>
      </c>
    </row>
    <row r="2121" spans="1:16" x14ac:dyDescent="0.25">
      <c r="A2121" t="s">
        <v>4657</v>
      </c>
      <c r="B2121" t="str">
        <v>Sical Logistics Limited</v>
      </c>
      <c r="C2121" t="s">
        <v>10</v>
      </c>
      <c r="D2121">
        <v>271.05</v>
      </c>
      <c r="E2121">
        <v>271.05</v>
      </c>
      <c r="F2121">
        <v>271.05</v>
      </c>
      <c r="G2121" s="3">
        <v>271.05</v>
      </c>
      <c r="H2121">
        <v>271.05</v>
      </c>
      <c r="I2121">
        <v>265.75</v>
      </c>
      <c r="J2121">
        <v>4451</v>
      </c>
      <c r="K2121">
        <v>1206443.55</v>
      </c>
      <c r="L2121" s="1">
        <v>45240</v>
      </c>
      <c r="M2121">
        <v>87</v>
      </c>
      <c r="N2121" t="s">
        <v>4659</v>
      </c>
      <c r="O2121" s="5">
        <v>45240</v>
      </c>
      <c r="P2121" s="5">
        <v>43777</v>
      </c>
    </row>
    <row r="2122" spans="1:16" x14ac:dyDescent="0.25">
      <c r="A2122" t="s">
        <v>5919</v>
      </c>
      <c r="B2122" t="str">
        <v>Not Found</v>
      </c>
      <c r="C2122" t="s">
        <v>5788</v>
      </c>
      <c r="D2122">
        <v>180</v>
      </c>
      <c r="E2122">
        <v>182</v>
      </c>
      <c r="F2122">
        <v>180</v>
      </c>
      <c r="G2122" s="3">
        <v>182</v>
      </c>
      <c r="H2122">
        <v>182</v>
      </c>
      <c r="I2122">
        <v>175</v>
      </c>
      <c r="J2122">
        <v>2000</v>
      </c>
      <c r="K2122">
        <v>362000</v>
      </c>
      <c r="L2122" s="1">
        <v>45240</v>
      </c>
      <c r="M2122">
        <v>2</v>
      </c>
      <c r="N2122" t="s">
        <v>5918</v>
      </c>
      <c r="O2122" s="5">
        <v>45240</v>
      </c>
      <c r="P2122" s="5">
        <v>43777</v>
      </c>
    </row>
    <row r="2123" spans="1:16" x14ac:dyDescent="0.25">
      <c r="A2123" t="s">
        <v>4660</v>
      </c>
      <c r="B2123" t="str">
        <v>Siemens Limited</v>
      </c>
      <c r="C2123" t="s">
        <v>14</v>
      </c>
      <c r="D2123">
        <v>3385</v>
      </c>
      <c r="E2123">
        <v>3419.6</v>
      </c>
      <c r="F2123">
        <v>3377.05</v>
      </c>
      <c r="G2123" s="3">
        <v>3407.35</v>
      </c>
      <c r="H2123">
        <v>3408</v>
      </c>
      <c r="I2123">
        <v>3389.35</v>
      </c>
      <c r="J2123">
        <v>268510</v>
      </c>
      <c r="K2123">
        <v>912414826.75</v>
      </c>
      <c r="L2123" s="1">
        <v>45240</v>
      </c>
      <c r="M2123">
        <v>16738</v>
      </c>
      <c r="N2123" t="s">
        <v>4662</v>
      </c>
      <c r="O2123" s="5">
        <v>45240</v>
      </c>
      <c r="P2123" s="5">
        <v>43777</v>
      </c>
    </row>
    <row r="2124" spans="1:16" x14ac:dyDescent="0.25">
      <c r="A2124" t="s">
        <v>4663</v>
      </c>
      <c r="B2124" t="str">
        <v>Sigachi Industries Limited</v>
      </c>
      <c r="C2124" t="s">
        <v>14</v>
      </c>
      <c r="D2124">
        <v>47.05</v>
      </c>
      <c r="E2124">
        <v>48.9</v>
      </c>
      <c r="F2124">
        <v>45.5</v>
      </c>
      <c r="G2124" s="3">
        <v>48.75</v>
      </c>
      <c r="H2124">
        <v>48.8</v>
      </c>
      <c r="I2124">
        <v>47.25</v>
      </c>
      <c r="J2124">
        <v>3560511</v>
      </c>
      <c r="K2124">
        <v>170972994.55000001</v>
      </c>
      <c r="L2124" s="1">
        <v>45240</v>
      </c>
      <c r="M2124">
        <v>9698</v>
      </c>
      <c r="N2124" t="s">
        <v>4665</v>
      </c>
      <c r="O2124" s="5">
        <v>45240</v>
      </c>
      <c r="P2124" s="5">
        <v>43777</v>
      </c>
    </row>
    <row r="2125" spans="1:16" x14ac:dyDescent="0.25">
      <c r="A2125" t="s">
        <v>4666</v>
      </c>
      <c r="B2125" t="str">
        <v>Signet Industries Limited</v>
      </c>
      <c r="C2125" t="s">
        <v>10</v>
      </c>
      <c r="D2125">
        <v>68</v>
      </c>
      <c r="E2125">
        <v>69</v>
      </c>
      <c r="F2125">
        <v>67</v>
      </c>
      <c r="G2125" s="3">
        <v>68.25</v>
      </c>
      <c r="H2125">
        <v>68.05</v>
      </c>
      <c r="I2125">
        <v>67.8</v>
      </c>
      <c r="J2125">
        <v>18571</v>
      </c>
      <c r="K2125">
        <v>1261866.5</v>
      </c>
      <c r="L2125" s="1">
        <v>45240</v>
      </c>
      <c r="M2125">
        <v>151</v>
      </c>
      <c r="N2125" t="s">
        <v>4668</v>
      </c>
      <c r="O2125" s="5">
        <v>45240</v>
      </c>
      <c r="P2125" s="5">
        <v>43777</v>
      </c>
    </row>
    <row r="2126" spans="1:16" x14ac:dyDescent="0.25">
      <c r="A2126" t="s">
        <v>4669</v>
      </c>
      <c r="B2126" t="str">
        <v>Sigma Solve Limited</v>
      </c>
      <c r="C2126" t="s">
        <v>14</v>
      </c>
      <c r="D2126">
        <v>458.35</v>
      </c>
      <c r="E2126">
        <v>458.35</v>
      </c>
      <c r="F2126">
        <v>458.35</v>
      </c>
      <c r="G2126" s="3">
        <v>458.35</v>
      </c>
      <c r="H2126">
        <v>458.35</v>
      </c>
      <c r="I2126">
        <v>482.45</v>
      </c>
      <c r="J2126">
        <v>7442</v>
      </c>
      <c r="K2126">
        <v>3411040.7</v>
      </c>
      <c r="L2126" s="1">
        <v>45240</v>
      </c>
      <c r="M2126">
        <v>507</v>
      </c>
      <c r="N2126" t="s">
        <v>4671</v>
      </c>
      <c r="O2126" s="5">
        <v>45240</v>
      </c>
      <c r="P2126" s="5">
        <v>43777</v>
      </c>
    </row>
    <row r="2127" spans="1:16" x14ac:dyDescent="0.25">
      <c r="A2127" t="s">
        <v>4672</v>
      </c>
      <c r="B2127" t="str">
        <v>Signatureglobal (India) Limited</v>
      </c>
      <c r="C2127" t="s">
        <v>14</v>
      </c>
      <c r="D2127">
        <v>671.2</v>
      </c>
      <c r="E2127">
        <v>683.45</v>
      </c>
      <c r="F2127">
        <v>658</v>
      </c>
      <c r="G2127" s="3">
        <v>680.35</v>
      </c>
      <c r="H2127">
        <v>680</v>
      </c>
      <c r="I2127">
        <v>678.8</v>
      </c>
      <c r="J2127">
        <v>336761</v>
      </c>
      <c r="K2127">
        <v>225134239.65000001</v>
      </c>
      <c r="L2127" s="1">
        <v>45240</v>
      </c>
      <c r="M2127">
        <v>10174</v>
      </c>
      <c r="N2127" t="s">
        <v>4674</v>
      </c>
      <c r="O2127" s="5">
        <v>45240</v>
      </c>
      <c r="P2127" s="5">
        <v>43777</v>
      </c>
    </row>
    <row r="2128" spans="1:16" x14ac:dyDescent="0.25">
      <c r="A2128" t="s">
        <v>4675</v>
      </c>
      <c r="B2128" t="str">
        <v>Sikko Industries Limited</v>
      </c>
      <c r="C2128" t="s">
        <v>14</v>
      </c>
      <c r="D2128">
        <v>65.099999999999994</v>
      </c>
      <c r="E2128">
        <v>65.8</v>
      </c>
      <c r="F2128">
        <v>63.6</v>
      </c>
      <c r="G2128" s="3">
        <v>63.9</v>
      </c>
      <c r="H2128">
        <v>63.95</v>
      </c>
      <c r="I2128">
        <v>65.25</v>
      </c>
      <c r="J2128">
        <v>56729</v>
      </c>
      <c r="K2128">
        <v>3662572.5</v>
      </c>
      <c r="L2128" s="1">
        <v>45240</v>
      </c>
      <c r="M2128">
        <v>1343</v>
      </c>
      <c r="N2128" t="s">
        <v>4677</v>
      </c>
      <c r="O2128" s="5">
        <v>45240</v>
      </c>
      <c r="P2128" s="5">
        <v>43777</v>
      </c>
    </row>
    <row r="2129" spans="1:16" x14ac:dyDescent="0.25">
      <c r="A2129" t="s">
        <v>4678</v>
      </c>
      <c r="B2129" t="str">
        <v>Standard Industries Limited</v>
      </c>
      <c r="C2129" t="s">
        <v>10</v>
      </c>
      <c r="D2129">
        <v>22.1</v>
      </c>
      <c r="E2129">
        <v>22.3</v>
      </c>
      <c r="F2129">
        <v>21.9</v>
      </c>
      <c r="G2129" s="3">
        <v>22.05</v>
      </c>
      <c r="H2129">
        <v>22.15</v>
      </c>
      <c r="I2129">
        <v>22.05</v>
      </c>
      <c r="J2129">
        <v>19197</v>
      </c>
      <c r="K2129">
        <v>423640.1</v>
      </c>
      <c r="L2129" s="1">
        <v>45240</v>
      </c>
      <c r="M2129">
        <v>260</v>
      </c>
      <c r="N2129" t="s">
        <v>4680</v>
      </c>
      <c r="O2129" s="5">
        <v>45240</v>
      </c>
      <c r="P2129" s="5">
        <v>43777</v>
      </c>
    </row>
    <row r="2130" spans="1:16" x14ac:dyDescent="0.25">
      <c r="A2130" t="s">
        <v>4681</v>
      </c>
      <c r="B2130" t="str">
        <v>Silgo Retail Limited</v>
      </c>
      <c r="C2130" t="s">
        <v>14</v>
      </c>
      <c r="D2130">
        <v>25.5</v>
      </c>
      <c r="E2130">
        <v>25.5</v>
      </c>
      <c r="F2130">
        <v>24.55</v>
      </c>
      <c r="G2130" s="3">
        <v>25</v>
      </c>
      <c r="H2130">
        <v>25</v>
      </c>
      <c r="I2130">
        <v>25.1</v>
      </c>
      <c r="J2130">
        <v>129975</v>
      </c>
      <c r="K2130">
        <v>3254412.15</v>
      </c>
      <c r="L2130" s="1">
        <v>45240</v>
      </c>
      <c r="M2130">
        <v>2012</v>
      </c>
      <c r="N2130" t="s">
        <v>4683</v>
      </c>
      <c r="O2130" s="5">
        <v>45240</v>
      </c>
      <c r="P2130" s="5">
        <v>43777</v>
      </c>
    </row>
    <row r="2131" spans="1:16" x14ac:dyDescent="0.25">
      <c r="A2131" t="s">
        <v>4684</v>
      </c>
      <c r="B2131" t="str">
        <v>SIL Investments Limited</v>
      </c>
      <c r="C2131" t="s">
        <v>14</v>
      </c>
      <c r="D2131">
        <v>365</v>
      </c>
      <c r="E2131">
        <v>375.65</v>
      </c>
      <c r="F2131">
        <v>360</v>
      </c>
      <c r="G2131" s="3">
        <v>366.2</v>
      </c>
      <c r="H2131">
        <v>363.2</v>
      </c>
      <c r="I2131">
        <v>362.2</v>
      </c>
      <c r="J2131">
        <v>2603</v>
      </c>
      <c r="K2131">
        <v>952992.95</v>
      </c>
      <c r="L2131" s="1">
        <v>45240</v>
      </c>
      <c r="M2131">
        <v>119</v>
      </c>
      <c r="N2131" t="s">
        <v>4686</v>
      </c>
      <c r="O2131" s="5">
        <v>45240</v>
      </c>
      <c r="P2131" s="5">
        <v>43777</v>
      </c>
    </row>
    <row r="2132" spans="1:16" x14ac:dyDescent="0.25">
      <c r="A2132" t="s">
        <v>4687</v>
      </c>
      <c r="B2132" t="str">
        <v>Silly Monks Entertainment Limited</v>
      </c>
      <c r="C2132" t="s">
        <v>14</v>
      </c>
      <c r="D2132">
        <v>15.75</v>
      </c>
      <c r="E2132">
        <v>15.75</v>
      </c>
      <c r="F2132">
        <v>15.6</v>
      </c>
      <c r="G2132" s="3">
        <v>15.6</v>
      </c>
      <c r="H2132">
        <v>15.6</v>
      </c>
      <c r="I2132">
        <v>15.7</v>
      </c>
      <c r="J2132">
        <v>2470</v>
      </c>
      <c r="K2132">
        <v>38741.800000000003</v>
      </c>
      <c r="L2132" s="1">
        <v>45240</v>
      </c>
      <c r="M2132">
        <v>11</v>
      </c>
      <c r="N2132" t="s">
        <v>4689</v>
      </c>
      <c r="O2132" s="5">
        <v>45240</v>
      </c>
      <c r="P2132" s="5">
        <v>43777</v>
      </c>
    </row>
    <row r="2133" spans="1:16" x14ac:dyDescent="0.25">
      <c r="A2133" t="s">
        <v>5917</v>
      </c>
      <c r="B2133" t="str">
        <v>Not Found</v>
      </c>
      <c r="C2133" t="s">
        <v>14</v>
      </c>
      <c r="D2133">
        <v>72.680000000000007</v>
      </c>
      <c r="E2133">
        <v>72.680000000000007</v>
      </c>
      <c r="F2133">
        <v>72.2</v>
      </c>
      <c r="G2133" s="3">
        <v>72.38</v>
      </c>
      <c r="H2133">
        <v>72.3</v>
      </c>
      <c r="I2133">
        <v>71.760000000000005</v>
      </c>
      <c r="J2133">
        <v>101324</v>
      </c>
      <c r="K2133">
        <v>7338295.1100000003</v>
      </c>
      <c r="L2133" s="1">
        <v>45240</v>
      </c>
      <c r="M2133">
        <v>1014</v>
      </c>
      <c r="N2133" t="s">
        <v>5916</v>
      </c>
      <c r="O2133" s="5">
        <v>45240</v>
      </c>
      <c r="P2133" s="5">
        <v>43777</v>
      </c>
    </row>
    <row r="2134" spans="1:16" x14ac:dyDescent="0.25">
      <c r="A2134" t="s">
        <v>5915</v>
      </c>
      <c r="B2134" t="str">
        <v>Not Found</v>
      </c>
      <c r="C2134" t="s">
        <v>14</v>
      </c>
      <c r="D2134">
        <v>69.709999999999994</v>
      </c>
      <c r="E2134">
        <v>69.959999999999994</v>
      </c>
      <c r="F2134">
        <v>69.599999999999994</v>
      </c>
      <c r="G2134" s="3">
        <v>69.69</v>
      </c>
      <c r="H2134">
        <v>69.69</v>
      </c>
      <c r="I2134">
        <v>69.22</v>
      </c>
      <c r="J2134">
        <v>2416828</v>
      </c>
      <c r="K2134">
        <v>168632774.86000001</v>
      </c>
      <c r="L2134" s="1">
        <v>45240</v>
      </c>
      <c r="M2134">
        <v>8366</v>
      </c>
      <c r="N2134" t="s">
        <v>5914</v>
      </c>
      <c r="O2134" s="5">
        <v>45240</v>
      </c>
      <c r="P2134" s="5">
        <v>43777</v>
      </c>
    </row>
    <row r="2135" spans="1:16" x14ac:dyDescent="0.25">
      <c r="A2135" t="s">
        <v>5913</v>
      </c>
      <c r="B2135" t="str">
        <v>Not Found</v>
      </c>
      <c r="C2135" t="s">
        <v>14</v>
      </c>
      <c r="D2135">
        <v>71.19</v>
      </c>
      <c r="E2135">
        <v>71.19</v>
      </c>
      <c r="F2135">
        <v>70.510000000000005</v>
      </c>
      <c r="G2135" s="3">
        <v>70.75</v>
      </c>
      <c r="H2135">
        <v>70.7</v>
      </c>
      <c r="I2135">
        <v>70.260000000000005</v>
      </c>
      <c r="J2135">
        <v>67199</v>
      </c>
      <c r="K2135">
        <v>4762728.84</v>
      </c>
      <c r="L2135" s="1">
        <v>45240</v>
      </c>
      <c r="M2135">
        <v>668</v>
      </c>
      <c r="N2135" t="s">
        <v>5912</v>
      </c>
      <c r="O2135" s="5">
        <v>45240</v>
      </c>
      <c r="P2135" s="5">
        <v>43777</v>
      </c>
    </row>
    <row r="2136" spans="1:16" x14ac:dyDescent="0.25">
      <c r="A2136" t="s">
        <v>4690</v>
      </c>
      <c r="B2136" t="str">
        <v>Silver Touch Technologies Limited</v>
      </c>
      <c r="C2136" t="s">
        <v>14</v>
      </c>
      <c r="D2136">
        <v>579.95000000000005</v>
      </c>
      <c r="E2136">
        <v>654.5</v>
      </c>
      <c r="F2136">
        <v>565.45000000000005</v>
      </c>
      <c r="G2136" s="3">
        <v>646.85</v>
      </c>
      <c r="H2136">
        <v>648.9</v>
      </c>
      <c r="I2136">
        <v>575.45000000000005</v>
      </c>
      <c r="J2136">
        <v>41931</v>
      </c>
      <c r="K2136">
        <v>25544049.149999999</v>
      </c>
      <c r="L2136" s="1">
        <v>45240</v>
      </c>
      <c r="M2136">
        <v>1884</v>
      </c>
      <c r="N2136" t="s">
        <v>4692</v>
      </c>
      <c r="O2136" s="5">
        <v>45240</v>
      </c>
      <c r="P2136" s="5">
        <v>43777</v>
      </c>
    </row>
    <row r="2137" spans="1:16" x14ac:dyDescent="0.25">
      <c r="A2137" t="s">
        <v>5911</v>
      </c>
      <c r="B2137" t="str">
        <v>Not Found</v>
      </c>
      <c r="C2137" t="s">
        <v>14</v>
      </c>
      <c r="D2137">
        <v>70.59</v>
      </c>
      <c r="E2137">
        <v>72.56</v>
      </c>
      <c r="F2137">
        <v>70.59</v>
      </c>
      <c r="G2137" s="3">
        <v>71.2</v>
      </c>
      <c r="H2137">
        <v>71</v>
      </c>
      <c r="I2137">
        <v>70.34</v>
      </c>
      <c r="J2137">
        <v>20192</v>
      </c>
      <c r="K2137">
        <v>1438670.95</v>
      </c>
      <c r="L2137" s="1">
        <v>45240</v>
      </c>
      <c r="M2137">
        <v>140</v>
      </c>
      <c r="N2137" t="s">
        <v>5910</v>
      </c>
      <c r="O2137" s="5">
        <v>45240</v>
      </c>
      <c r="P2137" s="5">
        <v>43777</v>
      </c>
    </row>
    <row r="2138" spans="1:16" x14ac:dyDescent="0.25">
      <c r="A2138" t="s">
        <v>4693</v>
      </c>
      <c r="B2138" t="str">
        <v>Simbhaoli Sugars Limited</v>
      </c>
      <c r="C2138" t="s">
        <v>14</v>
      </c>
      <c r="D2138">
        <v>31</v>
      </c>
      <c r="E2138">
        <v>32.1</v>
      </c>
      <c r="F2138">
        <v>30.45</v>
      </c>
      <c r="G2138" s="3">
        <v>31.3</v>
      </c>
      <c r="H2138">
        <v>31.3</v>
      </c>
      <c r="I2138">
        <v>30.75</v>
      </c>
      <c r="J2138">
        <v>107373</v>
      </c>
      <c r="K2138">
        <v>3366524.7</v>
      </c>
      <c r="L2138" s="1">
        <v>45240</v>
      </c>
      <c r="M2138">
        <v>702</v>
      </c>
      <c r="N2138" t="s">
        <v>4695</v>
      </c>
      <c r="O2138" s="5">
        <v>45240</v>
      </c>
      <c r="P2138" s="5">
        <v>43777</v>
      </c>
    </row>
    <row r="2139" spans="1:16" x14ac:dyDescent="0.25">
      <c r="A2139" t="s">
        <v>4696</v>
      </c>
      <c r="B2139" t="str">
        <v>Simplex Infrastructures Limited</v>
      </c>
      <c r="C2139" t="s">
        <v>10</v>
      </c>
      <c r="D2139">
        <v>66.650000000000006</v>
      </c>
      <c r="E2139">
        <v>67</v>
      </c>
      <c r="F2139">
        <v>66.099999999999994</v>
      </c>
      <c r="G2139" s="3">
        <v>67</v>
      </c>
      <c r="H2139">
        <v>67</v>
      </c>
      <c r="I2139">
        <v>66.650000000000006</v>
      </c>
      <c r="J2139">
        <v>146551</v>
      </c>
      <c r="K2139">
        <v>9811464.25</v>
      </c>
      <c r="L2139" s="1">
        <v>45240</v>
      </c>
      <c r="M2139">
        <v>51</v>
      </c>
      <c r="N2139" t="s">
        <v>4698</v>
      </c>
      <c r="O2139" s="5">
        <v>45240</v>
      </c>
      <c r="P2139" s="5">
        <v>43777</v>
      </c>
    </row>
    <row r="2140" spans="1:16" x14ac:dyDescent="0.25">
      <c r="A2140" t="s">
        <v>4699</v>
      </c>
      <c r="B2140" t="str">
        <v>Sindhu Trade Links Limited</v>
      </c>
      <c r="C2140" t="s">
        <v>14</v>
      </c>
      <c r="D2140">
        <v>24.2</v>
      </c>
      <c r="E2140">
        <v>24.3</v>
      </c>
      <c r="F2140">
        <v>23.7</v>
      </c>
      <c r="G2140" s="3">
        <v>23.9</v>
      </c>
      <c r="H2140">
        <v>23.85</v>
      </c>
      <c r="I2140">
        <v>24.2</v>
      </c>
      <c r="J2140">
        <v>19215</v>
      </c>
      <c r="K2140">
        <v>462736.3</v>
      </c>
      <c r="L2140" s="1">
        <v>45240</v>
      </c>
      <c r="M2140">
        <v>191</v>
      </c>
      <c r="N2140" t="s">
        <v>4701</v>
      </c>
      <c r="O2140" s="5">
        <v>45240</v>
      </c>
      <c r="P2140" s="5">
        <v>43777</v>
      </c>
    </row>
    <row r="2141" spans="1:16" x14ac:dyDescent="0.25">
      <c r="A2141" t="s">
        <v>4702</v>
      </c>
      <c r="B2141" t="str">
        <v>Sintercom India Limited</v>
      </c>
      <c r="C2141" t="s">
        <v>14</v>
      </c>
      <c r="D2141">
        <v>130.55000000000001</v>
      </c>
      <c r="E2141">
        <v>130.80000000000001</v>
      </c>
      <c r="F2141">
        <v>129</v>
      </c>
      <c r="G2141" s="3">
        <v>129.55000000000001</v>
      </c>
      <c r="H2141">
        <v>130</v>
      </c>
      <c r="I2141">
        <v>130.55000000000001</v>
      </c>
      <c r="J2141">
        <v>54504</v>
      </c>
      <c r="K2141">
        <v>7076686.7000000002</v>
      </c>
      <c r="L2141" s="1">
        <v>45240</v>
      </c>
      <c r="M2141">
        <v>112</v>
      </c>
      <c r="N2141" t="s">
        <v>4704</v>
      </c>
      <c r="O2141" s="5">
        <v>45240</v>
      </c>
      <c r="P2141" s="5">
        <v>43777</v>
      </c>
    </row>
    <row r="2142" spans="1:16" x14ac:dyDescent="0.25">
      <c r="A2142" t="s">
        <v>4705</v>
      </c>
      <c r="B2142" t="str">
        <v>Sirca Paints India Limited</v>
      </c>
      <c r="C2142" t="s">
        <v>14</v>
      </c>
      <c r="D2142">
        <v>376</v>
      </c>
      <c r="E2142">
        <v>381.4</v>
      </c>
      <c r="F2142">
        <v>371.3</v>
      </c>
      <c r="G2142" s="3">
        <v>375.55</v>
      </c>
      <c r="H2142">
        <v>374</v>
      </c>
      <c r="I2142">
        <v>375.85</v>
      </c>
      <c r="J2142">
        <v>76924</v>
      </c>
      <c r="K2142">
        <v>28941304.300000001</v>
      </c>
      <c r="L2142" s="1">
        <v>45240</v>
      </c>
      <c r="M2142">
        <v>4635</v>
      </c>
      <c r="N2142" t="s">
        <v>4707</v>
      </c>
      <c r="O2142" s="5">
        <v>45240</v>
      </c>
      <c r="P2142" s="5">
        <v>43777</v>
      </c>
    </row>
    <row r="2143" spans="1:16" x14ac:dyDescent="0.25">
      <c r="A2143" t="s">
        <v>4708</v>
      </c>
      <c r="B2143" t="str">
        <v>SIS LIMITED</v>
      </c>
      <c r="C2143" t="s">
        <v>14</v>
      </c>
      <c r="D2143">
        <v>425.9</v>
      </c>
      <c r="E2143">
        <v>435.8</v>
      </c>
      <c r="F2143">
        <v>423.75</v>
      </c>
      <c r="G2143" s="3">
        <v>431.75</v>
      </c>
      <c r="H2143">
        <v>435</v>
      </c>
      <c r="I2143">
        <v>425.9</v>
      </c>
      <c r="J2143">
        <v>18748</v>
      </c>
      <c r="K2143">
        <v>8091282.7999999998</v>
      </c>
      <c r="L2143" s="1">
        <v>45240</v>
      </c>
      <c r="M2143">
        <v>2864</v>
      </c>
      <c r="N2143" t="s">
        <v>4710</v>
      </c>
      <c r="O2143" s="5">
        <v>45240</v>
      </c>
      <c r="P2143" s="5">
        <v>43777</v>
      </c>
    </row>
    <row r="2144" spans="1:16" x14ac:dyDescent="0.25">
      <c r="A2144" t="s">
        <v>4711</v>
      </c>
      <c r="B2144" t="str">
        <v>Siti Networks Limited</v>
      </c>
      <c r="C2144" t="s">
        <v>10</v>
      </c>
      <c r="D2144">
        <v>0.8</v>
      </c>
      <c r="E2144">
        <v>0.8</v>
      </c>
      <c r="F2144">
        <v>0.75</v>
      </c>
      <c r="G2144" s="3">
        <v>0.75</v>
      </c>
      <c r="H2144">
        <v>0.75</v>
      </c>
      <c r="I2144">
        <v>0.75</v>
      </c>
      <c r="J2144">
        <v>541121</v>
      </c>
      <c r="K2144">
        <v>421135.4</v>
      </c>
      <c r="L2144" s="1">
        <v>45240</v>
      </c>
      <c r="M2144">
        <v>277</v>
      </c>
      <c r="N2144" t="s">
        <v>4713</v>
      </c>
      <c r="O2144" s="5">
        <v>45240</v>
      </c>
      <c r="P2144" s="5">
        <v>43777</v>
      </c>
    </row>
    <row r="2145" spans="1:16" x14ac:dyDescent="0.25">
      <c r="A2145" t="s">
        <v>4714</v>
      </c>
      <c r="B2145" t="str">
        <v>Siyaram Silk Mills Limited</v>
      </c>
      <c r="C2145" t="s">
        <v>14</v>
      </c>
      <c r="D2145">
        <v>528.79999999999995</v>
      </c>
      <c r="E2145">
        <v>531.6</v>
      </c>
      <c r="F2145">
        <v>515.85</v>
      </c>
      <c r="G2145" s="3">
        <v>521.29999999999995</v>
      </c>
      <c r="H2145">
        <v>520.04999999999995</v>
      </c>
      <c r="I2145">
        <v>526.54999999999995</v>
      </c>
      <c r="J2145">
        <v>69971</v>
      </c>
      <c r="K2145">
        <v>36557653.25</v>
      </c>
      <c r="L2145" s="1">
        <v>45240</v>
      </c>
      <c r="M2145">
        <v>7408</v>
      </c>
      <c r="N2145" t="s">
        <v>4716</v>
      </c>
      <c r="O2145" s="5">
        <v>45240</v>
      </c>
      <c r="P2145" s="5">
        <v>43777</v>
      </c>
    </row>
    <row r="2146" spans="1:16" x14ac:dyDescent="0.25">
      <c r="A2146" t="s">
        <v>4717</v>
      </c>
      <c r="B2146" t="str">
        <v>S.J.S. Enterprises Limited</v>
      </c>
      <c r="C2146" t="s">
        <v>14</v>
      </c>
      <c r="D2146">
        <v>613</v>
      </c>
      <c r="E2146">
        <v>633.35</v>
      </c>
      <c r="F2146">
        <v>608.85</v>
      </c>
      <c r="G2146" s="3">
        <v>630.54999999999995</v>
      </c>
      <c r="H2146">
        <v>628</v>
      </c>
      <c r="I2146">
        <v>611.70000000000005</v>
      </c>
      <c r="J2146">
        <v>262101</v>
      </c>
      <c r="K2146">
        <v>163380521.15000001</v>
      </c>
      <c r="L2146" s="1">
        <v>45240</v>
      </c>
      <c r="M2146">
        <v>12348</v>
      </c>
      <c r="N2146" t="s">
        <v>4719</v>
      </c>
      <c r="O2146" s="5">
        <v>45240</v>
      </c>
      <c r="P2146" s="5">
        <v>43777</v>
      </c>
    </row>
    <row r="2147" spans="1:16" x14ac:dyDescent="0.25">
      <c r="A2147" t="s">
        <v>4720</v>
      </c>
      <c r="B2147" t="str">
        <v>SJVN Limited</v>
      </c>
      <c r="C2147" t="s">
        <v>14</v>
      </c>
      <c r="D2147">
        <v>74.5</v>
      </c>
      <c r="E2147">
        <v>76.5</v>
      </c>
      <c r="F2147">
        <v>72.55</v>
      </c>
      <c r="G2147" s="3">
        <v>75.8</v>
      </c>
      <c r="H2147">
        <v>75.7</v>
      </c>
      <c r="I2147">
        <v>74.5</v>
      </c>
      <c r="J2147">
        <v>19770509</v>
      </c>
      <c r="K2147">
        <v>1483075980.55</v>
      </c>
      <c r="L2147" s="1">
        <v>45240</v>
      </c>
      <c r="M2147">
        <v>39883</v>
      </c>
      <c r="N2147" t="s">
        <v>4722</v>
      </c>
      <c r="O2147" s="5">
        <v>45240</v>
      </c>
      <c r="P2147" s="5">
        <v>43777</v>
      </c>
    </row>
    <row r="2148" spans="1:16" x14ac:dyDescent="0.25">
      <c r="A2148" t="s">
        <v>4723</v>
      </c>
      <c r="B2148" t="str">
        <v>SKF India Limited</v>
      </c>
      <c r="C2148" t="s">
        <v>14</v>
      </c>
      <c r="D2148">
        <v>4673.8999999999996</v>
      </c>
      <c r="E2148">
        <v>4675.1000000000004</v>
      </c>
      <c r="F2148">
        <v>4596.3500000000004</v>
      </c>
      <c r="G2148" s="3">
        <v>4615.8999999999996</v>
      </c>
      <c r="H2148">
        <v>4615</v>
      </c>
      <c r="I2148">
        <v>4650.6000000000004</v>
      </c>
      <c r="J2148">
        <v>120410</v>
      </c>
      <c r="K2148">
        <v>556178377</v>
      </c>
      <c r="L2148" s="1">
        <v>45240</v>
      </c>
      <c r="M2148">
        <v>5352</v>
      </c>
      <c r="N2148" t="s">
        <v>4725</v>
      </c>
      <c r="O2148" s="5">
        <v>45240</v>
      </c>
      <c r="P2148" s="5">
        <v>43777</v>
      </c>
    </row>
    <row r="2149" spans="1:16" x14ac:dyDescent="0.25">
      <c r="A2149" t="s">
        <v>4726</v>
      </c>
      <c r="B2149" t="str">
        <v>Skipper Limited</v>
      </c>
      <c r="C2149" t="s">
        <v>14</v>
      </c>
      <c r="D2149">
        <v>235</v>
      </c>
      <c r="E2149">
        <v>237.25</v>
      </c>
      <c r="F2149">
        <v>230</v>
      </c>
      <c r="G2149" s="3">
        <v>233.75</v>
      </c>
      <c r="H2149">
        <v>234.85</v>
      </c>
      <c r="I2149">
        <v>234.75</v>
      </c>
      <c r="J2149">
        <v>220878</v>
      </c>
      <c r="K2149">
        <v>51583101.450000003</v>
      </c>
      <c r="L2149" s="1">
        <v>45240</v>
      </c>
      <c r="M2149">
        <v>7677</v>
      </c>
      <c r="N2149" t="s">
        <v>4728</v>
      </c>
      <c r="O2149" s="5">
        <v>45240</v>
      </c>
      <c r="P2149" s="5">
        <v>43777</v>
      </c>
    </row>
    <row r="2150" spans="1:16" x14ac:dyDescent="0.25">
      <c r="A2150" t="s">
        <v>4729</v>
      </c>
      <c r="B2150" t="str">
        <v>SKM Egg Products Export (India) Limited</v>
      </c>
      <c r="C2150" t="s">
        <v>14</v>
      </c>
      <c r="D2150">
        <v>414</v>
      </c>
      <c r="E2150">
        <v>418.9</v>
      </c>
      <c r="F2150">
        <v>395.4</v>
      </c>
      <c r="G2150" s="3">
        <v>405.4</v>
      </c>
      <c r="H2150">
        <v>405.8</v>
      </c>
      <c r="I2150">
        <v>412.65</v>
      </c>
      <c r="J2150">
        <v>153924</v>
      </c>
      <c r="K2150">
        <v>62632669.850000001</v>
      </c>
      <c r="L2150" s="1">
        <v>45240</v>
      </c>
      <c r="M2150">
        <v>4732</v>
      </c>
      <c r="N2150" t="s">
        <v>4731</v>
      </c>
      <c r="O2150" s="5">
        <v>45240</v>
      </c>
      <c r="P2150" s="5">
        <v>43777</v>
      </c>
    </row>
    <row r="2151" spans="1:16" x14ac:dyDescent="0.25">
      <c r="A2151" t="s">
        <v>5909</v>
      </c>
      <c r="B2151" t="str">
        <v>Not Found</v>
      </c>
      <c r="C2151" t="s">
        <v>5788</v>
      </c>
      <c r="D2151">
        <v>203</v>
      </c>
      <c r="E2151">
        <v>214.95</v>
      </c>
      <c r="F2151">
        <v>203</v>
      </c>
      <c r="G2151" s="3">
        <v>211.5</v>
      </c>
      <c r="H2151">
        <v>209</v>
      </c>
      <c r="I2151">
        <v>200.45</v>
      </c>
      <c r="J2151">
        <v>19000</v>
      </c>
      <c r="K2151">
        <v>3994500</v>
      </c>
      <c r="L2151" s="1">
        <v>45240</v>
      </c>
      <c r="M2151">
        <v>37</v>
      </c>
      <c r="N2151" t="s">
        <v>5908</v>
      </c>
      <c r="O2151" s="5">
        <v>45240</v>
      </c>
      <c r="P2151" s="5">
        <v>43777</v>
      </c>
    </row>
    <row r="2152" spans="1:16" x14ac:dyDescent="0.25">
      <c r="A2152" t="s">
        <v>5907</v>
      </c>
      <c r="B2152" t="str">
        <v>Not Found</v>
      </c>
      <c r="C2152" t="s">
        <v>5853</v>
      </c>
      <c r="D2152">
        <v>16.95</v>
      </c>
      <c r="E2152">
        <v>16.95</v>
      </c>
      <c r="F2152">
        <v>16.95</v>
      </c>
      <c r="G2152" s="3">
        <v>16.95</v>
      </c>
      <c r="H2152">
        <v>16.95</v>
      </c>
      <c r="I2152">
        <v>17</v>
      </c>
      <c r="J2152">
        <v>1000</v>
      </c>
      <c r="K2152">
        <v>16950</v>
      </c>
      <c r="L2152" s="1">
        <v>45240</v>
      </c>
      <c r="M2152">
        <v>1</v>
      </c>
      <c r="N2152" t="s">
        <v>5906</v>
      </c>
      <c r="O2152" s="5">
        <v>45240</v>
      </c>
      <c r="P2152" s="5">
        <v>43777</v>
      </c>
    </row>
    <row r="2153" spans="1:16" x14ac:dyDescent="0.25">
      <c r="A2153" t="s">
        <v>4732</v>
      </c>
      <c r="B2153" t="str">
        <v>Sky Gold Limited</v>
      </c>
      <c r="C2153" t="s">
        <v>14</v>
      </c>
      <c r="D2153">
        <v>759</v>
      </c>
      <c r="E2153">
        <v>766.4</v>
      </c>
      <c r="F2153">
        <v>732</v>
      </c>
      <c r="G2153" s="3">
        <v>766.4</v>
      </c>
      <c r="H2153">
        <v>766.4</v>
      </c>
      <c r="I2153">
        <v>729.95</v>
      </c>
      <c r="J2153">
        <v>73761</v>
      </c>
      <c r="K2153">
        <v>56295921</v>
      </c>
      <c r="L2153" s="1">
        <v>45240</v>
      </c>
      <c r="M2153">
        <v>1615</v>
      </c>
      <c r="N2153" t="s">
        <v>4734</v>
      </c>
      <c r="O2153" s="5">
        <v>45240</v>
      </c>
      <c r="P2153" s="5">
        <v>43777</v>
      </c>
    </row>
    <row r="2154" spans="1:16" x14ac:dyDescent="0.25">
      <c r="A2154" t="s">
        <v>4735</v>
      </c>
      <c r="B2154" t="str">
        <v>Smartlink Holdings Limited</v>
      </c>
      <c r="C2154" t="s">
        <v>14</v>
      </c>
      <c r="D2154">
        <v>173.3</v>
      </c>
      <c r="E2154">
        <v>178.65</v>
      </c>
      <c r="F2154">
        <v>171.1</v>
      </c>
      <c r="G2154" s="3">
        <v>173.95</v>
      </c>
      <c r="H2154">
        <v>174</v>
      </c>
      <c r="I2154">
        <v>173.3</v>
      </c>
      <c r="J2154">
        <v>5518</v>
      </c>
      <c r="K2154">
        <v>967142.5</v>
      </c>
      <c r="L2154" s="1">
        <v>45240</v>
      </c>
      <c r="M2154">
        <v>413</v>
      </c>
      <c r="N2154" t="s">
        <v>4737</v>
      </c>
      <c r="O2154" s="5">
        <v>45240</v>
      </c>
      <c r="P2154" s="5">
        <v>43777</v>
      </c>
    </row>
    <row r="2155" spans="1:16" x14ac:dyDescent="0.25">
      <c r="A2155" t="s">
        <v>4738</v>
      </c>
      <c r="B2155" t="str">
        <v>SMC Global Securities Limited</v>
      </c>
      <c r="C2155" t="s">
        <v>14</v>
      </c>
      <c r="D2155">
        <v>89</v>
      </c>
      <c r="E2155">
        <v>91.85</v>
      </c>
      <c r="F2155">
        <v>88</v>
      </c>
      <c r="G2155" s="3">
        <v>89.35</v>
      </c>
      <c r="H2155">
        <v>89.8</v>
      </c>
      <c r="I2155">
        <v>88.8</v>
      </c>
      <c r="J2155">
        <v>222156</v>
      </c>
      <c r="K2155">
        <v>20041814.300000001</v>
      </c>
      <c r="L2155" s="1">
        <v>45240</v>
      </c>
      <c r="M2155">
        <v>1807</v>
      </c>
      <c r="N2155" t="s">
        <v>4740</v>
      </c>
      <c r="O2155" s="5">
        <v>45240</v>
      </c>
      <c r="P2155" s="5">
        <v>43777</v>
      </c>
    </row>
    <row r="2156" spans="1:16" x14ac:dyDescent="0.25">
      <c r="A2156" t="s">
        <v>4741</v>
      </c>
      <c r="B2156" t="str">
        <v>SML Isuzu Limited</v>
      </c>
      <c r="C2156" t="s">
        <v>14</v>
      </c>
      <c r="D2156">
        <v>1293</v>
      </c>
      <c r="E2156">
        <v>1293</v>
      </c>
      <c r="F2156">
        <v>1266.3</v>
      </c>
      <c r="G2156" s="3">
        <v>1272</v>
      </c>
      <c r="H2156">
        <v>1266.3</v>
      </c>
      <c r="I2156">
        <v>1288.45</v>
      </c>
      <c r="J2156">
        <v>17495</v>
      </c>
      <c r="K2156">
        <v>22325873.5</v>
      </c>
      <c r="L2156" s="1">
        <v>45240</v>
      </c>
      <c r="M2156">
        <v>2215</v>
      </c>
      <c r="N2156" t="s">
        <v>4743</v>
      </c>
      <c r="O2156" s="5">
        <v>45240</v>
      </c>
      <c r="P2156" s="5">
        <v>43777</v>
      </c>
    </row>
    <row r="2157" spans="1:16" x14ac:dyDescent="0.25">
      <c r="A2157" t="s">
        <v>4744</v>
      </c>
      <c r="B2157" t="str">
        <v>Sarthak Metals Limited</v>
      </c>
      <c r="C2157" t="s">
        <v>14</v>
      </c>
      <c r="D2157">
        <v>221</v>
      </c>
      <c r="E2157">
        <v>226.85</v>
      </c>
      <c r="F2157">
        <v>204.2</v>
      </c>
      <c r="G2157" s="3">
        <v>209.8</v>
      </c>
      <c r="H2157">
        <v>210.2</v>
      </c>
      <c r="I2157">
        <v>219.25</v>
      </c>
      <c r="J2157">
        <v>34304</v>
      </c>
      <c r="K2157">
        <v>7297332.5999999996</v>
      </c>
      <c r="L2157" s="1">
        <v>45240</v>
      </c>
      <c r="M2157">
        <v>1830</v>
      </c>
      <c r="N2157" t="s">
        <v>4746</v>
      </c>
      <c r="O2157" s="5">
        <v>45240</v>
      </c>
      <c r="P2157" s="5">
        <v>43777</v>
      </c>
    </row>
    <row r="2158" spans="1:16" x14ac:dyDescent="0.25">
      <c r="A2158" t="s">
        <v>4747</v>
      </c>
      <c r="B2158" t="str">
        <v>SMS Lifesciences India Limited</v>
      </c>
      <c r="C2158" t="s">
        <v>14</v>
      </c>
      <c r="D2158">
        <v>510.1</v>
      </c>
      <c r="E2158">
        <v>525</v>
      </c>
      <c r="F2158">
        <v>508.75</v>
      </c>
      <c r="G2158" s="3">
        <v>521.04999999999995</v>
      </c>
      <c r="H2158">
        <v>525</v>
      </c>
      <c r="I2158">
        <v>514.1</v>
      </c>
      <c r="J2158">
        <v>2218</v>
      </c>
      <c r="K2158">
        <v>1140288.45</v>
      </c>
      <c r="L2158" s="1">
        <v>45240</v>
      </c>
      <c r="M2158">
        <v>72</v>
      </c>
      <c r="N2158" t="s">
        <v>4749</v>
      </c>
      <c r="O2158" s="5">
        <v>45240</v>
      </c>
      <c r="P2158" s="5">
        <v>43777</v>
      </c>
    </row>
    <row r="2159" spans="1:16" x14ac:dyDescent="0.25">
      <c r="A2159" t="s">
        <v>4750</v>
      </c>
      <c r="B2159" t="str">
        <v>SMS Pharmaceuticals Limited</v>
      </c>
      <c r="C2159" t="s">
        <v>14</v>
      </c>
      <c r="D2159">
        <v>118.6</v>
      </c>
      <c r="E2159">
        <v>121</v>
      </c>
      <c r="F2159">
        <v>117</v>
      </c>
      <c r="G2159" s="3">
        <v>118.25</v>
      </c>
      <c r="H2159">
        <v>118.5</v>
      </c>
      <c r="I2159">
        <v>119.1</v>
      </c>
      <c r="J2159">
        <v>83191</v>
      </c>
      <c r="K2159">
        <v>9885615.6999999993</v>
      </c>
      <c r="L2159" s="1">
        <v>45240</v>
      </c>
      <c r="M2159">
        <v>1869</v>
      </c>
      <c r="N2159" t="s">
        <v>4752</v>
      </c>
      <c r="O2159" s="5">
        <v>45240</v>
      </c>
      <c r="P2159" s="5">
        <v>43777</v>
      </c>
    </row>
    <row r="2160" spans="1:16" x14ac:dyDescent="0.25">
      <c r="A2160" t="s">
        <v>4753</v>
      </c>
      <c r="B2160" t="str">
        <v>Snowman Logistics Limited</v>
      </c>
      <c r="C2160" t="s">
        <v>14</v>
      </c>
      <c r="D2160">
        <v>49.35</v>
      </c>
      <c r="E2160">
        <v>50</v>
      </c>
      <c r="F2160">
        <v>49.3</v>
      </c>
      <c r="G2160" s="3">
        <v>49.75</v>
      </c>
      <c r="H2160">
        <v>49.9</v>
      </c>
      <c r="I2160">
        <v>49.6</v>
      </c>
      <c r="J2160">
        <v>398404</v>
      </c>
      <c r="K2160">
        <v>19788963.449999999</v>
      </c>
      <c r="L2160" s="1">
        <v>45240</v>
      </c>
      <c r="M2160">
        <v>2331</v>
      </c>
      <c r="N2160" t="s">
        <v>4755</v>
      </c>
      <c r="O2160" s="5">
        <v>45240</v>
      </c>
      <c r="P2160" s="5">
        <v>43777</v>
      </c>
    </row>
    <row r="2161" spans="1:16" x14ac:dyDescent="0.25">
      <c r="A2161" t="s">
        <v>4756</v>
      </c>
      <c r="B2161" t="str">
        <v>Sobha Limited</v>
      </c>
      <c r="C2161" t="s">
        <v>14</v>
      </c>
      <c r="D2161">
        <v>834.15</v>
      </c>
      <c r="E2161">
        <v>835.65</v>
      </c>
      <c r="F2161">
        <v>818.45</v>
      </c>
      <c r="G2161" s="3">
        <v>823.2</v>
      </c>
      <c r="H2161">
        <v>823.5</v>
      </c>
      <c r="I2161">
        <v>829.25</v>
      </c>
      <c r="J2161">
        <v>481748</v>
      </c>
      <c r="K2161">
        <v>398787998.64999998</v>
      </c>
      <c r="L2161" s="1">
        <v>45240</v>
      </c>
      <c r="M2161">
        <v>17208</v>
      </c>
      <c r="N2161" t="s">
        <v>4758</v>
      </c>
      <c r="O2161" s="5">
        <v>45240</v>
      </c>
      <c r="P2161" s="5">
        <v>43777</v>
      </c>
    </row>
    <row r="2162" spans="1:16" x14ac:dyDescent="0.25">
      <c r="A2162" t="s">
        <v>4759</v>
      </c>
      <c r="B2162" t="str">
        <v>Softtech Engineers Limited</v>
      </c>
      <c r="C2162" t="s">
        <v>10</v>
      </c>
      <c r="D2162">
        <v>207.5</v>
      </c>
      <c r="E2162">
        <v>218.85</v>
      </c>
      <c r="F2162">
        <v>207.5</v>
      </c>
      <c r="G2162" s="3">
        <v>215.8</v>
      </c>
      <c r="H2162">
        <v>218.85</v>
      </c>
      <c r="I2162">
        <v>209.3</v>
      </c>
      <c r="J2162">
        <v>4608</v>
      </c>
      <c r="K2162">
        <v>981268.2</v>
      </c>
      <c r="L2162" s="1">
        <v>45240</v>
      </c>
      <c r="M2162">
        <v>152</v>
      </c>
      <c r="N2162" t="s">
        <v>4761</v>
      </c>
      <c r="O2162" s="5">
        <v>45240</v>
      </c>
      <c r="P2162" s="5">
        <v>43777</v>
      </c>
    </row>
    <row r="2163" spans="1:16" x14ac:dyDescent="0.25">
      <c r="A2163" t="s">
        <v>4762</v>
      </c>
      <c r="B2163" t="str">
        <v>Solara Active Pharma Sciences Limited</v>
      </c>
      <c r="C2163" t="s">
        <v>14</v>
      </c>
      <c r="D2163">
        <v>330.95</v>
      </c>
      <c r="E2163">
        <v>333.8</v>
      </c>
      <c r="F2163">
        <v>325.35000000000002</v>
      </c>
      <c r="G2163" s="3">
        <v>328.15</v>
      </c>
      <c r="H2163">
        <v>328.4</v>
      </c>
      <c r="I2163">
        <v>330.7</v>
      </c>
      <c r="J2163">
        <v>59665</v>
      </c>
      <c r="K2163">
        <v>19635093.800000001</v>
      </c>
      <c r="L2163" s="1">
        <v>45240</v>
      </c>
      <c r="M2163">
        <v>3872</v>
      </c>
      <c r="N2163" t="s">
        <v>4764</v>
      </c>
      <c r="O2163" s="5">
        <v>45240</v>
      </c>
      <c r="P2163" s="5">
        <v>43777</v>
      </c>
    </row>
    <row r="2164" spans="1:16" x14ac:dyDescent="0.25">
      <c r="A2164" t="s">
        <v>4765</v>
      </c>
      <c r="B2164" t="str">
        <v>Solar Industries India Limited</v>
      </c>
      <c r="C2164" t="s">
        <v>14</v>
      </c>
      <c r="D2164">
        <v>6175</v>
      </c>
      <c r="E2164">
        <v>6249.5</v>
      </c>
      <c r="F2164">
        <v>6072.15</v>
      </c>
      <c r="G2164" s="3">
        <v>6104.55</v>
      </c>
      <c r="H2164">
        <v>6120</v>
      </c>
      <c r="I2164">
        <v>6169.3</v>
      </c>
      <c r="J2164">
        <v>71893</v>
      </c>
      <c r="K2164">
        <v>442364910.44999999</v>
      </c>
      <c r="L2164" s="1">
        <v>45240</v>
      </c>
      <c r="M2164">
        <v>16646</v>
      </c>
      <c r="N2164" t="s">
        <v>4767</v>
      </c>
      <c r="O2164" s="5">
        <v>45240</v>
      </c>
      <c r="P2164" s="5">
        <v>43777</v>
      </c>
    </row>
    <row r="2165" spans="1:16" x14ac:dyDescent="0.25">
      <c r="A2165" t="s">
        <v>5905</v>
      </c>
      <c r="B2165" t="str">
        <v>Not Found</v>
      </c>
      <c r="C2165" t="s">
        <v>5788</v>
      </c>
      <c r="D2165">
        <v>525</v>
      </c>
      <c r="E2165">
        <v>530</v>
      </c>
      <c r="F2165">
        <v>513</v>
      </c>
      <c r="G2165" s="3">
        <v>519.1</v>
      </c>
      <c r="H2165">
        <v>520.25</v>
      </c>
      <c r="I2165">
        <v>524.79999999999995</v>
      </c>
      <c r="J2165">
        <v>12200</v>
      </c>
      <c r="K2165">
        <v>6378010</v>
      </c>
      <c r="L2165" s="1">
        <v>45240</v>
      </c>
      <c r="M2165">
        <v>48</v>
      </c>
      <c r="N2165" t="s">
        <v>5904</v>
      </c>
      <c r="O2165" s="5">
        <v>45240</v>
      </c>
      <c r="P2165" s="5">
        <v>43777</v>
      </c>
    </row>
    <row r="2166" spans="1:16" x14ac:dyDescent="0.25">
      <c r="A2166" t="s">
        <v>4768</v>
      </c>
      <c r="B2166" t="str">
        <v>Somany Ceramics Limited</v>
      </c>
      <c r="C2166" t="s">
        <v>14</v>
      </c>
      <c r="D2166">
        <v>683.8</v>
      </c>
      <c r="E2166">
        <v>689.65</v>
      </c>
      <c r="F2166">
        <v>675.7</v>
      </c>
      <c r="G2166" s="3">
        <v>679.25</v>
      </c>
      <c r="H2166">
        <v>680.5</v>
      </c>
      <c r="I2166">
        <v>683.8</v>
      </c>
      <c r="J2166">
        <v>47274</v>
      </c>
      <c r="K2166">
        <v>32341021.649999999</v>
      </c>
      <c r="L2166" s="1">
        <v>45240</v>
      </c>
      <c r="M2166">
        <v>7889</v>
      </c>
      <c r="N2166" t="s">
        <v>4770</v>
      </c>
      <c r="O2166" s="5">
        <v>45240</v>
      </c>
      <c r="P2166" s="5">
        <v>43777</v>
      </c>
    </row>
    <row r="2167" spans="1:16" x14ac:dyDescent="0.25">
      <c r="A2167" t="s">
        <v>4771</v>
      </c>
      <c r="B2167" t="str">
        <v>Soma Textiles &amp; Industries Limited</v>
      </c>
      <c r="C2167" t="s">
        <v>10</v>
      </c>
      <c r="D2167">
        <v>20.5</v>
      </c>
      <c r="E2167">
        <v>21.45</v>
      </c>
      <c r="F2167">
        <v>20</v>
      </c>
      <c r="G2167" s="3">
        <v>20.25</v>
      </c>
      <c r="H2167">
        <v>20.3</v>
      </c>
      <c r="I2167">
        <v>20.8</v>
      </c>
      <c r="J2167">
        <v>14419</v>
      </c>
      <c r="K2167">
        <v>293796.05</v>
      </c>
      <c r="L2167" s="1">
        <v>45240</v>
      </c>
      <c r="M2167">
        <v>54</v>
      </c>
      <c r="N2167" t="s">
        <v>4773</v>
      </c>
      <c r="O2167" s="5">
        <v>45240</v>
      </c>
      <c r="P2167" s="5">
        <v>43777</v>
      </c>
    </row>
    <row r="2168" spans="1:16" x14ac:dyDescent="0.25">
      <c r="A2168" t="s">
        <v>4774</v>
      </c>
      <c r="B2168" t="str">
        <v>Somi Conveyor Beltings Limited</v>
      </c>
      <c r="C2168" t="s">
        <v>10</v>
      </c>
      <c r="D2168">
        <v>104.1</v>
      </c>
      <c r="E2168">
        <v>104.1</v>
      </c>
      <c r="F2168">
        <v>100</v>
      </c>
      <c r="G2168" s="3">
        <v>101.65</v>
      </c>
      <c r="H2168">
        <v>102.7</v>
      </c>
      <c r="I2168">
        <v>99.15</v>
      </c>
      <c r="J2168">
        <v>68930</v>
      </c>
      <c r="K2168">
        <v>7136958.25</v>
      </c>
      <c r="L2168" s="1">
        <v>45240</v>
      </c>
      <c r="M2168">
        <v>425</v>
      </c>
      <c r="N2168" t="s">
        <v>4776</v>
      </c>
      <c r="O2168" s="5">
        <v>45240</v>
      </c>
      <c r="P2168" s="5">
        <v>43777</v>
      </c>
    </row>
    <row r="2169" spans="1:16" x14ac:dyDescent="0.25">
      <c r="A2169" t="s">
        <v>4777</v>
      </c>
      <c r="B2169" t="str">
        <v>Sona BLW Precision Forgings Limited</v>
      </c>
      <c r="C2169" t="s">
        <v>14</v>
      </c>
      <c r="D2169">
        <v>565</v>
      </c>
      <c r="E2169">
        <v>568.45000000000005</v>
      </c>
      <c r="F2169">
        <v>561.29999999999995</v>
      </c>
      <c r="G2169" s="3">
        <v>565.25</v>
      </c>
      <c r="H2169">
        <v>565.79999999999995</v>
      </c>
      <c r="I2169">
        <v>565.29999999999995</v>
      </c>
      <c r="J2169">
        <v>736785</v>
      </c>
      <c r="K2169">
        <v>416258662.30000001</v>
      </c>
      <c r="L2169" s="1">
        <v>45240</v>
      </c>
      <c r="M2169">
        <v>18150</v>
      </c>
      <c r="N2169" t="s">
        <v>4779</v>
      </c>
      <c r="O2169" s="5">
        <v>45240</v>
      </c>
      <c r="P2169" s="5">
        <v>43777</v>
      </c>
    </row>
    <row r="2170" spans="1:16" x14ac:dyDescent="0.25">
      <c r="A2170" t="s">
        <v>4780</v>
      </c>
      <c r="B2170" t="str">
        <v>Sonam Clock Limited</v>
      </c>
      <c r="C2170" t="s">
        <v>10</v>
      </c>
      <c r="D2170">
        <v>82</v>
      </c>
      <c r="E2170">
        <v>83.45</v>
      </c>
      <c r="F2170">
        <v>80</v>
      </c>
      <c r="G2170" s="3">
        <v>82.9</v>
      </c>
      <c r="H2170">
        <v>82.9</v>
      </c>
      <c r="I2170">
        <v>81.599999999999994</v>
      </c>
      <c r="J2170">
        <v>20524</v>
      </c>
      <c r="K2170">
        <v>1675856.55</v>
      </c>
      <c r="L2170" s="1">
        <v>45240</v>
      </c>
      <c r="M2170">
        <v>83</v>
      </c>
      <c r="N2170" t="s">
        <v>4782</v>
      </c>
      <c r="O2170" s="5">
        <v>45240</v>
      </c>
      <c r="P2170" s="5">
        <v>43777</v>
      </c>
    </row>
    <row r="2171" spans="1:16" x14ac:dyDescent="0.25">
      <c r="A2171" t="s">
        <v>4783</v>
      </c>
      <c r="B2171" t="str">
        <v>Sonata Software Limited</v>
      </c>
      <c r="C2171" t="s">
        <v>14</v>
      </c>
      <c r="D2171">
        <v>1300</v>
      </c>
      <c r="E2171">
        <v>1322.95</v>
      </c>
      <c r="F2171">
        <v>1291.5</v>
      </c>
      <c r="G2171" s="3">
        <v>1317.85</v>
      </c>
      <c r="H2171">
        <v>1316</v>
      </c>
      <c r="I2171">
        <v>1301.5999999999999</v>
      </c>
      <c r="J2171">
        <v>266945</v>
      </c>
      <c r="K2171">
        <v>350764892.94999999</v>
      </c>
      <c r="L2171" s="1">
        <v>45240</v>
      </c>
      <c r="M2171">
        <v>15359</v>
      </c>
      <c r="N2171" t="s">
        <v>4785</v>
      </c>
      <c r="O2171" s="5">
        <v>45240</v>
      </c>
      <c r="P2171" s="5">
        <v>43777</v>
      </c>
    </row>
    <row r="2172" spans="1:16" x14ac:dyDescent="0.25">
      <c r="A2172" t="s">
        <v>5903</v>
      </c>
      <c r="B2172" t="str">
        <v>Not Found</v>
      </c>
      <c r="C2172" t="s">
        <v>5788</v>
      </c>
      <c r="D2172">
        <v>65</v>
      </c>
      <c r="E2172">
        <v>65.75</v>
      </c>
      <c r="F2172">
        <v>63.3</v>
      </c>
      <c r="G2172" s="3">
        <v>63.3</v>
      </c>
      <c r="H2172">
        <v>63.3</v>
      </c>
      <c r="I2172">
        <v>65.75</v>
      </c>
      <c r="J2172">
        <v>36000</v>
      </c>
      <c r="K2172">
        <v>2334300</v>
      </c>
      <c r="L2172" s="1">
        <v>45240</v>
      </c>
      <c r="M2172">
        <v>12</v>
      </c>
      <c r="N2172" t="s">
        <v>5902</v>
      </c>
      <c r="O2172" s="5">
        <v>45240</v>
      </c>
      <c r="P2172" s="5">
        <v>43777</v>
      </c>
    </row>
    <row r="2173" spans="1:16" x14ac:dyDescent="0.25">
      <c r="A2173" t="s">
        <v>5901</v>
      </c>
      <c r="B2173" t="str">
        <v>Not Found</v>
      </c>
      <c r="C2173" t="s">
        <v>5788</v>
      </c>
      <c r="D2173">
        <v>97</v>
      </c>
      <c r="E2173">
        <v>115.5</v>
      </c>
      <c r="F2173">
        <v>97</v>
      </c>
      <c r="G2173" s="3">
        <v>115.5</v>
      </c>
      <c r="H2173">
        <v>115.5</v>
      </c>
      <c r="I2173">
        <v>116.4</v>
      </c>
      <c r="J2173">
        <v>3600</v>
      </c>
      <c r="K2173">
        <v>393600</v>
      </c>
      <c r="L2173" s="1">
        <v>45240</v>
      </c>
      <c r="M2173">
        <v>3</v>
      </c>
      <c r="N2173" t="s">
        <v>5900</v>
      </c>
      <c r="O2173" s="5">
        <v>45240</v>
      </c>
      <c r="P2173" s="5">
        <v>43777</v>
      </c>
    </row>
    <row r="2174" spans="1:16" x14ac:dyDescent="0.25">
      <c r="A2174" t="s">
        <v>4786</v>
      </c>
      <c r="B2174" t="str">
        <v>Savita Oil Technologies Limited</v>
      </c>
      <c r="C2174" t="s">
        <v>14</v>
      </c>
      <c r="D2174">
        <v>321.75</v>
      </c>
      <c r="E2174">
        <v>324.7</v>
      </c>
      <c r="F2174">
        <v>315</v>
      </c>
      <c r="G2174" s="3">
        <v>316.60000000000002</v>
      </c>
      <c r="H2174">
        <v>316.3</v>
      </c>
      <c r="I2174">
        <v>321.75</v>
      </c>
      <c r="J2174">
        <v>156787</v>
      </c>
      <c r="K2174">
        <v>49982564.299999997</v>
      </c>
      <c r="L2174" s="1">
        <v>45240</v>
      </c>
      <c r="M2174">
        <v>8889</v>
      </c>
      <c r="N2174" t="s">
        <v>4788</v>
      </c>
      <c r="O2174" s="5">
        <v>45240</v>
      </c>
      <c r="P2174" s="5">
        <v>43777</v>
      </c>
    </row>
    <row r="2175" spans="1:16" x14ac:dyDescent="0.25">
      <c r="A2175" t="s">
        <v>4789</v>
      </c>
      <c r="B2175" t="str">
        <v>The South Indian Bank Limited</v>
      </c>
      <c r="C2175" t="s">
        <v>14</v>
      </c>
      <c r="D2175">
        <v>24.45</v>
      </c>
      <c r="E2175">
        <v>24.6</v>
      </c>
      <c r="F2175">
        <v>24.2</v>
      </c>
      <c r="G2175" s="3">
        <v>24.5</v>
      </c>
      <c r="H2175">
        <v>24.55</v>
      </c>
      <c r="I2175">
        <v>24.45</v>
      </c>
      <c r="J2175">
        <v>12431210</v>
      </c>
      <c r="K2175">
        <v>303476321.89999998</v>
      </c>
      <c r="L2175" s="1">
        <v>45240</v>
      </c>
      <c r="M2175">
        <v>28254</v>
      </c>
      <c r="N2175" t="s">
        <v>4791</v>
      </c>
      <c r="O2175" s="5">
        <v>45240</v>
      </c>
      <c r="P2175" s="5">
        <v>43777</v>
      </c>
    </row>
    <row r="2176" spans="1:16" x14ac:dyDescent="0.25">
      <c r="A2176" t="s">
        <v>4792</v>
      </c>
      <c r="B2176" t="str">
        <v>South West Pinnacle Exploration Limited</v>
      </c>
      <c r="C2176" t="s">
        <v>10</v>
      </c>
      <c r="D2176">
        <v>187.9</v>
      </c>
      <c r="E2176">
        <v>187.9</v>
      </c>
      <c r="F2176">
        <v>184.15</v>
      </c>
      <c r="G2176" s="3">
        <v>185.3</v>
      </c>
      <c r="H2176">
        <v>186.5</v>
      </c>
      <c r="I2176">
        <v>185.65</v>
      </c>
      <c r="J2176">
        <v>173250</v>
      </c>
      <c r="K2176">
        <v>32214689.75</v>
      </c>
      <c r="L2176" s="1">
        <v>45240</v>
      </c>
      <c r="M2176">
        <v>575</v>
      </c>
      <c r="N2176" t="s">
        <v>4794</v>
      </c>
      <c r="O2176" s="5">
        <v>45240</v>
      </c>
      <c r="P2176" s="5">
        <v>43777</v>
      </c>
    </row>
    <row r="2177" spans="1:16" x14ac:dyDescent="0.25">
      <c r="A2177" t="s">
        <v>4795</v>
      </c>
      <c r="B2177" t="str">
        <v>S. P. Apparels Limited</v>
      </c>
      <c r="C2177" t="s">
        <v>14</v>
      </c>
      <c r="D2177">
        <v>579.5</v>
      </c>
      <c r="E2177">
        <v>588</v>
      </c>
      <c r="F2177">
        <v>574.1</v>
      </c>
      <c r="G2177" s="3">
        <v>584.9</v>
      </c>
      <c r="H2177">
        <v>584</v>
      </c>
      <c r="I2177">
        <v>576.75</v>
      </c>
      <c r="J2177">
        <v>16152</v>
      </c>
      <c r="K2177">
        <v>9407981.9000000004</v>
      </c>
      <c r="L2177" s="1">
        <v>45240</v>
      </c>
      <c r="M2177">
        <v>3645</v>
      </c>
      <c r="N2177" t="s">
        <v>4797</v>
      </c>
      <c r="O2177" s="5">
        <v>45240</v>
      </c>
      <c r="P2177" s="5">
        <v>43777</v>
      </c>
    </row>
    <row r="2178" spans="1:16" x14ac:dyDescent="0.25">
      <c r="A2178" t="s">
        <v>4798</v>
      </c>
      <c r="B2178" t="str">
        <v>Spandana Sphoorty Financial Limited</v>
      </c>
      <c r="C2178" t="s">
        <v>14</v>
      </c>
      <c r="D2178">
        <v>956.95</v>
      </c>
      <c r="E2178">
        <v>982</v>
      </c>
      <c r="F2178">
        <v>944.75</v>
      </c>
      <c r="G2178" s="3">
        <v>978.85</v>
      </c>
      <c r="H2178">
        <v>980</v>
      </c>
      <c r="I2178">
        <v>957.65</v>
      </c>
      <c r="J2178">
        <v>241530</v>
      </c>
      <c r="K2178">
        <v>234133044.44999999</v>
      </c>
      <c r="L2178" s="1">
        <v>45240</v>
      </c>
      <c r="M2178">
        <v>11919</v>
      </c>
      <c r="N2178" t="s">
        <v>4800</v>
      </c>
      <c r="O2178" s="5">
        <v>45240</v>
      </c>
      <c r="P2178" s="5">
        <v>43777</v>
      </c>
    </row>
    <row r="2179" spans="1:16" x14ac:dyDescent="0.25">
      <c r="A2179" t="s">
        <v>4801</v>
      </c>
      <c r="B2179" t="str">
        <v>Sun Pharma Advanced Research Company Limited</v>
      </c>
      <c r="C2179" t="s">
        <v>14</v>
      </c>
      <c r="D2179">
        <v>255.95</v>
      </c>
      <c r="E2179">
        <v>260.89999999999998</v>
      </c>
      <c r="F2179">
        <v>251.3</v>
      </c>
      <c r="G2179" s="3">
        <v>253.85</v>
      </c>
      <c r="H2179">
        <v>253.9</v>
      </c>
      <c r="I2179">
        <v>256.8</v>
      </c>
      <c r="J2179">
        <v>2412348</v>
      </c>
      <c r="K2179">
        <v>618339810.10000002</v>
      </c>
      <c r="L2179" s="1">
        <v>45240</v>
      </c>
      <c r="M2179">
        <v>28910</v>
      </c>
      <c r="N2179" t="s">
        <v>4803</v>
      </c>
      <c r="O2179" s="5">
        <v>45240</v>
      </c>
      <c r="P2179" s="5">
        <v>43777</v>
      </c>
    </row>
    <row r="2180" spans="1:16" x14ac:dyDescent="0.25">
      <c r="A2180" t="s">
        <v>4804</v>
      </c>
      <c r="B2180" t="str">
        <v>Spacenet Enterprises India Limited</v>
      </c>
      <c r="C2180" t="s">
        <v>14</v>
      </c>
      <c r="D2180">
        <v>23.1</v>
      </c>
      <c r="E2180">
        <v>24.8</v>
      </c>
      <c r="F2180">
        <v>23.1</v>
      </c>
      <c r="G2180" s="3">
        <v>24.7</v>
      </c>
      <c r="H2180">
        <v>24.75</v>
      </c>
      <c r="I2180">
        <v>24.6</v>
      </c>
      <c r="J2180">
        <v>967907</v>
      </c>
      <c r="K2180">
        <v>23727060.25</v>
      </c>
      <c r="L2180" s="1">
        <v>45240</v>
      </c>
      <c r="M2180">
        <v>764</v>
      </c>
      <c r="N2180" t="s">
        <v>4806</v>
      </c>
      <c r="O2180" s="5">
        <v>45240</v>
      </c>
      <c r="P2180" s="5">
        <v>43777</v>
      </c>
    </row>
    <row r="2181" spans="1:16" x14ac:dyDescent="0.25">
      <c r="A2181" t="s">
        <v>4807</v>
      </c>
      <c r="B2181" t="str">
        <v>Speciality Restaurants Limited</v>
      </c>
      <c r="C2181" t="s">
        <v>14</v>
      </c>
      <c r="D2181">
        <v>175.05</v>
      </c>
      <c r="E2181">
        <v>179</v>
      </c>
      <c r="F2181">
        <v>174</v>
      </c>
      <c r="G2181" s="3">
        <v>177</v>
      </c>
      <c r="H2181">
        <v>179</v>
      </c>
      <c r="I2181">
        <v>174.7</v>
      </c>
      <c r="J2181">
        <v>38483</v>
      </c>
      <c r="K2181">
        <v>6763570.2000000002</v>
      </c>
      <c r="L2181" s="1">
        <v>45240</v>
      </c>
      <c r="M2181">
        <v>1472</v>
      </c>
      <c r="N2181" t="s">
        <v>4809</v>
      </c>
      <c r="O2181" s="5">
        <v>45240</v>
      </c>
      <c r="P2181" s="5">
        <v>43777</v>
      </c>
    </row>
    <row r="2182" spans="1:16" x14ac:dyDescent="0.25">
      <c r="A2182" t="s">
        <v>5899</v>
      </c>
      <c r="B2182" t="str">
        <v>Not Found</v>
      </c>
      <c r="C2182" t="s">
        <v>5788</v>
      </c>
      <c r="D2182">
        <v>1053</v>
      </c>
      <c r="E2182">
        <v>1114</v>
      </c>
      <c r="F2182">
        <v>1043.9000000000001</v>
      </c>
      <c r="G2182" s="3">
        <v>1057.5</v>
      </c>
      <c r="H2182">
        <v>1057</v>
      </c>
      <c r="I2182">
        <v>1064</v>
      </c>
      <c r="J2182">
        <v>1375</v>
      </c>
      <c r="K2182">
        <v>1462100</v>
      </c>
      <c r="L2182" s="1">
        <v>45240</v>
      </c>
      <c r="M2182">
        <v>11</v>
      </c>
      <c r="N2182" t="s">
        <v>5898</v>
      </c>
      <c r="O2182" s="5">
        <v>45240</v>
      </c>
      <c r="P2182" s="5">
        <v>43777</v>
      </c>
    </row>
    <row r="2183" spans="1:16" x14ac:dyDescent="0.25">
      <c r="A2183" t="s">
        <v>5897</v>
      </c>
      <c r="B2183" t="str">
        <v>Not Found</v>
      </c>
      <c r="C2183" t="s">
        <v>5788</v>
      </c>
      <c r="D2183">
        <v>107</v>
      </c>
      <c r="E2183">
        <v>109</v>
      </c>
      <c r="F2183">
        <v>103.35</v>
      </c>
      <c r="G2183" s="3">
        <v>103.35</v>
      </c>
      <c r="H2183">
        <v>103.35</v>
      </c>
      <c r="I2183">
        <v>129.15</v>
      </c>
      <c r="J2183">
        <v>417600</v>
      </c>
      <c r="K2183">
        <v>43623480</v>
      </c>
      <c r="L2183" s="1">
        <v>45240</v>
      </c>
      <c r="M2183">
        <v>445</v>
      </c>
      <c r="N2183" t="s">
        <v>5896</v>
      </c>
      <c r="O2183" s="5">
        <v>45240</v>
      </c>
      <c r="P2183" s="5">
        <v>43777</v>
      </c>
    </row>
    <row r="2184" spans="1:16" x14ac:dyDescent="0.25">
      <c r="A2184" t="s">
        <v>4810</v>
      </c>
      <c r="B2184" t="str">
        <v>Spencer's Retail Limited</v>
      </c>
      <c r="C2184" t="s">
        <v>14</v>
      </c>
      <c r="D2184">
        <v>68.7</v>
      </c>
      <c r="E2184">
        <v>68.7</v>
      </c>
      <c r="F2184">
        <v>66.849999999999994</v>
      </c>
      <c r="G2184" s="3">
        <v>67.05</v>
      </c>
      <c r="H2184">
        <v>67.3</v>
      </c>
      <c r="I2184">
        <v>68.55</v>
      </c>
      <c r="J2184">
        <v>87343</v>
      </c>
      <c r="K2184">
        <v>5897929.1500000004</v>
      </c>
      <c r="L2184" s="1">
        <v>45240</v>
      </c>
      <c r="M2184">
        <v>1304</v>
      </c>
      <c r="N2184" t="s">
        <v>4812</v>
      </c>
      <c r="O2184" s="5">
        <v>45240</v>
      </c>
      <c r="P2184" s="5">
        <v>43777</v>
      </c>
    </row>
    <row r="2185" spans="1:16" x14ac:dyDescent="0.25">
      <c r="A2185" t="s">
        <v>4813</v>
      </c>
      <c r="B2185" t="str">
        <v>Spentex Industries Limited</v>
      </c>
      <c r="C2185" t="s">
        <v>786</v>
      </c>
      <c r="D2185">
        <v>2.5</v>
      </c>
      <c r="E2185">
        <v>2.5</v>
      </c>
      <c r="F2185">
        <v>2.5</v>
      </c>
      <c r="G2185" s="3">
        <v>2.5</v>
      </c>
      <c r="H2185">
        <v>2.5</v>
      </c>
      <c r="I2185">
        <v>2.5499999999999998</v>
      </c>
      <c r="J2185">
        <v>1107</v>
      </c>
      <c r="K2185">
        <v>2767.5</v>
      </c>
      <c r="L2185" s="1">
        <v>45240</v>
      </c>
      <c r="M2185">
        <v>3</v>
      </c>
      <c r="N2185" t="s">
        <v>4815</v>
      </c>
      <c r="O2185" s="5">
        <v>45240</v>
      </c>
      <c r="P2185" s="5">
        <v>43777</v>
      </c>
    </row>
    <row r="2186" spans="1:16" x14ac:dyDescent="0.25">
      <c r="A2186" t="s">
        <v>4816</v>
      </c>
      <c r="B2186" t="str">
        <v>Southern Petrochemicals Industries Corporation  Limited</v>
      </c>
      <c r="C2186" t="s">
        <v>14</v>
      </c>
      <c r="D2186">
        <v>67.7</v>
      </c>
      <c r="E2186">
        <v>68.099999999999994</v>
      </c>
      <c r="F2186">
        <v>67.3</v>
      </c>
      <c r="G2186" s="3">
        <v>67.7</v>
      </c>
      <c r="H2186">
        <v>67.7</v>
      </c>
      <c r="I2186">
        <v>67.8</v>
      </c>
      <c r="J2186">
        <v>409587</v>
      </c>
      <c r="K2186">
        <v>27756789.25</v>
      </c>
      <c r="L2186" s="1">
        <v>45240</v>
      </c>
      <c r="M2186">
        <v>2575</v>
      </c>
      <c r="N2186" t="s">
        <v>4818</v>
      </c>
      <c r="O2186" s="5">
        <v>45240</v>
      </c>
      <c r="P2186" s="5">
        <v>43777</v>
      </c>
    </row>
    <row r="2187" spans="1:16" x14ac:dyDescent="0.25">
      <c r="A2187" t="s">
        <v>4819</v>
      </c>
      <c r="B2187" t="str">
        <v>SPL Industries Limited</v>
      </c>
      <c r="C2187" t="s">
        <v>14</v>
      </c>
      <c r="D2187">
        <v>65.5</v>
      </c>
      <c r="E2187">
        <v>67.400000000000006</v>
      </c>
      <c r="F2187">
        <v>64.25</v>
      </c>
      <c r="G2187" s="3">
        <v>65.3</v>
      </c>
      <c r="H2187">
        <v>64.25</v>
      </c>
      <c r="I2187">
        <v>67.25</v>
      </c>
      <c r="J2187">
        <v>31238</v>
      </c>
      <c r="K2187">
        <v>2055394.3</v>
      </c>
      <c r="L2187" s="1">
        <v>45240</v>
      </c>
      <c r="M2187">
        <v>418</v>
      </c>
      <c r="N2187" t="s">
        <v>4821</v>
      </c>
      <c r="O2187" s="5">
        <v>45240</v>
      </c>
      <c r="P2187" s="5">
        <v>43777</v>
      </c>
    </row>
    <row r="2188" spans="1:16" x14ac:dyDescent="0.25">
      <c r="A2188" t="s">
        <v>4822</v>
      </c>
      <c r="B2188" t="str">
        <v>Supreme Petrochem Limited</v>
      </c>
      <c r="C2188" t="s">
        <v>14</v>
      </c>
      <c r="D2188">
        <v>567.70000000000005</v>
      </c>
      <c r="E2188">
        <v>578.65</v>
      </c>
      <c r="F2188">
        <v>563.29999999999995</v>
      </c>
      <c r="G2188" s="3">
        <v>572.65</v>
      </c>
      <c r="H2188">
        <v>568.6</v>
      </c>
      <c r="I2188">
        <v>567.70000000000005</v>
      </c>
      <c r="J2188">
        <v>30747</v>
      </c>
      <c r="K2188">
        <v>17496289.050000001</v>
      </c>
      <c r="L2188" s="1">
        <v>45240</v>
      </c>
      <c r="M2188">
        <v>3449</v>
      </c>
      <c r="N2188" t="s">
        <v>4824</v>
      </c>
      <c r="O2188" s="5">
        <v>45240</v>
      </c>
      <c r="P2188" s="5">
        <v>43777</v>
      </c>
    </row>
    <row r="2189" spans="1:16" x14ac:dyDescent="0.25">
      <c r="A2189" t="s">
        <v>4825</v>
      </c>
      <c r="B2189" t="str">
        <v>SPML Infra Limited</v>
      </c>
      <c r="C2189" t="s">
        <v>10</v>
      </c>
      <c r="D2189">
        <v>53.45</v>
      </c>
      <c r="E2189">
        <v>53.45</v>
      </c>
      <c r="F2189">
        <v>52.55</v>
      </c>
      <c r="G2189" s="3">
        <v>53.1</v>
      </c>
      <c r="H2189">
        <v>53.1</v>
      </c>
      <c r="I2189">
        <v>53.5</v>
      </c>
      <c r="J2189">
        <v>34329</v>
      </c>
      <c r="K2189">
        <v>1816626.55</v>
      </c>
      <c r="L2189" s="1">
        <v>45240</v>
      </c>
      <c r="M2189">
        <v>22</v>
      </c>
      <c r="N2189" t="s">
        <v>4827</v>
      </c>
      <c r="O2189" s="5">
        <v>45240</v>
      </c>
      <c r="P2189" s="5">
        <v>43777</v>
      </c>
    </row>
    <row r="2190" spans="1:16" x14ac:dyDescent="0.25">
      <c r="A2190" t="s">
        <v>4828</v>
      </c>
      <c r="B2190" t="str">
        <v>Sportking India Limited</v>
      </c>
      <c r="C2190" t="s">
        <v>14</v>
      </c>
      <c r="D2190">
        <v>776.9</v>
      </c>
      <c r="E2190">
        <v>778</v>
      </c>
      <c r="F2190">
        <v>758.6</v>
      </c>
      <c r="G2190" s="3">
        <v>764.6</v>
      </c>
      <c r="H2190">
        <v>765</v>
      </c>
      <c r="I2190">
        <v>771.3</v>
      </c>
      <c r="J2190">
        <v>7477</v>
      </c>
      <c r="K2190">
        <v>5716682.9500000002</v>
      </c>
      <c r="L2190" s="1">
        <v>45240</v>
      </c>
      <c r="M2190">
        <v>1467</v>
      </c>
      <c r="N2190" t="s">
        <v>4830</v>
      </c>
      <c r="O2190" s="5">
        <v>45240</v>
      </c>
      <c r="P2190" s="5">
        <v>43777</v>
      </c>
    </row>
    <row r="2191" spans="1:16" x14ac:dyDescent="0.25">
      <c r="A2191" t="s">
        <v>5895</v>
      </c>
      <c r="B2191" t="str">
        <v>Not Found</v>
      </c>
      <c r="C2191" t="s">
        <v>10</v>
      </c>
      <c r="D2191">
        <v>1.4</v>
      </c>
      <c r="E2191">
        <v>1.4</v>
      </c>
      <c r="F2191">
        <v>1.4</v>
      </c>
      <c r="G2191" s="3">
        <v>1.4</v>
      </c>
      <c r="H2191">
        <v>1.4</v>
      </c>
      <c r="I2191">
        <v>1.35</v>
      </c>
      <c r="J2191">
        <v>778441</v>
      </c>
      <c r="K2191">
        <v>1089817.3999999999</v>
      </c>
      <c r="L2191" s="1">
        <v>45240</v>
      </c>
      <c r="M2191">
        <v>172</v>
      </c>
      <c r="N2191" t="s">
        <v>5894</v>
      </c>
      <c r="O2191" s="5">
        <v>45240</v>
      </c>
      <c r="P2191" s="5">
        <v>43777</v>
      </c>
    </row>
    <row r="2192" spans="1:16" x14ac:dyDescent="0.25">
      <c r="A2192" t="s">
        <v>4831</v>
      </c>
      <c r="B2192" t="str">
        <v>Shekhawati Poly-Yarn Limited</v>
      </c>
      <c r="C2192" t="s">
        <v>10</v>
      </c>
      <c r="D2192">
        <v>0.6</v>
      </c>
      <c r="E2192">
        <v>0.6</v>
      </c>
      <c r="F2192">
        <v>0.55000000000000004</v>
      </c>
      <c r="G2192" s="3">
        <v>0.55000000000000004</v>
      </c>
      <c r="H2192">
        <v>0.55000000000000004</v>
      </c>
      <c r="I2192">
        <v>0.6</v>
      </c>
      <c r="J2192">
        <v>58700</v>
      </c>
      <c r="K2192">
        <v>32535</v>
      </c>
      <c r="L2192" s="1">
        <v>45240</v>
      </c>
      <c r="M2192">
        <v>8</v>
      </c>
      <c r="N2192" t="s">
        <v>4833</v>
      </c>
      <c r="O2192" s="5">
        <v>45240</v>
      </c>
      <c r="P2192" s="5">
        <v>43777</v>
      </c>
    </row>
    <row r="2193" spans="1:16" x14ac:dyDescent="0.25">
      <c r="A2193" t="s">
        <v>4834</v>
      </c>
      <c r="B2193" t="str">
        <v>Sreeleathers Limited</v>
      </c>
      <c r="C2193" t="s">
        <v>14</v>
      </c>
      <c r="D2193">
        <v>280.05</v>
      </c>
      <c r="E2193">
        <v>280.10000000000002</v>
      </c>
      <c r="F2193">
        <v>271.8</v>
      </c>
      <c r="G2193" s="3">
        <v>274.64999999999998</v>
      </c>
      <c r="H2193">
        <v>276</v>
      </c>
      <c r="I2193">
        <v>274.5</v>
      </c>
      <c r="J2193">
        <v>50625</v>
      </c>
      <c r="K2193">
        <v>13961589.1</v>
      </c>
      <c r="L2193" s="1">
        <v>45240</v>
      </c>
      <c r="M2193">
        <v>4055</v>
      </c>
      <c r="N2193" t="s">
        <v>4836</v>
      </c>
      <c r="O2193" s="5">
        <v>45240</v>
      </c>
      <c r="P2193" s="5">
        <v>43777</v>
      </c>
    </row>
    <row r="2194" spans="1:16" x14ac:dyDescent="0.25">
      <c r="A2194" t="s">
        <v>4837</v>
      </c>
      <c r="B2194" t="str">
        <v>SRF Limited</v>
      </c>
      <c r="C2194" t="s">
        <v>14</v>
      </c>
      <c r="D2194">
        <v>2328</v>
      </c>
      <c r="E2194">
        <v>2354.9499999999998</v>
      </c>
      <c r="F2194">
        <v>2315.1</v>
      </c>
      <c r="G2194" s="3">
        <v>2351.1999999999998</v>
      </c>
      <c r="H2194">
        <v>2348</v>
      </c>
      <c r="I2194">
        <v>2337.35</v>
      </c>
      <c r="J2194">
        <v>122114</v>
      </c>
      <c r="K2194">
        <v>286203254.14999998</v>
      </c>
      <c r="L2194" s="1">
        <v>45240</v>
      </c>
      <c r="M2194">
        <v>13753</v>
      </c>
      <c r="N2194" t="s">
        <v>4839</v>
      </c>
      <c r="O2194" s="5">
        <v>45240</v>
      </c>
      <c r="P2194" s="5">
        <v>43777</v>
      </c>
    </row>
    <row r="2195" spans="1:16" x14ac:dyDescent="0.25">
      <c r="A2195" t="s">
        <v>4840</v>
      </c>
      <c r="B2195" t="str">
        <v>SRG Housing Finance Limited</v>
      </c>
      <c r="C2195" t="s">
        <v>14</v>
      </c>
      <c r="D2195">
        <v>262.89999999999998</v>
      </c>
      <c r="E2195">
        <v>271.7</v>
      </c>
      <c r="F2195">
        <v>260.85000000000002</v>
      </c>
      <c r="G2195" s="3">
        <v>267</v>
      </c>
      <c r="H2195">
        <v>271</v>
      </c>
      <c r="I2195">
        <v>267.2</v>
      </c>
      <c r="J2195">
        <v>2311</v>
      </c>
      <c r="K2195">
        <v>615744.30000000005</v>
      </c>
      <c r="L2195" s="1">
        <v>45240</v>
      </c>
      <c r="M2195">
        <v>165</v>
      </c>
      <c r="N2195" t="s">
        <v>4842</v>
      </c>
      <c r="O2195" s="5">
        <v>45240</v>
      </c>
      <c r="P2195" s="5">
        <v>43777</v>
      </c>
    </row>
    <row r="2196" spans="1:16" x14ac:dyDescent="0.25">
      <c r="A2196" t="s">
        <v>4843</v>
      </c>
      <c r="B2196" t="str">
        <v>Sree Rayalaseema Hi-Strength Hypo Limited</v>
      </c>
      <c r="C2196" t="s">
        <v>14</v>
      </c>
      <c r="D2196">
        <v>552</v>
      </c>
      <c r="E2196">
        <v>565</v>
      </c>
      <c r="F2196">
        <v>550.54999999999995</v>
      </c>
      <c r="G2196" s="3">
        <v>560.85</v>
      </c>
      <c r="H2196">
        <v>565</v>
      </c>
      <c r="I2196">
        <v>553.04999999999995</v>
      </c>
      <c r="J2196">
        <v>11084</v>
      </c>
      <c r="K2196">
        <v>6178721.1500000004</v>
      </c>
      <c r="L2196" s="1">
        <v>45240</v>
      </c>
      <c r="M2196">
        <v>1119</v>
      </c>
      <c r="N2196" t="s">
        <v>4845</v>
      </c>
      <c r="O2196" s="5">
        <v>45240</v>
      </c>
      <c r="P2196" s="5">
        <v>43777</v>
      </c>
    </row>
    <row r="2197" spans="1:16" x14ac:dyDescent="0.25">
      <c r="A2197" t="s">
        <v>5893</v>
      </c>
      <c r="B2197" t="str">
        <v>Not Found</v>
      </c>
      <c r="C2197" t="s">
        <v>5788</v>
      </c>
      <c r="D2197">
        <v>123.9</v>
      </c>
      <c r="E2197">
        <v>123.9</v>
      </c>
      <c r="F2197">
        <v>120</v>
      </c>
      <c r="G2197" s="3">
        <v>123</v>
      </c>
      <c r="H2197">
        <v>123</v>
      </c>
      <c r="I2197">
        <v>119.2</v>
      </c>
      <c r="J2197">
        <v>10000</v>
      </c>
      <c r="K2197">
        <v>1222900</v>
      </c>
      <c r="L2197" s="1">
        <v>45240</v>
      </c>
      <c r="M2197">
        <v>10</v>
      </c>
      <c r="N2197" t="s">
        <v>5892</v>
      </c>
      <c r="O2197" s="5">
        <v>45240</v>
      </c>
      <c r="P2197" s="5">
        <v>43777</v>
      </c>
    </row>
    <row r="2198" spans="1:16" x14ac:dyDescent="0.25">
      <c r="A2198" t="s">
        <v>4846</v>
      </c>
      <c r="B2198" t="str">
        <v>Shree Ram Proteins Limited</v>
      </c>
      <c r="C2198" t="s">
        <v>10</v>
      </c>
      <c r="D2198">
        <v>1</v>
      </c>
      <c r="E2198">
        <v>1.05</v>
      </c>
      <c r="F2198">
        <v>1</v>
      </c>
      <c r="G2198" s="3">
        <v>1</v>
      </c>
      <c r="H2198">
        <v>1.05</v>
      </c>
      <c r="I2198">
        <v>1</v>
      </c>
      <c r="J2198">
        <v>1290541</v>
      </c>
      <c r="K2198">
        <v>1317707.6000000001</v>
      </c>
      <c r="L2198" s="1">
        <v>45240</v>
      </c>
      <c r="M2198">
        <v>520</v>
      </c>
      <c r="N2198" t="s">
        <v>4848</v>
      </c>
      <c r="O2198" s="5">
        <v>45240</v>
      </c>
      <c r="P2198" s="5">
        <v>43777</v>
      </c>
    </row>
    <row r="2199" spans="1:16" x14ac:dyDescent="0.25">
      <c r="A2199" t="s">
        <v>5891</v>
      </c>
      <c r="B2199" t="str">
        <v>Not Found</v>
      </c>
      <c r="C2199" t="s">
        <v>5788</v>
      </c>
      <c r="D2199">
        <v>120.5</v>
      </c>
      <c r="E2199">
        <v>122</v>
      </c>
      <c r="F2199">
        <v>116</v>
      </c>
      <c r="G2199" s="3">
        <v>121</v>
      </c>
      <c r="H2199">
        <v>121</v>
      </c>
      <c r="I2199">
        <v>118.35</v>
      </c>
      <c r="J2199">
        <v>14000</v>
      </c>
      <c r="K2199">
        <v>1657050</v>
      </c>
      <c r="L2199" s="1">
        <v>45240</v>
      </c>
      <c r="M2199">
        <v>14</v>
      </c>
      <c r="N2199" t="s">
        <v>5890</v>
      </c>
      <c r="O2199" s="5">
        <v>45240</v>
      </c>
      <c r="P2199" s="5">
        <v>43777</v>
      </c>
    </row>
    <row r="2200" spans="1:16" x14ac:dyDescent="0.25">
      <c r="A2200" t="s">
        <v>4849</v>
      </c>
      <c r="B2200" t="str">
        <v>Steel Strips Wheels Limited</v>
      </c>
      <c r="C2200" t="s">
        <v>14</v>
      </c>
      <c r="D2200">
        <v>288.2</v>
      </c>
      <c r="E2200">
        <v>288.2</v>
      </c>
      <c r="F2200">
        <v>283.14999999999998</v>
      </c>
      <c r="G2200" s="3">
        <v>285.05</v>
      </c>
      <c r="H2200">
        <v>285.7</v>
      </c>
      <c r="I2200">
        <v>288.25</v>
      </c>
      <c r="J2200">
        <v>81215</v>
      </c>
      <c r="K2200">
        <v>23153950.399999999</v>
      </c>
      <c r="L2200" s="1">
        <v>45240</v>
      </c>
      <c r="M2200">
        <v>2603</v>
      </c>
      <c r="N2200" t="s">
        <v>4851</v>
      </c>
      <c r="O2200" s="5">
        <v>45240</v>
      </c>
      <c r="P2200" s="5">
        <v>43777</v>
      </c>
    </row>
    <row r="2201" spans="1:16" x14ac:dyDescent="0.25">
      <c r="A2201" t="s">
        <v>4852</v>
      </c>
      <c r="B2201" t="str">
        <v>Strides Pharma Science Limited</v>
      </c>
      <c r="C2201" t="s">
        <v>14</v>
      </c>
      <c r="D2201">
        <v>483</v>
      </c>
      <c r="E2201">
        <v>489.3</v>
      </c>
      <c r="F2201">
        <v>476.95</v>
      </c>
      <c r="G2201" s="3">
        <v>482.75</v>
      </c>
      <c r="H2201">
        <v>479.05</v>
      </c>
      <c r="I2201">
        <v>482.1</v>
      </c>
      <c r="J2201">
        <v>155317</v>
      </c>
      <c r="K2201">
        <v>75045253.200000003</v>
      </c>
      <c r="L2201" s="1">
        <v>45240</v>
      </c>
      <c r="M2201">
        <v>8016</v>
      </c>
      <c r="N2201" t="s">
        <v>4854</v>
      </c>
      <c r="O2201" s="5">
        <v>45240</v>
      </c>
      <c r="P2201" s="5">
        <v>43777</v>
      </c>
    </row>
    <row r="2202" spans="1:16" x14ac:dyDescent="0.25">
      <c r="A2202" t="s">
        <v>4855</v>
      </c>
      <c r="B2202" t="str">
        <v>Star Cement Limited</v>
      </c>
      <c r="C2202" t="s">
        <v>14</v>
      </c>
      <c r="D2202">
        <v>160.69999999999999</v>
      </c>
      <c r="E2202">
        <v>163.80000000000001</v>
      </c>
      <c r="F2202">
        <v>158.1</v>
      </c>
      <c r="G2202" s="3">
        <v>158.9</v>
      </c>
      <c r="H2202">
        <v>160.25</v>
      </c>
      <c r="I2202">
        <v>159.1</v>
      </c>
      <c r="J2202">
        <v>868043</v>
      </c>
      <c r="K2202">
        <v>139714737.40000001</v>
      </c>
      <c r="L2202" s="1">
        <v>45240</v>
      </c>
      <c r="M2202">
        <v>13072</v>
      </c>
      <c r="N2202" t="s">
        <v>4857</v>
      </c>
      <c r="O2202" s="5">
        <v>45240</v>
      </c>
      <c r="P2202" s="5">
        <v>43777</v>
      </c>
    </row>
    <row r="2203" spans="1:16" x14ac:dyDescent="0.25">
      <c r="A2203" t="s">
        <v>4858</v>
      </c>
      <c r="B2203" t="str">
        <v>Star Health and Allied Insurance Company Limited</v>
      </c>
      <c r="C2203" t="s">
        <v>14</v>
      </c>
      <c r="D2203">
        <v>539.25</v>
      </c>
      <c r="E2203">
        <v>545.70000000000005</v>
      </c>
      <c r="F2203">
        <v>535.04999999999995</v>
      </c>
      <c r="G2203" s="3">
        <v>544.54999999999995</v>
      </c>
      <c r="H2203">
        <v>545</v>
      </c>
      <c r="I2203">
        <v>539.25</v>
      </c>
      <c r="J2203">
        <v>204992</v>
      </c>
      <c r="K2203">
        <v>111124308.09999999</v>
      </c>
      <c r="L2203" s="1">
        <v>45240</v>
      </c>
      <c r="M2203">
        <v>10789</v>
      </c>
      <c r="N2203" t="s">
        <v>4860</v>
      </c>
      <c r="O2203" s="5">
        <v>45240</v>
      </c>
      <c r="P2203" s="5">
        <v>43777</v>
      </c>
    </row>
    <row r="2204" spans="1:16" x14ac:dyDescent="0.25">
      <c r="A2204" t="s">
        <v>4861</v>
      </c>
      <c r="B2204" t="str">
        <v>Star Paper Mills Limited</v>
      </c>
      <c r="C2204" t="s">
        <v>14</v>
      </c>
      <c r="D2204">
        <v>209.85</v>
      </c>
      <c r="E2204">
        <v>215.9</v>
      </c>
      <c r="F2204">
        <v>209.85</v>
      </c>
      <c r="G2204" s="3">
        <v>213.45</v>
      </c>
      <c r="H2204">
        <v>213.15</v>
      </c>
      <c r="I2204">
        <v>214.95</v>
      </c>
      <c r="J2204">
        <v>56725</v>
      </c>
      <c r="K2204">
        <v>12133798.550000001</v>
      </c>
      <c r="L2204" s="1">
        <v>45240</v>
      </c>
      <c r="M2204">
        <v>2444</v>
      </c>
      <c r="N2204" t="s">
        <v>4863</v>
      </c>
      <c r="O2204" s="5">
        <v>45240</v>
      </c>
      <c r="P2204" s="5">
        <v>43777</v>
      </c>
    </row>
    <row r="2205" spans="1:16" x14ac:dyDescent="0.25">
      <c r="A2205" t="s">
        <v>4864</v>
      </c>
      <c r="B2205" t="str">
        <v>Starteck Finance Limited</v>
      </c>
      <c r="C2205" t="s">
        <v>14</v>
      </c>
      <c r="D2205">
        <v>167</v>
      </c>
      <c r="E2205">
        <v>171.95</v>
      </c>
      <c r="F2205">
        <v>163.6</v>
      </c>
      <c r="G2205" s="3">
        <v>168.7</v>
      </c>
      <c r="H2205">
        <v>166.5</v>
      </c>
      <c r="I2205">
        <v>167.75</v>
      </c>
      <c r="J2205">
        <v>8939</v>
      </c>
      <c r="K2205">
        <v>1516048.15</v>
      </c>
      <c r="L2205" s="1">
        <v>45240</v>
      </c>
      <c r="M2205">
        <v>191</v>
      </c>
      <c r="N2205" t="s">
        <v>4866</v>
      </c>
      <c r="O2205" s="5">
        <v>45240</v>
      </c>
      <c r="P2205" s="5">
        <v>43777</v>
      </c>
    </row>
    <row r="2206" spans="1:16" x14ac:dyDescent="0.25">
      <c r="A2206" t="s">
        <v>4867</v>
      </c>
      <c r="B2206" t="str">
        <v>The State Trading Corporation of India Limited</v>
      </c>
      <c r="C2206" t="s">
        <v>14</v>
      </c>
      <c r="D2206">
        <v>112.65</v>
      </c>
      <c r="E2206">
        <v>114.9</v>
      </c>
      <c r="F2206">
        <v>112.2</v>
      </c>
      <c r="G2206" s="3">
        <v>112.95</v>
      </c>
      <c r="H2206">
        <v>113.15</v>
      </c>
      <c r="I2206">
        <v>112.6</v>
      </c>
      <c r="J2206">
        <v>58731</v>
      </c>
      <c r="K2206">
        <v>6652512.25</v>
      </c>
      <c r="L2206" s="1">
        <v>45240</v>
      </c>
      <c r="M2206">
        <v>1512</v>
      </c>
      <c r="N2206" t="s">
        <v>4869</v>
      </c>
      <c r="O2206" s="5">
        <v>45240</v>
      </c>
      <c r="P2206" s="5">
        <v>43777</v>
      </c>
    </row>
    <row r="2207" spans="1:16" x14ac:dyDescent="0.25">
      <c r="A2207" t="s">
        <v>4870</v>
      </c>
      <c r="B2207" t="str">
        <v>Steelcast Limited</v>
      </c>
      <c r="C2207" t="s">
        <v>14</v>
      </c>
      <c r="D2207">
        <v>615.54999999999995</v>
      </c>
      <c r="E2207">
        <v>629.25</v>
      </c>
      <c r="F2207">
        <v>615.54999999999995</v>
      </c>
      <c r="G2207" s="3">
        <v>622.6</v>
      </c>
      <c r="H2207">
        <v>628.95000000000005</v>
      </c>
      <c r="I2207">
        <v>620</v>
      </c>
      <c r="J2207">
        <v>15302</v>
      </c>
      <c r="K2207">
        <v>9500128.9000000004</v>
      </c>
      <c r="L2207" s="1">
        <v>45240</v>
      </c>
      <c r="M2207">
        <v>1716</v>
      </c>
      <c r="N2207" t="s">
        <v>4872</v>
      </c>
      <c r="O2207" s="5">
        <v>45240</v>
      </c>
      <c r="P2207" s="5">
        <v>43777</v>
      </c>
    </row>
    <row r="2208" spans="1:16" x14ac:dyDescent="0.25">
      <c r="A2208" t="s">
        <v>4873</v>
      </c>
      <c r="B2208" t="str">
        <v>Steel City Securities Limited</v>
      </c>
      <c r="C2208" t="s">
        <v>14</v>
      </c>
      <c r="D2208">
        <v>65.5</v>
      </c>
      <c r="E2208">
        <v>69</v>
      </c>
      <c r="F2208">
        <v>65.150000000000006</v>
      </c>
      <c r="G2208" s="3">
        <v>67.400000000000006</v>
      </c>
      <c r="H2208">
        <v>67.349999999999994</v>
      </c>
      <c r="I2208">
        <v>65.650000000000006</v>
      </c>
      <c r="J2208">
        <v>25211</v>
      </c>
      <c r="K2208">
        <v>1700577.05</v>
      </c>
      <c r="L2208" s="1">
        <v>45240</v>
      </c>
      <c r="M2208">
        <v>382</v>
      </c>
      <c r="N2208" t="s">
        <v>4875</v>
      </c>
      <c r="O2208" s="5">
        <v>45240</v>
      </c>
      <c r="P2208" s="5">
        <v>43777</v>
      </c>
    </row>
    <row r="2209" spans="1:16" x14ac:dyDescent="0.25">
      <c r="A2209" t="s">
        <v>4876</v>
      </c>
      <c r="B2209" t="str">
        <v>STEEL EXCHANGE INDIA LIMITED</v>
      </c>
      <c r="C2209" t="s">
        <v>14</v>
      </c>
      <c r="D2209">
        <v>8.6999999999999993</v>
      </c>
      <c r="E2209">
        <v>8.85</v>
      </c>
      <c r="F2209">
        <v>8.65</v>
      </c>
      <c r="G2209" s="3">
        <v>8.6999999999999993</v>
      </c>
      <c r="H2209">
        <v>8.75</v>
      </c>
      <c r="I2209">
        <v>8.6999999999999993</v>
      </c>
      <c r="J2209">
        <v>963052</v>
      </c>
      <c r="K2209">
        <v>8413852.5</v>
      </c>
      <c r="L2209" s="1">
        <v>45240</v>
      </c>
      <c r="M2209">
        <v>1705</v>
      </c>
      <c r="N2209" t="s">
        <v>4878</v>
      </c>
      <c r="O2209" s="5">
        <v>45240</v>
      </c>
      <c r="P2209" s="5">
        <v>43777</v>
      </c>
    </row>
    <row r="2210" spans="1:16" x14ac:dyDescent="0.25">
      <c r="A2210" t="s">
        <v>4879</v>
      </c>
      <c r="B2210" t="str">
        <v>Stel Holdings Limited</v>
      </c>
      <c r="C2210" t="s">
        <v>14</v>
      </c>
      <c r="D2210">
        <v>257.8</v>
      </c>
      <c r="E2210">
        <v>257.95</v>
      </c>
      <c r="F2210">
        <v>251</v>
      </c>
      <c r="G2210" s="3">
        <v>253.2</v>
      </c>
      <c r="H2210">
        <v>251</v>
      </c>
      <c r="I2210">
        <v>251.8</v>
      </c>
      <c r="J2210">
        <v>19056</v>
      </c>
      <c r="K2210">
        <v>4844230.45</v>
      </c>
      <c r="L2210" s="1">
        <v>45240</v>
      </c>
      <c r="M2210">
        <v>692</v>
      </c>
      <c r="N2210" t="s">
        <v>4881</v>
      </c>
      <c r="O2210" s="5">
        <v>45240</v>
      </c>
      <c r="P2210" s="5">
        <v>43777</v>
      </c>
    </row>
    <row r="2211" spans="1:16" x14ac:dyDescent="0.25">
      <c r="A2211" t="s">
        <v>4882</v>
      </c>
      <c r="B2211" t="str">
        <v>Sterling Tools Limited</v>
      </c>
      <c r="C2211" t="s">
        <v>14</v>
      </c>
      <c r="D2211">
        <v>325.64999999999998</v>
      </c>
      <c r="E2211">
        <v>333</v>
      </c>
      <c r="F2211">
        <v>324.75</v>
      </c>
      <c r="G2211" s="3">
        <v>330.85</v>
      </c>
      <c r="H2211">
        <v>331.55</v>
      </c>
      <c r="I2211">
        <v>323.7</v>
      </c>
      <c r="J2211">
        <v>29317</v>
      </c>
      <c r="K2211">
        <v>9649922.1999999993</v>
      </c>
      <c r="L2211" s="1">
        <v>45240</v>
      </c>
      <c r="M2211">
        <v>2368</v>
      </c>
      <c r="N2211" t="s">
        <v>4884</v>
      </c>
      <c r="O2211" s="5">
        <v>45240</v>
      </c>
      <c r="P2211" s="5">
        <v>43777</v>
      </c>
    </row>
    <row r="2212" spans="1:16" x14ac:dyDescent="0.25">
      <c r="A2212" t="s">
        <v>4885</v>
      </c>
      <c r="B2212" t="str">
        <v>Sterlite Technologies Limited</v>
      </c>
      <c r="C2212" t="s">
        <v>14</v>
      </c>
      <c r="D2212">
        <v>136.15</v>
      </c>
      <c r="E2212">
        <v>142</v>
      </c>
      <c r="F2212">
        <v>136.1</v>
      </c>
      <c r="G2212" s="3">
        <v>139.85</v>
      </c>
      <c r="H2212">
        <v>139.80000000000001</v>
      </c>
      <c r="I2212">
        <v>136.65</v>
      </c>
      <c r="J2212">
        <v>3382176</v>
      </c>
      <c r="K2212">
        <v>472809718.55000001</v>
      </c>
      <c r="L2212" s="1">
        <v>45240</v>
      </c>
      <c r="M2212">
        <v>23366</v>
      </c>
      <c r="N2212" t="s">
        <v>4887</v>
      </c>
      <c r="O2212" s="5">
        <v>45240</v>
      </c>
      <c r="P2212" s="5">
        <v>43777</v>
      </c>
    </row>
    <row r="2213" spans="1:16" x14ac:dyDescent="0.25">
      <c r="A2213" t="s">
        <v>4888</v>
      </c>
      <c r="B2213" t="str">
        <v>Stove Kraft Limited</v>
      </c>
      <c r="C2213" t="s">
        <v>14</v>
      </c>
      <c r="D2213">
        <v>509</v>
      </c>
      <c r="E2213">
        <v>513</v>
      </c>
      <c r="F2213">
        <v>499.05</v>
      </c>
      <c r="G2213" s="3">
        <v>510.65</v>
      </c>
      <c r="H2213">
        <v>508.3</v>
      </c>
      <c r="I2213">
        <v>505.75</v>
      </c>
      <c r="J2213">
        <v>79077</v>
      </c>
      <c r="K2213">
        <v>39989202.200000003</v>
      </c>
      <c r="L2213" s="1">
        <v>45240</v>
      </c>
      <c r="M2213">
        <v>5916</v>
      </c>
      <c r="N2213" t="s">
        <v>4890</v>
      </c>
      <c r="O2213" s="5">
        <v>45240</v>
      </c>
      <c r="P2213" s="5">
        <v>43777</v>
      </c>
    </row>
    <row r="2214" spans="1:16" x14ac:dyDescent="0.25">
      <c r="A2214" t="s">
        <v>4891</v>
      </c>
      <c r="B2214" t="str">
        <v>Stylam Industries Limited</v>
      </c>
      <c r="C2214" t="s">
        <v>14</v>
      </c>
      <c r="D2214">
        <v>1770</v>
      </c>
      <c r="E2214">
        <v>1774.7</v>
      </c>
      <c r="F2214">
        <v>1715.65</v>
      </c>
      <c r="G2214" s="3">
        <v>1727.5</v>
      </c>
      <c r="H2214">
        <v>1720.95</v>
      </c>
      <c r="I2214">
        <v>1756.2</v>
      </c>
      <c r="J2214">
        <v>20101</v>
      </c>
      <c r="K2214">
        <v>35126720.549999997</v>
      </c>
      <c r="L2214" s="1">
        <v>45240</v>
      </c>
      <c r="M2214">
        <v>5340</v>
      </c>
      <c r="N2214" t="s">
        <v>4893</v>
      </c>
      <c r="O2214" s="5">
        <v>45240</v>
      </c>
      <c r="P2214" s="5">
        <v>43777</v>
      </c>
    </row>
    <row r="2215" spans="1:16" x14ac:dyDescent="0.25">
      <c r="A2215" t="s">
        <v>4894</v>
      </c>
      <c r="B2215" t="str">
        <v>Styrenix Performance Materials Limited</v>
      </c>
      <c r="C2215" t="s">
        <v>14</v>
      </c>
      <c r="D2215">
        <v>1300</v>
      </c>
      <c r="E2215">
        <v>1346.9</v>
      </c>
      <c r="F2215">
        <v>1300</v>
      </c>
      <c r="G2215" s="3">
        <v>1340.85</v>
      </c>
      <c r="H2215">
        <v>1344</v>
      </c>
      <c r="I2215">
        <v>1306.25</v>
      </c>
      <c r="J2215">
        <v>31762</v>
      </c>
      <c r="K2215">
        <v>42387109.200000003</v>
      </c>
      <c r="L2215" s="1">
        <v>45240</v>
      </c>
      <c r="M2215">
        <v>4620</v>
      </c>
      <c r="N2215" t="s">
        <v>4896</v>
      </c>
      <c r="O2215" s="5">
        <v>45240</v>
      </c>
      <c r="P2215" s="5">
        <v>43777</v>
      </c>
    </row>
    <row r="2216" spans="1:16" x14ac:dyDescent="0.25">
      <c r="A2216" t="s">
        <v>4897</v>
      </c>
      <c r="B2216" t="str">
        <v>Subex Limited</v>
      </c>
      <c r="C2216" t="s">
        <v>14</v>
      </c>
      <c r="D2216">
        <v>31.3</v>
      </c>
      <c r="E2216">
        <v>31.3</v>
      </c>
      <c r="F2216">
        <v>30.75</v>
      </c>
      <c r="G2216" s="3">
        <v>30.9</v>
      </c>
      <c r="H2216">
        <v>30.9</v>
      </c>
      <c r="I2216">
        <v>31.3</v>
      </c>
      <c r="J2216">
        <v>1815217</v>
      </c>
      <c r="K2216">
        <v>56179490.75</v>
      </c>
      <c r="L2216" s="1">
        <v>45240</v>
      </c>
      <c r="M2216">
        <v>3781</v>
      </c>
      <c r="N2216" t="s">
        <v>4899</v>
      </c>
      <c r="O2216" s="5">
        <v>45240</v>
      </c>
      <c r="P2216" s="5">
        <v>43777</v>
      </c>
    </row>
    <row r="2217" spans="1:16" x14ac:dyDescent="0.25">
      <c r="A2217" t="s">
        <v>4900</v>
      </c>
      <c r="B2217" t="str">
        <v>Subros Limited</v>
      </c>
      <c r="C2217" t="s">
        <v>14</v>
      </c>
      <c r="D2217">
        <v>425</v>
      </c>
      <c r="E2217">
        <v>425</v>
      </c>
      <c r="F2217">
        <v>402.5</v>
      </c>
      <c r="G2217" s="3">
        <v>406.55</v>
      </c>
      <c r="H2217">
        <v>406</v>
      </c>
      <c r="I2217">
        <v>395.6</v>
      </c>
      <c r="J2217">
        <v>628766</v>
      </c>
      <c r="K2217">
        <v>259815903.84999999</v>
      </c>
      <c r="L2217" s="1">
        <v>45240</v>
      </c>
      <c r="M2217">
        <v>19195</v>
      </c>
      <c r="N2217" t="s">
        <v>4902</v>
      </c>
      <c r="O2217" s="5">
        <v>45240</v>
      </c>
      <c r="P2217" s="5">
        <v>43777</v>
      </c>
    </row>
    <row r="2218" spans="1:16" x14ac:dyDescent="0.25">
      <c r="A2218" t="s">
        <v>4903</v>
      </c>
      <c r="B2218" t="str">
        <v>Sudarshan Chemical Industries Limited</v>
      </c>
      <c r="C2218" t="s">
        <v>14</v>
      </c>
      <c r="D2218">
        <v>470</v>
      </c>
      <c r="E2218">
        <v>474.25</v>
      </c>
      <c r="F2218">
        <v>467</v>
      </c>
      <c r="G2218" s="3">
        <v>469.55</v>
      </c>
      <c r="H2218">
        <v>467.25</v>
      </c>
      <c r="I2218">
        <v>469.9</v>
      </c>
      <c r="J2218">
        <v>52564</v>
      </c>
      <c r="K2218">
        <v>24714909.050000001</v>
      </c>
      <c r="L2218" s="1">
        <v>45240</v>
      </c>
      <c r="M2218">
        <v>4332</v>
      </c>
      <c r="N2218" t="s">
        <v>4905</v>
      </c>
      <c r="O2218" s="5">
        <v>45240</v>
      </c>
      <c r="P2218" s="5">
        <v>43777</v>
      </c>
    </row>
    <row r="2219" spans="1:16" x14ac:dyDescent="0.25">
      <c r="A2219" t="s">
        <v>4906</v>
      </c>
      <c r="B2219" t="str">
        <v>Sukhjit Starch &amp; Chemicals Limited</v>
      </c>
      <c r="C2219" t="s">
        <v>14</v>
      </c>
      <c r="D2219">
        <v>405.1</v>
      </c>
      <c r="E2219">
        <v>415.2</v>
      </c>
      <c r="F2219">
        <v>405.1</v>
      </c>
      <c r="G2219" s="3">
        <v>411.9</v>
      </c>
      <c r="H2219">
        <v>411.35</v>
      </c>
      <c r="I2219">
        <v>410.35</v>
      </c>
      <c r="J2219">
        <v>2489</v>
      </c>
      <c r="K2219">
        <v>1021049.15</v>
      </c>
      <c r="L2219" s="1">
        <v>45240</v>
      </c>
      <c r="M2219">
        <v>267</v>
      </c>
      <c r="N2219" t="s">
        <v>4908</v>
      </c>
      <c r="O2219" s="5">
        <v>45240</v>
      </c>
      <c r="P2219" s="5">
        <v>43777</v>
      </c>
    </row>
    <row r="2220" spans="1:16" x14ac:dyDescent="0.25">
      <c r="A2220" t="s">
        <v>4909</v>
      </c>
      <c r="B2220" t="str">
        <v>Sula Vineyards Limited</v>
      </c>
      <c r="C2220" t="s">
        <v>14</v>
      </c>
      <c r="D2220">
        <v>488</v>
      </c>
      <c r="E2220">
        <v>494</v>
      </c>
      <c r="F2220">
        <v>482</v>
      </c>
      <c r="G2220" s="3">
        <v>484</v>
      </c>
      <c r="H2220">
        <v>482.1</v>
      </c>
      <c r="I2220">
        <v>482.55</v>
      </c>
      <c r="J2220">
        <v>365601</v>
      </c>
      <c r="K2220">
        <v>178060273.09999999</v>
      </c>
      <c r="L2220" s="1">
        <v>45240</v>
      </c>
      <c r="M2220">
        <v>11934</v>
      </c>
      <c r="N2220" t="s">
        <v>4911</v>
      </c>
      <c r="O2220" s="5">
        <v>45240</v>
      </c>
      <c r="P2220" s="5">
        <v>43777</v>
      </c>
    </row>
    <row r="2221" spans="1:16" x14ac:dyDescent="0.25">
      <c r="A2221" t="s">
        <v>4912</v>
      </c>
      <c r="B2221" t="str">
        <v>Sumeet Industries Limited</v>
      </c>
      <c r="C2221" t="s">
        <v>10</v>
      </c>
      <c r="D2221">
        <v>3.55</v>
      </c>
      <c r="E2221">
        <v>3.65</v>
      </c>
      <c r="F2221">
        <v>3.5</v>
      </c>
      <c r="G2221" s="3">
        <v>3.65</v>
      </c>
      <c r="H2221">
        <v>3.65</v>
      </c>
      <c r="I2221">
        <v>3.5</v>
      </c>
      <c r="J2221">
        <v>277804</v>
      </c>
      <c r="K2221">
        <v>1011622.8</v>
      </c>
      <c r="L2221" s="1">
        <v>45240</v>
      </c>
      <c r="M2221">
        <v>82</v>
      </c>
      <c r="N2221" t="s">
        <v>4914</v>
      </c>
      <c r="O2221" s="5">
        <v>45240</v>
      </c>
      <c r="P2221" s="5">
        <v>43777</v>
      </c>
    </row>
    <row r="2222" spans="1:16" x14ac:dyDescent="0.25">
      <c r="A2222" t="s">
        <v>4915</v>
      </c>
      <c r="B2222" t="str">
        <v>Sumitomo Chemical India Limited</v>
      </c>
      <c r="C2222" t="s">
        <v>14</v>
      </c>
      <c r="D2222">
        <v>384.4</v>
      </c>
      <c r="E2222">
        <v>384.4</v>
      </c>
      <c r="F2222">
        <v>380.5</v>
      </c>
      <c r="G2222" s="3">
        <v>382.3</v>
      </c>
      <c r="H2222">
        <v>382.9</v>
      </c>
      <c r="I2222">
        <v>384.5</v>
      </c>
      <c r="J2222">
        <v>118494</v>
      </c>
      <c r="K2222">
        <v>45267360.049999997</v>
      </c>
      <c r="L2222" s="1">
        <v>45240</v>
      </c>
      <c r="M2222">
        <v>5486</v>
      </c>
      <c r="N2222" t="s">
        <v>4917</v>
      </c>
      <c r="O2222" s="5">
        <v>45240</v>
      </c>
      <c r="P2222" s="5">
        <v>43777</v>
      </c>
    </row>
    <row r="2223" spans="1:16" x14ac:dyDescent="0.25">
      <c r="A2223" t="s">
        <v>4918</v>
      </c>
      <c r="B2223" t="str">
        <v>Sumit Woods Limited</v>
      </c>
      <c r="C2223" t="s">
        <v>14</v>
      </c>
      <c r="D2223">
        <v>27.7</v>
      </c>
      <c r="E2223">
        <v>29.4</v>
      </c>
      <c r="F2223">
        <v>27.45</v>
      </c>
      <c r="G2223" s="3">
        <v>27.7</v>
      </c>
      <c r="H2223">
        <v>27.5</v>
      </c>
      <c r="I2223">
        <v>28.8</v>
      </c>
      <c r="J2223">
        <v>121619</v>
      </c>
      <c r="K2223">
        <v>3378246.45</v>
      </c>
      <c r="L2223" s="1">
        <v>45240</v>
      </c>
      <c r="M2223">
        <v>604</v>
      </c>
      <c r="N2223" t="s">
        <v>4920</v>
      </c>
      <c r="O2223" s="5">
        <v>45240</v>
      </c>
      <c r="P2223" s="5">
        <v>43777</v>
      </c>
    </row>
    <row r="2224" spans="1:16" x14ac:dyDescent="0.25">
      <c r="A2224" t="s">
        <v>4921</v>
      </c>
      <c r="B2224" t="str">
        <v>Summit Securities Limited</v>
      </c>
      <c r="C2224" t="s">
        <v>14</v>
      </c>
      <c r="D2224">
        <v>1075</v>
      </c>
      <c r="E2224">
        <v>1140</v>
      </c>
      <c r="F2224">
        <v>1050</v>
      </c>
      <c r="G2224" s="3">
        <v>1101.8</v>
      </c>
      <c r="H2224">
        <v>1100</v>
      </c>
      <c r="I2224">
        <v>1072.0999999999999</v>
      </c>
      <c r="J2224">
        <v>19555</v>
      </c>
      <c r="K2224">
        <v>21586631.5</v>
      </c>
      <c r="L2224" s="1">
        <v>45240</v>
      </c>
      <c r="M2224">
        <v>2147</v>
      </c>
      <c r="N2224" t="s">
        <v>4923</v>
      </c>
      <c r="O2224" s="5">
        <v>45240</v>
      </c>
      <c r="P2224" s="5">
        <v>43777</v>
      </c>
    </row>
    <row r="2225" spans="1:16" x14ac:dyDescent="0.25">
      <c r="A2225" t="s">
        <v>4924</v>
      </c>
      <c r="B2225" t="str">
        <v>Sundaram Multi Pap Limited</v>
      </c>
      <c r="C2225" t="s">
        <v>10</v>
      </c>
      <c r="D2225">
        <v>2.75</v>
      </c>
      <c r="E2225">
        <v>2.8</v>
      </c>
      <c r="F2225">
        <v>2.7</v>
      </c>
      <c r="G2225" s="3">
        <v>2.8</v>
      </c>
      <c r="H2225">
        <v>2.8</v>
      </c>
      <c r="I2225">
        <v>2.7</v>
      </c>
      <c r="J2225">
        <v>279452</v>
      </c>
      <c r="K2225">
        <v>773138.2</v>
      </c>
      <c r="L2225" s="1">
        <v>45240</v>
      </c>
      <c r="M2225">
        <v>347</v>
      </c>
      <c r="N2225" t="s">
        <v>4926</v>
      </c>
      <c r="O2225" s="5">
        <v>45240</v>
      </c>
      <c r="P2225" s="5">
        <v>43777</v>
      </c>
    </row>
    <row r="2226" spans="1:16" x14ac:dyDescent="0.25">
      <c r="A2226" t="s">
        <v>4927</v>
      </c>
      <c r="B2226" t="str">
        <v>Sundaram Finance Limited</v>
      </c>
      <c r="C2226" t="s">
        <v>14</v>
      </c>
      <c r="D2226">
        <v>3260</v>
      </c>
      <c r="E2226">
        <v>3260</v>
      </c>
      <c r="F2226">
        <v>3160.5</v>
      </c>
      <c r="G2226" s="3">
        <v>3183.8</v>
      </c>
      <c r="H2226">
        <v>3199</v>
      </c>
      <c r="I2226">
        <v>3257.55</v>
      </c>
      <c r="J2226">
        <v>24111</v>
      </c>
      <c r="K2226">
        <v>77093885.650000006</v>
      </c>
      <c r="L2226" s="1">
        <v>45240</v>
      </c>
      <c r="M2226">
        <v>6167</v>
      </c>
      <c r="N2226" t="s">
        <v>4929</v>
      </c>
      <c r="O2226" s="5">
        <v>45240</v>
      </c>
      <c r="P2226" s="5">
        <v>43777</v>
      </c>
    </row>
    <row r="2227" spans="1:16" x14ac:dyDescent="0.25">
      <c r="A2227" t="s">
        <v>4930</v>
      </c>
      <c r="B2227" t="str">
        <v>Sundaram Finance Holdings Limited</v>
      </c>
      <c r="C2227" t="s">
        <v>14</v>
      </c>
      <c r="D2227">
        <v>159.44999999999999</v>
      </c>
      <c r="E2227">
        <v>163.69999999999999</v>
      </c>
      <c r="F2227">
        <v>158.19999999999999</v>
      </c>
      <c r="G2227" s="3">
        <v>161.85</v>
      </c>
      <c r="H2227">
        <v>161.94999999999999</v>
      </c>
      <c r="I2227">
        <v>160.30000000000001</v>
      </c>
      <c r="J2227">
        <v>289453</v>
      </c>
      <c r="K2227">
        <v>46758514.399999999</v>
      </c>
      <c r="L2227" s="1">
        <v>45240</v>
      </c>
      <c r="M2227">
        <v>6008</v>
      </c>
      <c r="N2227" t="s">
        <v>4932</v>
      </c>
      <c r="O2227" s="5">
        <v>45240</v>
      </c>
      <c r="P2227" s="5">
        <v>43777</v>
      </c>
    </row>
    <row r="2228" spans="1:16" x14ac:dyDescent="0.25">
      <c r="A2228" t="s">
        <v>4933</v>
      </c>
      <c r="B2228" t="str">
        <v>Sundaram Brake Linings Limited</v>
      </c>
      <c r="C2228" t="s">
        <v>10</v>
      </c>
      <c r="D2228">
        <v>604.1</v>
      </c>
      <c r="E2228">
        <v>608</v>
      </c>
      <c r="F2228">
        <v>598.15</v>
      </c>
      <c r="G2228" s="3">
        <v>608</v>
      </c>
      <c r="H2228">
        <v>608</v>
      </c>
      <c r="I2228">
        <v>604.04999999999995</v>
      </c>
      <c r="J2228">
        <v>1866</v>
      </c>
      <c r="K2228">
        <v>1130175.8999999999</v>
      </c>
      <c r="L2228" s="1">
        <v>45240</v>
      </c>
      <c r="M2228">
        <v>21</v>
      </c>
      <c r="N2228" t="s">
        <v>4935</v>
      </c>
      <c r="O2228" s="5">
        <v>45240</v>
      </c>
      <c r="P2228" s="5">
        <v>43777</v>
      </c>
    </row>
    <row r="2229" spans="1:16" x14ac:dyDescent="0.25">
      <c r="A2229" t="s">
        <v>4936</v>
      </c>
      <c r="B2229" t="str">
        <v>Sundram Fasteners Limited</v>
      </c>
      <c r="C2229" t="s">
        <v>14</v>
      </c>
      <c r="D2229">
        <v>1250</v>
      </c>
      <c r="E2229">
        <v>1278</v>
      </c>
      <c r="F2229">
        <v>1237.5</v>
      </c>
      <c r="G2229" s="3">
        <v>1265.8499999999999</v>
      </c>
      <c r="H2229">
        <v>1273</v>
      </c>
      <c r="I2229">
        <v>1251.25</v>
      </c>
      <c r="J2229">
        <v>43861</v>
      </c>
      <c r="K2229">
        <v>54994789.350000001</v>
      </c>
      <c r="L2229" s="1">
        <v>45240</v>
      </c>
      <c r="M2229">
        <v>8498</v>
      </c>
      <c r="N2229" t="s">
        <v>4938</v>
      </c>
      <c r="O2229" s="5">
        <v>45240</v>
      </c>
      <c r="P2229" s="5">
        <v>43777</v>
      </c>
    </row>
    <row r="2230" spans="1:16" x14ac:dyDescent="0.25">
      <c r="A2230" t="s">
        <v>4939</v>
      </c>
      <c r="B2230" t="str">
        <v>Sunflag Iron And Steel Company Limited</v>
      </c>
      <c r="C2230" t="s">
        <v>14</v>
      </c>
      <c r="D2230">
        <v>176.85</v>
      </c>
      <c r="E2230">
        <v>176.95</v>
      </c>
      <c r="F2230">
        <v>173.25</v>
      </c>
      <c r="G2230" s="3">
        <v>175</v>
      </c>
      <c r="H2230">
        <v>175.5</v>
      </c>
      <c r="I2230">
        <v>177.35</v>
      </c>
      <c r="J2230">
        <v>140588</v>
      </c>
      <c r="K2230">
        <v>24548152.449999999</v>
      </c>
      <c r="L2230" s="1">
        <v>45240</v>
      </c>
      <c r="M2230">
        <v>3668</v>
      </c>
      <c r="N2230" t="s">
        <v>4941</v>
      </c>
      <c r="O2230" s="5">
        <v>45240</v>
      </c>
      <c r="P2230" s="5">
        <v>43777</v>
      </c>
    </row>
    <row r="2231" spans="1:16" x14ac:dyDescent="0.25">
      <c r="A2231" t="s">
        <v>4942</v>
      </c>
      <c r="B2231" t="str">
        <v>Sun Pharmaceutical Industries Limited</v>
      </c>
      <c r="C2231" t="s">
        <v>14</v>
      </c>
      <c r="D2231">
        <v>1174.05</v>
      </c>
      <c r="E2231">
        <v>1181.5</v>
      </c>
      <c r="F2231">
        <v>1170.0999999999999</v>
      </c>
      <c r="G2231" s="3">
        <v>1179.3499999999999</v>
      </c>
      <c r="H2231">
        <v>1181.45</v>
      </c>
      <c r="I2231">
        <v>1176.2</v>
      </c>
      <c r="J2231">
        <v>957539</v>
      </c>
      <c r="K2231">
        <v>1128208335.6500001</v>
      </c>
      <c r="L2231" s="1">
        <v>45240</v>
      </c>
      <c r="M2231">
        <v>69989</v>
      </c>
      <c r="N2231" t="s">
        <v>4944</v>
      </c>
      <c r="O2231" s="5">
        <v>45240</v>
      </c>
      <c r="P2231" s="5">
        <v>43777</v>
      </c>
    </row>
    <row r="2232" spans="1:16" x14ac:dyDescent="0.25">
      <c r="A2232" t="s">
        <v>4945</v>
      </c>
      <c r="B2232" t="str">
        <v>Sunteck Realty Limited</v>
      </c>
      <c r="C2232" t="s">
        <v>14</v>
      </c>
      <c r="D2232">
        <v>451.7</v>
      </c>
      <c r="E2232">
        <v>455.2</v>
      </c>
      <c r="F2232">
        <v>444.05</v>
      </c>
      <c r="G2232" s="3">
        <v>447.75</v>
      </c>
      <c r="H2232">
        <v>446</v>
      </c>
      <c r="I2232">
        <v>452.55</v>
      </c>
      <c r="J2232">
        <v>293496</v>
      </c>
      <c r="K2232">
        <v>131873178.90000001</v>
      </c>
      <c r="L2232" s="1">
        <v>45240</v>
      </c>
      <c r="M2232">
        <v>5279</v>
      </c>
      <c r="N2232" t="s">
        <v>4947</v>
      </c>
      <c r="O2232" s="5">
        <v>45240</v>
      </c>
      <c r="P2232" s="5">
        <v>43777</v>
      </c>
    </row>
    <row r="2233" spans="1:16" x14ac:dyDescent="0.25">
      <c r="A2233" t="s">
        <v>4948</v>
      </c>
      <c r="B2233" t="str">
        <v>Sun TV Network Limited</v>
      </c>
      <c r="C2233" t="s">
        <v>14</v>
      </c>
      <c r="D2233">
        <v>657.95</v>
      </c>
      <c r="E2233">
        <v>657.95</v>
      </c>
      <c r="F2233">
        <v>641.45000000000005</v>
      </c>
      <c r="G2233" s="3">
        <v>646.9</v>
      </c>
      <c r="H2233">
        <v>647</v>
      </c>
      <c r="I2233">
        <v>655.9</v>
      </c>
      <c r="J2233">
        <v>846814</v>
      </c>
      <c r="K2233">
        <v>551082786.79999995</v>
      </c>
      <c r="L2233" s="1">
        <v>45240</v>
      </c>
      <c r="M2233">
        <v>16728</v>
      </c>
      <c r="N2233" t="s">
        <v>4950</v>
      </c>
      <c r="O2233" s="5">
        <v>45240</v>
      </c>
      <c r="P2233" s="5">
        <v>43777</v>
      </c>
    </row>
    <row r="2234" spans="1:16" x14ac:dyDescent="0.25">
      <c r="A2234" t="s">
        <v>4951</v>
      </c>
      <c r="B2234" t="str">
        <v>Superhouse Limited</v>
      </c>
      <c r="C2234" t="s">
        <v>14</v>
      </c>
      <c r="D2234">
        <v>226.2</v>
      </c>
      <c r="E2234">
        <v>229.45</v>
      </c>
      <c r="F2234">
        <v>224.45</v>
      </c>
      <c r="G2234" s="3">
        <v>225.6</v>
      </c>
      <c r="H2234">
        <v>224.75</v>
      </c>
      <c r="I2234">
        <v>226.15</v>
      </c>
      <c r="J2234">
        <v>4181</v>
      </c>
      <c r="K2234">
        <v>949444.65</v>
      </c>
      <c r="L2234" s="1">
        <v>45240</v>
      </c>
      <c r="M2234">
        <v>253</v>
      </c>
      <c r="N2234" t="s">
        <v>4953</v>
      </c>
      <c r="O2234" s="5">
        <v>45240</v>
      </c>
      <c r="P2234" s="5">
        <v>43777</v>
      </c>
    </row>
    <row r="2235" spans="1:16" x14ac:dyDescent="0.25">
      <c r="A2235" t="s">
        <v>4954</v>
      </c>
      <c r="B2235" t="str">
        <v>Super Spinning Mills Limited</v>
      </c>
      <c r="C2235" t="s">
        <v>10</v>
      </c>
      <c r="D2235">
        <v>8.0500000000000007</v>
      </c>
      <c r="E2235">
        <v>8.4499999999999993</v>
      </c>
      <c r="F2235">
        <v>8.0500000000000007</v>
      </c>
      <c r="G2235" s="3">
        <v>8.1</v>
      </c>
      <c r="H2235">
        <v>8.1</v>
      </c>
      <c r="I2235">
        <v>8.3000000000000007</v>
      </c>
      <c r="J2235">
        <v>61384</v>
      </c>
      <c r="K2235">
        <v>499609.1</v>
      </c>
      <c r="L2235" s="1">
        <v>45240</v>
      </c>
      <c r="M2235">
        <v>142</v>
      </c>
      <c r="N2235" t="s">
        <v>4956</v>
      </c>
      <c r="O2235" s="5">
        <v>45240</v>
      </c>
      <c r="P2235" s="5">
        <v>43777</v>
      </c>
    </row>
    <row r="2236" spans="1:16" x14ac:dyDescent="0.25">
      <c r="A2236" t="s">
        <v>4957</v>
      </c>
      <c r="B2236" t="str">
        <v>Suprajit Engineering Limited</v>
      </c>
      <c r="C2236" t="s">
        <v>14</v>
      </c>
      <c r="D2236">
        <v>383</v>
      </c>
      <c r="E2236">
        <v>383.4</v>
      </c>
      <c r="F2236">
        <v>366.4</v>
      </c>
      <c r="G2236" s="3">
        <v>368</v>
      </c>
      <c r="H2236">
        <v>368.4</v>
      </c>
      <c r="I2236">
        <v>383.65</v>
      </c>
      <c r="J2236">
        <v>248048</v>
      </c>
      <c r="K2236">
        <v>92531157.450000003</v>
      </c>
      <c r="L2236" s="1">
        <v>45240</v>
      </c>
      <c r="M2236">
        <v>10894</v>
      </c>
      <c r="N2236" t="s">
        <v>4959</v>
      </c>
      <c r="O2236" s="5">
        <v>45240</v>
      </c>
      <c r="P2236" s="5">
        <v>43777</v>
      </c>
    </row>
    <row r="2237" spans="1:16" x14ac:dyDescent="0.25">
      <c r="A2237" t="s">
        <v>4960</v>
      </c>
      <c r="B2237" t="str">
        <v>Supreme Engineering Limited</v>
      </c>
      <c r="C2237" t="s">
        <v>10</v>
      </c>
      <c r="D2237">
        <v>0.7</v>
      </c>
      <c r="E2237">
        <v>0.75</v>
      </c>
      <c r="F2237">
        <v>0.7</v>
      </c>
      <c r="G2237" s="3">
        <v>0.75</v>
      </c>
      <c r="H2237">
        <v>0.75</v>
      </c>
      <c r="I2237">
        <v>0.75</v>
      </c>
      <c r="J2237">
        <v>820264</v>
      </c>
      <c r="K2237">
        <v>577616.44999999995</v>
      </c>
      <c r="L2237" s="1">
        <v>45240</v>
      </c>
      <c r="M2237">
        <v>378</v>
      </c>
      <c r="N2237" t="s">
        <v>4962</v>
      </c>
      <c r="O2237" s="5">
        <v>45240</v>
      </c>
      <c r="P2237" s="5">
        <v>43777</v>
      </c>
    </row>
    <row r="2238" spans="1:16" x14ac:dyDescent="0.25">
      <c r="A2238" t="s">
        <v>4963</v>
      </c>
      <c r="B2238" t="str">
        <v>Supreme Industries Limited</v>
      </c>
      <c r="C2238" t="s">
        <v>14</v>
      </c>
      <c r="D2238">
        <v>4225.55</v>
      </c>
      <c r="E2238">
        <v>4319</v>
      </c>
      <c r="F2238">
        <v>4192.1499999999996</v>
      </c>
      <c r="G2238" s="3">
        <v>4247.95</v>
      </c>
      <c r="H2238">
        <v>4249</v>
      </c>
      <c r="I2238">
        <v>4225.5</v>
      </c>
      <c r="J2238">
        <v>75980</v>
      </c>
      <c r="K2238">
        <v>323018668.25</v>
      </c>
      <c r="L2238" s="1">
        <v>45240</v>
      </c>
      <c r="M2238">
        <v>14780</v>
      </c>
      <c r="N2238" t="s">
        <v>4965</v>
      </c>
      <c r="O2238" s="5">
        <v>45240</v>
      </c>
      <c r="P2238" s="5">
        <v>43777</v>
      </c>
    </row>
    <row r="2239" spans="1:16" x14ac:dyDescent="0.25">
      <c r="A2239" t="s">
        <v>4966</v>
      </c>
      <c r="B2239" t="str">
        <v>Supreme Infrastructure India Limited</v>
      </c>
      <c r="C2239" t="s">
        <v>786</v>
      </c>
      <c r="D2239">
        <v>28.7</v>
      </c>
      <c r="E2239">
        <v>28.7</v>
      </c>
      <c r="F2239">
        <v>28.7</v>
      </c>
      <c r="G2239" s="3">
        <v>28.7</v>
      </c>
      <c r="H2239">
        <v>28.7</v>
      </c>
      <c r="I2239">
        <v>28.15</v>
      </c>
      <c r="J2239">
        <v>6044</v>
      </c>
      <c r="K2239">
        <v>173462.8</v>
      </c>
      <c r="L2239" s="1">
        <v>45240</v>
      </c>
      <c r="M2239">
        <v>10</v>
      </c>
      <c r="N2239" t="s">
        <v>4968</v>
      </c>
      <c r="O2239" s="5">
        <v>45240</v>
      </c>
      <c r="P2239" s="5">
        <v>43777</v>
      </c>
    </row>
    <row r="2240" spans="1:16" x14ac:dyDescent="0.25">
      <c r="A2240" t="s">
        <v>4969</v>
      </c>
      <c r="B2240" t="str">
        <v>Supriya Lifescience Limited</v>
      </c>
      <c r="C2240" t="s">
        <v>14</v>
      </c>
      <c r="D2240">
        <v>254.8</v>
      </c>
      <c r="E2240">
        <v>258</v>
      </c>
      <c r="F2240">
        <v>252.5</v>
      </c>
      <c r="G2240" s="3">
        <v>254.75</v>
      </c>
      <c r="H2240">
        <v>254</v>
      </c>
      <c r="I2240">
        <v>254.8</v>
      </c>
      <c r="J2240">
        <v>277433</v>
      </c>
      <c r="K2240">
        <v>70686977.299999997</v>
      </c>
      <c r="L2240" s="1">
        <v>45240</v>
      </c>
      <c r="M2240">
        <v>5907</v>
      </c>
      <c r="N2240" t="s">
        <v>4971</v>
      </c>
      <c r="O2240" s="5">
        <v>45240</v>
      </c>
      <c r="P2240" s="5">
        <v>43777</v>
      </c>
    </row>
    <row r="2241" spans="1:16" x14ac:dyDescent="0.25">
      <c r="A2241" t="s">
        <v>4972</v>
      </c>
      <c r="B2241" t="str">
        <v>Surana Solar Limited</v>
      </c>
      <c r="C2241" t="s">
        <v>14</v>
      </c>
      <c r="D2241">
        <v>24.05</v>
      </c>
      <c r="E2241">
        <v>25.4</v>
      </c>
      <c r="F2241">
        <v>24</v>
      </c>
      <c r="G2241" s="3">
        <v>24.2</v>
      </c>
      <c r="H2241">
        <v>24.05</v>
      </c>
      <c r="I2241">
        <v>24.5</v>
      </c>
      <c r="J2241">
        <v>134111</v>
      </c>
      <c r="K2241">
        <v>3287857.35</v>
      </c>
      <c r="L2241" s="1">
        <v>45240</v>
      </c>
      <c r="M2241">
        <v>1222</v>
      </c>
      <c r="N2241" t="s">
        <v>4974</v>
      </c>
      <c r="O2241" s="5">
        <v>45240</v>
      </c>
      <c r="P2241" s="5">
        <v>43777</v>
      </c>
    </row>
    <row r="2242" spans="1:16" x14ac:dyDescent="0.25">
      <c r="A2242" t="s">
        <v>4975</v>
      </c>
      <c r="B2242" t="str">
        <v>Surana Telecom and Power Limited</v>
      </c>
      <c r="C2242" t="s">
        <v>14</v>
      </c>
      <c r="D2242">
        <v>11.6</v>
      </c>
      <c r="E2242">
        <v>11.8</v>
      </c>
      <c r="F2242">
        <v>11.15</v>
      </c>
      <c r="G2242" s="3">
        <v>11.5</v>
      </c>
      <c r="H2242">
        <v>11.6</v>
      </c>
      <c r="I2242">
        <v>11.45</v>
      </c>
      <c r="J2242">
        <v>116942</v>
      </c>
      <c r="K2242">
        <v>1361024</v>
      </c>
      <c r="L2242" s="1">
        <v>45240</v>
      </c>
      <c r="M2242">
        <v>963</v>
      </c>
      <c r="N2242" t="s">
        <v>4977</v>
      </c>
      <c r="O2242" s="5">
        <v>45240</v>
      </c>
      <c r="P2242" s="5">
        <v>43777</v>
      </c>
    </row>
    <row r="2243" spans="1:16" x14ac:dyDescent="0.25">
      <c r="A2243" t="s">
        <v>5889</v>
      </c>
      <c r="B2243" t="str">
        <v>Not Found</v>
      </c>
      <c r="C2243" t="s">
        <v>5788</v>
      </c>
      <c r="D2243">
        <v>302</v>
      </c>
      <c r="E2243">
        <v>303</v>
      </c>
      <c r="F2243">
        <v>288</v>
      </c>
      <c r="G2243" s="3">
        <v>303</v>
      </c>
      <c r="H2243">
        <v>303</v>
      </c>
      <c r="I2243">
        <v>299.95</v>
      </c>
      <c r="J2243">
        <v>6000</v>
      </c>
      <c r="K2243">
        <v>1784000</v>
      </c>
      <c r="L2243" s="1">
        <v>45240</v>
      </c>
      <c r="M2243">
        <v>15</v>
      </c>
      <c r="N2243" t="s">
        <v>5888</v>
      </c>
      <c r="O2243" s="5">
        <v>45240</v>
      </c>
      <c r="P2243" s="5">
        <v>43777</v>
      </c>
    </row>
    <row r="2244" spans="1:16" x14ac:dyDescent="0.25">
      <c r="A2244" t="s">
        <v>4978</v>
      </c>
      <c r="B2244" t="str">
        <v>Suryalakshmi Cotton Mills Limited</v>
      </c>
      <c r="C2244" t="s">
        <v>14</v>
      </c>
      <c r="D2244">
        <v>62</v>
      </c>
      <c r="E2244">
        <v>63.15</v>
      </c>
      <c r="F2244">
        <v>61.2</v>
      </c>
      <c r="G2244" s="3">
        <v>61.9</v>
      </c>
      <c r="H2244">
        <v>61.85</v>
      </c>
      <c r="I2244">
        <v>62.65</v>
      </c>
      <c r="J2244">
        <v>14647</v>
      </c>
      <c r="K2244">
        <v>911166.4</v>
      </c>
      <c r="L2244" s="1">
        <v>45240</v>
      </c>
      <c r="M2244">
        <v>360</v>
      </c>
      <c r="N2244" t="s">
        <v>4980</v>
      </c>
      <c r="O2244" s="5">
        <v>45240</v>
      </c>
      <c r="P2244" s="5">
        <v>43777</v>
      </c>
    </row>
    <row r="2245" spans="1:16" x14ac:dyDescent="0.25">
      <c r="A2245" t="s">
        <v>4981</v>
      </c>
      <c r="B2245" t="str">
        <v>Surya Roshni Limited</v>
      </c>
      <c r="C2245" t="s">
        <v>14</v>
      </c>
      <c r="D2245">
        <v>512.95000000000005</v>
      </c>
      <c r="E2245">
        <v>516.1</v>
      </c>
      <c r="F2245">
        <v>508.55</v>
      </c>
      <c r="G2245" s="3">
        <v>509.85</v>
      </c>
      <c r="H2245">
        <v>510</v>
      </c>
      <c r="I2245">
        <v>513.5</v>
      </c>
      <c r="J2245">
        <v>133562</v>
      </c>
      <c r="K2245">
        <v>68263282.849999994</v>
      </c>
      <c r="L2245" s="1">
        <v>45240</v>
      </c>
      <c r="M2245">
        <v>7222</v>
      </c>
      <c r="N2245" t="s">
        <v>4983</v>
      </c>
      <c r="O2245" s="5">
        <v>45240</v>
      </c>
      <c r="P2245" s="5">
        <v>43777</v>
      </c>
    </row>
    <row r="2246" spans="1:16" x14ac:dyDescent="0.25">
      <c r="A2246" t="s">
        <v>4984</v>
      </c>
      <c r="B2246" t="str">
        <v>Suryoday Small Finance Bank Limited</v>
      </c>
      <c r="C2246" t="s">
        <v>14</v>
      </c>
      <c r="D2246">
        <v>167</v>
      </c>
      <c r="E2246">
        <v>167</v>
      </c>
      <c r="F2246">
        <v>156.19999999999999</v>
      </c>
      <c r="G2246" s="3">
        <v>157.94999999999999</v>
      </c>
      <c r="H2246">
        <v>158.1</v>
      </c>
      <c r="I2246">
        <v>166.85</v>
      </c>
      <c r="J2246">
        <v>1257462</v>
      </c>
      <c r="K2246">
        <v>200257428.55000001</v>
      </c>
      <c r="L2246" s="1">
        <v>45240</v>
      </c>
      <c r="M2246">
        <v>14239</v>
      </c>
      <c r="N2246" t="s">
        <v>4986</v>
      </c>
      <c r="O2246" s="5">
        <v>45240</v>
      </c>
      <c r="P2246" s="5">
        <v>43777</v>
      </c>
    </row>
    <row r="2247" spans="1:16" x14ac:dyDescent="0.25">
      <c r="A2247" t="s">
        <v>4987</v>
      </c>
      <c r="B2247" t="str">
        <v>Sutlej Textiles and Industries Limited</v>
      </c>
      <c r="C2247" t="s">
        <v>14</v>
      </c>
      <c r="D2247">
        <v>56.9</v>
      </c>
      <c r="E2247">
        <v>58.15</v>
      </c>
      <c r="F2247">
        <v>56.85</v>
      </c>
      <c r="G2247" s="3">
        <v>57.15</v>
      </c>
      <c r="H2247">
        <v>57.25</v>
      </c>
      <c r="I2247">
        <v>57.05</v>
      </c>
      <c r="J2247">
        <v>120271</v>
      </c>
      <c r="K2247">
        <v>6890912.2999999998</v>
      </c>
      <c r="L2247" s="1">
        <v>45240</v>
      </c>
      <c r="M2247">
        <v>675</v>
      </c>
      <c r="N2247" t="s">
        <v>4989</v>
      </c>
      <c r="O2247" s="5">
        <v>45240</v>
      </c>
      <c r="P2247" s="5">
        <v>43777</v>
      </c>
    </row>
    <row r="2248" spans="1:16" x14ac:dyDescent="0.25">
      <c r="A2248" t="s">
        <v>4990</v>
      </c>
      <c r="B2248" t="str">
        <v>Suumaya Industries Limited</v>
      </c>
      <c r="C2248" t="s">
        <v>10</v>
      </c>
      <c r="D2248">
        <v>7.35</v>
      </c>
      <c r="E2248">
        <v>7.35</v>
      </c>
      <c r="F2248">
        <v>7.35</v>
      </c>
      <c r="G2248" s="3">
        <v>7.35</v>
      </c>
      <c r="H2248">
        <v>7.35</v>
      </c>
      <c r="I2248">
        <v>7.5</v>
      </c>
      <c r="J2248">
        <v>34429</v>
      </c>
      <c r="K2248">
        <v>253053.15</v>
      </c>
      <c r="L2248" s="1">
        <v>45240</v>
      </c>
      <c r="M2248">
        <v>162</v>
      </c>
      <c r="N2248" t="s">
        <v>4992</v>
      </c>
      <c r="O2248" s="5">
        <v>45240</v>
      </c>
      <c r="P2248" s="5">
        <v>43777</v>
      </c>
    </row>
    <row r="2249" spans="1:16" x14ac:dyDescent="0.25">
      <c r="A2249" t="s">
        <v>4993</v>
      </c>
      <c r="B2249" t="str">
        <v>Suven Life Sciences Limited</v>
      </c>
      <c r="C2249" t="s">
        <v>14</v>
      </c>
      <c r="D2249">
        <v>82.3</v>
      </c>
      <c r="E2249">
        <v>87.7</v>
      </c>
      <c r="F2249">
        <v>81.8</v>
      </c>
      <c r="G2249" s="3">
        <v>85.9</v>
      </c>
      <c r="H2249">
        <v>85.5</v>
      </c>
      <c r="I2249">
        <v>82.35</v>
      </c>
      <c r="J2249">
        <v>1685984</v>
      </c>
      <c r="K2249">
        <v>144076688.75</v>
      </c>
      <c r="L2249" s="1">
        <v>45240</v>
      </c>
      <c r="M2249">
        <v>8226</v>
      </c>
      <c r="N2249" t="s">
        <v>4995</v>
      </c>
      <c r="O2249" s="5">
        <v>45240</v>
      </c>
      <c r="P2249" s="5">
        <v>43777</v>
      </c>
    </row>
    <row r="2250" spans="1:16" x14ac:dyDescent="0.25">
      <c r="A2250" t="s">
        <v>4996</v>
      </c>
      <c r="B2250" t="str">
        <v>Suven Pharmaceuticals Limited</v>
      </c>
      <c r="C2250" t="s">
        <v>14</v>
      </c>
      <c r="D2250">
        <v>549.70000000000005</v>
      </c>
      <c r="E2250">
        <v>585.9</v>
      </c>
      <c r="F2250">
        <v>542.1</v>
      </c>
      <c r="G2250" s="3">
        <v>580.70000000000005</v>
      </c>
      <c r="H2250">
        <v>580</v>
      </c>
      <c r="I2250">
        <v>556.6</v>
      </c>
      <c r="J2250">
        <v>769856</v>
      </c>
      <c r="K2250">
        <v>438573578.85000002</v>
      </c>
      <c r="L2250" s="1">
        <v>45240</v>
      </c>
      <c r="M2250">
        <v>22402</v>
      </c>
      <c r="N2250" t="s">
        <v>4998</v>
      </c>
      <c r="O2250" s="5">
        <v>45240</v>
      </c>
      <c r="P2250" s="5">
        <v>43777</v>
      </c>
    </row>
    <row r="2251" spans="1:16" x14ac:dyDescent="0.25">
      <c r="A2251" t="s">
        <v>4999</v>
      </c>
      <c r="B2251" t="str">
        <v>Suvidhaa Infoserve Limited</v>
      </c>
      <c r="C2251" t="s">
        <v>14</v>
      </c>
      <c r="D2251">
        <v>4.9000000000000004</v>
      </c>
      <c r="E2251">
        <v>4.9000000000000004</v>
      </c>
      <c r="F2251">
        <v>4.9000000000000004</v>
      </c>
      <c r="G2251" s="3">
        <v>4.9000000000000004</v>
      </c>
      <c r="H2251">
        <v>4.9000000000000004</v>
      </c>
      <c r="I2251">
        <v>4.7</v>
      </c>
      <c r="J2251">
        <v>390206</v>
      </c>
      <c r="K2251">
        <v>1912009.4</v>
      </c>
      <c r="L2251" s="1">
        <v>45240</v>
      </c>
      <c r="M2251">
        <v>1609</v>
      </c>
      <c r="N2251" t="s">
        <v>5001</v>
      </c>
      <c r="O2251" s="5">
        <v>45240</v>
      </c>
      <c r="P2251" s="5">
        <v>43777</v>
      </c>
    </row>
    <row r="2252" spans="1:16" x14ac:dyDescent="0.25">
      <c r="A2252" t="s">
        <v>5002</v>
      </c>
      <c r="B2252" t="str">
        <v>Suzlon Energy Limited</v>
      </c>
      <c r="C2252" t="s">
        <v>10</v>
      </c>
      <c r="D2252">
        <v>37.5</v>
      </c>
      <c r="E2252">
        <v>38.25</v>
      </c>
      <c r="F2252">
        <v>37.1</v>
      </c>
      <c r="G2252" s="3">
        <v>37.9</v>
      </c>
      <c r="H2252">
        <v>38.1</v>
      </c>
      <c r="I2252">
        <v>37.299999999999997</v>
      </c>
      <c r="J2252">
        <v>45379797</v>
      </c>
      <c r="K2252">
        <v>1715345049.0999999</v>
      </c>
      <c r="L2252" s="1">
        <v>45240</v>
      </c>
      <c r="M2252">
        <v>101149</v>
      </c>
      <c r="N2252" t="s">
        <v>5004</v>
      </c>
      <c r="O2252" s="5">
        <v>45240</v>
      </c>
      <c r="P2252" s="5">
        <v>43777</v>
      </c>
    </row>
    <row r="2253" spans="1:16" x14ac:dyDescent="0.25">
      <c r="A2253" t="s">
        <v>5005</v>
      </c>
      <c r="B2253" t="str">
        <v>Shree Vasu Logistics Limited</v>
      </c>
      <c r="C2253" t="s">
        <v>10</v>
      </c>
      <c r="D2253">
        <v>163.80000000000001</v>
      </c>
      <c r="E2253">
        <v>163.80000000000001</v>
      </c>
      <c r="F2253">
        <v>163.80000000000001</v>
      </c>
      <c r="G2253" s="3">
        <v>163.80000000000001</v>
      </c>
      <c r="H2253">
        <v>163.80000000000001</v>
      </c>
      <c r="I2253">
        <v>163.85</v>
      </c>
      <c r="J2253">
        <v>620</v>
      </c>
      <c r="K2253">
        <v>101556</v>
      </c>
      <c r="L2253" s="1">
        <v>45240</v>
      </c>
      <c r="M2253">
        <v>1</v>
      </c>
      <c r="N2253" t="s">
        <v>5007</v>
      </c>
      <c r="O2253" s="5">
        <v>45240</v>
      </c>
      <c r="P2253" s="5">
        <v>43777</v>
      </c>
    </row>
    <row r="2254" spans="1:16" x14ac:dyDescent="0.25">
      <c r="A2254" t="s">
        <v>5008</v>
      </c>
      <c r="B2254" t="str">
        <v>SVP GLOBAL TEXTILES LIMITED</v>
      </c>
      <c r="C2254" t="s">
        <v>10</v>
      </c>
      <c r="D2254">
        <v>9.6</v>
      </c>
      <c r="E2254">
        <v>9.6</v>
      </c>
      <c r="F2254">
        <v>9.5</v>
      </c>
      <c r="G2254" s="3">
        <v>9.6</v>
      </c>
      <c r="H2254">
        <v>9.6</v>
      </c>
      <c r="I2254">
        <v>9.15</v>
      </c>
      <c r="J2254">
        <v>231492</v>
      </c>
      <c r="K2254">
        <v>2220470.5</v>
      </c>
      <c r="L2254" s="1">
        <v>45240</v>
      </c>
      <c r="M2254">
        <v>260</v>
      </c>
      <c r="N2254" t="s">
        <v>5010</v>
      </c>
      <c r="O2254" s="5">
        <v>45240</v>
      </c>
      <c r="P2254" s="5">
        <v>43777</v>
      </c>
    </row>
    <row r="2255" spans="1:16" x14ac:dyDescent="0.25">
      <c r="A2255" t="s">
        <v>5011</v>
      </c>
      <c r="B2255" t="str">
        <v>Swan Energy Limited</v>
      </c>
      <c r="C2255" t="s">
        <v>14</v>
      </c>
      <c r="D2255">
        <v>414.05</v>
      </c>
      <c r="E2255">
        <v>446.8</v>
      </c>
      <c r="F2255">
        <v>397</v>
      </c>
      <c r="G2255" s="3">
        <v>422.4</v>
      </c>
      <c r="H2255">
        <v>425</v>
      </c>
      <c r="I2255">
        <v>413.9</v>
      </c>
      <c r="J2255">
        <v>10961394</v>
      </c>
      <c r="K2255">
        <v>4650364597.6999998</v>
      </c>
      <c r="L2255" s="1">
        <v>45240</v>
      </c>
      <c r="M2255">
        <v>138772</v>
      </c>
      <c r="N2255" t="s">
        <v>5013</v>
      </c>
      <c r="O2255" s="5">
        <v>45240</v>
      </c>
      <c r="P2255" s="5">
        <v>43777</v>
      </c>
    </row>
    <row r="2256" spans="1:16" x14ac:dyDescent="0.25">
      <c r="A2256" t="s">
        <v>5887</v>
      </c>
      <c r="B2256" t="str">
        <v>Not Found</v>
      </c>
      <c r="C2256" t="s">
        <v>5788</v>
      </c>
      <c r="D2256">
        <v>99</v>
      </c>
      <c r="E2256">
        <v>101.5</v>
      </c>
      <c r="F2256">
        <v>98.3</v>
      </c>
      <c r="G2256" s="3">
        <v>101.5</v>
      </c>
      <c r="H2256">
        <v>101.5</v>
      </c>
      <c r="I2256">
        <v>104</v>
      </c>
      <c r="J2256">
        <v>3000</v>
      </c>
      <c r="K2256">
        <v>298800</v>
      </c>
      <c r="L2256" s="1">
        <v>45240</v>
      </c>
      <c r="M2256">
        <v>3</v>
      </c>
      <c r="N2256" t="s">
        <v>5886</v>
      </c>
      <c r="O2256" s="5">
        <v>45240</v>
      </c>
      <c r="P2256" s="5">
        <v>43777</v>
      </c>
    </row>
    <row r="2257" spans="1:16" x14ac:dyDescent="0.25">
      <c r="A2257" t="s">
        <v>5014</v>
      </c>
      <c r="B2257" t="str">
        <v>Swaraj Engines Limited</v>
      </c>
      <c r="C2257" t="s">
        <v>14</v>
      </c>
      <c r="D2257">
        <v>2054.3000000000002</v>
      </c>
      <c r="E2257">
        <v>2100</v>
      </c>
      <c r="F2257">
        <v>2049.0500000000002</v>
      </c>
      <c r="G2257" s="3">
        <v>2073.1</v>
      </c>
      <c r="H2257">
        <v>2075</v>
      </c>
      <c r="I2257">
        <v>2049.6</v>
      </c>
      <c r="J2257">
        <v>10784</v>
      </c>
      <c r="K2257">
        <v>22415115.149999999</v>
      </c>
      <c r="L2257" s="1">
        <v>45240</v>
      </c>
      <c r="M2257">
        <v>2101</v>
      </c>
      <c r="N2257" t="s">
        <v>5016</v>
      </c>
      <c r="O2257" s="5">
        <v>45240</v>
      </c>
      <c r="P2257" s="5">
        <v>43777</v>
      </c>
    </row>
    <row r="2258" spans="1:16" x14ac:dyDescent="0.25">
      <c r="A2258" t="s">
        <v>5885</v>
      </c>
      <c r="B2258" t="str">
        <v>Not Found</v>
      </c>
      <c r="C2258" t="s">
        <v>5788</v>
      </c>
      <c r="D2258">
        <v>111.9</v>
      </c>
      <c r="E2258">
        <v>111.9</v>
      </c>
      <c r="F2258">
        <v>104</v>
      </c>
      <c r="G2258" s="3">
        <v>104.1</v>
      </c>
      <c r="H2258">
        <v>104</v>
      </c>
      <c r="I2258">
        <v>107.55</v>
      </c>
      <c r="J2258">
        <v>66000</v>
      </c>
      <c r="K2258">
        <v>6915360</v>
      </c>
      <c r="L2258" s="1">
        <v>45240</v>
      </c>
      <c r="M2258">
        <v>47</v>
      </c>
      <c r="N2258" t="s">
        <v>5884</v>
      </c>
      <c r="O2258" s="5">
        <v>45240</v>
      </c>
      <c r="P2258" s="5">
        <v>43777</v>
      </c>
    </row>
    <row r="2259" spans="1:16" x14ac:dyDescent="0.25">
      <c r="A2259" t="s">
        <v>5017</v>
      </c>
      <c r="B2259" t="str">
        <v>Swelect Energy Systems Limited</v>
      </c>
      <c r="C2259" t="s">
        <v>14</v>
      </c>
      <c r="D2259">
        <v>571</v>
      </c>
      <c r="E2259">
        <v>577.45000000000005</v>
      </c>
      <c r="F2259">
        <v>556.04999999999995</v>
      </c>
      <c r="G2259" s="3">
        <v>569.1</v>
      </c>
      <c r="H2259">
        <v>572</v>
      </c>
      <c r="I2259">
        <v>566.4</v>
      </c>
      <c r="J2259">
        <v>65090</v>
      </c>
      <c r="K2259">
        <v>36860501.25</v>
      </c>
      <c r="L2259" s="1">
        <v>45240</v>
      </c>
      <c r="M2259">
        <v>4401</v>
      </c>
      <c r="N2259" t="s">
        <v>5019</v>
      </c>
      <c r="O2259" s="5">
        <v>45240</v>
      </c>
      <c r="P2259" s="5">
        <v>43777</v>
      </c>
    </row>
    <row r="2260" spans="1:16" x14ac:dyDescent="0.25">
      <c r="A2260" t="s">
        <v>5020</v>
      </c>
      <c r="B2260" t="str">
        <v>Sterling and Wilson Renewable Energy Limited</v>
      </c>
      <c r="C2260" t="s">
        <v>14</v>
      </c>
      <c r="D2260">
        <v>290</v>
      </c>
      <c r="E2260">
        <v>293.64999999999998</v>
      </c>
      <c r="F2260">
        <v>275.14999999999998</v>
      </c>
      <c r="G2260" s="3">
        <v>278.60000000000002</v>
      </c>
      <c r="H2260">
        <v>281.2</v>
      </c>
      <c r="I2260">
        <v>289.10000000000002</v>
      </c>
      <c r="J2260">
        <v>735388</v>
      </c>
      <c r="K2260">
        <v>206906060.65000001</v>
      </c>
      <c r="L2260" s="1">
        <v>45240</v>
      </c>
      <c r="M2260">
        <v>13230</v>
      </c>
      <c r="N2260" t="s">
        <v>5022</v>
      </c>
      <c r="O2260" s="5">
        <v>45240</v>
      </c>
      <c r="P2260" s="5">
        <v>43777</v>
      </c>
    </row>
    <row r="2261" spans="1:16" x14ac:dyDescent="0.25">
      <c r="A2261" t="s">
        <v>5023</v>
      </c>
      <c r="B2261" t="str">
        <v>Symphony Limited</v>
      </c>
      <c r="C2261" t="s">
        <v>14</v>
      </c>
      <c r="D2261">
        <v>875</v>
      </c>
      <c r="E2261">
        <v>875</v>
      </c>
      <c r="F2261">
        <v>863.1</v>
      </c>
      <c r="G2261" s="3">
        <v>869.5</v>
      </c>
      <c r="H2261">
        <v>871.4</v>
      </c>
      <c r="I2261">
        <v>869.85</v>
      </c>
      <c r="J2261">
        <v>13529</v>
      </c>
      <c r="K2261">
        <v>11744790.15</v>
      </c>
      <c r="L2261" s="1">
        <v>45240</v>
      </c>
      <c r="M2261">
        <v>2117</v>
      </c>
      <c r="N2261" t="s">
        <v>5025</v>
      </c>
      <c r="O2261" s="5">
        <v>45240</v>
      </c>
      <c r="P2261" s="5">
        <v>43777</v>
      </c>
    </row>
    <row r="2262" spans="1:16" x14ac:dyDescent="0.25">
      <c r="A2262" t="s">
        <v>5026</v>
      </c>
      <c r="B2262" t="str">
        <v>Syncom Formulations (India) Limited</v>
      </c>
      <c r="C2262" t="s">
        <v>14</v>
      </c>
      <c r="D2262">
        <v>10.65</v>
      </c>
      <c r="E2262">
        <v>10.7</v>
      </c>
      <c r="F2262">
        <v>10</v>
      </c>
      <c r="G2262" s="3">
        <v>10.1</v>
      </c>
      <c r="H2262">
        <v>10.15</v>
      </c>
      <c r="I2262">
        <v>10.3</v>
      </c>
      <c r="J2262">
        <v>9865205</v>
      </c>
      <c r="K2262">
        <v>101285485.59999999</v>
      </c>
      <c r="L2262" s="1">
        <v>45240</v>
      </c>
      <c r="M2262">
        <v>8228</v>
      </c>
      <c r="N2262" t="s">
        <v>5028</v>
      </c>
      <c r="O2262" s="5">
        <v>45240</v>
      </c>
      <c r="P2262" s="5">
        <v>43777</v>
      </c>
    </row>
    <row r="2263" spans="1:16" x14ac:dyDescent="0.25">
      <c r="A2263" t="s">
        <v>5029</v>
      </c>
      <c r="B2263" t="str">
        <v>Syngene International Limited</v>
      </c>
      <c r="C2263" t="s">
        <v>14</v>
      </c>
      <c r="D2263">
        <v>723</v>
      </c>
      <c r="E2263">
        <v>724.7</v>
      </c>
      <c r="F2263">
        <v>715</v>
      </c>
      <c r="G2263" s="3">
        <v>716.55</v>
      </c>
      <c r="H2263">
        <v>715</v>
      </c>
      <c r="I2263">
        <v>723.55</v>
      </c>
      <c r="J2263">
        <v>314189</v>
      </c>
      <c r="K2263">
        <v>225850886.25</v>
      </c>
      <c r="L2263" s="1">
        <v>45240</v>
      </c>
      <c r="M2263">
        <v>16743</v>
      </c>
      <c r="N2263" t="s">
        <v>5031</v>
      </c>
      <c r="O2263" s="5">
        <v>45240</v>
      </c>
      <c r="P2263" s="5">
        <v>43777</v>
      </c>
    </row>
    <row r="2264" spans="1:16" x14ac:dyDescent="0.25">
      <c r="A2264" t="s">
        <v>5883</v>
      </c>
      <c r="B2264" t="str">
        <v>Not Found</v>
      </c>
      <c r="C2264" t="s">
        <v>5788</v>
      </c>
      <c r="D2264">
        <v>137</v>
      </c>
      <c r="E2264">
        <v>138.94999999999999</v>
      </c>
      <c r="F2264">
        <v>136.25</v>
      </c>
      <c r="G2264" s="3">
        <v>137.19999999999999</v>
      </c>
      <c r="H2264">
        <v>138</v>
      </c>
      <c r="I2264">
        <v>137.65</v>
      </c>
      <c r="J2264">
        <v>13200</v>
      </c>
      <c r="K2264">
        <v>1810560</v>
      </c>
      <c r="L2264" s="1">
        <v>45240</v>
      </c>
      <c r="M2264">
        <v>21</v>
      </c>
      <c r="N2264" t="s">
        <v>5882</v>
      </c>
      <c r="O2264" s="5">
        <v>45240</v>
      </c>
      <c r="P2264" s="5">
        <v>43777</v>
      </c>
    </row>
    <row r="2265" spans="1:16" x14ac:dyDescent="0.25">
      <c r="A2265" t="s">
        <v>5032</v>
      </c>
      <c r="B2265" t="str">
        <v>Syrma SGS Technology Limited</v>
      </c>
      <c r="C2265" t="s">
        <v>14</v>
      </c>
      <c r="D2265">
        <v>531</v>
      </c>
      <c r="E2265">
        <v>534.95000000000005</v>
      </c>
      <c r="F2265">
        <v>526.20000000000005</v>
      </c>
      <c r="G2265" s="3">
        <v>531.65</v>
      </c>
      <c r="H2265">
        <v>531.9</v>
      </c>
      <c r="I2265">
        <v>531.35</v>
      </c>
      <c r="J2265">
        <v>348650</v>
      </c>
      <c r="K2265">
        <v>185303349</v>
      </c>
      <c r="L2265" s="1">
        <v>45240</v>
      </c>
      <c r="M2265">
        <v>12992</v>
      </c>
      <c r="N2265" t="s">
        <v>5034</v>
      </c>
      <c r="O2265" s="5">
        <v>45240</v>
      </c>
      <c r="P2265" s="5">
        <v>43777</v>
      </c>
    </row>
    <row r="2266" spans="1:16" x14ac:dyDescent="0.25">
      <c r="A2266" t="s">
        <v>5881</v>
      </c>
      <c r="B2266" t="str">
        <v>Not Found</v>
      </c>
      <c r="C2266" t="s">
        <v>5788</v>
      </c>
      <c r="D2266">
        <v>223</v>
      </c>
      <c r="E2266">
        <v>235</v>
      </c>
      <c r="F2266">
        <v>220</v>
      </c>
      <c r="G2266" s="3">
        <v>223.8</v>
      </c>
      <c r="H2266">
        <v>220.9</v>
      </c>
      <c r="I2266">
        <v>223.4</v>
      </c>
      <c r="J2266">
        <v>124400</v>
      </c>
      <c r="K2266">
        <v>28252320</v>
      </c>
      <c r="L2266" s="1">
        <v>45240</v>
      </c>
      <c r="M2266">
        <v>279</v>
      </c>
      <c r="N2266" t="s">
        <v>5880</v>
      </c>
      <c r="O2266" s="5">
        <v>45240</v>
      </c>
      <c r="P2266" s="5">
        <v>43777</v>
      </c>
    </row>
    <row r="2267" spans="1:16" x14ac:dyDescent="0.25">
      <c r="A2267" t="s">
        <v>5035</v>
      </c>
      <c r="B2267" t="str">
        <v>Tainwala Chemical and Plastic (I) Limited</v>
      </c>
      <c r="C2267" t="s">
        <v>14</v>
      </c>
      <c r="D2267">
        <v>130.44999999999999</v>
      </c>
      <c r="E2267">
        <v>133.9</v>
      </c>
      <c r="F2267">
        <v>130</v>
      </c>
      <c r="G2267" s="3">
        <v>130.94999999999999</v>
      </c>
      <c r="H2267">
        <v>131.69999999999999</v>
      </c>
      <c r="I2267">
        <v>132.75</v>
      </c>
      <c r="J2267">
        <v>7250</v>
      </c>
      <c r="K2267">
        <v>951944.9</v>
      </c>
      <c r="L2267" s="1">
        <v>45240</v>
      </c>
      <c r="M2267">
        <v>363</v>
      </c>
      <c r="N2267" t="s">
        <v>5037</v>
      </c>
      <c r="O2267" s="5">
        <v>45240</v>
      </c>
      <c r="P2267" s="5">
        <v>43777</v>
      </c>
    </row>
    <row r="2268" spans="1:16" x14ac:dyDescent="0.25">
      <c r="A2268" t="s">
        <v>5038</v>
      </c>
      <c r="B2268" t="str">
        <v>Taj GVK Hotels &amp; Resorts Limited</v>
      </c>
      <c r="C2268" t="s">
        <v>14</v>
      </c>
      <c r="D2268">
        <v>218</v>
      </c>
      <c r="E2268">
        <v>220.35</v>
      </c>
      <c r="F2268">
        <v>218</v>
      </c>
      <c r="G2268" s="3">
        <v>218.45</v>
      </c>
      <c r="H2268">
        <v>219</v>
      </c>
      <c r="I2268">
        <v>219.25</v>
      </c>
      <c r="J2268">
        <v>70085</v>
      </c>
      <c r="K2268">
        <v>15330330.300000001</v>
      </c>
      <c r="L2268" s="1">
        <v>45240</v>
      </c>
      <c r="M2268">
        <v>3192</v>
      </c>
      <c r="N2268" t="s">
        <v>5040</v>
      </c>
      <c r="O2268" s="5">
        <v>45240</v>
      </c>
      <c r="P2268" s="5">
        <v>43777</v>
      </c>
    </row>
    <row r="2269" spans="1:16" x14ac:dyDescent="0.25">
      <c r="A2269" t="s">
        <v>5041</v>
      </c>
      <c r="B2269" t="str">
        <v>Take Solutions Limited</v>
      </c>
      <c r="C2269" t="s">
        <v>14</v>
      </c>
      <c r="D2269">
        <v>20.95</v>
      </c>
      <c r="E2269">
        <v>21.25</v>
      </c>
      <c r="F2269">
        <v>20.6</v>
      </c>
      <c r="G2269" s="3">
        <v>20.9</v>
      </c>
      <c r="H2269">
        <v>20.9</v>
      </c>
      <c r="I2269">
        <v>20.95</v>
      </c>
      <c r="J2269">
        <v>156453</v>
      </c>
      <c r="K2269">
        <v>3267692.8</v>
      </c>
      <c r="L2269" s="1">
        <v>45240</v>
      </c>
      <c r="M2269">
        <v>655</v>
      </c>
      <c r="N2269" t="s">
        <v>5043</v>
      </c>
      <c r="O2269" s="5">
        <v>45240</v>
      </c>
      <c r="P2269" s="5">
        <v>43777</v>
      </c>
    </row>
    <row r="2270" spans="1:16" x14ac:dyDescent="0.25">
      <c r="A2270" t="s">
        <v>5044</v>
      </c>
      <c r="B2270" t="str">
        <v>Talbros Automotive Components Limited</v>
      </c>
      <c r="C2270" t="s">
        <v>14</v>
      </c>
      <c r="D2270">
        <v>242.7</v>
      </c>
      <c r="E2270">
        <v>243.8</v>
      </c>
      <c r="F2270">
        <v>235.4</v>
      </c>
      <c r="G2270" s="3">
        <v>238.65</v>
      </c>
      <c r="H2270">
        <v>238.65</v>
      </c>
      <c r="I2270">
        <v>241.2</v>
      </c>
      <c r="J2270">
        <v>153848</v>
      </c>
      <c r="K2270">
        <v>36864847.549999997</v>
      </c>
      <c r="L2270" s="1">
        <v>45240</v>
      </c>
      <c r="M2270">
        <v>7265</v>
      </c>
      <c r="N2270" t="s">
        <v>5046</v>
      </c>
      <c r="O2270" s="5">
        <v>45240</v>
      </c>
      <c r="P2270" s="5">
        <v>43777</v>
      </c>
    </row>
    <row r="2271" spans="1:16" x14ac:dyDescent="0.25">
      <c r="A2271" t="s">
        <v>5047</v>
      </c>
      <c r="B2271" t="str">
        <v>Tanla Platforms Limited</v>
      </c>
      <c r="C2271" t="s">
        <v>14</v>
      </c>
      <c r="D2271">
        <v>960.7</v>
      </c>
      <c r="E2271">
        <v>962.9</v>
      </c>
      <c r="F2271">
        <v>942</v>
      </c>
      <c r="G2271" s="3">
        <v>946.4</v>
      </c>
      <c r="H2271">
        <v>948</v>
      </c>
      <c r="I2271">
        <v>960.55</v>
      </c>
      <c r="J2271">
        <v>302097</v>
      </c>
      <c r="K2271">
        <v>287669076.39999998</v>
      </c>
      <c r="L2271" s="1">
        <v>45240</v>
      </c>
      <c r="M2271">
        <v>12344</v>
      </c>
      <c r="N2271" t="s">
        <v>5049</v>
      </c>
      <c r="O2271" s="5">
        <v>45240</v>
      </c>
      <c r="P2271" s="5">
        <v>43777</v>
      </c>
    </row>
    <row r="2272" spans="1:16" x14ac:dyDescent="0.25">
      <c r="A2272" t="s">
        <v>5879</v>
      </c>
      <c r="B2272" t="str">
        <v>Not Found</v>
      </c>
      <c r="C2272" t="s">
        <v>5788</v>
      </c>
      <c r="D2272">
        <v>168</v>
      </c>
      <c r="E2272">
        <v>168</v>
      </c>
      <c r="F2272">
        <v>167.4</v>
      </c>
      <c r="G2272" s="3">
        <v>167.4</v>
      </c>
      <c r="H2272">
        <v>167.4</v>
      </c>
      <c r="I2272">
        <v>166.6</v>
      </c>
      <c r="J2272">
        <v>15750</v>
      </c>
      <c r="K2272">
        <v>2644837.5</v>
      </c>
      <c r="L2272" s="1">
        <v>45240</v>
      </c>
      <c r="M2272">
        <v>3</v>
      </c>
      <c r="N2272" t="s">
        <v>5878</v>
      </c>
      <c r="O2272" s="5">
        <v>45240</v>
      </c>
      <c r="P2272" s="5">
        <v>43777</v>
      </c>
    </row>
    <row r="2273" spans="1:16" x14ac:dyDescent="0.25">
      <c r="A2273" t="s">
        <v>5877</v>
      </c>
      <c r="B2273" t="str">
        <v>Not Found</v>
      </c>
      <c r="C2273" t="s">
        <v>5788</v>
      </c>
      <c r="D2273">
        <v>163.05000000000001</v>
      </c>
      <c r="E2273">
        <v>166</v>
      </c>
      <c r="F2273">
        <v>161.15</v>
      </c>
      <c r="G2273" s="3">
        <v>161.65</v>
      </c>
      <c r="H2273">
        <v>161.4</v>
      </c>
      <c r="I2273">
        <v>163.05000000000001</v>
      </c>
      <c r="J2273">
        <v>26000</v>
      </c>
      <c r="K2273">
        <v>4254550</v>
      </c>
      <c r="L2273" s="1">
        <v>45240</v>
      </c>
      <c r="M2273">
        <v>26</v>
      </c>
      <c r="N2273" t="s">
        <v>5876</v>
      </c>
      <c r="O2273" s="5">
        <v>45240</v>
      </c>
      <c r="P2273" s="5">
        <v>43777</v>
      </c>
    </row>
    <row r="2274" spans="1:16" x14ac:dyDescent="0.25">
      <c r="A2274" t="s">
        <v>5050</v>
      </c>
      <c r="B2274" t="str">
        <v>Tarapur Transformers Limited</v>
      </c>
      <c r="C2274" t="s">
        <v>10</v>
      </c>
      <c r="D2274">
        <v>4.8499999999999996</v>
      </c>
      <c r="E2274">
        <v>4.8499999999999996</v>
      </c>
      <c r="F2274">
        <v>4.75</v>
      </c>
      <c r="G2274" s="3">
        <v>4.75</v>
      </c>
      <c r="H2274">
        <v>4.75</v>
      </c>
      <c r="I2274">
        <v>4.8499999999999996</v>
      </c>
      <c r="J2274">
        <v>6305</v>
      </c>
      <c r="K2274">
        <v>30241.05</v>
      </c>
      <c r="L2274" s="1">
        <v>45240</v>
      </c>
      <c r="M2274">
        <v>25</v>
      </c>
      <c r="N2274" t="s">
        <v>5052</v>
      </c>
      <c r="O2274" s="5">
        <v>45240</v>
      </c>
      <c r="P2274" s="5">
        <v>43777</v>
      </c>
    </row>
    <row r="2275" spans="1:16" x14ac:dyDescent="0.25">
      <c r="A2275" t="s">
        <v>5053</v>
      </c>
      <c r="B2275" t="str">
        <v>TARC Limited</v>
      </c>
      <c r="C2275" t="s">
        <v>14</v>
      </c>
      <c r="D2275">
        <v>96.6</v>
      </c>
      <c r="E2275">
        <v>103.8</v>
      </c>
      <c r="F2275">
        <v>96.45</v>
      </c>
      <c r="G2275" s="3">
        <v>100.4</v>
      </c>
      <c r="H2275">
        <v>99.7</v>
      </c>
      <c r="I2275">
        <v>99.8</v>
      </c>
      <c r="J2275">
        <v>2135968</v>
      </c>
      <c r="K2275">
        <v>216625167.15000001</v>
      </c>
      <c r="L2275" s="1">
        <v>45240</v>
      </c>
      <c r="M2275">
        <v>8353</v>
      </c>
      <c r="N2275" t="s">
        <v>5055</v>
      </c>
      <c r="O2275" s="5">
        <v>45240</v>
      </c>
      <c r="P2275" s="5">
        <v>43777</v>
      </c>
    </row>
    <row r="2276" spans="1:16" x14ac:dyDescent="0.25">
      <c r="A2276" t="s">
        <v>5056</v>
      </c>
      <c r="B2276" t="str">
        <v>Tarmat Limited</v>
      </c>
      <c r="C2276" t="s">
        <v>14</v>
      </c>
      <c r="D2276">
        <v>80.400000000000006</v>
      </c>
      <c r="E2276">
        <v>83.9</v>
      </c>
      <c r="F2276">
        <v>80.400000000000006</v>
      </c>
      <c r="G2276" s="3">
        <v>82.65</v>
      </c>
      <c r="H2276">
        <v>82.55</v>
      </c>
      <c r="I2276">
        <v>82.3</v>
      </c>
      <c r="J2276">
        <v>25285</v>
      </c>
      <c r="K2276">
        <v>2086091.85</v>
      </c>
      <c r="L2276" s="1">
        <v>45240</v>
      </c>
      <c r="M2276">
        <v>503</v>
      </c>
      <c r="N2276" t="s">
        <v>5058</v>
      </c>
      <c r="O2276" s="5">
        <v>45240</v>
      </c>
      <c r="P2276" s="5">
        <v>43777</v>
      </c>
    </row>
    <row r="2277" spans="1:16" x14ac:dyDescent="0.25">
      <c r="A2277" t="s">
        <v>5059</v>
      </c>
      <c r="B2277" t="str">
        <v>Tarsons Products Limited</v>
      </c>
      <c r="C2277" t="s">
        <v>14</v>
      </c>
      <c r="D2277">
        <v>502</v>
      </c>
      <c r="E2277">
        <v>502</v>
      </c>
      <c r="F2277">
        <v>488.2</v>
      </c>
      <c r="G2277" s="3">
        <v>490.6</v>
      </c>
      <c r="H2277">
        <v>488.2</v>
      </c>
      <c r="I2277">
        <v>502.25</v>
      </c>
      <c r="J2277">
        <v>44187</v>
      </c>
      <c r="K2277">
        <v>21779493.949999999</v>
      </c>
      <c r="L2277" s="1">
        <v>45240</v>
      </c>
      <c r="M2277">
        <v>4711</v>
      </c>
      <c r="N2277" t="s">
        <v>5061</v>
      </c>
      <c r="O2277" s="5">
        <v>45240</v>
      </c>
      <c r="P2277" s="5">
        <v>43777</v>
      </c>
    </row>
    <row r="2278" spans="1:16" x14ac:dyDescent="0.25">
      <c r="A2278" t="s">
        <v>5062</v>
      </c>
      <c r="B2278" t="str">
        <v>Tasty Bite Eatables Limited</v>
      </c>
      <c r="C2278" t="s">
        <v>14</v>
      </c>
      <c r="D2278">
        <v>15925.65</v>
      </c>
      <c r="E2278">
        <v>16299</v>
      </c>
      <c r="F2278">
        <v>15650</v>
      </c>
      <c r="G2278" s="3">
        <v>15672.45</v>
      </c>
      <c r="H2278">
        <v>15659.7</v>
      </c>
      <c r="I2278">
        <v>15938.65</v>
      </c>
      <c r="J2278">
        <v>2142</v>
      </c>
      <c r="K2278">
        <v>33966157.049999997</v>
      </c>
      <c r="L2278" s="1">
        <v>45240</v>
      </c>
      <c r="M2278">
        <v>1117</v>
      </c>
      <c r="N2278" t="s">
        <v>5064</v>
      </c>
      <c r="O2278" s="5">
        <v>45240</v>
      </c>
      <c r="P2278" s="5">
        <v>43777</v>
      </c>
    </row>
    <row r="2279" spans="1:16" x14ac:dyDescent="0.25">
      <c r="A2279" t="s">
        <v>5875</v>
      </c>
      <c r="B2279" t="str">
        <v>Not Found</v>
      </c>
      <c r="C2279" t="s">
        <v>5874</v>
      </c>
      <c r="D2279">
        <v>1066</v>
      </c>
      <c r="E2279">
        <v>1066</v>
      </c>
      <c r="F2279">
        <v>1066</v>
      </c>
      <c r="G2279" s="3">
        <v>1066</v>
      </c>
      <c r="H2279">
        <v>1066</v>
      </c>
      <c r="I2279">
        <v>1034.9000000000001</v>
      </c>
      <c r="J2279">
        <v>30</v>
      </c>
      <c r="K2279">
        <v>31980</v>
      </c>
      <c r="L2279" s="1">
        <v>45240</v>
      </c>
      <c r="M2279">
        <v>1</v>
      </c>
      <c r="N2279" t="s">
        <v>5873</v>
      </c>
      <c r="O2279" s="5">
        <v>45240</v>
      </c>
      <c r="P2279" s="5">
        <v>43777</v>
      </c>
    </row>
    <row r="2280" spans="1:16" x14ac:dyDescent="0.25">
      <c r="A2280" t="s">
        <v>5065</v>
      </c>
      <c r="B2280" t="str">
        <v>Tata Chemicals Limited</v>
      </c>
      <c r="C2280" t="s">
        <v>14</v>
      </c>
      <c r="D2280">
        <v>958</v>
      </c>
      <c r="E2280">
        <v>967.3</v>
      </c>
      <c r="F2280">
        <v>952.6</v>
      </c>
      <c r="G2280" s="3">
        <v>963.95</v>
      </c>
      <c r="H2280">
        <v>965.45</v>
      </c>
      <c r="I2280">
        <v>959.1</v>
      </c>
      <c r="J2280">
        <v>436075</v>
      </c>
      <c r="K2280">
        <v>418628812.10000002</v>
      </c>
      <c r="L2280" s="1">
        <v>45240</v>
      </c>
      <c r="M2280">
        <v>16580</v>
      </c>
      <c r="N2280" t="s">
        <v>5067</v>
      </c>
      <c r="O2280" s="5">
        <v>45240</v>
      </c>
      <c r="P2280" s="5">
        <v>43777</v>
      </c>
    </row>
    <row r="2281" spans="1:16" x14ac:dyDescent="0.25">
      <c r="A2281" t="s">
        <v>5068</v>
      </c>
      <c r="B2281" t="str">
        <v>Tata Coffee Limited</v>
      </c>
      <c r="C2281" t="s">
        <v>14</v>
      </c>
      <c r="D2281">
        <v>265</v>
      </c>
      <c r="E2281">
        <v>270.95</v>
      </c>
      <c r="F2281">
        <v>263.05</v>
      </c>
      <c r="G2281" s="3">
        <v>269.75</v>
      </c>
      <c r="H2281">
        <v>269.7</v>
      </c>
      <c r="I2281">
        <v>265.14999999999998</v>
      </c>
      <c r="J2281">
        <v>361427</v>
      </c>
      <c r="K2281">
        <v>96758870</v>
      </c>
      <c r="L2281" s="1">
        <v>45240</v>
      </c>
      <c r="M2281">
        <v>4587</v>
      </c>
      <c r="N2281" t="s">
        <v>5070</v>
      </c>
      <c r="O2281" s="5">
        <v>45240</v>
      </c>
      <c r="P2281" s="5">
        <v>43777</v>
      </c>
    </row>
    <row r="2282" spans="1:16" x14ac:dyDescent="0.25">
      <c r="A2282" t="s">
        <v>5071</v>
      </c>
      <c r="B2282" t="str">
        <v>Tata Communications Limited</v>
      </c>
      <c r="C2282" t="s">
        <v>14</v>
      </c>
      <c r="D2282">
        <v>1706.7</v>
      </c>
      <c r="E2282">
        <v>1717.85</v>
      </c>
      <c r="F2282">
        <v>1691</v>
      </c>
      <c r="G2282" s="3">
        <v>1708.7</v>
      </c>
      <c r="H2282">
        <v>1713.9</v>
      </c>
      <c r="I2282">
        <v>1707.15</v>
      </c>
      <c r="J2282">
        <v>244826</v>
      </c>
      <c r="K2282">
        <v>416796805.60000002</v>
      </c>
      <c r="L2282" s="1">
        <v>45240</v>
      </c>
      <c r="M2282">
        <v>13906</v>
      </c>
      <c r="N2282" t="s">
        <v>5073</v>
      </c>
      <c r="O2282" s="5">
        <v>45240</v>
      </c>
      <c r="P2282" s="5">
        <v>43777</v>
      </c>
    </row>
    <row r="2283" spans="1:16" x14ac:dyDescent="0.25">
      <c r="A2283" t="s">
        <v>5074</v>
      </c>
      <c r="B2283" t="str">
        <v>TATA CONSUMER PRODUCTS LIMITED</v>
      </c>
      <c r="C2283" t="s">
        <v>14</v>
      </c>
      <c r="D2283">
        <v>902.85</v>
      </c>
      <c r="E2283">
        <v>916.85</v>
      </c>
      <c r="F2283">
        <v>896.5</v>
      </c>
      <c r="G2283" s="3">
        <v>912.7</v>
      </c>
      <c r="H2283">
        <v>914.35</v>
      </c>
      <c r="I2283">
        <v>902.85</v>
      </c>
      <c r="J2283">
        <v>3846444</v>
      </c>
      <c r="K2283">
        <v>3484423739.4499998</v>
      </c>
      <c r="L2283" s="1">
        <v>45240</v>
      </c>
      <c r="M2283">
        <v>53525</v>
      </c>
      <c r="N2283" t="s">
        <v>5076</v>
      </c>
      <c r="O2283" s="5">
        <v>45240</v>
      </c>
      <c r="P2283" s="5">
        <v>43777</v>
      </c>
    </row>
    <row r="2284" spans="1:16" x14ac:dyDescent="0.25">
      <c r="A2284" t="s">
        <v>5077</v>
      </c>
      <c r="B2284" t="str">
        <v>Tata Elxsi Limited</v>
      </c>
      <c r="C2284" t="s">
        <v>14</v>
      </c>
      <c r="D2284">
        <v>8090.95</v>
      </c>
      <c r="E2284">
        <v>8091</v>
      </c>
      <c r="F2284">
        <v>7955.55</v>
      </c>
      <c r="G2284" s="3">
        <v>8055.05</v>
      </c>
      <c r="H2284">
        <v>8077</v>
      </c>
      <c r="I2284">
        <v>8050.9</v>
      </c>
      <c r="J2284">
        <v>88542</v>
      </c>
      <c r="K2284">
        <v>709602916.64999998</v>
      </c>
      <c r="L2284" s="1">
        <v>45240</v>
      </c>
      <c r="M2284">
        <v>13777</v>
      </c>
      <c r="N2284" t="s">
        <v>5079</v>
      </c>
      <c r="O2284" s="5">
        <v>45240</v>
      </c>
      <c r="P2284" s="5">
        <v>43777</v>
      </c>
    </row>
    <row r="2285" spans="1:16" x14ac:dyDescent="0.25">
      <c r="A2285" t="s">
        <v>5080</v>
      </c>
      <c r="B2285" t="str">
        <v>Tata Investment Corporation Limited</v>
      </c>
      <c r="C2285" t="s">
        <v>14</v>
      </c>
      <c r="D2285">
        <v>3199.2</v>
      </c>
      <c r="E2285">
        <v>3218.7</v>
      </c>
      <c r="F2285">
        <v>3166.65</v>
      </c>
      <c r="G2285" s="3">
        <v>3194.95</v>
      </c>
      <c r="H2285">
        <v>3205</v>
      </c>
      <c r="I2285">
        <v>3198.25</v>
      </c>
      <c r="J2285">
        <v>30395</v>
      </c>
      <c r="K2285">
        <v>97033821.049999997</v>
      </c>
      <c r="L2285" s="1">
        <v>45240</v>
      </c>
      <c r="M2285">
        <v>4471</v>
      </c>
      <c r="N2285" t="s">
        <v>5082</v>
      </c>
      <c r="O2285" s="5">
        <v>45240</v>
      </c>
      <c r="P2285" s="5">
        <v>43777</v>
      </c>
    </row>
    <row r="2286" spans="1:16" x14ac:dyDescent="0.25">
      <c r="A2286" t="s">
        <v>5083</v>
      </c>
      <c r="B2286" t="str">
        <v>Tata Metaliks Limited</v>
      </c>
      <c r="C2286" t="s">
        <v>14</v>
      </c>
      <c r="D2286">
        <v>917</v>
      </c>
      <c r="E2286">
        <v>922</v>
      </c>
      <c r="F2286">
        <v>907.35</v>
      </c>
      <c r="G2286" s="3">
        <v>920.1</v>
      </c>
      <c r="H2286">
        <v>922</v>
      </c>
      <c r="I2286">
        <v>914.4</v>
      </c>
      <c r="J2286">
        <v>25287</v>
      </c>
      <c r="K2286">
        <v>23179422.850000001</v>
      </c>
      <c r="L2286" s="1">
        <v>45240</v>
      </c>
      <c r="M2286">
        <v>2154</v>
      </c>
      <c r="N2286" t="s">
        <v>5085</v>
      </c>
      <c r="O2286" s="5">
        <v>45240</v>
      </c>
      <c r="P2286" s="5">
        <v>43777</v>
      </c>
    </row>
    <row r="2287" spans="1:16" x14ac:dyDescent="0.25">
      <c r="A2287" t="s">
        <v>5086</v>
      </c>
      <c r="B2287" t="str">
        <v>Tata Motors Limited</v>
      </c>
      <c r="C2287" t="s">
        <v>14</v>
      </c>
      <c r="D2287">
        <v>649.35</v>
      </c>
      <c r="E2287">
        <v>652.95000000000005</v>
      </c>
      <c r="F2287">
        <v>644</v>
      </c>
      <c r="G2287" s="3">
        <v>651.04999999999995</v>
      </c>
      <c r="H2287">
        <v>651.54999999999995</v>
      </c>
      <c r="I2287">
        <v>649.35</v>
      </c>
      <c r="J2287">
        <v>6425792</v>
      </c>
      <c r="K2287">
        <v>4170291613.5</v>
      </c>
      <c r="L2287" s="1">
        <v>45240</v>
      </c>
      <c r="M2287">
        <v>127973</v>
      </c>
      <c r="N2287" t="s">
        <v>5088</v>
      </c>
      <c r="O2287" s="5">
        <v>45240</v>
      </c>
      <c r="P2287" s="5">
        <v>43777</v>
      </c>
    </row>
    <row r="2288" spans="1:16" x14ac:dyDescent="0.25">
      <c r="A2288" t="s">
        <v>5089</v>
      </c>
      <c r="B2288" t="str">
        <v>Tata Motors Limited</v>
      </c>
      <c r="C2288" t="s">
        <v>14</v>
      </c>
      <c r="D2288">
        <v>442.75</v>
      </c>
      <c r="E2288">
        <v>446.9</v>
      </c>
      <c r="F2288">
        <v>439.35</v>
      </c>
      <c r="G2288" s="3">
        <v>443.45</v>
      </c>
      <c r="H2288">
        <v>443.8</v>
      </c>
      <c r="I2288">
        <v>445.05</v>
      </c>
      <c r="J2288">
        <v>1803175</v>
      </c>
      <c r="K2288">
        <v>798449176.64999998</v>
      </c>
      <c r="L2288" s="1">
        <v>45240</v>
      </c>
      <c r="M2288">
        <v>30637</v>
      </c>
      <c r="N2288" t="s">
        <v>5090</v>
      </c>
      <c r="O2288" s="5">
        <v>45240</v>
      </c>
      <c r="P2288" s="5">
        <v>43777</v>
      </c>
    </row>
    <row r="2289" spans="1:16" x14ac:dyDescent="0.25">
      <c r="A2289" t="s">
        <v>5091</v>
      </c>
      <c r="B2289" t="str">
        <v>Tata Power Company Limited</v>
      </c>
      <c r="C2289" t="s">
        <v>14</v>
      </c>
      <c r="D2289">
        <v>248</v>
      </c>
      <c r="E2289">
        <v>251.85</v>
      </c>
      <c r="F2289">
        <v>246.85</v>
      </c>
      <c r="G2289" s="3">
        <v>251.4</v>
      </c>
      <c r="H2289">
        <v>251.5</v>
      </c>
      <c r="I2289">
        <v>248</v>
      </c>
      <c r="J2289">
        <v>6974541</v>
      </c>
      <c r="K2289">
        <v>1745533323.2</v>
      </c>
      <c r="L2289" s="1">
        <v>45240</v>
      </c>
      <c r="M2289">
        <v>60799</v>
      </c>
      <c r="N2289" t="s">
        <v>5093</v>
      </c>
      <c r="O2289" s="5">
        <v>45240</v>
      </c>
      <c r="P2289" s="5">
        <v>43777</v>
      </c>
    </row>
    <row r="2290" spans="1:16" x14ac:dyDescent="0.25">
      <c r="A2290" t="s">
        <v>5094</v>
      </c>
      <c r="B2290" t="str">
        <v>Tata Steel Limited</v>
      </c>
      <c r="C2290" t="s">
        <v>14</v>
      </c>
      <c r="D2290">
        <v>119.5</v>
      </c>
      <c r="E2290">
        <v>120.45</v>
      </c>
      <c r="F2290">
        <v>118.8</v>
      </c>
      <c r="G2290" s="3">
        <v>120.05</v>
      </c>
      <c r="H2290">
        <v>120.15</v>
      </c>
      <c r="I2290">
        <v>119.65</v>
      </c>
      <c r="J2290">
        <v>23584510</v>
      </c>
      <c r="K2290">
        <v>2825663511.4499998</v>
      </c>
      <c r="L2290" s="1">
        <v>45240</v>
      </c>
      <c r="M2290">
        <v>137597</v>
      </c>
      <c r="N2290" t="s">
        <v>5096</v>
      </c>
      <c r="O2290" s="5">
        <v>45240</v>
      </c>
      <c r="P2290" s="5">
        <v>43777</v>
      </c>
    </row>
    <row r="2291" spans="1:16" x14ac:dyDescent="0.25">
      <c r="A2291" t="s">
        <v>5097</v>
      </c>
      <c r="B2291" t="str">
        <v>Tata Steel Long Products Limited</v>
      </c>
      <c r="C2291" t="s">
        <v>14</v>
      </c>
      <c r="D2291">
        <v>786.55</v>
      </c>
      <c r="E2291">
        <v>805</v>
      </c>
      <c r="F2291">
        <v>786.55</v>
      </c>
      <c r="G2291" s="3">
        <v>800.4</v>
      </c>
      <c r="H2291">
        <v>802.85</v>
      </c>
      <c r="I2291">
        <v>797.3</v>
      </c>
      <c r="J2291">
        <v>62531</v>
      </c>
      <c r="K2291">
        <v>49911766.700000003</v>
      </c>
      <c r="L2291" s="1">
        <v>45240</v>
      </c>
      <c r="M2291">
        <v>1959</v>
      </c>
      <c r="N2291" t="s">
        <v>5099</v>
      </c>
      <c r="O2291" s="5">
        <v>45240</v>
      </c>
      <c r="P2291" s="5">
        <v>43777</v>
      </c>
    </row>
    <row r="2292" spans="1:16" x14ac:dyDescent="0.25">
      <c r="A2292" t="s">
        <v>5100</v>
      </c>
      <c r="B2292" t="str">
        <v>Tatva Chintan Pharma Chem Limited</v>
      </c>
      <c r="C2292" t="s">
        <v>14</v>
      </c>
      <c r="D2292">
        <v>1492.95</v>
      </c>
      <c r="E2292">
        <v>1495</v>
      </c>
      <c r="F2292">
        <v>1453.05</v>
      </c>
      <c r="G2292" s="3">
        <v>1486.6</v>
      </c>
      <c r="H2292">
        <v>1481.5</v>
      </c>
      <c r="I2292">
        <v>1493.15</v>
      </c>
      <c r="J2292">
        <v>6519</v>
      </c>
      <c r="K2292">
        <v>9665307.3499999996</v>
      </c>
      <c r="L2292" s="1">
        <v>45240</v>
      </c>
      <c r="M2292">
        <v>1236</v>
      </c>
      <c r="N2292" t="s">
        <v>5102</v>
      </c>
      <c r="O2292" s="5">
        <v>45240</v>
      </c>
      <c r="P2292" s="5">
        <v>43777</v>
      </c>
    </row>
    <row r="2293" spans="1:16" x14ac:dyDescent="0.25">
      <c r="A2293" t="s">
        <v>5103</v>
      </c>
      <c r="B2293" t="str">
        <v>Tribhovandas Bhimji Zaveri Limited</v>
      </c>
      <c r="C2293" t="s">
        <v>14</v>
      </c>
      <c r="D2293">
        <v>128.80000000000001</v>
      </c>
      <c r="E2293">
        <v>128.80000000000001</v>
      </c>
      <c r="F2293">
        <v>124.9</v>
      </c>
      <c r="G2293" s="3">
        <v>125.3</v>
      </c>
      <c r="H2293">
        <v>125.9</v>
      </c>
      <c r="I2293">
        <v>128.69999999999999</v>
      </c>
      <c r="J2293">
        <v>277691</v>
      </c>
      <c r="K2293">
        <v>35054920.299999997</v>
      </c>
      <c r="L2293" s="1">
        <v>45240</v>
      </c>
      <c r="M2293">
        <v>4369</v>
      </c>
      <c r="N2293" t="s">
        <v>5105</v>
      </c>
      <c r="O2293" s="5">
        <v>45240</v>
      </c>
      <c r="P2293" s="5">
        <v>43777</v>
      </c>
    </row>
    <row r="2294" spans="1:16" x14ac:dyDescent="0.25">
      <c r="A2294" t="s">
        <v>5866</v>
      </c>
      <c r="B2294" t="str">
        <v>Not Found</v>
      </c>
      <c r="C2294" t="s">
        <v>5872</v>
      </c>
      <c r="D2294">
        <v>1091</v>
      </c>
      <c r="E2294">
        <v>1091</v>
      </c>
      <c r="F2294">
        <v>1091</v>
      </c>
      <c r="G2294" s="3">
        <v>1091</v>
      </c>
      <c r="H2294">
        <v>1091</v>
      </c>
      <c r="I2294">
        <v>1065</v>
      </c>
      <c r="J2294">
        <v>45</v>
      </c>
      <c r="K2294">
        <v>49095</v>
      </c>
      <c r="L2294" s="1">
        <v>45240</v>
      </c>
      <c r="M2294">
        <v>1</v>
      </c>
      <c r="N2294" t="s">
        <v>5871</v>
      </c>
      <c r="O2294" s="5">
        <v>45240</v>
      </c>
      <c r="P2294" s="5">
        <v>43777</v>
      </c>
    </row>
    <row r="2295" spans="1:16" x14ac:dyDescent="0.25">
      <c r="A2295" t="s">
        <v>5866</v>
      </c>
      <c r="B2295" t="str">
        <v>Not Found</v>
      </c>
      <c r="C2295" t="s">
        <v>5870</v>
      </c>
      <c r="D2295">
        <v>1022</v>
      </c>
      <c r="E2295">
        <v>1022</v>
      </c>
      <c r="F2295">
        <v>1022</v>
      </c>
      <c r="G2295" s="3">
        <v>1022</v>
      </c>
      <c r="H2295">
        <v>1022</v>
      </c>
      <c r="I2295">
        <v>1018.44</v>
      </c>
      <c r="J2295">
        <v>5</v>
      </c>
      <c r="K2295">
        <v>5110</v>
      </c>
      <c r="L2295" s="1">
        <v>45240</v>
      </c>
      <c r="M2295">
        <v>1</v>
      </c>
      <c r="N2295" t="s">
        <v>5869</v>
      </c>
      <c r="O2295" s="5">
        <v>45240</v>
      </c>
      <c r="P2295" s="5">
        <v>43777</v>
      </c>
    </row>
    <row r="2296" spans="1:16" x14ac:dyDescent="0.25">
      <c r="A2296" t="s">
        <v>5866</v>
      </c>
      <c r="B2296" t="str">
        <v>Not Found</v>
      </c>
      <c r="C2296" t="s">
        <v>5868</v>
      </c>
      <c r="D2296">
        <v>1037</v>
      </c>
      <c r="E2296">
        <v>1043.99</v>
      </c>
      <c r="F2296">
        <v>1036</v>
      </c>
      <c r="G2296" s="3">
        <v>1037.47</v>
      </c>
      <c r="H2296">
        <v>1040</v>
      </c>
      <c r="I2296">
        <v>1037</v>
      </c>
      <c r="J2296">
        <v>1031</v>
      </c>
      <c r="K2296">
        <v>1069207.02</v>
      </c>
      <c r="L2296" s="1">
        <v>45240</v>
      </c>
      <c r="M2296">
        <v>15</v>
      </c>
      <c r="N2296" t="s">
        <v>5867</v>
      </c>
      <c r="O2296" s="5">
        <v>45240</v>
      </c>
      <c r="P2296" s="5">
        <v>43777</v>
      </c>
    </row>
    <row r="2297" spans="1:16" x14ac:dyDescent="0.25">
      <c r="A2297" t="s">
        <v>5866</v>
      </c>
      <c r="B2297" t="str">
        <v>Not Found</v>
      </c>
      <c r="C2297" t="s">
        <v>5865</v>
      </c>
      <c r="D2297">
        <v>1060</v>
      </c>
      <c r="E2297">
        <v>1060</v>
      </c>
      <c r="F2297">
        <v>1060</v>
      </c>
      <c r="G2297" s="3">
        <v>1060</v>
      </c>
      <c r="H2297">
        <v>1060</v>
      </c>
      <c r="I2297">
        <v>1059.9000000000001</v>
      </c>
      <c r="J2297">
        <v>6</v>
      </c>
      <c r="K2297">
        <v>6360</v>
      </c>
      <c r="L2297" s="1">
        <v>45240</v>
      </c>
      <c r="M2297">
        <v>1</v>
      </c>
      <c r="N2297" t="s">
        <v>5864</v>
      </c>
      <c r="O2297" s="5">
        <v>45240</v>
      </c>
      <c r="P2297" s="5">
        <v>43777</v>
      </c>
    </row>
    <row r="2298" spans="1:16" x14ac:dyDescent="0.25">
      <c r="A2298" t="s">
        <v>5106</v>
      </c>
      <c r="B2298" t="str">
        <v>Transport Corporation of India Limited</v>
      </c>
      <c r="C2298" t="s">
        <v>14</v>
      </c>
      <c r="D2298">
        <v>867.5</v>
      </c>
      <c r="E2298">
        <v>898</v>
      </c>
      <c r="F2298">
        <v>862.05</v>
      </c>
      <c r="G2298" s="3">
        <v>892.65</v>
      </c>
      <c r="H2298">
        <v>896.35</v>
      </c>
      <c r="I2298">
        <v>867.5</v>
      </c>
      <c r="J2298">
        <v>48946</v>
      </c>
      <c r="K2298">
        <v>43349761</v>
      </c>
      <c r="L2298" s="1">
        <v>45240</v>
      </c>
      <c r="M2298">
        <v>6430</v>
      </c>
      <c r="N2298" t="s">
        <v>5108</v>
      </c>
      <c r="O2298" s="5">
        <v>45240</v>
      </c>
      <c r="P2298" s="5">
        <v>43777</v>
      </c>
    </row>
    <row r="2299" spans="1:16" x14ac:dyDescent="0.25">
      <c r="A2299" t="s">
        <v>5109</v>
      </c>
      <c r="B2299" t="str">
        <v>TCI Express Limited</v>
      </c>
      <c r="C2299" t="s">
        <v>14</v>
      </c>
      <c r="D2299">
        <v>1344</v>
      </c>
      <c r="E2299">
        <v>1344</v>
      </c>
      <c r="F2299">
        <v>1329.05</v>
      </c>
      <c r="G2299" s="3">
        <v>1339.8</v>
      </c>
      <c r="H2299">
        <v>1343.85</v>
      </c>
      <c r="I2299">
        <v>1334.7</v>
      </c>
      <c r="J2299">
        <v>10962</v>
      </c>
      <c r="K2299">
        <v>14662648.9</v>
      </c>
      <c r="L2299" s="1">
        <v>45240</v>
      </c>
      <c r="M2299">
        <v>2055</v>
      </c>
      <c r="N2299" t="s">
        <v>5111</v>
      </c>
      <c r="O2299" s="5">
        <v>45240</v>
      </c>
      <c r="P2299" s="5">
        <v>43777</v>
      </c>
    </row>
    <row r="2300" spans="1:16" x14ac:dyDescent="0.25">
      <c r="A2300" t="s">
        <v>5112</v>
      </c>
      <c r="B2300" t="str">
        <v>Tantia Constructions Limited</v>
      </c>
      <c r="C2300" t="s">
        <v>10</v>
      </c>
      <c r="D2300">
        <v>24.1</v>
      </c>
      <c r="E2300">
        <v>24.2</v>
      </c>
      <c r="F2300">
        <v>22.5</v>
      </c>
      <c r="G2300" s="3">
        <v>22.65</v>
      </c>
      <c r="H2300">
        <v>23.3</v>
      </c>
      <c r="I2300">
        <v>23.6</v>
      </c>
      <c r="J2300">
        <v>16888</v>
      </c>
      <c r="K2300">
        <v>389188.3</v>
      </c>
      <c r="L2300" s="1">
        <v>45240</v>
      </c>
      <c r="M2300">
        <v>95</v>
      </c>
      <c r="N2300" t="s">
        <v>5114</v>
      </c>
      <c r="O2300" s="5">
        <v>45240</v>
      </c>
      <c r="P2300" s="5">
        <v>43777</v>
      </c>
    </row>
    <row r="2301" spans="1:16" x14ac:dyDescent="0.25">
      <c r="A2301" t="s">
        <v>5115</v>
      </c>
      <c r="B2301" t="str">
        <v>TCNS Clothing Co. Limited</v>
      </c>
      <c r="C2301" t="s">
        <v>14</v>
      </c>
      <c r="D2301">
        <v>350</v>
      </c>
      <c r="E2301">
        <v>362.05</v>
      </c>
      <c r="F2301">
        <v>344.9</v>
      </c>
      <c r="G2301" s="3">
        <v>358.85</v>
      </c>
      <c r="H2301">
        <v>359.8</v>
      </c>
      <c r="I2301">
        <v>355.1</v>
      </c>
      <c r="J2301">
        <v>127403</v>
      </c>
      <c r="K2301">
        <v>45121145.450000003</v>
      </c>
      <c r="L2301" s="1">
        <v>45240</v>
      </c>
      <c r="M2301">
        <v>3274</v>
      </c>
      <c r="N2301" t="s">
        <v>5117</v>
      </c>
      <c r="O2301" s="5">
        <v>45240</v>
      </c>
      <c r="P2301" s="5">
        <v>43777</v>
      </c>
    </row>
    <row r="2302" spans="1:16" x14ac:dyDescent="0.25">
      <c r="A2302" t="s">
        <v>5118</v>
      </c>
      <c r="B2302" t="str">
        <v>TCPL Packaging Limited</v>
      </c>
      <c r="C2302" t="s">
        <v>14</v>
      </c>
      <c r="D2302">
        <v>2122</v>
      </c>
      <c r="E2302">
        <v>2176</v>
      </c>
      <c r="F2302">
        <v>2090.4</v>
      </c>
      <c r="G2302" s="3">
        <v>2155.3000000000002</v>
      </c>
      <c r="H2302">
        <v>2169.65</v>
      </c>
      <c r="I2302">
        <v>2110.4</v>
      </c>
      <c r="J2302">
        <v>13104</v>
      </c>
      <c r="K2302">
        <v>28150401.550000001</v>
      </c>
      <c r="L2302" s="1">
        <v>45240</v>
      </c>
      <c r="M2302">
        <v>2737</v>
      </c>
      <c r="N2302" t="s">
        <v>5120</v>
      </c>
      <c r="O2302" s="5">
        <v>45240</v>
      </c>
      <c r="P2302" s="5">
        <v>43777</v>
      </c>
    </row>
    <row r="2303" spans="1:16" x14ac:dyDescent="0.25">
      <c r="A2303" t="s">
        <v>5121</v>
      </c>
      <c r="B2303" t="str">
        <v>Tata Consultancy Services Limited</v>
      </c>
      <c r="C2303" t="s">
        <v>14</v>
      </c>
      <c r="D2303">
        <v>3338</v>
      </c>
      <c r="E2303">
        <v>3347.45</v>
      </c>
      <c r="F2303">
        <v>3322.35</v>
      </c>
      <c r="G2303" s="3">
        <v>3333.45</v>
      </c>
      <c r="H2303">
        <v>3341</v>
      </c>
      <c r="I2303">
        <v>3347.45</v>
      </c>
      <c r="J2303">
        <v>1338557</v>
      </c>
      <c r="K2303">
        <v>4459665543.6000004</v>
      </c>
      <c r="L2303" s="1">
        <v>45240</v>
      </c>
      <c r="M2303">
        <v>93667</v>
      </c>
      <c r="N2303" t="s">
        <v>5123</v>
      </c>
      <c r="O2303" s="5">
        <v>45240</v>
      </c>
      <c r="P2303" s="5">
        <v>43777</v>
      </c>
    </row>
    <row r="2304" spans="1:16" x14ac:dyDescent="0.25">
      <c r="A2304" t="s">
        <v>5124</v>
      </c>
      <c r="B2304" t="str">
        <v>TD Power Systems Limited</v>
      </c>
      <c r="C2304" t="s">
        <v>14</v>
      </c>
      <c r="D2304">
        <v>271</v>
      </c>
      <c r="E2304">
        <v>271.85000000000002</v>
      </c>
      <c r="F2304">
        <v>262.3</v>
      </c>
      <c r="G2304" s="3">
        <v>263.35000000000002</v>
      </c>
      <c r="H2304">
        <v>263</v>
      </c>
      <c r="I2304">
        <v>272.25</v>
      </c>
      <c r="J2304">
        <v>362597</v>
      </c>
      <c r="K2304">
        <v>96222485.849999994</v>
      </c>
      <c r="L2304" s="1">
        <v>45240</v>
      </c>
      <c r="M2304">
        <v>14172</v>
      </c>
      <c r="N2304" t="s">
        <v>5126</v>
      </c>
      <c r="O2304" s="5">
        <v>45240</v>
      </c>
      <c r="P2304" s="5">
        <v>43777</v>
      </c>
    </row>
    <row r="2305" spans="1:16" x14ac:dyDescent="0.25">
      <c r="A2305" t="s">
        <v>5127</v>
      </c>
      <c r="B2305" t="str">
        <v>Teamlease Services Limited</v>
      </c>
      <c r="C2305" t="s">
        <v>14</v>
      </c>
      <c r="D2305">
        <v>2475</v>
      </c>
      <c r="E2305">
        <v>2494.0500000000002</v>
      </c>
      <c r="F2305">
        <v>2444</v>
      </c>
      <c r="G2305" s="3">
        <v>2457.6</v>
      </c>
      <c r="H2305">
        <v>2486</v>
      </c>
      <c r="I2305">
        <v>2490.85</v>
      </c>
      <c r="J2305">
        <v>92203</v>
      </c>
      <c r="K2305">
        <v>226273626.09999999</v>
      </c>
      <c r="L2305" s="1">
        <v>45240</v>
      </c>
      <c r="M2305">
        <v>4306</v>
      </c>
      <c r="N2305" t="s">
        <v>5129</v>
      </c>
      <c r="O2305" s="5">
        <v>45240</v>
      </c>
      <c r="P2305" s="5">
        <v>43777</v>
      </c>
    </row>
    <row r="2306" spans="1:16" x14ac:dyDescent="0.25">
      <c r="A2306" t="s">
        <v>5863</v>
      </c>
      <c r="B2306" t="str">
        <v>Not Found</v>
      </c>
      <c r="C2306" t="s">
        <v>14</v>
      </c>
      <c r="D2306">
        <v>31.75</v>
      </c>
      <c r="E2306">
        <v>32</v>
      </c>
      <c r="F2306">
        <v>31.56</v>
      </c>
      <c r="G2306" s="3">
        <v>31.73</v>
      </c>
      <c r="H2306">
        <v>31.77</v>
      </c>
      <c r="I2306">
        <v>31.88</v>
      </c>
      <c r="J2306">
        <v>15605</v>
      </c>
      <c r="K2306">
        <v>494323.82</v>
      </c>
      <c r="L2306" s="1">
        <v>45240</v>
      </c>
      <c r="M2306">
        <v>152</v>
      </c>
      <c r="N2306" t="s">
        <v>5862</v>
      </c>
      <c r="O2306" s="5">
        <v>45240</v>
      </c>
      <c r="P2306" s="5">
        <v>43777</v>
      </c>
    </row>
    <row r="2307" spans="1:16" x14ac:dyDescent="0.25">
      <c r="A2307" t="s">
        <v>5130</v>
      </c>
      <c r="B2307" t="str">
        <v>Techindia Nirman Limited</v>
      </c>
      <c r="C2307" t="s">
        <v>10</v>
      </c>
      <c r="D2307">
        <v>14.25</v>
      </c>
      <c r="E2307">
        <v>14.25</v>
      </c>
      <c r="F2307">
        <v>14</v>
      </c>
      <c r="G2307" s="3">
        <v>14</v>
      </c>
      <c r="H2307">
        <v>14</v>
      </c>
      <c r="I2307">
        <v>14.25</v>
      </c>
      <c r="J2307">
        <v>110</v>
      </c>
      <c r="K2307">
        <v>1552.5</v>
      </c>
      <c r="L2307" s="1">
        <v>45240</v>
      </c>
      <c r="M2307">
        <v>3</v>
      </c>
      <c r="N2307" t="s">
        <v>5132</v>
      </c>
      <c r="O2307" s="5">
        <v>45240</v>
      </c>
      <c r="P2307" s="5">
        <v>43777</v>
      </c>
    </row>
    <row r="2308" spans="1:16" x14ac:dyDescent="0.25">
      <c r="A2308" t="s">
        <v>5133</v>
      </c>
      <c r="B2308" t="str">
        <v>Tech Mahindra Limited</v>
      </c>
      <c r="C2308" t="s">
        <v>14</v>
      </c>
      <c r="D2308">
        <v>1122</v>
      </c>
      <c r="E2308">
        <v>1139.75</v>
      </c>
      <c r="F2308">
        <v>1121.5</v>
      </c>
      <c r="G2308" s="3">
        <v>1138.1500000000001</v>
      </c>
      <c r="H2308">
        <v>1138</v>
      </c>
      <c r="I2308">
        <v>1123.95</v>
      </c>
      <c r="J2308">
        <v>706806</v>
      </c>
      <c r="K2308">
        <v>800633737.14999998</v>
      </c>
      <c r="L2308" s="1">
        <v>45240</v>
      </c>
      <c r="M2308">
        <v>40940</v>
      </c>
      <c r="N2308" t="s">
        <v>5135</v>
      </c>
      <c r="O2308" s="5">
        <v>45240</v>
      </c>
      <c r="P2308" s="5">
        <v>43777</v>
      </c>
    </row>
    <row r="2309" spans="1:16" x14ac:dyDescent="0.25">
      <c r="A2309" t="s">
        <v>5136</v>
      </c>
      <c r="B2309" t="str">
        <v>Techno Electric &amp; Engineering Company Limited</v>
      </c>
      <c r="C2309" t="s">
        <v>14</v>
      </c>
      <c r="D2309">
        <v>579.85</v>
      </c>
      <c r="E2309">
        <v>618</v>
      </c>
      <c r="F2309">
        <v>576.65</v>
      </c>
      <c r="G2309" s="3">
        <v>602.45000000000005</v>
      </c>
      <c r="H2309">
        <v>594.95000000000005</v>
      </c>
      <c r="I2309">
        <v>576.4</v>
      </c>
      <c r="J2309">
        <v>751211</v>
      </c>
      <c r="K2309">
        <v>448360550.19999999</v>
      </c>
      <c r="L2309" s="1">
        <v>45240</v>
      </c>
      <c r="M2309">
        <v>27599</v>
      </c>
      <c r="N2309" t="s">
        <v>5138</v>
      </c>
      <c r="O2309" s="5">
        <v>45240</v>
      </c>
      <c r="P2309" s="5">
        <v>43777</v>
      </c>
    </row>
    <row r="2310" spans="1:16" x14ac:dyDescent="0.25">
      <c r="A2310" t="s">
        <v>5139</v>
      </c>
      <c r="B2310" t="str">
        <v>TECIL Chemicals and Hydro Power Limited</v>
      </c>
      <c r="C2310" t="s">
        <v>10</v>
      </c>
      <c r="D2310">
        <v>21</v>
      </c>
      <c r="E2310">
        <v>21</v>
      </c>
      <c r="F2310">
        <v>21</v>
      </c>
      <c r="G2310" s="3">
        <v>21</v>
      </c>
      <c r="H2310">
        <v>21</v>
      </c>
      <c r="I2310">
        <v>21</v>
      </c>
      <c r="J2310">
        <v>9</v>
      </c>
      <c r="K2310">
        <v>189</v>
      </c>
      <c r="L2310" s="1">
        <v>45240</v>
      </c>
      <c r="M2310">
        <v>1</v>
      </c>
      <c r="N2310" t="s">
        <v>5141</v>
      </c>
      <c r="O2310" s="5">
        <v>45240</v>
      </c>
      <c r="P2310" s="5">
        <v>43777</v>
      </c>
    </row>
    <row r="2311" spans="1:16" x14ac:dyDescent="0.25">
      <c r="A2311" t="s">
        <v>5142</v>
      </c>
      <c r="B2311" t="str">
        <v>Tega Industries Limited</v>
      </c>
      <c r="C2311" t="s">
        <v>14</v>
      </c>
      <c r="D2311">
        <v>1032</v>
      </c>
      <c r="E2311">
        <v>1049</v>
      </c>
      <c r="F2311">
        <v>1012.65</v>
      </c>
      <c r="G2311" s="3">
        <v>1032.7</v>
      </c>
      <c r="H2311">
        <v>1030.5999999999999</v>
      </c>
      <c r="I2311">
        <v>1026.55</v>
      </c>
      <c r="J2311">
        <v>87693</v>
      </c>
      <c r="K2311">
        <v>90550218.799999997</v>
      </c>
      <c r="L2311" s="1">
        <v>45240</v>
      </c>
      <c r="M2311">
        <v>8375</v>
      </c>
      <c r="N2311" t="s">
        <v>5144</v>
      </c>
      <c r="O2311" s="5">
        <v>45240</v>
      </c>
      <c r="P2311" s="5">
        <v>43777</v>
      </c>
    </row>
    <row r="2312" spans="1:16" x14ac:dyDescent="0.25">
      <c r="A2312" t="s">
        <v>5145</v>
      </c>
      <c r="B2312" t="str">
        <v>Tejas Networks Limited</v>
      </c>
      <c r="C2312" t="s">
        <v>14</v>
      </c>
      <c r="D2312">
        <v>841.55</v>
      </c>
      <c r="E2312">
        <v>848.6</v>
      </c>
      <c r="F2312">
        <v>837.25</v>
      </c>
      <c r="G2312" s="3">
        <v>843.45</v>
      </c>
      <c r="H2312">
        <v>842.75</v>
      </c>
      <c r="I2312">
        <v>841.35</v>
      </c>
      <c r="J2312">
        <v>108889</v>
      </c>
      <c r="K2312">
        <v>91811832.849999994</v>
      </c>
      <c r="L2312" s="1">
        <v>45240</v>
      </c>
      <c r="M2312">
        <v>6063</v>
      </c>
      <c r="N2312" t="s">
        <v>5147</v>
      </c>
      <c r="O2312" s="5">
        <v>45240</v>
      </c>
      <c r="P2312" s="5">
        <v>43777</v>
      </c>
    </row>
    <row r="2313" spans="1:16" x14ac:dyDescent="0.25">
      <c r="A2313" t="s">
        <v>5148</v>
      </c>
      <c r="B2313" t="str">
        <v>Tembo Global Industries Limited</v>
      </c>
      <c r="C2313" t="s">
        <v>14</v>
      </c>
      <c r="D2313">
        <v>236.35</v>
      </c>
      <c r="E2313">
        <v>250</v>
      </c>
      <c r="F2313">
        <v>236.35</v>
      </c>
      <c r="G2313" s="3">
        <v>245.8</v>
      </c>
      <c r="H2313">
        <v>243.5</v>
      </c>
      <c r="I2313">
        <v>242.65</v>
      </c>
      <c r="J2313">
        <v>47385</v>
      </c>
      <c r="K2313">
        <v>11661470.449999999</v>
      </c>
      <c r="L2313" s="1">
        <v>45240</v>
      </c>
      <c r="M2313">
        <v>844</v>
      </c>
      <c r="N2313" t="s">
        <v>5150</v>
      </c>
      <c r="O2313" s="5">
        <v>45240</v>
      </c>
      <c r="P2313" s="5">
        <v>43777</v>
      </c>
    </row>
    <row r="2314" spans="1:16" x14ac:dyDescent="0.25">
      <c r="A2314" t="s">
        <v>5151</v>
      </c>
      <c r="B2314" t="str">
        <v>Tera Software Limited</v>
      </c>
      <c r="C2314" t="s">
        <v>14</v>
      </c>
      <c r="D2314">
        <v>43.35</v>
      </c>
      <c r="E2314">
        <v>43.9</v>
      </c>
      <c r="F2314">
        <v>43.2</v>
      </c>
      <c r="G2314" s="3">
        <v>43.4</v>
      </c>
      <c r="H2314">
        <v>43.55</v>
      </c>
      <c r="I2314">
        <v>43.4</v>
      </c>
      <c r="J2314">
        <v>23929</v>
      </c>
      <c r="K2314">
        <v>1040161.05</v>
      </c>
      <c r="L2314" s="1">
        <v>45240</v>
      </c>
      <c r="M2314">
        <v>187</v>
      </c>
      <c r="N2314" t="s">
        <v>5153</v>
      </c>
      <c r="O2314" s="5">
        <v>45240</v>
      </c>
      <c r="P2314" s="5">
        <v>43777</v>
      </c>
    </row>
    <row r="2315" spans="1:16" x14ac:dyDescent="0.25">
      <c r="A2315" t="s">
        <v>5154</v>
      </c>
      <c r="B2315" t="str">
        <v>Texmaco Infrastructure &amp; Holdings Limited</v>
      </c>
      <c r="C2315" t="s">
        <v>14</v>
      </c>
      <c r="D2315">
        <v>100</v>
      </c>
      <c r="E2315">
        <v>104</v>
      </c>
      <c r="F2315">
        <v>99.05</v>
      </c>
      <c r="G2315" s="3">
        <v>100.6</v>
      </c>
      <c r="H2315">
        <v>101.4</v>
      </c>
      <c r="I2315">
        <v>100</v>
      </c>
      <c r="J2315">
        <v>741834</v>
      </c>
      <c r="K2315">
        <v>75389817.650000006</v>
      </c>
      <c r="L2315" s="1">
        <v>45240</v>
      </c>
      <c r="M2315">
        <v>3661</v>
      </c>
      <c r="N2315" t="s">
        <v>5156</v>
      </c>
      <c r="O2315" s="5">
        <v>45240</v>
      </c>
      <c r="P2315" s="5">
        <v>43777</v>
      </c>
    </row>
    <row r="2316" spans="1:16" x14ac:dyDescent="0.25">
      <c r="A2316" t="s">
        <v>5157</v>
      </c>
      <c r="B2316" t="str">
        <v>Texmo Pipes and Products Limited</v>
      </c>
      <c r="C2316" t="s">
        <v>14</v>
      </c>
      <c r="D2316">
        <v>80.349999999999994</v>
      </c>
      <c r="E2316">
        <v>80.349999999999994</v>
      </c>
      <c r="F2316">
        <v>80.349999999999994</v>
      </c>
      <c r="G2316" s="3">
        <v>80.349999999999994</v>
      </c>
      <c r="H2316">
        <v>80.349999999999994</v>
      </c>
      <c r="I2316">
        <v>84.55</v>
      </c>
      <c r="J2316">
        <v>29338</v>
      </c>
      <c r="K2316">
        <v>2357308.2999999998</v>
      </c>
      <c r="L2316" s="1">
        <v>45240</v>
      </c>
      <c r="M2316">
        <v>267</v>
      </c>
      <c r="N2316" t="s">
        <v>5159</v>
      </c>
      <c r="O2316" s="5">
        <v>45240</v>
      </c>
      <c r="P2316" s="5">
        <v>43777</v>
      </c>
    </row>
    <row r="2317" spans="1:16" x14ac:dyDescent="0.25">
      <c r="A2317" t="s">
        <v>5160</v>
      </c>
      <c r="B2317" t="str">
        <v>Texmaco Rail &amp; Engineering Limited</v>
      </c>
      <c r="C2317" t="s">
        <v>14</v>
      </c>
      <c r="D2317">
        <v>127.35</v>
      </c>
      <c r="E2317">
        <v>133</v>
      </c>
      <c r="F2317">
        <v>126.95</v>
      </c>
      <c r="G2317" s="3">
        <v>130.9</v>
      </c>
      <c r="H2317">
        <v>131.19999999999999</v>
      </c>
      <c r="I2317">
        <v>128.75</v>
      </c>
      <c r="J2317">
        <v>1789625</v>
      </c>
      <c r="K2317">
        <v>233309247.40000001</v>
      </c>
      <c r="L2317" s="1">
        <v>45240</v>
      </c>
      <c r="M2317">
        <v>14127</v>
      </c>
      <c r="N2317" t="s">
        <v>5162</v>
      </c>
      <c r="O2317" s="5">
        <v>45240</v>
      </c>
      <c r="P2317" s="5">
        <v>43777</v>
      </c>
    </row>
    <row r="2318" spans="1:16" x14ac:dyDescent="0.25">
      <c r="A2318" t="s">
        <v>5163</v>
      </c>
      <c r="B2318" t="str">
        <v>Tourism Finance Corporation of India Limited</v>
      </c>
      <c r="C2318" t="s">
        <v>14</v>
      </c>
      <c r="D2318">
        <v>104.4</v>
      </c>
      <c r="E2318">
        <v>106.4</v>
      </c>
      <c r="F2318">
        <v>103.8</v>
      </c>
      <c r="G2318" s="3">
        <v>105.15</v>
      </c>
      <c r="H2318">
        <v>106.2</v>
      </c>
      <c r="I2318">
        <v>104.35</v>
      </c>
      <c r="J2318">
        <v>335756</v>
      </c>
      <c r="K2318">
        <v>35311254.850000001</v>
      </c>
      <c r="L2318" s="1">
        <v>45240</v>
      </c>
      <c r="M2318">
        <v>3154</v>
      </c>
      <c r="N2318" t="s">
        <v>5165</v>
      </c>
      <c r="O2318" s="5">
        <v>45240</v>
      </c>
      <c r="P2318" s="5">
        <v>43777</v>
      </c>
    </row>
    <row r="2319" spans="1:16" x14ac:dyDescent="0.25">
      <c r="A2319" t="s">
        <v>5166</v>
      </c>
      <c r="B2319" t="str">
        <v>Transwarranty Finance Limited</v>
      </c>
      <c r="C2319" t="s">
        <v>14</v>
      </c>
      <c r="D2319">
        <v>9.9</v>
      </c>
      <c r="E2319">
        <v>9.9</v>
      </c>
      <c r="F2319">
        <v>9.5500000000000007</v>
      </c>
      <c r="G2319" s="3">
        <v>9.65</v>
      </c>
      <c r="H2319">
        <v>9.65</v>
      </c>
      <c r="I2319">
        <v>9.5500000000000007</v>
      </c>
      <c r="J2319">
        <v>8618</v>
      </c>
      <c r="K2319">
        <v>83194.25</v>
      </c>
      <c r="L2319" s="1">
        <v>45240</v>
      </c>
      <c r="M2319">
        <v>125</v>
      </c>
      <c r="N2319" t="s">
        <v>5168</v>
      </c>
      <c r="O2319" s="5">
        <v>45240</v>
      </c>
      <c r="P2319" s="5">
        <v>43777</v>
      </c>
    </row>
    <row r="2320" spans="1:16" x14ac:dyDescent="0.25">
      <c r="A2320" t="s">
        <v>5169</v>
      </c>
      <c r="B2320" t="str">
        <v>TGB Banquets And Hotels Limited</v>
      </c>
      <c r="C2320" t="s">
        <v>14</v>
      </c>
      <c r="D2320">
        <v>13.2</v>
      </c>
      <c r="E2320">
        <v>13.5</v>
      </c>
      <c r="F2320">
        <v>12.2</v>
      </c>
      <c r="G2320" s="3">
        <v>12.9</v>
      </c>
      <c r="H2320">
        <v>12.85</v>
      </c>
      <c r="I2320">
        <v>12.9</v>
      </c>
      <c r="J2320">
        <v>260863</v>
      </c>
      <c r="K2320">
        <v>3352076.2</v>
      </c>
      <c r="L2320" s="1">
        <v>45240</v>
      </c>
      <c r="M2320">
        <v>2837</v>
      </c>
      <c r="N2320" t="s">
        <v>5171</v>
      </c>
      <c r="O2320" s="5">
        <v>45240</v>
      </c>
      <c r="P2320" s="5">
        <v>43777</v>
      </c>
    </row>
    <row r="2321" spans="1:16" x14ac:dyDescent="0.25">
      <c r="A2321" t="s">
        <v>5172</v>
      </c>
      <c r="B2321" t="str">
        <v>Thangamayil Jewellery Limited</v>
      </c>
      <c r="C2321" t="s">
        <v>14</v>
      </c>
      <c r="D2321">
        <v>1360.95</v>
      </c>
      <c r="E2321">
        <v>1360.95</v>
      </c>
      <c r="F2321">
        <v>1333</v>
      </c>
      <c r="G2321" s="3">
        <v>1343.75</v>
      </c>
      <c r="H2321">
        <v>1349.9</v>
      </c>
      <c r="I2321">
        <v>1350.3</v>
      </c>
      <c r="J2321">
        <v>15394</v>
      </c>
      <c r="K2321">
        <v>20670605.649999999</v>
      </c>
      <c r="L2321" s="1">
        <v>45240</v>
      </c>
      <c r="M2321">
        <v>2371</v>
      </c>
      <c r="N2321" t="s">
        <v>5174</v>
      </c>
      <c r="O2321" s="5">
        <v>45240</v>
      </c>
      <c r="P2321" s="5">
        <v>43777</v>
      </c>
    </row>
    <row r="2322" spans="1:16" x14ac:dyDescent="0.25">
      <c r="A2322" t="s">
        <v>5175</v>
      </c>
      <c r="B2322" t="str">
        <v>The Investment Trust Of India Limited</v>
      </c>
      <c r="C2322" t="s">
        <v>5861</v>
      </c>
      <c r="D2322">
        <v>91.7</v>
      </c>
      <c r="E2322">
        <v>91.7</v>
      </c>
      <c r="F2322">
        <v>91.7</v>
      </c>
      <c r="G2322" s="3">
        <v>91.7</v>
      </c>
      <c r="H2322">
        <v>91.7</v>
      </c>
      <c r="I2322">
        <v>321.10000000000002</v>
      </c>
      <c r="J2322">
        <v>2154990</v>
      </c>
      <c r="K2322">
        <v>197612583</v>
      </c>
      <c r="L2322" s="1">
        <v>45240</v>
      </c>
      <c r="M2322">
        <v>1</v>
      </c>
      <c r="N2322" t="s">
        <v>5177</v>
      </c>
      <c r="O2322" s="5">
        <v>45240</v>
      </c>
      <c r="P2322" s="5">
        <v>43777</v>
      </c>
    </row>
    <row r="2323" spans="1:16" x14ac:dyDescent="0.25">
      <c r="A2323" t="s">
        <v>5175</v>
      </c>
      <c r="B2323" t="str">
        <v>The Investment Trust Of India Limited</v>
      </c>
      <c r="C2323" t="s">
        <v>14</v>
      </c>
      <c r="D2323">
        <v>93.15</v>
      </c>
      <c r="E2323">
        <v>94.05</v>
      </c>
      <c r="F2323">
        <v>90.1</v>
      </c>
      <c r="G2323" s="3">
        <v>90.7</v>
      </c>
      <c r="H2323">
        <v>90.2</v>
      </c>
      <c r="I2323">
        <v>93.1</v>
      </c>
      <c r="J2323">
        <v>8589</v>
      </c>
      <c r="K2323">
        <v>790749</v>
      </c>
      <c r="L2323" s="1">
        <v>45240</v>
      </c>
      <c r="M2323">
        <v>383</v>
      </c>
      <c r="N2323" t="s">
        <v>5177</v>
      </c>
      <c r="O2323" s="5">
        <v>45240</v>
      </c>
      <c r="P2323" s="5">
        <v>43777</v>
      </c>
    </row>
    <row r="2324" spans="1:16" x14ac:dyDescent="0.25">
      <c r="A2324" t="s">
        <v>5178</v>
      </c>
      <c r="B2324" t="str">
        <v>Thejo Engineering Limited</v>
      </c>
      <c r="C2324" t="s">
        <v>14</v>
      </c>
      <c r="D2324">
        <v>1767.25</v>
      </c>
      <c r="E2324">
        <v>1935</v>
      </c>
      <c r="F2324">
        <v>1759.75</v>
      </c>
      <c r="G2324" s="3">
        <v>1810.05</v>
      </c>
      <c r="H2324">
        <v>1820</v>
      </c>
      <c r="I2324">
        <v>1766.95</v>
      </c>
      <c r="J2324">
        <v>25161</v>
      </c>
      <c r="K2324">
        <v>46797447.5</v>
      </c>
      <c r="L2324" s="1">
        <v>45240</v>
      </c>
      <c r="M2324">
        <v>1983</v>
      </c>
      <c r="N2324" t="s">
        <v>5180</v>
      </c>
      <c r="O2324" s="5">
        <v>45240</v>
      </c>
      <c r="P2324" s="5">
        <v>43777</v>
      </c>
    </row>
    <row r="2325" spans="1:16" x14ac:dyDescent="0.25">
      <c r="A2325" t="s">
        <v>5181</v>
      </c>
      <c r="B2325" t="str">
        <v>Themis Medicare Limited</v>
      </c>
      <c r="C2325" t="s">
        <v>14</v>
      </c>
      <c r="D2325">
        <v>160.75</v>
      </c>
      <c r="E2325">
        <v>165.65</v>
      </c>
      <c r="F2325">
        <v>158.44999999999999</v>
      </c>
      <c r="G2325" s="3">
        <v>163.95</v>
      </c>
      <c r="H2325">
        <v>164</v>
      </c>
      <c r="I2325">
        <v>160.19999999999999</v>
      </c>
      <c r="J2325">
        <v>316795</v>
      </c>
      <c r="K2325">
        <v>51835866.100000001</v>
      </c>
      <c r="L2325" s="1">
        <v>45240</v>
      </c>
      <c r="M2325">
        <v>10776</v>
      </c>
      <c r="N2325" t="s">
        <v>5183</v>
      </c>
      <c r="O2325" s="5">
        <v>45240</v>
      </c>
      <c r="P2325" s="5">
        <v>43777</v>
      </c>
    </row>
    <row r="2326" spans="1:16" x14ac:dyDescent="0.25">
      <c r="A2326" t="s">
        <v>5184</v>
      </c>
      <c r="B2326" t="str">
        <v>Thermax Limited</v>
      </c>
      <c r="C2326" t="s">
        <v>14</v>
      </c>
      <c r="D2326">
        <v>2920.85</v>
      </c>
      <c r="E2326">
        <v>2942.1</v>
      </c>
      <c r="F2326">
        <v>2880</v>
      </c>
      <c r="G2326" s="3">
        <v>2894.75</v>
      </c>
      <c r="H2326">
        <v>2880</v>
      </c>
      <c r="I2326">
        <v>2912.75</v>
      </c>
      <c r="J2326">
        <v>20708</v>
      </c>
      <c r="K2326">
        <v>60167727.75</v>
      </c>
      <c r="L2326" s="1">
        <v>45240</v>
      </c>
      <c r="M2326">
        <v>5964</v>
      </c>
      <c r="N2326" t="s">
        <v>5186</v>
      </c>
      <c r="O2326" s="5">
        <v>45240</v>
      </c>
      <c r="P2326" s="5">
        <v>43777</v>
      </c>
    </row>
    <row r="2327" spans="1:16" x14ac:dyDescent="0.25">
      <c r="A2327" t="s">
        <v>5187</v>
      </c>
      <c r="B2327" t="str">
        <v>Thomas Cook  (India)  Limited</v>
      </c>
      <c r="C2327" t="s">
        <v>14</v>
      </c>
      <c r="D2327">
        <v>148.9</v>
      </c>
      <c r="E2327">
        <v>150</v>
      </c>
      <c r="F2327">
        <v>143.35</v>
      </c>
      <c r="G2327" s="3">
        <v>147.30000000000001</v>
      </c>
      <c r="H2327">
        <v>147.9</v>
      </c>
      <c r="I2327">
        <v>146.6</v>
      </c>
      <c r="J2327">
        <v>420577</v>
      </c>
      <c r="K2327">
        <v>62059059.25</v>
      </c>
      <c r="L2327" s="1">
        <v>45240</v>
      </c>
      <c r="M2327">
        <v>4302</v>
      </c>
      <c r="N2327" t="s">
        <v>5189</v>
      </c>
      <c r="O2327" s="5">
        <v>45240</v>
      </c>
      <c r="P2327" s="5">
        <v>43777</v>
      </c>
    </row>
    <row r="2328" spans="1:16" x14ac:dyDescent="0.25">
      <c r="A2328" t="s">
        <v>5190</v>
      </c>
      <c r="B2328" t="str">
        <v>Thomas Scott (India) Limited</v>
      </c>
      <c r="C2328" t="s">
        <v>10</v>
      </c>
      <c r="D2328">
        <v>151.65</v>
      </c>
      <c r="E2328">
        <v>151.65</v>
      </c>
      <c r="F2328">
        <v>151.65</v>
      </c>
      <c r="G2328" s="3">
        <v>151.65</v>
      </c>
      <c r="H2328">
        <v>151.65</v>
      </c>
      <c r="I2328">
        <v>144.44999999999999</v>
      </c>
      <c r="J2328">
        <v>2498</v>
      </c>
      <c r="K2328">
        <v>378821.7</v>
      </c>
      <c r="L2328" s="1">
        <v>45240</v>
      </c>
      <c r="M2328">
        <v>17</v>
      </c>
      <c r="N2328" t="s">
        <v>5192</v>
      </c>
      <c r="O2328" s="5">
        <v>45240</v>
      </c>
      <c r="P2328" s="5">
        <v>43777</v>
      </c>
    </row>
    <row r="2329" spans="1:16" x14ac:dyDescent="0.25">
      <c r="A2329" t="s">
        <v>5193</v>
      </c>
      <c r="B2329" t="str">
        <v>Thyrocare Technologies Limited</v>
      </c>
      <c r="C2329" t="s">
        <v>14</v>
      </c>
      <c r="D2329">
        <v>547.75</v>
      </c>
      <c r="E2329">
        <v>559</v>
      </c>
      <c r="F2329">
        <v>543.54999999999995</v>
      </c>
      <c r="G2329" s="3">
        <v>551.35</v>
      </c>
      <c r="H2329">
        <v>551.29999999999995</v>
      </c>
      <c r="I2329">
        <v>547.75</v>
      </c>
      <c r="J2329">
        <v>27191</v>
      </c>
      <c r="K2329">
        <v>14972425.199999999</v>
      </c>
      <c r="L2329" s="1">
        <v>45240</v>
      </c>
      <c r="M2329">
        <v>3099</v>
      </c>
      <c r="N2329" t="s">
        <v>5195</v>
      </c>
      <c r="O2329" s="5">
        <v>45240</v>
      </c>
      <c r="P2329" s="5">
        <v>43777</v>
      </c>
    </row>
    <row r="2330" spans="1:16" x14ac:dyDescent="0.25">
      <c r="A2330" t="s">
        <v>5196</v>
      </c>
      <c r="B2330" t="str">
        <v>Tilaknagar Industries Limited</v>
      </c>
      <c r="C2330" t="s">
        <v>14</v>
      </c>
      <c r="D2330">
        <v>251.35</v>
      </c>
      <c r="E2330">
        <v>253.8</v>
      </c>
      <c r="F2330">
        <v>245.95</v>
      </c>
      <c r="G2330" s="3">
        <v>249</v>
      </c>
      <c r="H2330">
        <v>247.25</v>
      </c>
      <c r="I2330">
        <v>251.35</v>
      </c>
      <c r="J2330">
        <v>793966</v>
      </c>
      <c r="K2330">
        <v>198214511.80000001</v>
      </c>
      <c r="L2330" s="1">
        <v>45240</v>
      </c>
      <c r="M2330">
        <v>13269</v>
      </c>
      <c r="N2330" t="s">
        <v>5198</v>
      </c>
      <c r="O2330" s="5">
        <v>45240</v>
      </c>
      <c r="P2330" s="5">
        <v>43777</v>
      </c>
    </row>
    <row r="2331" spans="1:16" x14ac:dyDescent="0.25">
      <c r="A2331" t="s">
        <v>5199</v>
      </c>
      <c r="B2331" t="str">
        <v>Tide Water Oil Company (India) Limited</v>
      </c>
      <c r="C2331" t="s">
        <v>14</v>
      </c>
      <c r="D2331">
        <v>1170</v>
      </c>
      <c r="E2331">
        <v>1209.9000000000001</v>
      </c>
      <c r="F2331">
        <v>1161.25</v>
      </c>
      <c r="G2331" s="3">
        <v>1187.75</v>
      </c>
      <c r="H2331">
        <v>1180.0999999999999</v>
      </c>
      <c r="I2331">
        <v>1166.2</v>
      </c>
      <c r="J2331">
        <v>41178</v>
      </c>
      <c r="K2331">
        <v>48982545.899999999</v>
      </c>
      <c r="L2331" s="1">
        <v>45240</v>
      </c>
      <c r="M2331">
        <v>4726</v>
      </c>
      <c r="N2331" t="s">
        <v>5201</v>
      </c>
      <c r="O2331" s="5">
        <v>45240</v>
      </c>
      <c r="P2331" s="5">
        <v>43777</v>
      </c>
    </row>
    <row r="2332" spans="1:16" x14ac:dyDescent="0.25">
      <c r="A2332" t="s">
        <v>5202</v>
      </c>
      <c r="B2332" t="str">
        <v>Technocraft Industries (India) Limited</v>
      </c>
      <c r="C2332" t="s">
        <v>14</v>
      </c>
      <c r="D2332">
        <v>2215</v>
      </c>
      <c r="E2332">
        <v>2265.9</v>
      </c>
      <c r="F2332">
        <v>1956.75</v>
      </c>
      <c r="G2332" s="3">
        <v>2001.9</v>
      </c>
      <c r="H2332">
        <v>2046</v>
      </c>
      <c r="I2332">
        <v>2240.1999999999998</v>
      </c>
      <c r="J2332">
        <v>49563</v>
      </c>
      <c r="K2332">
        <v>101751848.45</v>
      </c>
      <c r="L2332" s="1">
        <v>45240</v>
      </c>
      <c r="M2332">
        <v>7706</v>
      </c>
      <c r="N2332" t="s">
        <v>5204</v>
      </c>
      <c r="O2332" s="5">
        <v>45240</v>
      </c>
      <c r="P2332" s="5">
        <v>43777</v>
      </c>
    </row>
    <row r="2333" spans="1:16" x14ac:dyDescent="0.25">
      <c r="A2333" t="s">
        <v>5205</v>
      </c>
      <c r="B2333" t="str">
        <v>Tube Investments of India Limited</v>
      </c>
      <c r="C2333" t="s">
        <v>14</v>
      </c>
      <c r="D2333">
        <v>3159.95</v>
      </c>
      <c r="E2333">
        <v>3220</v>
      </c>
      <c r="F2333">
        <v>3109.8</v>
      </c>
      <c r="G2333" s="3">
        <v>3195.75</v>
      </c>
      <c r="H2333">
        <v>3200</v>
      </c>
      <c r="I2333">
        <v>3152.05</v>
      </c>
      <c r="J2333">
        <v>69419</v>
      </c>
      <c r="K2333">
        <v>219467503.59999999</v>
      </c>
      <c r="L2333" s="1">
        <v>45240</v>
      </c>
      <c r="M2333">
        <v>10110</v>
      </c>
      <c r="N2333" t="s">
        <v>5207</v>
      </c>
      <c r="O2333" s="5">
        <v>45240</v>
      </c>
      <c r="P2333" s="5">
        <v>43777</v>
      </c>
    </row>
    <row r="2334" spans="1:16" x14ac:dyDescent="0.25">
      <c r="A2334" t="s">
        <v>5208</v>
      </c>
      <c r="B2334" t="str">
        <v>Tijaria Polypipes Limited</v>
      </c>
      <c r="C2334" t="s">
        <v>14</v>
      </c>
      <c r="D2334">
        <v>6.35</v>
      </c>
      <c r="E2334">
        <v>6.35</v>
      </c>
      <c r="F2334">
        <v>6.1</v>
      </c>
      <c r="G2334" s="3">
        <v>6.2</v>
      </c>
      <c r="H2334">
        <v>6.25</v>
      </c>
      <c r="I2334">
        <v>6.1</v>
      </c>
      <c r="J2334">
        <v>10861</v>
      </c>
      <c r="K2334">
        <v>67988.75</v>
      </c>
      <c r="L2334" s="1">
        <v>45240</v>
      </c>
      <c r="M2334">
        <v>46</v>
      </c>
      <c r="N2334" t="s">
        <v>5210</v>
      </c>
      <c r="O2334" s="5">
        <v>45240</v>
      </c>
      <c r="P2334" s="5">
        <v>43777</v>
      </c>
    </row>
    <row r="2335" spans="1:16" x14ac:dyDescent="0.25">
      <c r="A2335" t="s">
        <v>5211</v>
      </c>
      <c r="B2335" t="str">
        <v>TIL Limited</v>
      </c>
      <c r="C2335" t="s">
        <v>786</v>
      </c>
      <c r="D2335">
        <v>308</v>
      </c>
      <c r="E2335">
        <v>308.3</v>
      </c>
      <c r="F2335">
        <v>308</v>
      </c>
      <c r="G2335" s="3">
        <v>308.3</v>
      </c>
      <c r="H2335">
        <v>308.3</v>
      </c>
      <c r="I2335">
        <v>302.3</v>
      </c>
      <c r="J2335">
        <v>22553</v>
      </c>
      <c r="K2335">
        <v>6946783.9000000004</v>
      </c>
      <c r="L2335" s="1">
        <v>45240</v>
      </c>
      <c r="M2335">
        <v>15</v>
      </c>
      <c r="N2335" t="s">
        <v>5213</v>
      </c>
      <c r="O2335" s="5">
        <v>45240</v>
      </c>
      <c r="P2335" s="5">
        <v>43777</v>
      </c>
    </row>
    <row r="2336" spans="1:16" x14ac:dyDescent="0.25">
      <c r="A2336" t="s">
        <v>5860</v>
      </c>
      <c r="B2336" t="str">
        <v>Not Found</v>
      </c>
      <c r="C2336" t="s">
        <v>5788</v>
      </c>
      <c r="D2336">
        <v>185</v>
      </c>
      <c r="E2336">
        <v>186</v>
      </c>
      <c r="F2336">
        <v>174.35</v>
      </c>
      <c r="G2336" s="3">
        <v>174.6</v>
      </c>
      <c r="H2336">
        <v>175</v>
      </c>
      <c r="I2336">
        <v>183.5</v>
      </c>
      <c r="J2336">
        <v>5000</v>
      </c>
      <c r="K2336">
        <v>894850</v>
      </c>
      <c r="L2336" s="1">
        <v>45240</v>
      </c>
      <c r="M2336">
        <v>5</v>
      </c>
      <c r="N2336" t="s">
        <v>5859</v>
      </c>
      <c r="O2336" s="5">
        <v>45240</v>
      </c>
      <c r="P2336" s="5">
        <v>43777</v>
      </c>
    </row>
    <row r="2337" spans="1:16" x14ac:dyDescent="0.25">
      <c r="A2337" t="s">
        <v>5214</v>
      </c>
      <c r="B2337" t="str">
        <v>Times Guaranty Limited</v>
      </c>
      <c r="C2337" t="s">
        <v>14</v>
      </c>
      <c r="D2337">
        <v>74.05</v>
      </c>
      <c r="E2337">
        <v>75.55</v>
      </c>
      <c r="F2337">
        <v>73.099999999999994</v>
      </c>
      <c r="G2337" s="3">
        <v>73.3</v>
      </c>
      <c r="H2337">
        <v>73.099999999999994</v>
      </c>
      <c r="I2337">
        <v>73.650000000000006</v>
      </c>
      <c r="J2337">
        <v>6072</v>
      </c>
      <c r="K2337">
        <v>447407.9</v>
      </c>
      <c r="L2337" s="1">
        <v>45240</v>
      </c>
      <c r="M2337">
        <v>347</v>
      </c>
      <c r="N2337" t="s">
        <v>5216</v>
      </c>
      <c r="O2337" s="5">
        <v>45240</v>
      </c>
      <c r="P2337" s="5">
        <v>43777</v>
      </c>
    </row>
    <row r="2338" spans="1:16" x14ac:dyDescent="0.25">
      <c r="A2338" t="s">
        <v>5217</v>
      </c>
      <c r="B2338" t="str">
        <v>Time Technoplast Limited</v>
      </c>
      <c r="C2338" t="s">
        <v>14</v>
      </c>
      <c r="D2338">
        <v>163.65</v>
      </c>
      <c r="E2338">
        <v>169.65</v>
      </c>
      <c r="F2338">
        <v>162.25</v>
      </c>
      <c r="G2338" s="3">
        <v>168.15</v>
      </c>
      <c r="H2338">
        <v>169</v>
      </c>
      <c r="I2338">
        <v>162.94999999999999</v>
      </c>
      <c r="J2338">
        <v>4851622</v>
      </c>
      <c r="K2338">
        <v>805904789</v>
      </c>
      <c r="L2338" s="1">
        <v>45240</v>
      </c>
      <c r="M2338">
        <v>29746</v>
      </c>
      <c r="N2338" t="s">
        <v>5219</v>
      </c>
      <c r="O2338" s="5">
        <v>45240</v>
      </c>
      <c r="P2338" s="5">
        <v>43777</v>
      </c>
    </row>
    <row r="2339" spans="1:16" x14ac:dyDescent="0.25">
      <c r="A2339" t="s">
        <v>5220</v>
      </c>
      <c r="B2339" t="str">
        <v>Timken India Limited</v>
      </c>
      <c r="C2339" t="s">
        <v>14</v>
      </c>
      <c r="D2339">
        <v>2901</v>
      </c>
      <c r="E2339">
        <v>2968.8</v>
      </c>
      <c r="F2339">
        <v>2900.45</v>
      </c>
      <c r="G2339" s="3">
        <v>2951</v>
      </c>
      <c r="H2339">
        <v>2954</v>
      </c>
      <c r="I2339">
        <v>2917.45</v>
      </c>
      <c r="J2339">
        <v>23573</v>
      </c>
      <c r="K2339">
        <v>69580739.599999994</v>
      </c>
      <c r="L2339" s="1">
        <v>45240</v>
      </c>
      <c r="M2339">
        <v>6477</v>
      </c>
      <c r="N2339" t="s">
        <v>5222</v>
      </c>
      <c r="O2339" s="5">
        <v>45240</v>
      </c>
      <c r="P2339" s="5">
        <v>43777</v>
      </c>
    </row>
    <row r="2340" spans="1:16" x14ac:dyDescent="0.25">
      <c r="A2340" t="s">
        <v>5223</v>
      </c>
      <c r="B2340" t="str">
        <v>The Tinplate Company of India Limited</v>
      </c>
      <c r="C2340" t="s">
        <v>14</v>
      </c>
      <c r="D2340">
        <v>380.1</v>
      </c>
      <c r="E2340">
        <v>387.05</v>
      </c>
      <c r="F2340">
        <v>380.1</v>
      </c>
      <c r="G2340" s="3">
        <v>385.6</v>
      </c>
      <c r="H2340">
        <v>385.6</v>
      </c>
      <c r="I2340">
        <v>383.65</v>
      </c>
      <c r="J2340">
        <v>155764</v>
      </c>
      <c r="K2340">
        <v>59894236.200000003</v>
      </c>
      <c r="L2340" s="1">
        <v>45240</v>
      </c>
      <c r="M2340">
        <v>2723</v>
      </c>
      <c r="N2340" t="s">
        <v>5225</v>
      </c>
      <c r="O2340" s="5">
        <v>45240</v>
      </c>
      <c r="P2340" s="5">
        <v>43777</v>
      </c>
    </row>
    <row r="2341" spans="1:16" x14ac:dyDescent="0.25">
      <c r="A2341" t="s">
        <v>5226</v>
      </c>
      <c r="B2341" t="str">
        <v>Tips Films Limited</v>
      </c>
      <c r="C2341" t="s">
        <v>14</v>
      </c>
      <c r="D2341">
        <v>636.70000000000005</v>
      </c>
      <c r="E2341">
        <v>644</v>
      </c>
      <c r="F2341">
        <v>627.75</v>
      </c>
      <c r="G2341" s="3">
        <v>640.75</v>
      </c>
      <c r="H2341">
        <v>644</v>
      </c>
      <c r="I2341">
        <v>636.70000000000005</v>
      </c>
      <c r="J2341">
        <v>8841</v>
      </c>
      <c r="K2341">
        <v>5642369.0499999998</v>
      </c>
      <c r="L2341" s="1">
        <v>45240</v>
      </c>
      <c r="M2341">
        <v>815</v>
      </c>
      <c r="N2341" t="s">
        <v>5228</v>
      </c>
      <c r="O2341" s="5">
        <v>45240</v>
      </c>
      <c r="P2341" s="5">
        <v>43777</v>
      </c>
    </row>
    <row r="2342" spans="1:16" x14ac:dyDescent="0.25">
      <c r="A2342" t="s">
        <v>5229</v>
      </c>
      <c r="B2342" t="str">
        <v>TIPS Industries Limited</v>
      </c>
      <c r="C2342" t="s">
        <v>14</v>
      </c>
      <c r="D2342">
        <v>364.9</v>
      </c>
      <c r="E2342">
        <v>375.6</v>
      </c>
      <c r="F2342">
        <v>363.6</v>
      </c>
      <c r="G2342" s="3">
        <v>365.6</v>
      </c>
      <c r="H2342">
        <v>365.1</v>
      </c>
      <c r="I2342">
        <v>362.65</v>
      </c>
      <c r="J2342">
        <v>275166</v>
      </c>
      <c r="K2342">
        <v>101385655</v>
      </c>
      <c r="L2342" s="1">
        <v>45240</v>
      </c>
      <c r="M2342">
        <v>13352</v>
      </c>
      <c r="N2342" t="s">
        <v>5231</v>
      </c>
      <c r="O2342" s="5">
        <v>45240</v>
      </c>
      <c r="P2342" s="5">
        <v>43777</v>
      </c>
    </row>
    <row r="2343" spans="1:16" x14ac:dyDescent="0.25">
      <c r="A2343" t="s">
        <v>5232</v>
      </c>
      <c r="B2343" t="str">
        <v>Thirumalai Chemicals Limited</v>
      </c>
      <c r="C2343" t="s">
        <v>14</v>
      </c>
      <c r="D2343">
        <v>193.75</v>
      </c>
      <c r="E2343">
        <v>195.45</v>
      </c>
      <c r="F2343">
        <v>192.45</v>
      </c>
      <c r="G2343" s="3">
        <v>194.05</v>
      </c>
      <c r="H2343">
        <v>193</v>
      </c>
      <c r="I2343">
        <v>194.6</v>
      </c>
      <c r="J2343">
        <v>162259</v>
      </c>
      <c r="K2343">
        <v>31419956.850000001</v>
      </c>
      <c r="L2343" s="1">
        <v>45240</v>
      </c>
      <c r="M2343">
        <v>3473</v>
      </c>
      <c r="N2343" t="s">
        <v>5234</v>
      </c>
      <c r="O2343" s="5">
        <v>45240</v>
      </c>
      <c r="P2343" s="5">
        <v>43777</v>
      </c>
    </row>
    <row r="2344" spans="1:16" x14ac:dyDescent="0.25">
      <c r="A2344" t="s">
        <v>5858</v>
      </c>
      <c r="B2344" t="str">
        <v>Not Found</v>
      </c>
      <c r="C2344" t="s">
        <v>5788</v>
      </c>
      <c r="D2344">
        <v>402</v>
      </c>
      <c r="E2344">
        <v>422</v>
      </c>
      <c r="F2344">
        <v>402</v>
      </c>
      <c r="G2344" s="3">
        <v>422</v>
      </c>
      <c r="H2344">
        <v>422</v>
      </c>
      <c r="I2344">
        <v>402</v>
      </c>
      <c r="J2344">
        <v>1500</v>
      </c>
      <c r="K2344">
        <v>623000</v>
      </c>
      <c r="L2344" s="1">
        <v>45240</v>
      </c>
      <c r="M2344">
        <v>3</v>
      </c>
      <c r="N2344" t="s">
        <v>5857</v>
      </c>
      <c r="O2344" s="5">
        <v>45240</v>
      </c>
      <c r="P2344" s="5">
        <v>43777</v>
      </c>
    </row>
    <row r="2345" spans="1:16" x14ac:dyDescent="0.25">
      <c r="A2345" t="s">
        <v>5235</v>
      </c>
      <c r="B2345" t="str">
        <v>Tirupati Forge Limited</v>
      </c>
      <c r="C2345" t="s">
        <v>10</v>
      </c>
      <c r="D2345">
        <v>11.1</v>
      </c>
      <c r="E2345">
        <v>11.35</v>
      </c>
      <c r="F2345">
        <v>10.8</v>
      </c>
      <c r="G2345" s="3">
        <v>11.05</v>
      </c>
      <c r="H2345">
        <v>10.95</v>
      </c>
      <c r="I2345">
        <v>11.1</v>
      </c>
      <c r="J2345">
        <v>328565</v>
      </c>
      <c r="K2345">
        <v>3651626.9</v>
      </c>
      <c r="L2345" s="1">
        <v>45240</v>
      </c>
      <c r="M2345">
        <v>1494</v>
      </c>
      <c r="N2345" t="s">
        <v>5237</v>
      </c>
      <c r="O2345" s="5">
        <v>45240</v>
      </c>
      <c r="P2345" s="5">
        <v>43777</v>
      </c>
    </row>
    <row r="2346" spans="1:16" x14ac:dyDescent="0.25">
      <c r="A2346" t="s">
        <v>5238</v>
      </c>
      <c r="B2346" t="str">
        <v>TITAGARH RAIL SYSTEMS LIMITED</v>
      </c>
      <c r="C2346" t="s">
        <v>14</v>
      </c>
      <c r="D2346">
        <v>789</v>
      </c>
      <c r="E2346">
        <v>802.1</v>
      </c>
      <c r="F2346">
        <v>783.6</v>
      </c>
      <c r="G2346" s="3">
        <v>788.6</v>
      </c>
      <c r="H2346">
        <v>789</v>
      </c>
      <c r="I2346">
        <v>789</v>
      </c>
      <c r="J2346">
        <v>500746</v>
      </c>
      <c r="K2346">
        <v>396747189.10000002</v>
      </c>
      <c r="L2346" s="1">
        <v>45240</v>
      </c>
      <c r="M2346">
        <v>14783</v>
      </c>
      <c r="N2346" t="s">
        <v>5240</v>
      </c>
      <c r="O2346" s="5">
        <v>45240</v>
      </c>
      <c r="P2346" s="5">
        <v>43777</v>
      </c>
    </row>
    <row r="2347" spans="1:16" x14ac:dyDescent="0.25">
      <c r="A2347" t="s">
        <v>5241</v>
      </c>
      <c r="B2347" t="str">
        <v>Titan Company Limited</v>
      </c>
      <c r="C2347" t="s">
        <v>14</v>
      </c>
      <c r="D2347">
        <v>3263.05</v>
      </c>
      <c r="E2347">
        <v>3274.95</v>
      </c>
      <c r="F2347">
        <v>3223</v>
      </c>
      <c r="G2347" s="3">
        <v>3256.35</v>
      </c>
      <c r="H2347">
        <v>3260.15</v>
      </c>
      <c r="I2347">
        <v>3283.75</v>
      </c>
      <c r="J2347">
        <v>1170763</v>
      </c>
      <c r="K2347">
        <v>3793610796</v>
      </c>
      <c r="L2347" s="1">
        <v>45240</v>
      </c>
      <c r="M2347">
        <v>60136</v>
      </c>
      <c r="N2347" t="s">
        <v>5243</v>
      </c>
      <c r="O2347" s="5">
        <v>45240</v>
      </c>
      <c r="P2347" s="5">
        <v>43777</v>
      </c>
    </row>
    <row r="2348" spans="1:16" x14ac:dyDescent="0.25">
      <c r="A2348" t="s">
        <v>5244</v>
      </c>
      <c r="B2348" t="str">
        <v>Tamilnad Mercantile Bank Limited</v>
      </c>
      <c r="C2348" t="s">
        <v>14</v>
      </c>
      <c r="D2348">
        <v>528</v>
      </c>
      <c r="E2348">
        <v>531</v>
      </c>
      <c r="F2348">
        <v>521.6</v>
      </c>
      <c r="G2348" s="3">
        <v>523.25</v>
      </c>
      <c r="H2348">
        <v>521.95000000000005</v>
      </c>
      <c r="I2348">
        <v>526.25</v>
      </c>
      <c r="J2348">
        <v>87432</v>
      </c>
      <c r="K2348">
        <v>45866539.350000001</v>
      </c>
      <c r="L2348" s="1">
        <v>45240</v>
      </c>
      <c r="M2348">
        <v>4796</v>
      </c>
      <c r="N2348" t="s">
        <v>5246</v>
      </c>
      <c r="O2348" s="5">
        <v>45240</v>
      </c>
      <c r="P2348" s="5">
        <v>43777</v>
      </c>
    </row>
    <row r="2349" spans="1:16" x14ac:dyDescent="0.25">
      <c r="A2349" t="s">
        <v>5856</v>
      </c>
      <c r="B2349" t="str">
        <v>Not Found</v>
      </c>
      <c r="C2349" t="s">
        <v>14</v>
      </c>
      <c r="D2349">
        <v>67.09</v>
      </c>
      <c r="E2349">
        <v>67.13</v>
      </c>
      <c r="F2349">
        <v>66.81</v>
      </c>
      <c r="G2349" s="3">
        <v>67.06</v>
      </c>
      <c r="H2349">
        <v>67.099999999999994</v>
      </c>
      <c r="I2349">
        <v>67.180000000000007</v>
      </c>
      <c r="J2349">
        <v>9498</v>
      </c>
      <c r="K2349">
        <v>636378.69999999995</v>
      </c>
      <c r="L2349" s="1">
        <v>45240</v>
      </c>
      <c r="M2349">
        <v>186</v>
      </c>
      <c r="N2349" t="s">
        <v>5855</v>
      </c>
      <c r="O2349" s="5">
        <v>45240</v>
      </c>
      <c r="P2349" s="5">
        <v>43777</v>
      </c>
    </row>
    <row r="2350" spans="1:16" x14ac:dyDescent="0.25">
      <c r="A2350" t="s">
        <v>5247</v>
      </c>
      <c r="B2350" t="str">
        <v>Tamilnadu PetroProducts Limited</v>
      </c>
      <c r="C2350" t="s">
        <v>14</v>
      </c>
      <c r="D2350">
        <v>90.5</v>
      </c>
      <c r="E2350">
        <v>90.5</v>
      </c>
      <c r="F2350">
        <v>88.25</v>
      </c>
      <c r="G2350" s="3">
        <v>89.25</v>
      </c>
      <c r="H2350">
        <v>89.45</v>
      </c>
      <c r="I2350">
        <v>90</v>
      </c>
      <c r="J2350">
        <v>130697</v>
      </c>
      <c r="K2350">
        <v>11667914.15</v>
      </c>
      <c r="L2350" s="1">
        <v>45240</v>
      </c>
      <c r="M2350">
        <v>1647</v>
      </c>
      <c r="N2350" t="s">
        <v>5249</v>
      </c>
      <c r="O2350" s="5">
        <v>45240</v>
      </c>
      <c r="P2350" s="5">
        <v>43777</v>
      </c>
    </row>
    <row r="2351" spans="1:16" x14ac:dyDescent="0.25">
      <c r="A2351" t="s">
        <v>5250</v>
      </c>
      <c r="B2351" t="str">
        <v>Tamil Nadu Newsprint &amp; Papers Limited</v>
      </c>
      <c r="C2351" t="s">
        <v>14</v>
      </c>
      <c r="D2351">
        <v>284.95</v>
      </c>
      <c r="E2351">
        <v>287.45</v>
      </c>
      <c r="F2351">
        <v>278.39999999999998</v>
      </c>
      <c r="G2351" s="3">
        <v>285.95</v>
      </c>
      <c r="H2351">
        <v>286</v>
      </c>
      <c r="I2351">
        <v>285.14999999999998</v>
      </c>
      <c r="J2351">
        <v>218283</v>
      </c>
      <c r="K2351">
        <v>62015256.200000003</v>
      </c>
      <c r="L2351" s="1">
        <v>45240</v>
      </c>
      <c r="M2351">
        <v>5802</v>
      </c>
      <c r="N2351" t="s">
        <v>5252</v>
      </c>
      <c r="O2351" s="5">
        <v>45240</v>
      </c>
      <c r="P2351" s="5">
        <v>43777</v>
      </c>
    </row>
    <row r="2352" spans="1:16" x14ac:dyDescent="0.25">
      <c r="A2352" t="s">
        <v>5253</v>
      </c>
      <c r="B2352" t="str">
        <v>Tamilnadu Telecommunication Limited</v>
      </c>
      <c r="C2352" t="s">
        <v>10</v>
      </c>
      <c r="D2352">
        <v>7.4</v>
      </c>
      <c r="E2352">
        <v>7.95</v>
      </c>
      <c r="F2352">
        <v>7.25</v>
      </c>
      <c r="G2352" s="3">
        <v>7.95</v>
      </c>
      <c r="H2352">
        <v>7.95</v>
      </c>
      <c r="I2352">
        <v>7.6</v>
      </c>
      <c r="J2352">
        <v>48606</v>
      </c>
      <c r="K2352">
        <v>372125.85</v>
      </c>
      <c r="L2352" s="1">
        <v>45240</v>
      </c>
      <c r="M2352">
        <v>99</v>
      </c>
      <c r="N2352" t="s">
        <v>5255</v>
      </c>
      <c r="O2352" s="5">
        <v>45240</v>
      </c>
      <c r="P2352" s="5">
        <v>43777</v>
      </c>
    </row>
    <row r="2353" spans="1:16" x14ac:dyDescent="0.25">
      <c r="A2353" t="s">
        <v>5256</v>
      </c>
      <c r="B2353" t="str">
        <v>Tokyo Plast International Limited</v>
      </c>
      <c r="C2353" t="s">
        <v>14</v>
      </c>
      <c r="D2353">
        <v>103.65</v>
      </c>
      <c r="E2353">
        <v>110</v>
      </c>
      <c r="F2353">
        <v>101.8</v>
      </c>
      <c r="G2353" s="3">
        <v>105.9</v>
      </c>
      <c r="H2353">
        <v>105.55</v>
      </c>
      <c r="I2353">
        <v>103.75</v>
      </c>
      <c r="J2353">
        <v>49409</v>
      </c>
      <c r="K2353">
        <v>5272982.45</v>
      </c>
      <c r="L2353" s="1">
        <v>45240</v>
      </c>
      <c r="M2353">
        <v>738</v>
      </c>
      <c r="N2353" t="s">
        <v>5258</v>
      </c>
      <c r="O2353" s="5">
        <v>45240</v>
      </c>
      <c r="P2353" s="5">
        <v>43777</v>
      </c>
    </row>
    <row r="2354" spans="1:16" x14ac:dyDescent="0.25">
      <c r="A2354" t="s">
        <v>5259</v>
      </c>
      <c r="B2354" t="str">
        <v>Torrent Pharmaceuticals Limited</v>
      </c>
      <c r="C2354" t="s">
        <v>14</v>
      </c>
      <c r="D2354">
        <v>2061.1999999999998</v>
      </c>
      <c r="E2354">
        <v>2068.9</v>
      </c>
      <c r="F2354">
        <v>2044.25</v>
      </c>
      <c r="G2354" s="3">
        <v>2058.1999999999998</v>
      </c>
      <c r="H2354">
        <v>2062</v>
      </c>
      <c r="I2354">
        <v>2051.1999999999998</v>
      </c>
      <c r="J2354">
        <v>206637</v>
      </c>
      <c r="K2354">
        <v>425560314.85000002</v>
      </c>
      <c r="L2354" s="1">
        <v>45240</v>
      </c>
      <c r="M2354">
        <v>21472</v>
      </c>
      <c r="N2354" t="s">
        <v>5261</v>
      </c>
      <c r="O2354" s="5">
        <v>45240</v>
      </c>
      <c r="P2354" s="5">
        <v>43777</v>
      </c>
    </row>
    <row r="2355" spans="1:16" x14ac:dyDescent="0.25">
      <c r="A2355" t="s">
        <v>5262</v>
      </c>
      <c r="B2355" t="str">
        <v>Torrent Power Limited</v>
      </c>
      <c r="C2355" t="s">
        <v>14</v>
      </c>
      <c r="D2355">
        <v>760.1</v>
      </c>
      <c r="E2355">
        <v>788.3</v>
      </c>
      <c r="F2355">
        <v>760.1</v>
      </c>
      <c r="G2355" s="3">
        <v>777.65</v>
      </c>
      <c r="H2355">
        <v>777.8</v>
      </c>
      <c r="I2355">
        <v>760.1</v>
      </c>
      <c r="J2355">
        <v>766244</v>
      </c>
      <c r="K2355">
        <v>597059705.85000002</v>
      </c>
      <c r="L2355" s="1">
        <v>45240</v>
      </c>
      <c r="M2355">
        <v>27036</v>
      </c>
      <c r="N2355" t="s">
        <v>5264</v>
      </c>
      <c r="O2355" s="5">
        <v>45240</v>
      </c>
      <c r="P2355" s="5">
        <v>43777</v>
      </c>
    </row>
    <row r="2356" spans="1:16" x14ac:dyDescent="0.25">
      <c r="A2356" t="s">
        <v>5265</v>
      </c>
      <c r="B2356" t="str">
        <v>Total Transport Systems Limited</v>
      </c>
      <c r="C2356" t="s">
        <v>14</v>
      </c>
      <c r="D2356">
        <v>124.85</v>
      </c>
      <c r="E2356">
        <v>127.95</v>
      </c>
      <c r="F2356">
        <v>123.6</v>
      </c>
      <c r="G2356" s="3">
        <v>124.4</v>
      </c>
      <c r="H2356">
        <v>124.25</v>
      </c>
      <c r="I2356">
        <v>124.1</v>
      </c>
      <c r="J2356">
        <v>4619</v>
      </c>
      <c r="K2356">
        <v>578982</v>
      </c>
      <c r="L2356" s="1">
        <v>45240</v>
      </c>
      <c r="M2356">
        <v>262</v>
      </c>
      <c r="N2356" t="s">
        <v>5267</v>
      </c>
      <c r="O2356" s="5">
        <v>45240</v>
      </c>
      <c r="P2356" s="5">
        <v>43777</v>
      </c>
    </row>
    <row r="2357" spans="1:16" x14ac:dyDescent="0.25">
      <c r="A2357" t="s">
        <v>5268</v>
      </c>
      <c r="B2357" t="str">
        <v>Touchwood Entertainment Limited</v>
      </c>
      <c r="C2357" t="s">
        <v>10</v>
      </c>
      <c r="D2357">
        <v>210</v>
      </c>
      <c r="E2357">
        <v>210</v>
      </c>
      <c r="F2357">
        <v>199.5</v>
      </c>
      <c r="G2357" s="3">
        <v>199.6</v>
      </c>
      <c r="H2357">
        <v>199.5</v>
      </c>
      <c r="I2357">
        <v>210</v>
      </c>
      <c r="J2357">
        <v>5846</v>
      </c>
      <c r="K2357">
        <v>1169042.75</v>
      </c>
      <c r="L2357" s="1">
        <v>45240</v>
      </c>
      <c r="M2357">
        <v>49</v>
      </c>
      <c r="N2357" t="s">
        <v>5270</v>
      </c>
      <c r="O2357" s="5">
        <v>45240</v>
      </c>
      <c r="P2357" s="5">
        <v>43777</v>
      </c>
    </row>
    <row r="2358" spans="1:16" x14ac:dyDescent="0.25">
      <c r="A2358" t="s">
        <v>5271</v>
      </c>
      <c r="B2358" t="str">
        <v>Teamo Productions HQ Limited</v>
      </c>
      <c r="C2358" t="s">
        <v>10</v>
      </c>
      <c r="D2358">
        <v>11.15</v>
      </c>
      <c r="E2358">
        <v>11.15</v>
      </c>
      <c r="F2358">
        <v>10.85</v>
      </c>
      <c r="G2358" s="3">
        <v>11</v>
      </c>
      <c r="H2358">
        <v>11</v>
      </c>
      <c r="I2358">
        <v>10.95</v>
      </c>
      <c r="J2358">
        <v>127723</v>
      </c>
      <c r="K2358">
        <v>1400333.45</v>
      </c>
      <c r="L2358" s="1">
        <v>45240</v>
      </c>
      <c r="M2358">
        <v>291</v>
      </c>
      <c r="N2358" t="s">
        <v>5273</v>
      </c>
      <c r="O2358" s="5">
        <v>45240</v>
      </c>
      <c r="P2358" s="5">
        <v>43777</v>
      </c>
    </row>
    <row r="2359" spans="1:16" x14ac:dyDescent="0.25">
      <c r="A2359" t="s">
        <v>5274</v>
      </c>
      <c r="B2359" t="str">
        <v>TPL Plastech Limited</v>
      </c>
      <c r="C2359" t="s">
        <v>14</v>
      </c>
      <c r="D2359">
        <v>54.5</v>
      </c>
      <c r="E2359">
        <v>54.95</v>
      </c>
      <c r="F2359">
        <v>53.35</v>
      </c>
      <c r="G2359" s="3">
        <v>54.3</v>
      </c>
      <c r="H2359">
        <v>54.75</v>
      </c>
      <c r="I2359">
        <v>54.6</v>
      </c>
      <c r="J2359">
        <v>261539</v>
      </c>
      <c r="K2359">
        <v>14152336.699999999</v>
      </c>
      <c r="L2359" s="1">
        <v>45240</v>
      </c>
      <c r="M2359">
        <v>1650</v>
      </c>
      <c r="N2359" t="s">
        <v>5276</v>
      </c>
      <c r="O2359" s="5">
        <v>45240</v>
      </c>
      <c r="P2359" s="5">
        <v>43777</v>
      </c>
    </row>
    <row r="2360" spans="1:16" x14ac:dyDescent="0.25">
      <c r="A2360" t="s">
        <v>5277</v>
      </c>
      <c r="B2360" t="str">
        <v>Tracxn Technologies Limited</v>
      </c>
      <c r="C2360" t="s">
        <v>14</v>
      </c>
      <c r="D2360">
        <v>77.849999999999994</v>
      </c>
      <c r="E2360">
        <v>88.15</v>
      </c>
      <c r="F2360">
        <v>76.55</v>
      </c>
      <c r="G2360" s="3">
        <v>85.75</v>
      </c>
      <c r="H2360">
        <v>86.65</v>
      </c>
      <c r="I2360">
        <v>78.2</v>
      </c>
      <c r="J2360">
        <v>15531184</v>
      </c>
      <c r="K2360">
        <v>1297352709.55</v>
      </c>
      <c r="L2360" s="1">
        <v>45240</v>
      </c>
      <c r="M2360">
        <v>50024</v>
      </c>
      <c r="N2360" t="s">
        <v>5279</v>
      </c>
      <c r="O2360" s="5">
        <v>45240</v>
      </c>
      <c r="P2360" s="5">
        <v>43777</v>
      </c>
    </row>
    <row r="2361" spans="1:16" x14ac:dyDescent="0.25">
      <c r="A2361" t="s">
        <v>5854</v>
      </c>
      <c r="B2361" t="str">
        <v>Not Found</v>
      </c>
      <c r="C2361" t="s">
        <v>5853</v>
      </c>
      <c r="D2361">
        <v>112.4</v>
      </c>
      <c r="E2361">
        <v>112.4</v>
      </c>
      <c r="F2361">
        <v>102.5</v>
      </c>
      <c r="G2361" s="3">
        <v>107.05</v>
      </c>
      <c r="H2361">
        <v>107.95</v>
      </c>
      <c r="I2361">
        <v>107.9</v>
      </c>
      <c r="J2361">
        <v>1284000</v>
      </c>
      <c r="K2361">
        <v>136699300</v>
      </c>
      <c r="L2361" s="1">
        <v>45240</v>
      </c>
      <c r="M2361">
        <v>427</v>
      </c>
      <c r="N2361" t="s">
        <v>5852</v>
      </c>
      <c r="O2361" s="5">
        <v>45240</v>
      </c>
      <c r="P2361" s="5">
        <v>43777</v>
      </c>
    </row>
    <row r="2362" spans="1:16" x14ac:dyDescent="0.25">
      <c r="A2362" t="s">
        <v>5851</v>
      </c>
      <c r="B2362" t="str">
        <v>Not Found</v>
      </c>
      <c r="C2362" t="s">
        <v>5788</v>
      </c>
      <c r="D2362">
        <v>17.5</v>
      </c>
      <c r="E2362">
        <v>17.5</v>
      </c>
      <c r="F2362">
        <v>15.9</v>
      </c>
      <c r="G2362" s="3">
        <v>15.9</v>
      </c>
      <c r="H2362">
        <v>15.9</v>
      </c>
      <c r="I2362">
        <v>16.7</v>
      </c>
      <c r="J2362">
        <v>44000</v>
      </c>
      <c r="K2362">
        <v>760400</v>
      </c>
      <c r="L2362" s="1">
        <v>45240</v>
      </c>
      <c r="M2362">
        <v>11</v>
      </c>
      <c r="N2362" t="s">
        <v>5850</v>
      </c>
      <c r="O2362" s="5">
        <v>45240</v>
      </c>
      <c r="P2362" s="5">
        <v>43777</v>
      </c>
    </row>
    <row r="2363" spans="1:16" x14ac:dyDescent="0.25">
      <c r="A2363" t="s">
        <v>5280</v>
      </c>
      <c r="B2363" t="str">
        <v>Tree House Education &amp; Accessories Limited</v>
      </c>
      <c r="C2363" t="s">
        <v>14</v>
      </c>
      <c r="D2363">
        <v>21.5</v>
      </c>
      <c r="E2363">
        <v>21.5</v>
      </c>
      <c r="F2363">
        <v>21</v>
      </c>
      <c r="G2363" s="3">
        <v>21.2</v>
      </c>
      <c r="H2363">
        <v>21.3</v>
      </c>
      <c r="I2363">
        <v>21.3</v>
      </c>
      <c r="J2363">
        <v>34813</v>
      </c>
      <c r="K2363">
        <v>738931.6</v>
      </c>
      <c r="L2363" s="1">
        <v>45240</v>
      </c>
      <c r="M2363">
        <v>200</v>
      </c>
      <c r="N2363" t="s">
        <v>5282</v>
      </c>
      <c r="O2363" s="5">
        <v>45240</v>
      </c>
      <c r="P2363" s="5">
        <v>43777</v>
      </c>
    </row>
    <row r="2364" spans="1:16" x14ac:dyDescent="0.25">
      <c r="A2364" t="s">
        <v>5283</v>
      </c>
      <c r="B2364" t="str">
        <v>TREJHARA SOLUTIONS LIMITED</v>
      </c>
      <c r="C2364" t="s">
        <v>10</v>
      </c>
      <c r="D2364">
        <v>146.94999999999999</v>
      </c>
      <c r="E2364">
        <v>146.94999999999999</v>
      </c>
      <c r="F2364">
        <v>146.94999999999999</v>
      </c>
      <c r="G2364" s="3">
        <v>146.94999999999999</v>
      </c>
      <c r="H2364">
        <v>146.94999999999999</v>
      </c>
      <c r="I2364">
        <v>149.94999999999999</v>
      </c>
      <c r="J2364">
        <v>15609</v>
      </c>
      <c r="K2364">
        <v>2293742.5499999998</v>
      </c>
      <c r="L2364" s="1">
        <v>45240</v>
      </c>
      <c r="M2364">
        <v>100</v>
      </c>
      <c r="N2364" t="s">
        <v>5285</v>
      </c>
      <c r="O2364" s="5">
        <v>45240</v>
      </c>
      <c r="P2364" s="5">
        <v>43777</v>
      </c>
    </row>
    <row r="2365" spans="1:16" x14ac:dyDescent="0.25">
      <c r="A2365" t="s">
        <v>5286</v>
      </c>
      <c r="B2365" t="str">
        <v>Transindia Real Estate Limited</v>
      </c>
      <c r="C2365" t="s">
        <v>14</v>
      </c>
      <c r="D2365">
        <v>42.7</v>
      </c>
      <c r="E2365">
        <v>44.5</v>
      </c>
      <c r="F2365">
        <v>41.7</v>
      </c>
      <c r="G2365" s="3">
        <v>42.15</v>
      </c>
      <c r="H2365">
        <v>42.3</v>
      </c>
      <c r="I2365">
        <v>42.05</v>
      </c>
      <c r="J2365">
        <v>778646</v>
      </c>
      <c r="K2365">
        <v>33339930.850000001</v>
      </c>
      <c r="L2365" s="1">
        <v>45240</v>
      </c>
      <c r="M2365">
        <v>2595</v>
      </c>
      <c r="N2365" t="s">
        <v>5288</v>
      </c>
      <c r="O2365" s="5">
        <v>45240</v>
      </c>
      <c r="P2365" s="5">
        <v>43777</v>
      </c>
    </row>
    <row r="2366" spans="1:16" x14ac:dyDescent="0.25">
      <c r="A2366" t="s">
        <v>5289</v>
      </c>
      <c r="B2366" t="str">
        <v>Trent Limited</v>
      </c>
      <c r="C2366" t="s">
        <v>14</v>
      </c>
      <c r="D2366">
        <v>2476.9499999999998</v>
      </c>
      <c r="E2366">
        <v>2504.15</v>
      </c>
      <c r="F2366">
        <v>2454.0500000000002</v>
      </c>
      <c r="G2366" s="3">
        <v>2489.35</v>
      </c>
      <c r="H2366">
        <v>2491.6</v>
      </c>
      <c r="I2366">
        <v>2478.0500000000002</v>
      </c>
      <c r="J2366">
        <v>644072</v>
      </c>
      <c r="K2366">
        <v>1599685677.3</v>
      </c>
      <c r="L2366" s="1">
        <v>45240</v>
      </c>
      <c r="M2366">
        <v>39940</v>
      </c>
      <c r="N2366" t="s">
        <v>5291</v>
      </c>
      <c r="O2366" s="5">
        <v>45240</v>
      </c>
      <c r="P2366" s="5">
        <v>43777</v>
      </c>
    </row>
    <row r="2367" spans="1:16" x14ac:dyDescent="0.25">
      <c r="A2367" t="s">
        <v>5292</v>
      </c>
      <c r="B2367" t="str">
        <v>TRF Limited</v>
      </c>
      <c r="C2367" t="s">
        <v>14</v>
      </c>
      <c r="D2367">
        <v>266.05</v>
      </c>
      <c r="E2367">
        <v>275.95</v>
      </c>
      <c r="F2367">
        <v>266</v>
      </c>
      <c r="G2367" s="3">
        <v>269.75</v>
      </c>
      <c r="H2367">
        <v>268.60000000000002</v>
      </c>
      <c r="I2367">
        <v>266.05</v>
      </c>
      <c r="J2367">
        <v>116839</v>
      </c>
      <c r="K2367">
        <v>31625016.399999999</v>
      </c>
      <c r="L2367" s="1">
        <v>45240</v>
      </c>
      <c r="M2367">
        <v>4996</v>
      </c>
      <c r="N2367" t="s">
        <v>5294</v>
      </c>
      <c r="O2367" s="5">
        <v>45240</v>
      </c>
      <c r="P2367" s="5">
        <v>43777</v>
      </c>
    </row>
    <row r="2368" spans="1:16" x14ac:dyDescent="0.25">
      <c r="A2368" t="s">
        <v>5295</v>
      </c>
      <c r="B2368" t="str">
        <v>Trident Limited</v>
      </c>
      <c r="C2368" t="s">
        <v>14</v>
      </c>
      <c r="D2368">
        <v>35.9</v>
      </c>
      <c r="E2368">
        <v>36.299999999999997</v>
      </c>
      <c r="F2368">
        <v>35.549999999999997</v>
      </c>
      <c r="G2368" s="3">
        <v>36.200000000000003</v>
      </c>
      <c r="H2368">
        <v>36.299999999999997</v>
      </c>
      <c r="I2368">
        <v>35.950000000000003</v>
      </c>
      <c r="J2368">
        <v>5305827</v>
      </c>
      <c r="K2368">
        <v>190760047.15000001</v>
      </c>
      <c r="L2368" s="1">
        <v>45240</v>
      </c>
      <c r="M2368">
        <v>16246</v>
      </c>
      <c r="N2368" t="s">
        <v>5297</v>
      </c>
      <c r="O2368" s="5">
        <v>45240</v>
      </c>
      <c r="P2368" s="5">
        <v>43777</v>
      </c>
    </row>
    <row r="2369" spans="1:16" x14ac:dyDescent="0.25">
      <c r="A2369" t="s">
        <v>5849</v>
      </c>
      <c r="B2369" t="str">
        <v>Not Found</v>
      </c>
      <c r="C2369" t="s">
        <v>5788</v>
      </c>
      <c r="D2369">
        <v>40.5</v>
      </c>
      <c r="E2369">
        <v>40.799999999999997</v>
      </c>
      <c r="F2369">
        <v>38.049999999999997</v>
      </c>
      <c r="G2369" s="3">
        <v>40.6</v>
      </c>
      <c r="H2369">
        <v>40.799999999999997</v>
      </c>
      <c r="I2369">
        <v>40.15</v>
      </c>
      <c r="J2369">
        <v>24000</v>
      </c>
      <c r="K2369">
        <v>955800</v>
      </c>
      <c r="L2369" s="1">
        <v>45240</v>
      </c>
      <c r="M2369">
        <v>8</v>
      </c>
      <c r="N2369" t="s">
        <v>5848</v>
      </c>
      <c r="O2369" s="5">
        <v>45240</v>
      </c>
      <c r="P2369" s="5">
        <v>43777</v>
      </c>
    </row>
    <row r="2370" spans="1:16" x14ac:dyDescent="0.25">
      <c r="A2370" t="s">
        <v>5298</v>
      </c>
      <c r="B2370" t="str">
        <v>Trigyn Technologies Limited</v>
      </c>
      <c r="C2370" t="s">
        <v>14</v>
      </c>
      <c r="D2370">
        <v>120</v>
      </c>
      <c r="E2370">
        <v>122.25</v>
      </c>
      <c r="F2370">
        <v>117.1</v>
      </c>
      <c r="G2370" s="3">
        <v>117.85</v>
      </c>
      <c r="H2370">
        <v>118.25</v>
      </c>
      <c r="I2370">
        <v>121.15</v>
      </c>
      <c r="J2370">
        <v>74152</v>
      </c>
      <c r="K2370">
        <v>8840759.1500000004</v>
      </c>
      <c r="L2370" s="1">
        <v>45240</v>
      </c>
      <c r="M2370">
        <v>1480</v>
      </c>
      <c r="N2370" t="s">
        <v>5300</v>
      </c>
      <c r="O2370" s="5">
        <v>45240</v>
      </c>
      <c r="P2370" s="5">
        <v>43777</v>
      </c>
    </row>
    <row r="2371" spans="1:16" x14ac:dyDescent="0.25">
      <c r="A2371" t="s">
        <v>5301</v>
      </c>
      <c r="B2371" t="str">
        <v>Transformers And Rectifiers (India) Limited</v>
      </c>
      <c r="C2371" t="s">
        <v>14</v>
      </c>
      <c r="D2371">
        <v>174.5</v>
      </c>
      <c r="E2371">
        <v>179.9</v>
      </c>
      <c r="F2371">
        <v>173.05</v>
      </c>
      <c r="G2371" s="3">
        <v>174.15</v>
      </c>
      <c r="H2371">
        <v>174.75</v>
      </c>
      <c r="I2371">
        <v>175.8</v>
      </c>
      <c r="J2371">
        <v>432968</v>
      </c>
      <c r="K2371">
        <v>76401336.400000006</v>
      </c>
      <c r="L2371" s="1">
        <v>45240</v>
      </c>
      <c r="M2371">
        <v>10856</v>
      </c>
      <c r="N2371" t="s">
        <v>5303</v>
      </c>
      <c r="O2371" s="5">
        <v>45240</v>
      </c>
      <c r="P2371" s="5">
        <v>43777</v>
      </c>
    </row>
    <row r="2372" spans="1:16" x14ac:dyDescent="0.25">
      <c r="A2372" t="s">
        <v>5304</v>
      </c>
      <c r="B2372" t="str">
        <v>Triveni Turbine Limited</v>
      </c>
      <c r="C2372" t="s">
        <v>14</v>
      </c>
      <c r="D2372">
        <v>403.9</v>
      </c>
      <c r="E2372">
        <v>412.5</v>
      </c>
      <c r="F2372">
        <v>401.15</v>
      </c>
      <c r="G2372" s="3">
        <v>403.25</v>
      </c>
      <c r="H2372">
        <v>404.85</v>
      </c>
      <c r="I2372">
        <v>404.25</v>
      </c>
      <c r="J2372">
        <v>689133</v>
      </c>
      <c r="K2372">
        <v>280402947.94999999</v>
      </c>
      <c r="L2372" s="1">
        <v>45240</v>
      </c>
      <c r="M2372">
        <v>20946</v>
      </c>
      <c r="N2372" t="s">
        <v>5306</v>
      </c>
      <c r="O2372" s="5">
        <v>45240</v>
      </c>
      <c r="P2372" s="5">
        <v>43777</v>
      </c>
    </row>
    <row r="2373" spans="1:16" x14ac:dyDescent="0.25">
      <c r="A2373" t="s">
        <v>5307</v>
      </c>
      <c r="B2373" t="str">
        <v>Triveni Engineering &amp; Industries Limited</v>
      </c>
      <c r="C2373" t="s">
        <v>14</v>
      </c>
      <c r="D2373">
        <v>360.8</v>
      </c>
      <c r="E2373">
        <v>363.8</v>
      </c>
      <c r="F2373">
        <v>354.1</v>
      </c>
      <c r="G2373" s="3">
        <v>355.6</v>
      </c>
      <c r="H2373">
        <v>356.3</v>
      </c>
      <c r="I2373">
        <v>360.7</v>
      </c>
      <c r="J2373">
        <v>346931</v>
      </c>
      <c r="K2373">
        <v>124335713.75</v>
      </c>
      <c r="L2373" s="1">
        <v>45240</v>
      </c>
      <c r="M2373">
        <v>10210</v>
      </c>
      <c r="N2373" t="s">
        <v>5309</v>
      </c>
      <c r="O2373" s="5">
        <v>45240</v>
      </c>
      <c r="P2373" s="5">
        <v>43777</v>
      </c>
    </row>
    <row r="2374" spans="1:16" x14ac:dyDescent="0.25">
      <c r="A2374" t="s">
        <v>5310</v>
      </c>
      <c r="B2374" t="str">
        <v>TruCap Finance Limited</v>
      </c>
      <c r="C2374" t="s">
        <v>14</v>
      </c>
      <c r="D2374">
        <v>72.3</v>
      </c>
      <c r="E2374">
        <v>74.150000000000006</v>
      </c>
      <c r="F2374">
        <v>69</v>
      </c>
      <c r="G2374" s="3">
        <v>71.8</v>
      </c>
      <c r="H2374">
        <v>72</v>
      </c>
      <c r="I2374">
        <v>71.95</v>
      </c>
      <c r="J2374">
        <v>2996071</v>
      </c>
      <c r="K2374">
        <v>215209950.09999999</v>
      </c>
      <c r="L2374" s="1">
        <v>45240</v>
      </c>
      <c r="M2374">
        <v>8458</v>
      </c>
      <c r="N2374" t="s">
        <v>5312</v>
      </c>
      <c r="O2374" s="5">
        <v>45240</v>
      </c>
      <c r="P2374" s="5">
        <v>43777</v>
      </c>
    </row>
    <row r="2375" spans="1:16" x14ac:dyDescent="0.25">
      <c r="A2375" t="s">
        <v>5313</v>
      </c>
      <c r="B2375" t="str">
        <v>TTK Healthcare Limited</v>
      </c>
      <c r="C2375" t="s">
        <v>14</v>
      </c>
      <c r="D2375">
        <v>1294.8</v>
      </c>
      <c r="E2375">
        <v>1295</v>
      </c>
      <c r="F2375">
        <v>1280</v>
      </c>
      <c r="G2375" s="3">
        <v>1288.1500000000001</v>
      </c>
      <c r="H2375">
        <v>1295</v>
      </c>
      <c r="I2375">
        <v>1288.3499999999999</v>
      </c>
      <c r="J2375">
        <v>10183</v>
      </c>
      <c r="K2375">
        <v>13100899.050000001</v>
      </c>
      <c r="L2375" s="1">
        <v>45240</v>
      </c>
      <c r="M2375">
        <v>1050</v>
      </c>
      <c r="N2375" t="s">
        <v>5315</v>
      </c>
      <c r="O2375" s="5">
        <v>45240</v>
      </c>
      <c r="P2375" s="5">
        <v>43777</v>
      </c>
    </row>
    <row r="2376" spans="1:16" x14ac:dyDescent="0.25">
      <c r="A2376" t="s">
        <v>5316</v>
      </c>
      <c r="B2376" t="str">
        <v>TTK Prestige Limited</v>
      </c>
      <c r="C2376" t="s">
        <v>14</v>
      </c>
      <c r="D2376">
        <v>790</v>
      </c>
      <c r="E2376">
        <v>799.7</v>
      </c>
      <c r="F2376">
        <v>776.9</v>
      </c>
      <c r="G2376" s="3">
        <v>797.95</v>
      </c>
      <c r="H2376">
        <v>798.95</v>
      </c>
      <c r="I2376">
        <v>796.3</v>
      </c>
      <c r="J2376">
        <v>103968</v>
      </c>
      <c r="K2376">
        <v>82424968.150000006</v>
      </c>
      <c r="L2376" s="1">
        <v>45240</v>
      </c>
      <c r="M2376">
        <v>6929</v>
      </c>
      <c r="N2376" t="s">
        <v>5318</v>
      </c>
      <c r="O2376" s="5">
        <v>45240</v>
      </c>
      <c r="P2376" s="5">
        <v>43777</v>
      </c>
    </row>
    <row r="2377" spans="1:16" x14ac:dyDescent="0.25">
      <c r="A2377" t="s">
        <v>5319</v>
      </c>
      <c r="B2377" t="str">
        <v>T T Limited</v>
      </c>
      <c r="C2377" t="s">
        <v>14</v>
      </c>
      <c r="D2377">
        <v>91.2</v>
      </c>
      <c r="E2377">
        <v>95</v>
      </c>
      <c r="F2377">
        <v>91.2</v>
      </c>
      <c r="G2377" s="3">
        <v>93.05</v>
      </c>
      <c r="H2377">
        <v>93</v>
      </c>
      <c r="I2377">
        <v>94</v>
      </c>
      <c r="J2377">
        <v>8329</v>
      </c>
      <c r="K2377">
        <v>775111.85</v>
      </c>
      <c r="L2377" s="1">
        <v>45240</v>
      </c>
      <c r="M2377">
        <v>217</v>
      </c>
      <c r="N2377" t="s">
        <v>5321</v>
      </c>
      <c r="O2377" s="5">
        <v>45240</v>
      </c>
      <c r="P2377" s="5">
        <v>43777</v>
      </c>
    </row>
    <row r="2378" spans="1:16" x14ac:dyDescent="0.25">
      <c r="A2378" t="s">
        <v>5322</v>
      </c>
      <c r="B2378" t="str">
        <v>Tata Teleservices (Maharashtra) Limited</v>
      </c>
      <c r="C2378" t="s">
        <v>14</v>
      </c>
      <c r="D2378">
        <v>88.9</v>
      </c>
      <c r="E2378">
        <v>88.95</v>
      </c>
      <c r="F2378">
        <v>87.8</v>
      </c>
      <c r="G2378" s="3">
        <v>88</v>
      </c>
      <c r="H2378">
        <v>88</v>
      </c>
      <c r="I2378">
        <v>89.25</v>
      </c>
      <c r="J2378">
        <v>1321432</v>
      </c>
      <c r="K2378">
        <v>116631252.84999999</v>
      </c>
      <c r="L2378" s="1">
        <v>45240</v>
      </c>
      <c r="M2378">
        <v>8243</v>
      </c>
      <c r="N2378" t="s">
        <v>5324</v>
      </c>
      <c r="O2378" s="5">
        <v>45240</v>
      </c>
      <c r="P2378" s="5">
        <v>43777</v>
      </c>
    </row>
    <row r="2379" spans="1:16" x14ac:dyDescent="0.25">
      <c r="A2379" t="s">
        <v>5325</v>
      </c>
      <c r="B2379" t="str">
        <v>TV18 Broadcast Limited</v>
      </c>
      <c r="C2379" t="s">
        <v>14</v>
      </c>
      <c r="D2379">
        <v>42</v>
      </c>
      <c r="E2379">
        <v>43.3</v>
      </c>
      <c r="F2379">
        <v>41.5</v>
      </c>
      <c r="G2379" s="3">
        <v>42.85</v>
      </c>
      <c r="H2379">
        <v>42.85</v>
      </c>
      <c r="I2379">
        <v>42.15</v>
      </c>
      <c r="J2379">
        <v>8830052</v>
      </c>
      <c r="K2379">
        <v>375797888.64999998</v>
      </c>
      <c r="L2379" s="1">
        <v>45240</v>
      </c>
      <c r="M2379">
        <v>12968</v>
      </c>
      <c r="N2379" t="s">
        <v>5327</v>
      </c>
      <c r="O2379" s="5">
        <v>45240</v>
      </c>
      <c r="P2379" s="5">
        <v>43777</v>
      </c>
    </row>
    <row r="2380" spans="1:16" x14ac:dyDescent="0.25">
      <c r="A2380" t="s">
        <v>5328</v>
      </c>
      <c r="B2380" t="str">
        <v>TVS Electronics Limited</v>
      </c>
      <c r="C2380" t="s">
        <v>14</v>
      </c>
      <c r="D2380">
        <v>356.5</v>
      </c>
      <c r="E2380">
        <v>367.95</v>
      </c>
      <c r="F2380">
        <v>350.15</v>
      </c>
      <c r="G2380" s="3">
        <v>354.6</v>
      </c>
      <c r="H2380">
        <v>355</v>
      </c>
      <c r="I2380">
        <v>353.15</v>
      </c>
      <c r="J2380">
        <v>169255</v>
      </c>
      <c r="K2380">
        <v>60377321.899999999</v>
      </c>
      <c r="L2380" s="1">
        <v>45240</v>
      </c>
      <c r="M2380">
        <v>7501</v>
      </c>
      <c r="N2380" t="s">
        <v>5330</v>
      </c>
      <c r="O2380" s="5">
        <v>45240</v>
      </c>
      <c r="P2380" s="5">
        <v>43777</v>
      </c>
    </row>
    <row r="2381" spans="1:16" x14ac:dyDescent="0.25">
      <c r="A2381" t="s">
        <v>5331</v>
      </c>
      <c r="B2381" t="str">
        <v>TVS Holdings Limited</v>
      </c>
      <c r="C2381" t="s">
        <v>14</v>
      </c>
      <c r="D2381">
        <v>5645</v>
      </c>
      <c r="E2381">
        <v>5753</v>
      </c>
      <c r="F2381">
        <v>5510</v>
      </c>
      <c r="G2381" s="3">
        <v>5675.85</v>
      </c>
      <c r="H2381">
        <v>5699.75</v>
      </c>
      <c r="I2381">
        <v>5604.75</v>
      </c>
      <c r="J2381">
        <v>5404</v>
      </c>
      <c r="K2381">
        <v>30578336.050000001</v>
      </c>
      <c r="L2381" s="1">
        <v>45240</v>
      </c>
      <c r="M2381">
        <v>1686</v>
      </c>
      <c r="N2381" t="s">
        <v>5333</v>
      </c>
      <c r="O2381" s="5">
        <v>45240</v>
      </c>
      <c r="P2381" s="5">
        <v>43777</v>
      </c>
    </row>
    <row r="2382" spans="1:16" x14ac:dyDescent="0.25">
      <c r="A2382" t="s">
        <v>5331</v>
      </c>
      <c r="B2382" t="str">
        <v>TVS Holdings Limited</v>
      </c>
      <c r="C2382" t="s">
        <v>5847</v>
      </c>
      <c r="D2382">
        <v>10.4</v>
      </c>
      <c r="E2382">
        <v>10.4</v>
      </c>
      <c r="F2382">
        <v>10.35</v>
      </c>
      <c r="G2382" s="3">
        <v>10.35</v>
      </c>
      <c r="H2382">
        <v>10.4</v>
      </c>
      <c r="I2382">
        <v>10.4</v>
      </c>
      <c r="J2382">
        <v>46574</v>
      </c>
      <c r="K2382">
        <v>482168.95</v>
      </c>
      <c r="L2382" s="1">
        <v>45240</v>
      </c>
      <c r="M2382">
        <v>35</v>
      </c>
      <c r="N2382" t="s">
        <v>5846</v>
      </c>
      <c r="O2382" s="5">
        <v>45240</v>
      </c>
      <c r="P2382" s="5">
        <v>43777</v>
      </c>
    </row>
    <row r="2383" spans="1:16" x14ac:dyDescent="0.25">
      <c r="A2383" t="s">
        <v>5334</v>
      </c>
      <c r="B2383" t="str">
        <v>TVS Motor Company Limited</v>
      </c>
      <c r="C2383" t="s">
        <v>14</v>
      </c>
      <c r="D2383">
        <v>1645</v>
      </c>
      <c r="E2383">
        <v>1645</v>
      </c>
      <c r="F2383">
        <v>1628.8</v>
      </c>
      <c r="G2383" s="3">
        <v>1631.95</v>
      </c>
      <c r="H2383">
        <v>1634.95</v>
      </c>
      <c r="I2383">
        <v>1646.9</v>
      </c>
      <c r="J2383">
        <v>390701</v>
      </c>
      <c r="K2383">
        <v>639381817.20000005</v>
      </c>
      <c r="L2383" s="1">
        <v>45240</v>
      </c>
      <c r="M2383">
        <v>27092</v>
      </c>
      <c r="N2383" t="s">
        <v>5336</v>
      </c>
      <c r="O2383" s="5">
        <v>45240</v>
      </c>
      <c r="P2383" s="5">
        <v>43777</v>
      </c>
    </row>
    <row r="2384" spans="1:16" x14ac:dyDescent="0.25">
      <c r="A2384" t="s">
        <v>5337</v>
      </c>
      <c r="B2384" t="str">
        <v>TVS Supply Chain Solutions Limited</v>
      </c>
      <c r="C2384" t="s">
        <v>14</v>
      </c>
      <c r="D2384">
        <v>212.8</v>
      </c>
      <c r="E2384">
        <v>213.65</v>
      </c>
      <c r="F2384">
        <v>211</v>
      </c>
      <c r="G2384" s="3">
        <v>211.85</v>
      </c>
      <c r="H2384">
        <v>211.95</v>
      </c>
      <c r="I2384">
        <v>212.35</v>
      </c>
      <c r="J2384">
        <v>426776</v>
      </c>
      <c r="K2384">
        <v>90540099.700000003</v>
      </c>
      <c r="L2384" s="1">
        <v>45240</v>
      </c>
      <c r="M2384">
        <v>5715</v>
      </c>
      <c r="N2384" t="s">
        <v>5339</v>
      </c>
      <c r="O2384" s="5">
        <v>45240</v>
      </c>
      <c r="P2384" s="5">
        <v>43777</v>
      </c>
    </row>
    <row r="2385" spans="1:16" x14ac:dyDescent="0.25">
      <c r="A2385" t="s">
        <v>5340</v>
      </c>
      <c r="B2385" t="str">
        <v>TVS Srichakra Limited</v>
      </c>
      <c r="C2385" t="s">
        <v>14</v>
      </c>
      <c r="D2385">
        <v>4500</v>
      </c>
      <c r="E2385">
        <v>4692</v>
      </c>
      <c r="F2385">
        <v>4499</v>
      </c>
      <c r="G2385" s="3">
        <v>4643.8500000000004</v>
      </c>
      <c r="H2385">
        <v>4652</v>
      </c>
      <c r="I2385">
        <v>4638.6499999999996</v>
      </c>
      <c r="J2385">
        <v>17890</v>
      </c>
      <c r="K2385">
        <v>82977298.25</v>
      </c>
      <c r="L2385" s="1">
        <v>45240</v>
      </c>
      <c r="M2385">
        <v>3545</v>
      </c>
      <c r="N2385" t="s">
        <v>5342</v>
      </c>
      <c r="O2385" s="5">
        <v>45240</v>
      </c>
      <c r="P2385" s="5">
        <v>43777</v>
      </c>
    </row>
    <row r="2386" spans="1:16" x14ac:dyDescent="0.25">
      <c r="A2386" t="s">
        <v>5343</v>
      </c>
      <c r="B2386" t="str">
        <v>TV Today Network Limited</v>
      </c>
      <c r="C2386" t="s">
        <v>14</v>
      </c>
      <c r="D2386">
        <v>208.8</v>
      </c>
      <c r="E2386">
        <v>211.5</v>
      </c>
      <c r="F2386">
        <v>206.65</v>
      </c>
      <c r="G2386" s="3">
        <v>209.8</v>
      </c>
      <c r="H2386">
        <v>208.55</v>
      </c>
      <c r="I2386">
        <v>208.1</v>
      </c>
      <c r="J2386">
        <v>129212</v>
      </c>
      <c r="K2386">
        <v>27057818.899999999</v>
      </c>
      <c r="L2386" s="1">
        <v>45240</v>
      </c>
      <c r="M2386">
        <v>4421</v>
      </c>
      <c r="N2386" t="s">
        <v>5345</v>
      </c>
      <c r="O2386" s="5">
        <v>45240</v>
      </c>
      <c r="P2386" s="5">
        <v>43777</v>
      </c>
    </row>
    <row r="2387" spans="1:16" x14ac:dyDescent="0.25">
      <c r="A2387" t="s">
        <v>5346</v>
      </c>
      <c r="B2387" t="str">
        <v>TV Vision Limited</v>
      </c>
      <c r="C2387" t="s">
        <v>10</v>
      </c>
      <c r="D2387">
        <v>3.8</v>
      </c>
      <c r="E2387">
        <v>3.8</v>
      </c>
      <c r="F2387">
        <v>3.8</v>
      </c>
      <c r="G2387" s="3">
        <v>3.8</v>
      </c>
      <c r="H2387">
        <v>3.8</v>
      </c>
      <c r="I2387">
        <v>3.85</v>
      </c>
      <c r="J2387">
        <v>2754</v>
      </c>
      <c r="K2387">
        <v>10465.200000000001</v>
      </c>
      <c r="L2387" s="1">
        <v>45240</v>
      </c>
      <c r="M2387">
        <v>3</v>
      </c>
      <c r="N2387" t="s">
        <v>5348</v>
      </c>
      <c r="O2387" s="5">
        <v>45240</v>
      </c>
      <c r="P2387" s="5">
        <v>43777</v>
      </c>
    </row>
    <row r="2388" spans="1:16" x14ac:dyDescent="0.25">
      <c r="A2388" t="s">
        <v>5349</v>
      </c>
      <c r="B2388" t="str">
        <v>United Breweries Limited</v>
      </c>
      <c r="C2388" t="s">
        <v>14</v>
      </c>
      <c r="D2388">
        <v>1589.9</v>
      </c>
      <c r="E2388">
        <v>1589.9</v>
      </c>
      <c r="F2388">
        <v>1560.05</v>
      </c>
      <c r="G2388" s="3">
        <v>1575.25</v>
      </c>
      <c r="H2388">
        <v>1578.7</v>
      </c>
      <c r="I2388">
        <v>1586.05</v>
      </c>
      <c r="J2388">
        <v>103919</v>
      </c>
      <c r="K2388">
        <v>163450435.25</v>
      </c>
      <c r="L2388" s="1">
        <v>45240</v>
      </c>
      <c r="M2388">
        <v>6770</v>
      </c>
      <c r="N2388" t="s">
        <v>5351</v>
      </c>
      <c r="O2388" s="5">
        <v>45240</v>
      </c>
      <c r="P2388" s="5">
        <v>43777</v>
      </c>
    </row>
    <row r="2389" spans="1:16" x14ac:dyDescent="0.25">
      <c r="A2389" t="s">
        <v>5352</v>
      </c>
      <c r="B2389" t="str">
        <v>UCAL LIMITED</v>
      </c>
      <c r="C2389" t="s">
        <v>14</v>
      </c>
      <c r="D2389">
        <v>132.85</v>
      </c>
      <c r="E2389">
        <v>133.35</v>
      </c>
      <c r="F2389">
        <v>129.05000000000001</v>
      </c>
      <c r="G2389" s="3">
        <v>131</v>
      </c>
      <c r="H2389">
        <v>130.15</v>
      </c>
      <c r="I2389">
        <v>131.1</v>
      </c>
      <c r="J2389">
        <v>11819</v>
      </c>
      <c r="K2389">
        <v>1541959.65</v>
      </c>
      <c r="L2389" s="1">
        <v>45240</v>
      </c>
      <c r="M2389">
        <v>304</v>
      </c>
      <c r="N2389" t="s">
        <v>5354</v>
      </c>
      <c r="O2389" s="5">
        <v>45240</v>
      </c>
      <c r="P2389" s="5">
        <v>43777</v>
      </c>
    </row>
    <row r="2390" spans="1:16" x14ac:dyDescent="0.25">
      <c r="A2390" t="s">
        <v>5355</v>
      </c>
      <c r="B2390" t="str">
        <v>UCO Bank</v>
      </c>
      <c r="C2390" t="s">
        <v>14</v>
      </c>
      <c r="D2390">
        <v>37</v>
      </c>
      <c r="E2390">
        <v>37.15</v>
      </c>
      <c r="F2390">
        <v>36.700000000000003</v>
      </c>
      <c r="G2390" s="3">
        <v>37</v>
      </c>
      <c r="H2390">
        <v>37.049999999999997</v>
      </c>
      <c r="I2390">
        <v>37.200000000000003</v>
      </c>
      <c r="J2390">
        <v>5283807</v>
      </c>
      <c r="K2390">
        <v>195168097.15000001</v>
      </c>
      <c r="L2390" s="1">
        <v>45240</v>
      </c>
      <c r="M2390">
        <v>17776</v>
      </c>
      <c r="N2390" t="s">
        <v>5357</v>
      </c>
      <c r="O2390" s="5">
        <v>45240</v>
      </c>
      <c r="P2390" s="5">
        <v>43777</v>
      </c>
    </row>
    <row r="2391" spans="1:16" x14ac:dyDescent="0.25">
      <c r="A2391" t="s">
        <v>5358</v>
      </c>
      <c r="B2391" t="str">
        <v>Updater Services Limited</v>
      </c>
      <c r="C2391" t="s">
        <v>14</v>
      </c>
      <c r="D2391">
        <v>267</v>
      </c>
      <c r="E2391">
        <v>275</v>
      </c>
      <c r="F2391">
        <v>262.5</v>
      </c>
      <c r="G2391" s="3">
        <v>272.39999999999998</v>
      </c>
      <c r="H2391">
        <v>273</v>
      </c>
      <c r="I2391">
        <v>266.89999999999998</v>
      </c>
      <c r="J2391">
        <v>180801</v>
      </c>
      <c r="K2391">
        <v>48749284.75</v>
      </c>
      <c r="L2391" s="1">
        <v>45240</v>
      </c>
      <c r="M2391">
        <v>5073</v>
      </c>
      <c r="N2391" t="s">
        <v>5360</v>
      </c>
      <c r="O2391" s="5">
        <v>45240</v>
      </c>
      <c r="P2391" s="5">
        <v>43777</v>
      </c>
    </row>
    <row r="2392" spans="1:16" x14ac:dyDescent="0.25">
      <c r="A2392" t="s">
        <v>5361</v>
      </c>
      <c r="B2392" t="str">
        <v>UFLEX Limited</v>
      </c>
      <c r="C2392" t="s">
        <v>14</v>
      </c>
      <c r="D2392">
        <v>435</v>
      </c>
      <c r="E2392">
        <v>436.3</v>
      </c>
      <c r="F2392">
        <v>431</v>
      </c>
      <c r="G2392" s="3">
        <v>432.05</v>
      </c>
      <c r="H2392">
        <v>432</v>
      </c>
      <c r="I2392">
        <v>435.65</v>
      </c>
      <c r="J2392">
        <v>43060</v>
      </c>
      <c r="K2392">
        <v>18630821.649999999</v>
      </c>
      <c r="L2392" s="1">
        <v>45240</v>
      </c>
      <c r="M2392">
        <v>2738</v>
      </c>
      <c r="N2392" t="s">
        <v>5363</v>
      </c>
      <c r="O2392" s="5">
        <v>45240</v>
      </c>
      <c r="P2392" s="5">
        <v>43777</v>
      </c>
    </row>
    <row r="2393" spans="1:16" x14ac:dyDescent="0.25">
      <c r="A2393" t="s">
        <v>5364</v>
      </c>
      <c r="B2393" t="str">
        <v>UFO Moviez India Limited</v>
      </c>
      <c r="C2393" t="s">
        <v>10</v>
      </c>
      <c r="D2393">
        <v>105.95</v>
      </c>
      <c r="E2393">
        <v>107.65</v>
      </c>
      <c r="F2393">
        <v>104</v>
      </c>
      <c r="G2393" s="3">
        <v>104.9</v>
      </c>
      <c r="H2393">
        <v>105</v>
      </c>
      <c r="I2393">
        <v>105.35</v>
      </c>
      <c r="J2393">
        <v>119648</v>
      </c>
      <c r="K2393">
        <v>12663711.35</v>
      </c>
      <c r="L2393" s="1">
        <v>45240</v>
      </c>
      <c r="M2393">
        <v>499</v>
      </c>
      <c r="N2393" t="s">
        <v>5366</v>
      </c>
      <c r="O2393" s="5">
        <v>45240</v>
      </c>
      <c r="P2393" s="5">
        <v>43777</v>
      </c>
    </row>
    <row r="2394" spans="1:16" x14ac:dyDescent="0.25">
      <c r="A2394" t="s">
        <v>5367</v>
      </c>
      <c r="B2394" t="str">
        <v>The Ugar Sugar Works Limited</v>
      </c>
      <c r="C2394" t="s">
        <v>14</v>
      </c>
      <c r="D2394">
        <v>90.15</v>
      </c>
      <c r="E2394">
        <v>92.7</v>
      </c>
      <c r="F2394">
        <v>88.85</v>
      </c>
      <c r="G2394" s="3">
        <v>89.45</v>
      </c>
      <c r="H2394">
        <v>89.45</v>
      </c>
      <c r="I2394">
        <v>90.15</v>
      </c>
      <c r="J2394">
        <v>522909</v>
      </c>
      <c r="K2394">
        <v>47411532.649999999</v>
      </c>
      <c r="L2394" s="1">
        <v>45240</v>
      </c>
      <c r="M2394">
        <v>5801</v>
      </c>
      <c r="N2394" t="s">
        <v>5369</v>
      </c>
      <c r="O2394" s="5">
        <v>45240</v>
      </c>
      <c r="P2394" s="5">
        <v>43777</v>
      </c>
    </row>
    <row r="2395" spans="1:16" x14ac:dyDescent="0.25">
      <c r="A2395" t="s">
        <v>5370</v>
      </c>
      <c r="B2395" t="str">
        <v>Ugro Capital Limited</v>
      </c>
      <c r="C2395" t="s">
        <v>14</v>
      </c>
      <c r="D2395">
        <v>277.89999999999998</v>
      </c>
      <c r="E2395">
        <v>283.95</v>
      </c>
      <c r="F2395">
        <v>275.95</v>
      </c>
      <c r="G2395" s="3">
        <v>282.85000000000002</v>
      </c>
      <c r="H2395">
        <v>283</v>
      </c>
      <c r="I2395">
        <v>278.39999999999998</v>
      </c>
      <c r="J2395">
        <v>294315</v>
      </c>
      <c r="K2395">
        <v>82339906.549999997</v>
      </c>
      <c r="L2395" s="1">
        <v>45240</v>
      </c>
      <c r="M2395">
        <v>5696</v>
      </c>
      <c r="N2395" t="s">
        <v>5372</v>
      </c>
      <c r="O2395" s="5">
        <v>45240</v>
      </c>
      <c r="P2395" s="5">
        <v>43777</v>
      </c>
    </row>
    <row r="2396" spans="1:16" x14ac:dyDescent="0.25">
      <c r="A2396" t="s">
        <v>5370</v>
      </c>
      <c r="B2396" t="str">
        <v>Ugro Capital Limited</v>
      </c>
      <c r="C2396" t="s">
        <v>5845</v>
      </c>
      <c r="D2396">
        <v>325.01</v>
      </c>
      <c r="E2396">
        <v>325.05</v>
      </c>
      <c r="F2396">
        <v>325.01</v>
      </c>
      <c r="G2396" s="3">
        <v>325.05</v>
      </c>
      <c r="H2396">
        <v>325.05</v>
      </c>
      <c r="I2396">
        <v>328</v>
      </c>
      <c r="J2396">
        <v>30</v>
      </c>
      <c r="K2396">
        <v>9750.7000000000007</v>
      </c>
      <c r="L2396" s="1">
        <v>45240</v>
      </c>
      <c r="M2396">
        <v>2</v>
      </c>
      <c r="N2396" t="s">
        <v>5844</v>
      </c>
      <c r="O2396" s="5">
        <v>45240</v>
      </c>
      <c r="P2396" s="5">
        <v>43777</v>
      </c>
    </row>
    <row r="2397" spans="1:16" x14ac:dyDescent="0.25">
      <c r="A2397" t="s">
        <v>5370</v>
      </c>
      <c r="B2397" t="str">
        <v>Ugro Capital Limited</v>
      </c>
      <c r="C2397" t="s">
        <v>5843</v>
      </c>
      <c r="D2397">
        <v>1000</v>
      </c>
      <c r="E2397">
        <v>1000</v>
      </c>
      <c r="F2397">
        <v>998</v>
      </c>
      <c r="G2397" s="3">
        <v>998</v>
      </c>
      <c r="H2397">
        <v>998</v>
      </c>
      <c r="I2397">
        <v>1000</v>
      </c>
      <c r="J2397">
        <v>25</v>
      </c>
      <c r="K2397">
        <v>24960</v>
      </c>
      <c r="L2397" s="1">
        <v>45240</v>
      </c>
      <c r="M2397">
        <v>2</v>
      </c>
      <c r="N2397" t="s">
        <v>5842</v>
      </c>
      <c r="O2397" s="5">
        <v>45240</v>
      </c>
      <c r="P2397" s="5">
        <v>43777</v>
      </c>
    </row>
    <row r="2398" spans="1:16" x14ac:dyDescent="0.25">
      <c r="A2398" t="s">
        <v>5373</v>
      </c>
      <c r="B2398" t="str">
        <v>Ujjivan Financial Services Limited</v>
      </c>
      <c r="C2398" t="s">
        <v>14</v>
      </c>
      <c r="D2398">
        <v>553.29999999999995</v>
      </c>
      <c r="E2398">
        <v>554.9</v>
      </c>
      <c r="F2398">
        <v>549</v>
      </c>
      <c r="G2398" s="3">
        <v>553.04999999999995</v>
      </c>
      <c r="H2398">
        <v>552.25</v>
      </c>
      <c r="I2398">
        <v>550.5</v>
      </c>
      <c r="J2398">
        <v>251257</v>
      </c>
      <c r="K2398">
        <v>138765253.19999999</v>
      </c>
      <c r="L2398" s="1">
        <v>45240</v>
      </c>
      <c r="M2398">
        <v>10716</v>
      </c>
      <c r="N2398" t="s">
        <v>5375</v>
      </c>
      <c r="O2398" s="5">
        <v>45240</v>
      </c>
      <c r="P2398" s="5">
        <v>43777</v>
      </c>
    </row>
    <row r="2399" spans="1:16" x14ac:dyDescent="0.25">
      <c r="A2399" t="s">
        <v>5376</v>
      </c>
      <c r="B2399" t="str">
        <v>Ujjivan Small Finance Bank Limited</v>
      </c>
      <c r="C2399" t="s">
        <v>14</v>
      </c>
      <c r="D2399">
        <v>56.6</v>
      </c>
      <c r="E2399">
        <v>57.35</v>
      </c>
      <c r="F2399">
        <v>56.5</v>
      </c>
      <c r="G2399" s="3">
        <v>56.7</v>
      </c>
      <c r="H2399">
        <v>56.6</v>
      </c>
      <c r="I2399">
        <v>57</v>
      </c>
      <c r="J2399">
        <v>5046791</v>
      </c>
      <c r="K2399">
        <v>286546388.64999998</v>
      </c>
      <c r="L2399" s="1">
        <v>45240</v>
      </c>
      <c r="M2399">
        <v>13460</v>
      </c>
      <c r="N2399" t="s">
        <v>5378</v>
      </c>
      <c r="O2399" s="5">
        <v>45240</v>
      </c>
      <c r="P2399" s="5">
        <v>43777</v>
      </c>
    </row>
    <row r="2400" spans="1:16" x14ac:dyDescent="0.25">
      <c r="A2400" t="s">
        <v>5379</v>
      </c>
      <c r="B2400" t="str">
        <v>UltraTech Cement Limited</v>
      </c>
      <c r="C2400" t="s">
        <v>14</v>
      </c>
      <c r="D2400">
        <v>8591.0499999999993</v>
      </c>
      <c r="E2400">
        <v>8729.9500000000007</v>
      </c>
      <c r="F2400">
        <v>8588.6</v>
      </c>
      <c r="G2400" s="3">
        <v>8710.85</v>
      </c>
      <c r="H2400">
        <v>8720</v>
      </c>
      <c r="I2400">
        <v>8627.0499999999993</v>
      </c>
      <c r="J2400">
        <v>149939</v>
      </c>
      <c r="K2400">
        <v>1301535533.3</v>
      </c>
      <c r="L2400" s="1">
        <v>45240</v>
      </c>
      <c r="M2400">
        <v>24573</v>
      </c>
      <c r="N2400" t="s">
        <v>5381</v>
      </c>
      <c r="O2400" s="5">
        <v>45240</v>
      </c>
      <c r="P2400" s="5">
        <v>43777</v>
      </c>
    </row>
    <row r="2401" spans="1:16" x14ac:dyDescent="0.25">
      <c r="A2401" t="s">
        <v>5841</v>
      </c>
      <c r="B2401" t="str">
        <v>Not Found</v>
      </c>
      <c r="C2401" t="s">
        <v>5788</v>
      </c>
      <c r="D2401">
        <v>30.15</v>
      </c>
      <c r="E2401">
        <v>30.8</v>
      </c>
      <c r="F2401">
        <v>29.55</v>
      </c>
      <c r="G2401" s="3">
        <v>30.2</v>
      </c>
      <c r="H2401">
        <v>30.5</v>
      </c>
      <c r="I2401">
        <v>30.15</v>
      </c>
      <c r="J2401">
        <v>64000</v>
      </c>
      <c r="K2401">
        <v>1937800</v>
      </c>
      <c r="L2401" s="1">
        <v>45240</v>
      </c>
      <c r="M2401">
        <v>16</v>
      </c>
      <c r="N2401" t="s">
        <v>5840</v>
      </c>
      <c r="O2401" s="5">
        <v>45240</v>
      </c>
      <c r="P2401" s="5">
        <v>43777</v>
      </c>
    </row>
    <row r="2402" spans="1:16" x14ac:dyDescent="0.25">
      <c r="A2402" t="s">
        <v>5382</v>
      </c>
      <c r="B2402" t="str">
        <v>Uma Exports Limited</v>
      </c>
      <c r="C2402" t="s">
        <v>14</v>
      </c>
      <c r="D2402">
        <v>49.4</v>
      </c>
      <c r="E2402">
        <v>49.8</v>
      </c>
      <c r="F2402">
        <v>48.75</v>
      </c>
      <c r="G2402" s="3">
        <v>49.25</v>
      </c>
      <c r="H2402">
        <v>49.25</v>
      </c>
      <c r="I2402">
        <v>49.2</v>
      </c>
      <c r="J2402">
        <v>25105</v>
      </c>
      <c r="K2402">
        <v>1237266.3</v>
      </c>
      <c r="L2402" s="1">
        <v>45240</v>
      </c>
      <c r="M2402">
        <v>522</v>
      </c>
      <c r="N2402" t="s">
        <v>5384</v>
      </c>
      <c r="O2402" s="5">
        <v>45240</v>
      </c>
      <c r="P2402" s="5">
        <v>43777</v>
      </c>
    </row>
    <row r="2403" spans="1:16" x14ac:dyDescent="0.25">
      <c r="A2403" t="s">
        <v>5385</v>
      </c>
      <c r="B2403" t="str">
        <v>Umang Dairies Limited</v>
      </c>
      <c r="C2403" t="s">
        <v>14</v>
      </c>
      <c r="D2403">
        <v>70.55</v>
      </c>
      <c r="E2403">
        <v>70.55</v>
      </c>
      <c r="F2403">
        <v>69</v>
      </c>
      <c r="G2403" s="3">
        <v>69.25</v>
      </c>
      <c r="H2403">
        <v>69.8</v>
      </c>
      <c r="I2403">
        <v>69.650000000000006</v>
      </c>
      <c r="J2403">
        <v>17119</v>
      </c>
      <c r="K2403">
        <v>1189560.8500000001</v>
      </c>
      <c r="L2403" s="1">
        <v>45240</v>
      </c>
      <c r="M2403">
        <v>236</v>
      </c>
      <c r="N2403" t="s">
        <v>5387</v>
      </c>
      <c r="O2403" s="5">
        <v>45240</v>
      </c>
      <c r="P2403" s="5">
        <v>43777</v>
      </c>
    </row>
    <row r="2404" spans="1:16" x14ac:dyDescent="0.25">
      <c r="A2404" t="s">
        <v>5388</v>
      </c>
      <c r="B2404" t="str">
        <v>Usha Martin Education &amp; Solutions Limited</v>
      </c>
      <c r="C2404" t="s">
        <v>10</v>
      </c>
      <c r="D2404">
        <v>5.8</v>
      </c>
      <c r="E2404">
        <v>5.8</v>
      </c>
      <c r="F2404">
        <v>5.7</v>
      </c>
      <c r="G2404" s="3">
        <v>5.8</v>
      </c>
      <c r="H2404">
        <v>5.8</v>
      </c>
      <c r="I2404">
        <v>5.55</v>
      </c>
      <c r="J2404">
        <v>42679</v>
      </c>
      <c r="K2404">
        <v>247503</v>
      </c>
      <c r="L2404" s="1">
        <v>45240</v>
      </c>
      <c r="M2404">
        <v>70</v>
      </c>
      <c r="N2404" t="s">
        <v>5390</v>
      </c>
      <c r="O2404" s="5">
        <v>45240</v>
      </c>
      <c r="P2404" s="5">
        <v>43777</v>
      </c>
    </row>
    <row r="2405" spans="1:16" x14ac:dyDescent="0.25">
      <c r="A2405" t="s">
        <v>5391</v>
      </c>
      <c r="B2405" t="str">
        <v>Unichem Laboratories Limited</v>
      </c>
      <c r="C2405" t="s">
        <v>14</v>
      </c>
      <c r="D2405">
        <v>403.05</v>
      </c>
      <c r="E2405">
        <v>410.45</v>
      </c>
      <c r="F2405">
        <v>400</v>
      </c>
      <c r="G2405" s="3">
        <v>406.55</v>
      </c>
      <c r="H2405">
        <v>405</v>
      </c>
      <c r="I2405">
        <v>404.35</v>
      </c>
      <c r="J2405">
        <v>12146</v>
      </c>
      <c r="K2405">
        <v>4931405.3</v>
      </c>
      <c r="L2405" s="1">
        <v>45240</v>
      </c>
      <c r="M2405">
        <v>2540</v>
      </c>
      <c r="N2405" t="s">
        <v>5393</v>
      </c>
      <c r="O2405" s="5">
        <v>45240</v>
      </c>
      <c r="P2405" s="5">
        <v>43777</v>
      </c>
    </row>
    <row r="2406" spans="1:16" x14ac:dyDescent="0.25">
      <c r="A2406" t="s">
        <v>5394</v>
      </c>
      <c r="B2406" t="str">
        <v>United Drilling Tools Limited</v>
      </c>
      <c r="C2406" t="s">
        <v>14</v>
      </c>
      <c r="D2406">
        <v>244.75</v>
      </c>
      <c r="E2406">
        <v>244.8</v>
      </c>
      <c r="F2406">
        <v>235</v>
      </c>
      <c r="G2406" s="3">
        <v>239.85</v>
      </c>
      <c r="H2406">
        <v>240.8</v>
      </c>
      <c r="I2406">
        <v>238.25</v>
      </c>
      <c r="J2406">
        <v>43118</v>
      </c>
      <c r="K2406">
        <v>10363253</v>
      </c>
      <c r="L2406" s="1">
        <v>45240</v>
      </c>
      <c r="M2406">
        <v>981</v>
      </c>
      <c r="N2406" t="s">
        <v>5396</v>
      </c>
      <c r="O2406" s="5">
        <v>45240</v>
      </c>
      <c r="P2406" s="5">
        <v>43777</v>
      </c>
    </row>
    <row r="2407" spans="1:16" x14ac:dyDescent="0.25">
      <c r="A2407" t="s">
        <v>5397</v>
      </c>
      <c r="B2407" t="str">
        <v>Uniphos Enterprises Limited</v>
      </c>
      <c r="C2407" t="s">
        <v>14</v>
      </c>
      <c r="D2407">
        <v>150.19999999999999</v>
      </c>
      <c r="E2407">
        <v>151.69999999999999</v>
      </c>
      <c r="F2407">
        <v>146.6</v>
      </c>
      <c r="G2407" s="3">
        <v>151.05000000000001</v>
      </c>
      <c r="H2407">
        <v>151.69999999999999</v>
      </c>
      <c r="I2407">
        <v>147.85</v>
      </c>
      <c r="J2407">
        <v>5852</v>
      </c>
      <c r="K2407">
        <v>875545.9</v>
      </c>
      <c r="L2407" s="1">
        <v>45240</v>
      </c>
      <c r="M2407">
        <v>251</v>
      </c>
      <c r="N2407" t="s">
        <v>5399</v>
      </c>
      <c r="O2407" s="5">
        <v>45240</v>
      </c>
      <c r="P2407" s="5">
        <v>43777</v>
      </c>
    </row>
    <row r="2408" spans="1:16" x14ac:dyDescent="0.25">
      <c r="A2408" t="s">
        <v>5839</v>
      </c>
      <c r="B2408" t="str">
        <v>Not Found</v>
      </c>
      <c r="C2408" t="s">
        <v>5788</v>
      </c>
      <c r="D2408">
        <v>141.30000000000001</v>
      </c>
      <c r="E2408">
        <v>144</v>
      </c>
      <c r="F2408">
        <v>134</v>
      </c>
      <c r="G2408" s="3">
        <v>141.05000000000001</v>
      </c>
      <c r="H2408">
        <v>141.6</v>
      </c>
      <c r="I2408">
        <v>136.9</v>
      </c>
      <c r="J2408">
        <v>139000</v>
      </c>
      <c r="K2408">
        <v>19326650</v>
      </c>
      <c r="L2408" s="1">
        <v>45240</v>
      </c>
      <c r="M2408">
        <v>95</v>
      </c>
      <c r="N2408" t="s">
        <v>5838</v>
      </c>
      <c r="O2408" s="5">
        <v>45240</v>
      </c>
      <c r="P2408" s="5">
        <v>43777</v>
      </c>
    </row>
    <row r="2409" spans="1:16" x14ac:dyDescent="0.25">
      <c r="A2409" t="s">
        <v>5400</v>
      </c>
      <c r="B2409" t="str">
        <v>Uniinfo Telecom Services Limited</v>
      </c>
      <c r="C2409" t="s">
        <v>10</v>
      </c>
      <c r="D2409">
        <v>29.75</v>
      </c>
      <c r="E2409">
        <v>29.75</v>
      </c>
      <c r="F2409">
        <v>29.7</v>
      </c>
      <c r="G2409" s="3">
        <v>29.75</v>
      </c>
      <c r="H2409">
        <v>29.75</v>
      </c>
      <c r="I2409">
        <v>28.35</v>
      </c>
      <c r="J2409">
        <v>33720</v>
      </c>
      <c r="K2409">
        <v>1003169.05</v>
      </c>
      <c r="L2409" s="1">
        <v>45240</v>
      </c>
      <c r="M2409">
        <v>115</v>
      </c>
      <c r="N2409" t="s">
        <v>5402</v>
      </c>
      <c r="O2409" s="5">
        <v>45240</v>
      </c>
      <c r="P2409" s="5">
        <v>43777</v>
      </c>
    </row>
    <row r="2410" spans="1:16" x14ac:dyDescent="0.25">
      <c r="A2410" t="s">
        <v>5403</v>
      </c>
      <c r="B2410" t="str">
        <v>Union Bank of India</v>
      </c>
      <c r="C2410" t="s">
        <v>14</v>
      </c>
      <c r="D2410">
        <v>103.7</v>
      </c>
      <c r="E2410">
        <v>104.3</v>
      </c>
      <c r="F2410">
        <v>102.7</v>
      </c>
      <c r="G2410" s="3">
        <v>104</v>
      </c>
      <c r="H2410">
        <v>103.9</v>
      </c>
      <c r="I2410">
        <v>103.95</v>
      </c>
      <c r="J2410">
        <v>7759750</v>
      </c>
      <c r="K2410">
        <v>802789261.89999998</v>
      </c>
      <c r="L2410" s="1">
        <v>45240</v>
      </c>
      <c r="M2410">
        <v>33177</v>
      </c>
      <c r="N2410" t="s">
        <v>5405</v>
      </c>
      <c r="O2410" s="5">
        <v>45240</v>
      </c>
      <c r="P2410" s="5">
        <v>43777</v>
      </c>
    </row>
    <row r="2411" spans="1:16" x14ac:dyDescent="0.25">
      <c r="A2411" t="s">
        <v>5406</v>
      </c>
      <c r="B2411" t="str">
        <v>Uniparts India Limited</v>
      </c>
      <c r="C2411" t="s">
        <v>14</v>
      </c>
      <c r="D2411">
        <v>552</v>
      </c>
      <c r="E2411">
        <v>555.35</v>
      </c>
      <c r="F2411">
        <v>534.79999999999995</v>
      </c>
      <c r="G2411" s="3">
        <v>539.5</v>
      </c>
      <c r="H2411">
        <v>540</v>
      </c>
      <c r="I2411">
        <v>563.79999999999995</v>
      </c>
      <c r="J2411">
        <v>240250</v>
      </c>
      <c r="K2411">
        <v>130744352.90000001</v>
      </c>
      <c r="L2411" s="1">
        <v>45240</v>
      </c>
      <c r="M2411">
        <v>14553</v>
      </c>
      <c r="N2411" t="s">
        <v>5408</v>
      </c>
      <c r="O2411" s="5">
        <v>45240</v>
      </c>
      <c r="P2411" s="5">
        <v>43777</v>
      </c>
    </row>
    <row r="2412" spans="1:16" x14ac:dyDescent="0.25">
      <c r="A2412" t="s">
        <v>5409</v>
      </c>
      <c r="B2412" t="str">
        <v>Unitech Limited</v>
      </c>
      <c r="C2412" t="s">
        <v>786</v>
      </c>
      <c r="D2412">
        <v>3.2</v>
      </c>
      <c r="E2412">
        <v>3.2</v>
      </c>
      <c r="F2412">
        <v>3.05</v>
      </c>
      <c r="G2412" s="3">
        <v>3.2</v>
      </c>
      <c r="H2412">
        <v>3.2</v>
      </c>
      <c r="I2412">
        <v>3.05</v>
      </c>
      <c r="J2412">
        <v>9054632</v>
      </c>
      <c r="K2412">
        <v>28890503.949999999</v>
      </c>
      <c r="L2412" s="1">
        <v>45240</v>
      </c>
      <c r="M2412">
        <v>1064</v>
      </c>
      <c r="N2412" t="s">
        <v>5411</v>
      </c>
      <c r="O2412" s="5">
        <v>45240</v>
      </c>
      <c r="P2412" s="5">
        <v>43777</v>
      </c>
    </row>
    <row r="2413" spans="1:16" x14ac:dyDescent="0.25">
      <c r="A2413" t="s">
        <v>5412</v>
      </c>
      <c r="B2413" t="str">
        <v>United Polyfab Gujarat Limited</v>
      </c>
      <c r="C2413" t="s">
        <v>14</v>
      </c>
      <c r="D2413">
        <v>99.3</v>
      </c>
      <c r="E2413">
        <v>99.3</v>
      </c>
      <c r="F2413">
        <v>98.2</v>
      </c>
      <c r="G2413" s="3">
        <v>99.05</v>
      </c>
      <c r="H2413">
        <v>98.25</v>
      </c>
      <c r="I2413">
        <v>99.35</v>
      </c>
      <c r="J2413">
        <v>1224</v>
      </c>
      <c r="K2413">
        <v>121386.6</v>
      </c>
      <c r="L2413" s="1">
        <v>45240</v>
      </c>
      <c r="M2413">
        <v>37</v>
      </c>
      <c r="N2413" t="s">
        <v>5414</v>
      </c>
      <c r="O2413" s="5">
        <v>45240</v>
      </c>
      <c r="P2413" s="5">
        <v>43777</v>
      </c>
    </row>
    <row r="2414" spans="1:16" x14ac:dyDescent="0.25">
      <c r="A2414" t="s">
        <v>5415</v>
      </c>
      <c r="B2414" t="str">
        <v>The United Nilgiri Tea Estates Company Limited</v>
      </c>
      <c r="C2414" t="s">
        <v>14</v>
      </c>
      <c r="D2414">
        <v>315.14999999999998</v>
      </c>
      <c r="E2414">
        <v>319.39999999999998</v>
      </c>
      <c r="F2414">
        <v>310.25</v>
      </c>
      <c r="G2414" s="3">
        <v>317.7</v>
      </c>
      <c r="H2414">
        <v>316.2</v>
      </c>
      <c r="I2414">
        <v>311.75</v>
      </c>
      <c r="J2414">
        <v>4069</v>
      </c>
      <c r="K2414">
        <v>1286471.55</v>
      </c>
      <c r="L2414" s="1">
        <v>45240</v>
      </c>
      <c r="M2414">
        <v>124</v>
      </c>
      <c r="N2414" t="s">
        <v>5417</v>
      </c>
      <c r="O2414" s="5">
        <v>45240</v>
      </c>
      <c r="P2414" s="5">
        <v>43777</v>
      </c>
    </row>
    <row r="2415" spans="1:16" x14ac:dyDescent="0.25">
      <c r="A2415" t="s">
        <v>5421</v>
      </c>
      <c r="B2415" t="str">
        <v>Univastu India Limited</v>
      </c>
      <c r="C2415" t="s">
        <v>10</v>
      </c>
      <c r="D2415">
        <v>111.95</v>
      </c>
      <c r="E2415">
        <v>111.95</v>
      </c>
      <c r="F2415">
        <v>106.75</v>
      </c>
      <c r="G2415" s="3">
        <v>108.05</v>
      </c>
      <c r="H2415">
        <v>108</v>
      </c>
      <c r="I2415">
        <v>112.35</v>
      </c>
      <c r="J2415">
        <v>52163</v>
      </c>
      <c r="K2415">
        <v>5602458.4500000002</v>
      </c>
      <c r="L2415" s="1">
        <v>45240</v>
      </c>
      <c r="M2415">
        <v>413</v>
      </c>
      <c r="N2415" t="s">
        <v>5423</v>
      </c>
      <c r="O2415" s="5">
        <v>45240</v>
      </c>
      <c r="P2415" s="5">
        <v>43777</v>
      </c>
    </row>
    <row r="2416" spans="1:16" x14ac:dyDescent="0.25">
      <c r="A2416" t="s">
        <v>5424</v>
      </c>
      <c r="B2416" t="str">
        <v>Universal Cables Limited</v>
      </c>
      <c r="C2416" t="s">
        <v>14</v>
      </c>
      <c r="D2416">
        <v>507</v>
      </c>
      <c r="E2416">
        <v>522</v>
      </c>
      <c r="F2416">
        <v>468.45</v>
      </c>
      <c r="G2416" s="3">
        <v>511.35</v>
      </c>
      <c r="H2416">
        <v>511</v>
      </c>
      <c r="I2416">
        <v>539.95000000000005</v>
      </c>
      <c r="J2416">
        <v>422395</v>
      </c>
      <c r="K2416">
        <v>209151771.94999999</v>
      </c>
      <c r="L2416" s="1">
        <v>45240</v>
      </c>
      <c r="M2416">
        <v>22340</v>
      </c>
      <c r="N2416" t="s">
        <v>5426</v>
      </c>
      <c r="O2416" s="5">
        <v>45240</v>
      </c>
      <c r="P2416" s="5">
        <v>43777</v>
      </c>
    </row>
    <row r="2417" spans="1:16" x14ac:dyDescent="0.25">
      <c r="A2417" t="s">
        <v>5427</v>
      </c>
      <c r="B2417" t="str">
        <v>Universus Photo Imagings Limited</v>
      </c>
      <c r="C2417" t="s">
        <v>14</v>
      </c>
      <c r="D2417">
        <v>416</v>
      </c>
      <c r="E2417">
        <v>416</v>
      </c>
      <c r="F2417">
        <v>399</v>
      </c>
      <c r="G2417" s="3">
        <v>400.25</v>
      </c>
      <c r="H2417">
        <v>399</v>
      </c>
      <c r="I2417">
        <v>413.7</v>
      </c>
      <c r="J2417">
        <v>2033</v>
      </c>
      <c r="K2417">
        <v>820994.7</v>
      </c>
      <c r="L2417" s="1">
        <v>45240</v>
      </c>
      <c r="M2417">
        <v>298</v>
      </c>
      <c r="N2417" t="s">
        <v>5429</v>
      </c>
      <c r="O2417" s="5">
        <v>45240</v>
      </c>
      <c r="P2417" s="5">
        <v>43777</v>
      </c>
    </row>
    <row r="2418" spans="1:16" x14ac:dyDescent="0.25">
      <c r="A2418" t="s">
        <v>5430</v>
      </c>
      <c r="B2418" t="str">
        <v>UNO Minda Limited</v>
      </c>
      <c r="C2418" t="s">
        <v>14</v>
      </c>
      <c r="D2418">
        <v>635.79999999999995</v>
      </c>
      <c r="E2418">
        <v>645</v>
      </c>
      <c r="F2418">
        <v>630</v>
      </c>
      <c r="G2418" s="3">
        <v>632.75</v>
      </c>
      <c r="H2418">
        <v>631</v>
      </c>
      <c r="I2418">
        <v>631.35</v>
      </c>
      <c r="J2418">
        <v>960805</v>
      </c>
      <c r="K2418">
        <v>611315873.25</v>
      </c>
      <c r="L2418" s="1">
        <v>45240</v>
      </c>
      <c r="M2418">
        <v>38723</v>
      </c>
      <c r="N2418" t="s">
        <v>5432</v>
      </c>
      <c r="O2418" s="5">
        <v>45240</v>
      </c>
      <c r="P2418" s="5">
        <v>43777</v>
      </c>
    </row>
    <row r="2419" spans="1:16" x14ac:dyDescent="0.25">
      <c r="A2419" t="s">
        <v>5433</v>
      </c>
      <c r="B2419" t="str">
        <v>UPL Limited</v>
      </c>
      <c r="C2419" t="s">
        <v>14</v>
      </c>
      <c r="D2419">
        <v>550</v>
      </c>
      <c r="E2419">
        <v>550.4</v>
      </c>
      <c r="F2419">
        <v>545</v>
      </c>
      <c r="G2419" s="3">
        <v>547.15</v>
      </c>
      <c r="H2419">
        <v>548.5</v>
      </c>
      <c r="I2419">
        <v>550.4</v>
      </c>
      <c r="J2419">
        <v>1414936</v>
      </c>
      <c r="K2419">
        <v>774164491.64999998</v>
      </c>
      <c r="L2419" s="1">
        <v>45240</v>
      </c>
      <c r="M2419">
        <v>36457</v>
      </c>
      <c r="N2419" t="s">
        <v>5435</v>
      </c>
      <c r="O2419" s="5">
        <v>45240</v>
      </c>
      <c r="P2419" s="5">
        <v>43777</v>
      </c>
    </row>
    <row r="2420" spans="1:16" x14ac:dyDescent="0.25">
      <c r="A2420" t="s">
        <v>5436</v>
      </c>
      <c r="B2420" t="str">
        <v>Uravi T and Wedge Lamps Limited</v>
      </c>
      <c r="C2420" t="s">
        <v>14</v>
      </c>
      <c r="D2420">
        <v>292.45</v>
      </c>
      <c r="E2420">
        <v>292.45</v>
      </c>
      <c r="F2420">
        <v>267.85000000000002</v>
      </c>
      <c r="G2420" s="3">
        <v>274.8</v>
      </c>
      <c r="H2420">
        <v>275</v>
      </c>
      <c r="I2420">
        <v>284.75</v>
      </c>
      <c r="J2420">
        <v>8145</v>
      </c>
      <c r="K2420">
        <v>2263540.5</v>
      </c>
      <c r="L2420" s="1">
        <v>45240</v>
      </c>
      <c r="M2420">
        <v>452</v>
      </c>
      <c r="N2420" t="s">
        <v>5438</v>
      </c>
      <c r="O2420" s="5">
        <v>45240</v>
      </c>
      <c r="P2420" s="5">
        <v>43777</v>
      </c>
    </row>
    <row r="2421" spans="1:16" x14ac:dyDescent="0.25">
      <c r="A2421" t="s">
        <v>5837</v>
      </c>
      <c r="B2421" t="str">
        <v>Not Found</v>
      </c>
      <c r="C2421" t="s">
        <v>5788</v>
      </c>
      <c r="D2421">
        <v>299</v>
      </c>
      <c r="E2421">
        <v>302.3</v>
      </c>
      <c r="F2421">
        <v>277.05</v>
      </c>
      <c r="G2421" s="3">
        <v>302.3</v>
      </c>
      <c r="H2421">
        <v>302.3</v>
      </c>
      <c r="I2421">
        <v>287.95</v>
      </c>
      <c r="J2421">
        <v>69600</v>
      </c>
      <c r="K2421">
        <v>20779140</v>
      </c>
      <c r="L2421" s="1">
        <v>45240</v>
      </c>
      <c r="M2421">
        <v>48</v>
      </c>
      <c r="N2421" t="s">
        <v>5836</v>
      </c>
      <c r="O2421" s="5">
        <v>45240</v>
      </c>
      <c r="P2421" s="5">
        <v>43777</v>
      </c>
    </row>
    <row r="2422" spans="1:16" x14ac:dyDescent="0.25">
      <c r="A2422" t="s">
        <v>5439</v>
      </c>
      <c r="B2422" t="str">
        <v>Urja Global Limited</v>
      </c>
      <c r="C2422" t="s">
        <v>14</v>
      </c>
      <c r="D2422">
        <v>10.85</v>
      </c>
      <c r="E2422">
        <v>11.8</v>
      </c>
      <c r="F2422">
        <v>10.7</v>
      </c>
      <c r="G2422" s="3">
        <v>11</v>
      </c>
      <c r="H2422">
        <v>11.15</v>
      </c>
      <c r="I2422">
        <v>10.7</v>
      </c>
      <c r="J2422">
        <v>34124118</v>
      </c>
      <c r="K2422">
        <v>384997683.39999998</v>
      </c>
      <c r="L2422" s="1">
        <v>45240</v>
      </c>
      <c r="M2422">
        <v>23570</v>
      </c>
      <c r="N2422" t="s">
        <v>5441</v>
      </c>
      <c r="O2422" s="5">
        <v>45240</v>
      </c>
      <c r="P2422" s="5">
        <v>43777</v>
      </c>
    </row>
    <row r="2423" spans="1:16" x14ac:dyDescent="0.25">
      <c r="A2423" t="s">
        <v>5835</v>
      </c>
      <c r="B2423" t="str">
        <v>Not Found</v>
      </c>
      <c r="C2423" t="s">
        <v>5788</v>
      </c>
      <c r="D2423">
        <v>405</v>
      </c>
      <c r="E2423">
        <v>405</v>
      </c>
      <c r="F2423">
        <v>404</v>
      </c>
      <c r="G2423" s="3">
        <v>404</v>
      </c>
      <c r="H2423">
        <v>404</v>
      </c>
      <c r="I2423">
        <v>403</v>
      </c>
      <c r="J2423">
        <v>900</v>
      </c>
      <c r="K2423">
        <v>364170</v>
      </c>
      <c r="L2423" s="1">
        <v>45240</v>
      </c>
      <c r="M2423">
        <v>3</v>
      </c>
      <c r="N2423" t="s">
        <v>5834</v>
      </c>
      <c r="O2423" s="5">
        <v>45240</v>
      </c>
      <c r="P2423" s="5">
        <v>43777</v>
      </c>
    </row>
    <row r="2424" spans="1:16" x14ac:dyDescent="0.25">
      <c r="A2424" t="s">
        <v>5442</v>
      </c>
      <c r="B2424" t="str">
        <v>Usha Martin Limited</v>
      </c>
      <c r="C2424" t="s">
        <v>14</v>
      </c>
      <c r="D2424">
        <v>307.75</v>
      </c>
      <c r="E2424">
        <v>313.89999999999998</v>
      </c>
      <c r="F2424">
        <v>303.75</v>
      </c>
      <c r="G2424" s="3">
        <v>310.64999999999998</v>
      </c>
      <c r="H2424">
        <v>312</v>
      </c>
      <c r="I2424">
        <v>308.64999999999998</v>
      </c>
      <c r="J2424">
        <v>375375</v>
      </c>
      <c r="K2424">
        <v>115398098.40000001</v>
      </c>
      <c r="L2424" s="1">
        <v>45240</v>
      </c>
      <c r="M2424">
        <v>11721</v>
      </c>
      <c r="N2424" t="s">
        <v>5444</v>
      </c>
      <c r="O2424" s="5">
        <v>45240</v>
      </c>
      <c r="P2424" s="5">
        <v>43777</v>
      </c>
    </row>
    <row r="2425" spans="1:16" x14ac:dyDescent="0.25">
      <c r="A2425" t="s">
        <v>5445</v>
      </c>
      <c r="B2425" t="str">
        <v>Udayshivakumar Infra Limited</v>
      </c>
      <c r="C2425" t="s">
        <v>14</v>
      </c>
      <c r="D2425">
        <v>38.049999999999997</v>
      </c>
      <c r="E2425">
        <v>38.049999999999997</v>
      </c>
      <c r="F2425">
        <v>36.65</v>
      </c>
      <c r="G2425" s="3">
        <v>37.200000000000003</v>
      </c>
      <c r="H2425">
        <v>37.1</v>
      </c>
      <c r="I2425">
        <v>37.700000000000003</v>
      </c>
      <c r="J2425">
        <v>199935</v>
      </c>
      <c r="K2425">
        <v>7430114.9500000002</v>
      </c>
      <c r="L2425" s="1">
        <v>45240</v>
      </c>
      <c r="M2425">
        <v>1353</v>
      </c>
      <c r="N2425" t="s">
        <v>5447</v>
      </c>
      <c r="O2425" s="5">
        <v>45240</v>
      </c>
      <c r="P2425" s="5">
        <v>43777</v>
      </c>
    </row>
    <row r="2426" spans="1:16" x14ac:dyDescent="0.25">
      <c r="A2426" t="s">
        <v>5448</v>
      </c>
      <c r="B2426" t="str">
        <v>UTI Asset Management Company Limited</v>
      </c>
      <c r="C2426" t="s">
        <v>14</v>
      </c>
      <c r="D2426">
        <v>775.25</v>
      </c>
      <c r="E2426">
        <v>787.05</v>
      </c>
      <c r="F2426">
        <v>771.25</v>
      </c>
      <c r="G2426" s="3">
        <v>780</v>
      </c>
      <c r="H2426">
        <v>775</v>
      </c>
      <c r="I2426">
        <v>779.55</v>
      </c>
      <c r="J2426">
        <v>200389</v>
      </c>
      <c r="K2426">
        <v>156322199.15000001</v>
      </c>
      <c r="L2426" s="1">
        <v>45240</v>
      </c>
      <c r="M2426">
        <v>7847</v>
      </c>
      <c r="N2426" t="s">
        <v>5450</v>
      </c>
      <c r="O2426" s="5">
        <v>45240</v>
      </c>
      <c r="P2426" s="5">
        <v>43777</v>
      </c>
    </row>
    <row r="2427" spans="1:16" x14ac:dyDescent="0.25">
      <c r="A2427" t="s">
        <v>5833</v>
      </c>
      <c r="B2427" t="str">
        <v>Not Found</v>
      </c>
      <c r="C2427" t="s">
        <v>14</v>
      </c>
      <c r="D2427">
        <v>44.84</v>
      </c>
      <c r="E2427">
        <v>44.84</v>
      </c>
      <c r="F2427">
        <v>43.71</v>
      </c>
      <c r="G2427" s="3">
        <v>44.54</v>
      </c>
      <c r="H2427">
        <v>44.6</v>
      </c>
      <c r="I2427">
        <v>44.53</v>
      </c>
      <c r="J2427">
        <v>52713</v>
      </c>
      <c r="K2427">
        <v>2344198.2200000002</v>
      </c>
      <c r="L2427" s="1">
        <v>45240</v>
      </c>
      <c r="M2427">
        <v>344</v>
      </c>
      <c r="N2427" t="s">
        <v>5832</v>
      </c>
      <c r="O2427" s="5">
        <v>45240</v>
      </c>
      <c r="P2427" s="5">
        <v>43777</v>
      </c>
    </row>
    <row r="2428" spans="1:16" x14ac:dyDescent="0.25">
      <c r="A2428" t="s">
        <v>5831</v>
      </c>
      <c r="B2428" t="str">
        <v>Not Found</v>
      </c>
      <c r="C2428" t="s">
        <v>14</v>
      </c>
      <c r="D2428">
        <v>48.49</v>
      </c>
      <c r="E2428">
        <v>48.49</v>
      </c>
      <c r="F2428">
        <v>47.74</v>
      </c>
      <c r="G2428" s="3">
        <v>48.24</v>
      </c>
      <c r="H2428">
        <v>48.2</v>
      </c>
      <c r="I2428">
        <v>48.15</v>
      </c>
      <c r="J2428">
        <v>324919</v>
      </c>
      <c r="K2428">
        <v>15587845.939999999</v>
      </c>
      <c r="L2428" s="1">
        <v>45240</v>
      </c>
      <c r="M2428">
        <v>483</v>
      </c>
      <c r="N2428" t="s">
        <v>5830</v>
      </c>
      <c r="O2428" s="5">
        <v>45240</v>
      </c>
      <c r="P2428" s="5">
        <v>43777</v>
      </c>
    </row>
    <row r="2429" spans="1:16" x14ac:dyDescent="0.25">
      <c r="A2429" t="s">
        <v>5829</v>
      </c>
      <c r="B2429" t="str">
        <v>Not Found</v>
      </c>
      <c r="C2429" t="s">
        <v>14</v>
      </c>
      <c r="D2429">
        <v>208.3</v>
      </c>
      <c r="E2429">
        <v>209.37</v>
      </c>
      <c r="F2429">
        <v>207.81</v>
      </c>
      <c r="G2429" s="3">
        <v>209.06</v>
      </c>
      <c r="H2429">
        <v>209.37</v>
      </c>
      <c r="I2429">
        <v>208.81</v>
      </c>
      <c r="J2429">
        <v>4451</v>
      </c>
      <c r="K2429">
        <v>927832.29</v>
      </c>
      <c r="L2429" s="1">
        <v>45240</v>
      </c>
      <c r="M2429">
        <v>62</v>
      </c>
      <c r="N2429" t="s">
        <v>5828</v>
      </c>
      <c r="O2429" s="5">
        <v>45240</v>
      </c>
      <c r="P2429" s="5">
        <v>43777</v>
      </c>
    </row>
    <row r="2430" spans="1:16" x14ac:dyDescent="0.25">
      <c r="A2430" t="s">
        <v>5827</v>
      </c>
      <c r="B2430" t="str">
        <v>Not Found</v>
      </c>
      <c r="C2430" t="s">
        <v>14</v>
      </c>
      <c r="D2430">
        <v>721.25</v>
      </c>
      <c r="E2430">
        <v>721.25</v>
      </c>
      <c r="F2430">
        <v>694.01</v>
      </c>
      <c r="G2430" s="3">
        <v>698.97</v>
      </c>
      <c r="H2430">
        <v>700</v>
      </c>
      <c r="I2430">
        <v>700.25</v>
      </c>
      <c r="J2430">
        <v>349</v>
      </c>
      <c r="K2430">
        <v>243355.95</v>
      </c>
      <c r="L2430" s="1">
        <v>45240</v>
      </c>
      <c r="M2430">
        <v>63</v>
      </c>
      <c r="N2430" t="s">
        <v>5826</v>
      </c>
      <c r="O2430" s="5">
        <v>45240</v>
      </c>
      <c r="P2430" s="5">
        <v>43777</v>
      </c>
    </row>
    <row r="2431" spans="1:16" x14ac:dyDescent="0.25">
      <c r="A2431" t="s">
        <v>5825</v>
      </c>
      <c r="B2431" t="str">
        <v>Not Found</v>
      </c>
      <c r="C2431" t="s">
        <v>14</v>
      </c>
      <c r="D2431">
        <v>60.39</v>
      </c>
      <c r="E2431">
        <v>60.69</v>
      </c>
      <c r="F2431">
        <v>60.21</v>
      </c>
      <c r="G2431" s="3">
        <v>60.69</v>
      </c>
      <c r="H2431">
        <v>60.69</v>
      </c>
      <c r="I2431">
        <v>60.62</v>
      </c>
      <c r="J2431">
        <v>364</v>
      </c>
      <c r="K2431">
        <v>21951.38</v>
      </c>
      <c r="L2431" s="1">
        <v>45240</v>
      </c>
      <c r="M2431">
        <v>39</v>
      </c>
      <c r="N2431" t="s">
        <v>5824</v>
      </c>
      <c r="O2431" s="5">
        <v>45240</v>
      </c>
      <c r="P2431" s="5">
        <v>43777</v>
      </c>
    </row>
    <row r="2432" spans="1:16" x14ac:dyDescent="0.25">
      <c r="A2432" t="s">
        <v>5451</v>
      </c>
      <c r="B2432" t="str">
        <v>Utkarsh Small Finance Bank Limited</v>
      </c>
      <c r="C2432" t="s">
        <v>14</v>
      </c>
      <c r="D2432">
        <v>49.85</v>
      </c>
      <c r="E2432">
        <v>50.6</v>
      </c>
      <c r="F2432">
        <v>49.5</v>
      </c>
      <c r="G2432" s="3">
        <v>50.35</v>
      </c>
      <c r="H2432">
        <v>50.45</v>
      </c>
      <c r="I2432">
        <v>49.9</v>
      </c>
      <c r="J2432">
        <v>2537698</v>
      </c>
      <c r="K2432">
        <v>127401687.40000001</v>
      </c>
      <c r="L2432" s="1">
        <v>45240</v>
      </c>
      <c r="M2432">
        <v>7756</v>
      </c>
      <c r="N2432" t="s">
        <v>5453</v>
      </c>
      <c r="O2432" s="5">
        <v>45240</v>
      </c>
      <c r="P2432" s="5">
        <v>43777</v>
      </c>
    </row>
    <row r="2433" spans="1:16" x14ac:dyDescent="0.25">
      <c r="A2433" t="s">
        <v>5454</v>
      </c>
      <c r="B2433" t="str">
        <v>Uttam Sugar Mills Limited</v>
      </c>
      <c r="C2433" t="s">
        <v>14</v>
      </c>
      <c r="D2433">
        <v>435.9</v>
      </c>
      <c r="E2433">
        <v>441</v>
      </c>
      <c r="F2433">
        <v>432.05</v>
      </c>
      <c r="G2433" s="3">
        <v>438.8</v>
      </c>
      <c r="H2433">
        <v>440.5</v>
      </c>
      <c r="I2433">
        <v>433.6</v>
      </c>
      <c r="J2433">
        <v>92076</v>
      </c>
      <c r="K2433">
        <v>40301953.299999997</v>
      </c>
      <c r="L2433" s="1">
        <v>45240</v>
      </c>
      <c r="M2433">
        <v>4278</v>
      </c>
      <c r="N2433" t="s">
        <v>5456</v>
      </c>
      <c r="O2433" s="5">
        <v>45240</v>
      </c>
      <c r="P2433" s="5">
        <v>43777</v>
      </c>
    </row>
    <row r="2434" spans="1:16" x14ac:dyDescent="0.25">
      <c r="A2434" t="s">
        <v>5457</v>
      </c>
      <c r="B2434" t="str">
        <v>V2 Retail Limited</v>
      </c>
      <c r="C2434" t="s">
        <v>10</v>
      </c>
      <c r="D2434">
        <v>218.55</v>
      </c>
      <c r="E2434">
        <v>218.55</v>
      </c>
      <c r="F2434">
        <v>218.55</v>
      </c>
      <c r="G2434" s="3">
        <v>218.55</v>
      </c>
      <c r="H2434">
        <v>218.55</v>
      </c>
      <c r="I2434">
        <v>223</v>
      </c>
      <c r="J2434">
        <v>103034</v>
      </c>
      <c r="K2434">
        <v>22518080.699999999</v>
      </c>
      <c r="L2434" s="1">
        <v>45240</v>
      </c>
      <c r="M2434">
        <v>71</v>
      </c>
      <c r="N2434" t="s">
        <v>5459</v>
      </c>
      <c r="O2434" s="5">
        <v>45240</v>
      </c>
      <c r="P2434" s="5">
        <v>43777</v>
      </c>
    </row>
    <row r="2435" spans="1:16" x14ac:dyDescent="0.25">
      <c r="A2435" t="s">
        <v>5460</v>
      </c>
      <c r="B2435" t="str">
        <v>Vadilal Industries Limited</v>
      </c>
      <c r="C2435" t="s">
        <v>14</v>
      </c>
      <c r="D2435">
        <v>2570</v>
      </c>
      <c r="E2435">
        <v>2599.75</v>
      </c>
      <c r="F2435">
        <v>2464</v>
      </c>
      <c r="G2435" s="3">
        <v>2495.85</v>
      </c>
      <c r="H2435">
        <v>2500</v>
      </c>
      <c r="I2435">
        <v>2579.4</v>
      </c>
      <c r="J2435">
        <v>22313</v>
      </c>
      <c r="K2435">
        <v>55920983.950000003</v>
      </c>
      <c r="L2435" s="1">
        <v>45240</v>
      </c>
      <c r="M2435">
        <v>3500</v>
      </c>
      <c r="N2435" t="s">
        <v>5462</v>
      </c>
      <c r="O2435" s="5">
        <v>45240</v>
      </c>
      <c r="P2435" s="5">
        <v>43777</v>
      </c>
    </row>
    <row r="2436" spans="1:16" x14ac:dyDescent="0.25">
      <c r="A2436" t="s">
        <v>5463</v>
      </c>
      <c r="B2436" t="str">
        <v>Vaibhav Global Limited</v>
      </c>
      <c r="C2436" t="s">
        <v>14</v>
      </c>
      <c r="D2436">
        <v>420.5</v>
      </c>
      <c r="E2436">
        <v>425.4</v>
      </c>
      <c r="F2436">
        <v>414.4</v>
      </c>
      <c r="G2436" s="3">
        <v>422.1</v>
      </c>
      <c r="H2436">
        <v>421.4</v>
      </c>
      <c r="I2436">
        <v>424.3</v>
      </c>
      <c r="J2436">
        <v>133676</v>
      </c>
      <c r="K2436">
        <v>56322554</v>
      </c>
      <c r="L2436" s="1">
        <v>45240</v>
      </c>
      <c r="M2436">
        <v>8949</v>
      </c>
      <c r="N2436" t="s">
        <v>5465</v>
      </c>
      <c r="O2436" s="5">
        <v>45240</v>
      </c>
      <c r="P2436" s="5">
        <v>43777</v>
      </c>
    </row>
    <row r="2437" spans="1:16" x14ac:dyDescent="0.25">
      <c r="A2437" t="s">
        <v>5466</v>
      </c>
      <c r="B2437" t="str">
        <v>Vaishali Pharma Limited</v>
      </c>
      <c r="C2437" t="s">
        <v>14</v>
      </c>
      <c r="D2437">
        <v>138</v>
      </c>
      <c r="E2437">
        <v>140</v>
      </c>
      <c r="F2437">
        <v>136.05000000000001</v>
      </c>
      <c r="G2437" s="3">
        <v>136.44999999999999</v>
      </c>
      <c r="H2437">
        <v>136.15</v>
      </c>
      <c r="I2437">
        <v>138.30000000000001</v>
      </c>
      <c r="J2437">
        <v>19568</v>
      </c>
      <c r="K2437">
        <v>2698310.35</v>
      </c>
      <c r="L2437" s="1">
        <v>45240</v>
      </c>
      <c r="M2437">
        <v>428</v>
      </c>
      <c r="N2437" t="s">
        <v>5468</v>
      </c>
      <c r="O2437" s="5">
        <v>45240</v>
      </c>
      <c r="P2437" s="5">
        <v>43777</v>
      </c>
    </row>
    <row r="2438" spans="1:16" x14ac:dyDescent="0.25">
      <c r="A2438" t="s">
        <v>5469</v>
      </c>
      <c r="B2438" t="str">
        <v>Vakrangee Limited</v>
      </c>
      <c r="C2438" t="s">
        <v>14</v>
      </c>
      <c r="D2438">
        <v>19.100000000000001</v>
      </c>
      <c r="E2438">
        <v>19.149999999999999</v>
      </c>
      <c r="F2438">
        <v>18.600000000000001</v>
      </c>
      <c r="G2438" s="3">
        <v>18.7</v>
      </c>
      <c r="H2438">
        <v>18.75</v>
      </c>
      <c r="I2438">
        <v>19.100000000000001</v>
      </c>
      <c r="J2438">
        <v>9774333</v>
      </c>
      <c r="K2438">
        <v>184210511.84999999</v>
      </c>
      <c r="L2438" s="1">
        <v>45240</v>
      </c>
      <c r="M2438">
        <v>9727</v>
      </c>
      <c r="N2438" t="s">
        <v>5471</v>
      </c>
      <c r="O2438" s="5">
        <v>45240</v>
      </c>
      <c r="P2438" s="5">
        <v>43777</v>
      </c>
    </row>
    <row r="2439" spans="1:16" x14ac:dyDescent="0.25">
      <c r="A2439" t="s">
        <v>5472</v>
      </c>
      <c r="B2439" t="str">
        <v>Valiant Laboratories Limited</v>
      </c>
      <c r="C2439" t="s">
        <v>14</v>
      </c>
      <c r="D2439">
        <v>176.9</v>
      </c>
      <c r="E2439">
        <v>185.4</v>
      </c>
      <c r="F2439">
        <v>175</v>
      </c>
      <c r="G2439" s="3">
        <v>183.5</v>
      </c>
      <c r="H2439">
        <v>183.5</v>
      </c>
      <c r="I2439">
        <v>176.75</v>
      </c>
      <c r="J2439">
        <v>408876</v>
      </c>
      <c r="K2439">
        <v>73369816.650000006</v>
      </c>
      <c r="L2439" s="1">
        <v>45240</v>
      </c>
      <c r="M2439">
        <v>9488</v>
      </c>
      <c r="N2439" t="s">
        <v>5474</v>
      </c>
      <c r="O2439" s="5">
        <v>45240</v>
      </c>
      <c r="P2439" s="5">
        <v>43777</v>
      </c>
    </row>
    <row r="2440" spans="1:16" x14ac:dyDescent="0.25">
      <c r="A2440" t="s">
        <v>5475</v>
      </c>
      <c r="B2440" t="str">
        <v>Valiant Organics Limited</v>
      </c>
      <c r="C2440" t="s">
        <v>14</v>
      </c>
      <c r="D2440">
        <v>429.55</v>
      </c>
      <c r="E2440">
        <v>434.9</v>
      </c>
      <c r="F2440">
        <v>427</v>
      </c>
      <c r="G2440" s="3">
        <v>432.7</v>
      </c>
      <c r="H2440">
        <v>434.25</v>
      </c>
      <c r="I2440">
        <v>428.75</v>
      </c>
      <c r="J2440">
        <v>46943</v>
      </c>
      <c r="K2440">
        <v>20251410.899999999</v>
      </c>
      <c r="L2440" s="1">
        <v>45240</v>
      </c>
      <c r="M2440">
        <v>4044</v>
      </c>
      <c r="N2440" t="s">
        <v>5477</v>
      </c>
      <c r="O2440" s="5">
        <v>45240</v>
      </c>
      <c r="P2440" s="5">
        <v>43777</v>
      </c>
    </row>
    <row r="2441" spans="1:16" x14ac:dyDescent="0.25">
      <c r="A2441" t="s">
        <v>5478</v>
      </c>
      <c r="B2441" t="str">
        <v>Vardhman Acrylics Limited</v>
      </c>
      <c r="C2441" t="s">
        <v>14</v>
      </c>
      <c r="D2441">
        <v>54.8</v>
      </c>
      <c r="E2441">
        <v>55.8</v>
      </c>
      <c r="F2441">
        <v>54.25</v>
      </c>
      <c r="G2441" s="3">
        <v>54.45</v>
      </c>
      <c r="H2441">
        <v>54.4</v>
      </c>
      <c r="I2441">
        <v>54.8</v>
      </c>
      <c r="J2441">
        <v>41619</v>
      </c>
      <c r="K2441">
        <v>2280006.2000000002</v>
      </c>
      <c r="L2441" s="1">
        <v>45240</v>
      </c>
      <c r="M2441">
        <v>357</v>
      </c>
      <c r="N2441" t="s">
        <v>5480</v>
      </c>
      <c r="O2441" s="5">
        <v>45240</v>
      </c>
      <c r="P2441" s="5">
        <v>43777</v>
      </c>
    </row>
    <row r="2442" spans="1:16" x14ac:dyDescent="0.25">
      <c r="A2442" t="s">
        <v>5481</v>
      </c>
      <c r="B2442" t="str">
        <v>Vardhman Polytex Limited</v>
      </c>
      <c r="C2442" t="s">
        <v>10</v>
      </c>
      <c r="D2442">
        <v>60.35</v>
      </c>
      <c r="E2442">
        <v>60.35</v>
      </c>
      <c r="F2442">
        <v>60.35</v>
      </c>
      <c r="G2442" s="3">
        <v>60.35</v>
      </c>
      <c r="H2442">
        <v>60.35</v>
      </c>
      <c r="I2442">
        <v>59.2</v>
      </c>
      <c r="J2442">
        <v>67648</v>
      </c>
      <c r="K2442">
        <v>4082556.8</v>
      </c>
      <c r="L2442" s="1">
        <v>45240</v>
      </c>
      <c r="M2442">
        <v>26</v>
      </c>
      <c r="N2442" t="s">
        <v>5483</v>
      </c>
      <c r="O2442" s="5">
        <v>45240</v>
      </c>
      <c r="P2442" s="5">
        <v>43777</v>
      </c>
    </row>
    <row r="2443" spans="1:16" x14ac:dyDescent="0.25">
      <c r="A2443" t="s">
        <v>5484</v>
      </c>
      <c r="B2443" t="str">
        <v>Varroc Engineering Limited</v>
      </c>
      <c r="C2443" t="s">
        <v>14</v>
      </c>
      <c r="D2443">
        <v>457</v>
      </c>
      <c r="E2443">
        <v>471.95</v>
      </c>
      <c r="F2443">
        <v>441.15</v>
      </c>
      <c r="G2443" s="3">
        <v>469.7</v>
      </c>
      <c r="H2443">
        <v>469.85</v>
      </c>
      <c r="I2443">
        <v>455.7</v>
      </c>
      <c r="J2443">
        <v>399066</v>
      </c>
      <c r="K2443">
        <v>182850109.34999999</v>
      </c>
      <c r="L2443" s="1">
        <v>45240</v>
      </c>
      <c r="M2443">
        <v>18962</v>
      </c>
      <c r="N2443" t="s">
        <v>5486</v>
      </c>
      <c r="O2443" s="5">
        <v>45240</v>
      </c>
      <c r="P2443" s="5">
        <v>43777</v>
      </c>
    </row>
    <row r="2444" spans="1:16" x14ac:dyDescent="0.25">
      <c r="A2444" t="s">
        <v>5823</v>
      </c>
      <c r="B2444" t="str">
        <v>Not Found</v>
      </c>
      <c r="C2444" t="s">
        <v>5788</v>
      </c>
      <c r="D2444">
        <v>6.2</v>
      </c>
      <c r="E2444">
        <v>6.2</v>
      </c>
      <c r="F2444">
        <v>6.2</v>
      </c>
      <c r="G2444" s="3">
        <v>6.2</v>
      </c>
      <c r="H2444">
        <v>6.2</v>
      </c>
      <c r="I2444">
        <v>6.15</v>
      </c>
      <c r="J2444">
        <v>4000</v>
      </c>
      <c r="K2444">
        <v>24800</v>
      </c>
      <c r="L2444" s="1">
        <v>45240</v>
      </c>
      <c r="M2444">
        <v>1</v>
      </c>
      <c r="N2444" t="s">
        <v>5822</v>
      </c>
      <c r="O2444" s="5">
        <v>45240</v>
      </c>
      <c r="P2444" s="5">
        <v>43777</v>
      </c>
    </row>
    <row r="2445" spans="1:16" x14ac:dyDescent="0.25">
      <c r="A2445" t="s">
        <v>5487</v>
      </c>
      <c r="B2445" t="str">
        <v>Vascon Engineers Limited</v>
      </c>
      <c r="C2445" t="s">
        <v>14</v>
      </c>
      <c r="D2445">
        <v>75.05</v>
      </c>
      <c r="E2445">
        <v>76.349999999999994</v>
      </c>
      <c r="F2445">
        <v>73.099999999999994</v>
      </c>
      <c r="G2445" s="3">
        <v>73.400000000000006</v>
      </c>
      <c r="H2445">
        <v>73.599999999999994</v>
      </c>
      <c r="I2445">
        <v>75.05</v>
      </c>
      <c r="J2445">
        <v>1252630</v>
      </c>
      <c r="K2445">
        <v>93095823.400000006</v>
      </c>
      <c r="L2445" s="1">
        <v>45240</v>
      </c>
      <c r="M2445">
        <v>6584</v>
      </c>
      <c r="N2445" t="s">
        <v>5489</v>
      </c>
      <c r="O2445" s="5">
        <v>45240</v>
      </c>
      <c r="P2445" s="5">
        <v>43777</v>
      </c>
    </row>
    <row r="2446" spans="1:16" x14ac:dyDescent="0.25">
      <c r="A2446" t="s">
        <v>5490</v>
      </c>
      <c r="B2446" t="str">
        <v>Vaswani Industries Limited</v>
      </c>
      <c r="C2446" t="s">
        <v>10</v>
      </c>
      <c r="D2446">
        <v>24.9</v>
      </c>
      <c r="E2446">
        <v>25.45</v>
      </c>
      <c r="F2446">
        <v>24.05</v>
      </c>
      <c r="G2446" s="3">
        <v>24.8</v>
      </c>
      <c r="H2446">
        <v>25.05</v>
      </c>
      <c r="I2446">
        <v>24.8</v>
      </c>
      <c r="J2446">
        <v>24278</v>
      </c>
      <c r="K2446">
        <v>604723.55000000005</v>
      </c>
      <c r="L2446" s="1">
        <v>45240</v>
      </c>
      <c r="M2446">
        <v>121</v>
      </c>
      <c r="N2446" t="s">
        <v>5492</v>
      </c>
      <c r="O2446" s="5">
        <v>45240</v>
      </c>
      <c r="P2446" s="5">
        <v>43777</v>
      </c>
    </row>
    <row r="2447" spans="1:16" x14ac:dyDescent="0.25">
      <c r="A2447" t="s">
        <v>5493</v>
      </c>
      <c r="B2447" t="str">
        <v>Varun Beverages Limited</v>
      </c>
      <c r="C2447" t="s">
        <v>14</v>
      </c>
      <c r="D2447">
        <v>1003.8</v>
      </c>
      <c r="E2447">
        <v>1014.25</v>
      </c>
      <c r="F2447">
        <v>993.7</v>
      </c>
      <c r="G2447" s="3">
        <v>1009.05</v>
      </c>
      <c r="H2447">
        <v>1010</v>
      </c>
      <c r="I2447">
        <v>1002.55</v>
      </c>
      <c r="J2447">
        <v>1218861</v>
      </c>
      <c r="K2447">
        <v>1230103782.6500001</v>
      </c>
      <c r="L2447" s="1">
        <v>45240</v>
      </c>
      <c r="M2447">
        <v>69329</v>
      </c>
      <c r="N2447" t="s">
        <v>5495</v>
      </c>
      <c r="O2447" s="5">
        <v>45240</v>
      </c>
      <c r="P2447" s="5">
        <v>43777</v>
      </c>
    </row>
    <row r="2448" spans="1:16" x14ac:dyDescent="0.25">
      <c r="A2448" t="s">
        <v>5496</v>
      </c>
      <c r="B2448" t="str">
        <v>Vaxtex Cotfab Limited</v>
      </c>
      <c r="C2448" t="s">
        <v>14</v>
      </c>
      <c r="D2448">
        <v>1.65</v>
      </c>
      <c r="E2448">
        <v>1.7</v>
      </c>
      <c r="F2448">
        <v>1.65</v>
      </c>
      <c r="G2448" s="3">
        <v>1.7</v>
      </c>
      <c r="H2448">
        <v>1.7</v>
      </c>
      <c r="I2448">
        <v>1.7</v>
      </c>
      <c r="J2448">
        <v>383543</v>
      </c>
      <c r="K2448">
        <v>640905.55000000005</v>
      </c>
      <c r="L2448" s="1">
        <v>45240</v>
      </c>
      <c r="M2448">
        <v>285</v>
      </c>
      <c r="N2448" t="s">
        <v>5498</v>
      </c>
      <c r="O2448" s="5">
        <v>45240</v>
      </c>
      <c r="P2448" s="5">
        <v>43777</v>
      </c>
    </row>
    <row r="2449" spans="1:16" x14ac:dyDescent="0.25">
      <c r="A2449" t="s">
        <v>5499</v>
      </c>
      <c r="B2449" t="str">
        <v>Vedanta Limited</v>
      </c>
      <c r="C2449" t="s">
        <v>14</v>
      </c>
      <c r="D2449">
        <v>234</v>
      </c>
      <c r="E2449">
        <v>246</v>
      </c>
      <c r="F2449">
        <v>233.9</v>
      </c>
      <c r="G2449" s="3">
        <v>245.25</v>
      </c>
      <c r="H2449">
        <v>245</v>
      </c>
      <c r="I2449">
        <v>235.2</v>
      </c>
      <c r="J2449">
        <v>17676902</v>
      </c>
      <c r="K2449">
        <v>4281076398.6500001</v>
      </c>
      <c r="L2449" s="1">
        <v>45240</v>
      </c>
      <c r="M2449">
        <v>115206</v>
      </c>
      <c r="N2449" t="s">
        <v>5501</v>
      </c>
      <c r="O2449" s="5">
        <v>45240</v>
      </c>
      <c r="P2449" s="5">
        <v>43777</v>
      </c>
    </row>
    <row r="2450" spans="1:16" x14ac:dyDescent="0.25">
      <c r="A2450" t="s">
        <v>5821</v>
      </c>
      <c r="B2450" t="str">
        <v>Not Found</v>
      </c>
      <c r="C2450" t="s">
        <v>5788</v>
      </c>
      <c r="D2450">
        <v>113.5</v>
      </c>
      <c r="E2450">
        <v>113.5</v>
      </c>
      <c r="F2450">
        <v>113.5</v>
      </c>
      <c r="G2450" s="3">
        <v>113.5</v>
      </c>
      <c r="H2450">
        <v>113.5</v>
      </c>
      <c r="I2450">
        <v>109</v>
      </c>
      <c r="J2450">
        <v>1200</v>
      </c>
      <c r="K2450">
        <v>136200</v>
      </c>
      <c r="L2450" s="1">
        <v>45240</v>
      </c>
      <c r="M2450">
        <v>1</v>
      </c>
      <c r="N2450" t="s">
        <v>5820</v>
      </c>
      <c r="O2450" s="5">
        <v>45240</v>
      </c>
      <c r="P2450" s="5">
        <v>43777</v>
      </c>
    </row>
    <row r="2451" spans="1:16" x14ac:dyDescent="0.25">
      <c r="A2451" t="s">
        <v>5502</v>
      </c>
      <c r="B2451" t="str">
        <v>Venky's (India) Limited</v>
      </c>
      <c r="C2451" t="s">
        <v>14</v>
      </c>
      <c r="D2451">
        <v>2063.9</v>
      </c>
      <c r="E2451">
        <v>2063.9</v>
      </c>
      <c r="F2451">
        <v>2021.2</v>
      </c>
      <c r="G2451" s="3">
        <v>2034.85</v>
      </c>
      <c r="H2451">
        <v>2042</v>
      </c>
      <c r="I2451">
        <v>2045.65</v>
      </c>
      <c r="J2451">
        <v>18961</v>
      </c>
      <c r="K2451">
        <v>38575322.549999997</v>
      </c>
      <c r="L2451" s="1">
        <v>45240</v>
      </c>
      <c r="M2451">
        <v>2927</v>
      </c>
      <c r="N2451" t="s">
        <v>5504</v>
      </c>
      <c r="O2451" s="5">
        <v>45240</v>
      </c>
      <c r="P2451" s="5">
        <v>43777</v>
      </c>
    </row>
    <row r="2452" spans="1:16" x14ac:dyDescent="0.25">
      <c r="A2452" t="s">
        <v>5505</v>
      </c>
      <c r="B2452" t="str">
        <v>Venus Pipes &amp; Tubes Limited</v>
      </c>
      <c r="C2452" t="s">
        <v>14</v>
      </c>
      <c r="D2452">
        <v>1450.1</v>
      </c>
      <c r="E2452">
        <v>1463</v>
      </c>
      <c r="F2452">
        <v>1443.1</v>
      </c>
      <c r="G2452" s="3">
        <v>1452.05</v>
      </c>
      <c r="H2452">
        <v>1453</v>
      </c>
      <c r="I2452">
        <v>1459.7</v>
      </c>
      <c r="J2452">
        <v>31404</v>
      </c>
      <c r="K2452">
        <v>45633168.950000003</v>
      </c>
      <c r="L2452" s="1">
        <v>45240</v>
      </c>
      <c r="M2452">
        <v>3778</v>
      </c>
      <c r="N2452" t="s">
        <v>5507</v>
      </c>
      <c r="O2452" s="5">
        <v>45240</v>
      </c>
      <c r="P2452" s="5">
        <v>43777</v>
      </c>
    </row>
    <row r="2453" spans="1:16" x14ac:dyDescent="0.25">
      <c r="A2453" t="s">
        <v>5508</v>
      </c>
      <c r="B2453" t="str">
        <v>Venus Remedies Limited</v>
      </c>
      <c r="C2453" t="s">
        <v>14</v>
      </c>
      <c r="D2453">
        <v>310</v>
      </c>
      <c r="E2453">
        <v>334.75</v>
      </c>
      <c r="F2453">
        <v>303.2</v>
      </c>
      <c r="G2453" s="3">
        <v>324.8</v>
      </c>
      <c r="H2453">
        <v>326</v>
      </c>
      <c r="I2453">
        <v>289.55</v>
      </c>
      <c r="J2453">
        <v>1353237</v>
      </c>
      <c r="K2453">
        <v>437062957.89999998</v>
      </c>
      <c r="L2453" s="1">
        <v>45240</v>
      </c>
      <c r="M2453">
        <v>40169</v>
      </c>
      <c r="N2453" t="s">
        <v>5510</v>
      </c>
      <c r="O2453" s="5">
        <v>45240</v>
      </c>
      <c r="P2453" s="5">
        <v>43777</v>
      </c>
    </row>
    <row r="2454" spans="1:16" x14ac:dyDescent="0.25">
      <c r="A2454" t="s">
        <v>5511</v>
      </c>
      <c r="B2454" t="str">
        <v>Veranda Learning Solutions Limited</v>
      </c>
      <c r="C2454" t="s">
        <v>14</v>
      </c>
      <c r="D2454">
        <v>213.9</v>
      </c>
      <c r="E2454">
        <v>213.9</v>
      </c>
      <c r="F2454">
        <v>198</v>
      </c>
      <c r="G2454" s="3">
        <v>198.35</v>
      </c>
      <c r="H2454">
        <v>198.5</v>
      </c>
      <c r="I2454">
        <v>214.35</v>
      </c>
      <c r="J2454">
        <v>315708</v>
      </c>
      <c r="K2454">
        <v>63848524.850000001</v>
      </c>
      <c r="L2454" s="1">
        <v>45240</v>
      </c>
      <c r="M2454">
        <v>6352</v>
      </c>
      <c r="N2454" t="s">
        <v>5513</v>
      </c>
      <c r="O2454" s="5">
        <v>45240</v>
      </c>
      <c r="P2454" s="5">
        <v>43777</v>
      </c>
    </row>
    <row r="2455" spans="1:16" x14ac:dyDescent="0.25">
      <c r="A2455" t="s">
        <v>5819</v>
      </c>
      <c r="B2455" t="str">
        <v>Not Found</v>
      </c>
      <c r="C2455" t="s">
        <v>5788</v>
      </c>
      <c r="D2455">
        <v>209</v>
      </c>
      <c r="E2455">
        <v>209</v>
      </c>
      <c r="F2455">
        <v>209</v>
      </c>
      <c r="G2455" s="3">
        <v>209</v>
      </c>
      <c r="H2455">
        <v>209</v>
      </c>
      <c r="I2455">
        <v>208.95</v>
      </c>
      <c r="J2455">
        <v>600</v>
      </c>
      <c r="K2455">
        <v>125400</v>
      </c>
      <c r="L2455" s="1">
        <v>45240</v>
      </c>
      <c r="M2455">
        <v>1</v>
      </c>
      <c r="N2455" t="s">
        <v>5818</v>
      </c>
      <c r="O2455" s="5">
        <v>45240</v>
      </c>
      <c r="P2455" s="5">
        <v>43777</v>
      </c>
    </row>
    <row r="2456" spans="1:16" x14ac:dyDescent="0.25">
      <c r="A2456" t="s">
        <v>5514</v>
      </c>
      <c r="B2456" t="str">
        <v>Vertoz Advertising Limited</v>
      </c>
      <c r="C2456" t="s">
        <v>14</v>
      </c>
      <c r="D2456">
        <v>358.05</v>
      </c>
      <c r="E2456">
        <v>358.05</v>
      </c>
      <c r="F2456">
        <v>348.5</v>
      </c>
      <c r="G2456" s="3">
        <v>350.85</v>
      </c>
      <c r="H2456">
        <v>350</v>
      </c>
      <c r="I2456">
        <v>358.5</v>
      </c>
      <c r="J2456">
        <v>116762</v>
      </c>
      <c r="K2456">
        <v>41219169.799999997</v>
      </c>
      <c r="L2456" s="1">
        <v>45240</v>
      </c>
      <c r="M2456">
        <v>2210</v>
      </c>
      <c r="N2456" t="s">
        <v>5516</v>
      </c>
      <c r="O2456" s="5">
        <v>45240</v>
      </c>
      <c r="P2456" s="5">
        <v>43777</v>
      </c>
    </row>
    <row r="2457" spans="1:16" x14ac:dyDescent="0.25">
      <c r="A2457" t="s">
        <v>5517</v>
      </c>
      <c r="B2457" t="str">
        <v>Vesuvius India Limited</v>
      </c>
      <c r="C2457" t="s">
        <v>14</v>
      </c>
      <c r="D2457">
        <v>3499.8</v>
      </c>
      <c r="E2457">
        <v>3689.9</v>
      </c>
      <c r="F2457">
        <v>3459.95</v>
      </c>
      <c r="G2457" s="3">
        <v>3535.85</v>
      </c>
      <c r="H2457">
        <v>3536.8</v>
      </c>
      <c r="I2457">
        <v>3470.5</v>
      </c>
      <c r="J2457">
        <v>14096</v>
      </c>
      <c r="K2457">
        <v>50422174.75</v>
      </c>
      <c r="L2457" s="1">
        <v>45240</v>
      </c>
      <c r="M2457">
        <v>4400</v>
      </c>
      <c r="N2457" t="s">
        <v>5519</v>
      </c>
      <c r="O2457" s="5">
        <v>45240</v>
      </c>
      <c r="P2457" s="5">
        <v>43777</v>
      </c>
    </row>
    <row r="2458" spans="1:16" x14ac:dyDescent="0.25">
      <c r="A2458" t="s">
        <v>5520</v>
      </c>
      <c r="B2458" t="str">
        <v>Veto Switchgears And Cables Limited</v>
      </c>
      <c r="C2458" t="s">
        <v>14</v>
      </c>
      <c r="D2458">
        <v>126</v>
      </c>
      <c r="E2458">
        <v>126</v>
      </c>
      <c r="F2458">
        <v>117.05</v>
      </c>
      <c r="G2458" s="3">
        <v>118</v>
      </c>
      <c r="H2458">
        <v>118.4</v>
      </c>
      <c r="I2458">
        <v>120</v>
      </c>
      <c r="J2458">
        <v>147283</v>
      </c>
      <c r="K2458">
        <v>17794571.649999999</v>
      </c>
      <c r="L2458" s="1">
        <v>45240</v>
      </c>
      <c r="M2458">
        <v>1933</v>
      </c>
      <c r="N2458" t="s">
        <v>5522</v>
      </c>
      <c r="O2458" s="5">
        <v>45240</v>
      </c>
      <c r="P2458" s="5">
        <v>43777</v>
      </c>
    </row>
    <row r="2459" spans="1:16" x14ac:dyDescent="0.25">
      <c r="A2459" t="s">
        <v>5523</v>
      </c>
      <c r="B2459" t="str">
        <v>V-Guard Industries Limited</v>
      </c>
      <c r="C2459" t="s">
        <v>14</v>
      </c>
      <c r="D2459">
        <v>284</v>
      </c>
      <c r="E2459">
        <v>288.75</v>
      </c>
      <c r="F2459">
        <v>283.10000000000002</v>
      </c>
      <c r="G2459" s="3">
        <v>288</v>
      </c>
      <c r="H2459">
        <v>288.75</v>
      </c>
      <c r="I2459">
        <v>284.5</v>
      </c>
      <c r="J2459">
        <v>110954</v>
      </c>
      <c r="K2459">
        <v>31801810.25</v>
      </c>
      <c r="L2459" s="1">
        <v>45240</v>
      </c>
      <c r="M2459">
        <v>3174</v>
      </c>
      <c r="N2459" t="s">
        <v>5525</v>
      </c>
      <c r="O2459" s="5">
        <v>45240</v>
      </c>
      <c r="P2459" s="5">
        <v>43777</v>
      </c>
    </row>
    <row r="2460" spans="1:16" x14ac:dyDescent="0.25">
      <c r="A2460" t="s">
        <v>5526</v>
      </c>
      <c r="B2460" t="str">
        <v>Vardhman Holdings Limited</v>
      </c>
      <c r="C2460" t="s">
        <v>14</v>
      </c>
      <c r="D2460">
        <v>2778</v>
      </c>
      <c r="E2460">
        <v>2819.95</v>
      </c>
      <c r="F2460">
        <v>2775</v>
      </c>
      <c r="G2460" s="3">
        <v>2808.7</v>
      </c>
      <c r="H2460">
        <v>2816</v>
      </c>
      <c r="I2460">
        <v>2770.2</v>
      </c>
      <c r="J2460">
        <v>255</v>
      </c>
      <c r="K2460">
        <v>713690.3</v>
      </c>
      <c r="L2460" s="1">
        <v>45240</v>
      </c>
      <c r="M2460">
        <v>116</v>
      </c>
      <c r="N2460" t="s">
        <v>5528</v>
      </c>
      <c r="O2460" s="5">
        <v>45240</v>
      </c>
      <c r="P2460" s="5">
        <v>43777</v>
      </c>
    </row>
    <row r="2461" spans="1:16" x14ac:dyDescent="0.25">
      <c r="A2461" t="s">
        <v>5817</v>
      </c>
      <c r="B2461" t="str">
        <v>Not Found</v>
      </c>
      <c r="C2461" t="s">
        <v>5788</v>
      </c>
      <c r="D2461">
        <v>40</v>
      </c>
      <c r="E2461">
        <v>42.85</v>
      </c>
      <c r="F2461">
        <v>40</v>
      </c>
      <c r="G2461" s="3">
        <v>41.15</v>
      </c>
      <c r="H2461">
        <v>41.15</v>
      </c>
      <c r="I2461">
        <v>41</v>
      </c>
      <c r="J2461">
        <v>10000</v>
      </c>
      <c r="K2461">
        <v>411000</v>
      </c>
      <c r="L2461" s="1">
        <v>45240</v>
      </c>
      <c r="M2461">
        <v>5</v>
      </c>
      <c r="N2461" t="s">
        <v>5816</v>
      </c>
      <c r="O2461" s="5">
        <v>45240</v>
      </c>
      <c r="P2461" s="5">
        <v>43777</v>
      </c>
    </row>
    <row r="2462" spans="1:16" x14ac:dyDescent="0.25">
      <c r="A2462" t="s">
        <v>5529</v>
      </c>
      <c r="B2462" t="str">
        <v>Vidhi Specialty Food Ingredients Limited</v>
      </c>
      <c r="C2462" t="s">
        <v>14</v>
      </c>
      <c r="D2462">
        <v>422.85</v>
      </c>
      <c r="E2462">
        <v>426.9</v>
      </c>
      <c r="F2462">
        <v>419</v>
      </c>
      <c r="G2462" s="3">
        <v>422.65</v>
      </c>
      <c r="H2462">
        <v>423</v>
      </c>
      <c r="I2462">
        <v>422.9</v>
      </c>
      <c r="J2462">
        <v>9011</v>
      </c>
      <c r="K2462">
        <v>3812487.65</v>
      </c>
      <c r="L2462" s="1">
        <v>45240</v>
      </c>
      <c r="M2462">
        <v>1212</v>
      </c>
      <c r="N2462" t="s">
        <v>5531</v>
      </c>
      <c r="O2462" s="5">
        <v>45240</v>
      </c>
      <c r="P2462" s="5">
        <v>43777</v>
      </c>
    </row>
    <row r="2463" spans="1:16" x14ac:dyDescent="0.25">
      <c r="A2463" t="s">
        <v>5532</v>
      </c>
      <c r="B2463" t="str">
        <v>Vijaya Diagnostic Centre Limited</v>
      </c>
      <c r="C2463" t="s">
        <v>14</v>
      </c>
      <c r="D2463">
        <v>594</v>
      </c>
      <c r="E2463">
        <v>653.9</v>
      </c>
      <c r="F2463">
        <v>594</v>
      </c>
      <c r="G2463" s="3">
        <v>630.1</v>
      </c>
      <c r="H2463">
        <v>631.5</v>
      </c>
      <c r="I2463">
        <v>590.9</v>
      </c>
      <c r="J2463">
        <v>3210355</v>
      </c>
      <c r="K2463">
        <v>2042576308.3</v>
      </c>
      <c r="L2463" s="1">
        <v>45240</v>
      </c>
      <c r="M2463">
        <v>103632</v>
      </c>
      <c r="N2463" t="s">
        <v>5534</v>
      </c>
      <c r="O2463" s="5">
        <v>45240</v>
      </c>
      <c r="P2463" s="5">
        <v>43777</v>
      </c>
    </row>
    <row r="2464" spans="1:16" x14ac:dyDescent="0.25">
      <c r="A2464" t="s">
        <v>5535</v>
      </c>
      <c r="B2464" t="str">
        <v>Viji Finance Limited</v>
      </c>
      <c r="C2464" t="s">
        <v>10</v>
      </c>
      <c r="D2464">
        <v>1.75</v>
      </c>
      <c r="E2464">
        <v>1.75</v>
      </c>
      <c r="F2464">
        <v>1.65</v>
      </c>
      <c r="G2464" s="3">
        <v>1.7</v>
      </c>
      <c r="H2464">
        <v>1.75</v>
      </c>
      <c r="I2464">
        <v>1.7</v>
      </c>
      <c r="J2464">
        <v>93516</v>
      </c>
      <c r="K2464">
        <v>159296.5</v>
      </c>
      <c r="L2464" s="1">
        <v>45240</v>
      </c>
      <c r="M2464">
        <v>166</v>
      </c>
      <c r="N2464" t="s">
        <v>5537</v>
      </c>
      <c r="O2464" s="5">
        <v>45240</v>
      </c>
      <c r="P2464" s="5">
        <v>43777</v>
      </c>
    </row>
    <row r="2465" spans="1:16" x14ac:dyDescent="0.25">
      <c r="A2465" t="s">
        <v>5538</v>
      </c>
      <c r="B2465" t="str">
        <v>Vikas EcoTech Limited</v>
      </c>
      <c r="C2465" t="s">
        <v>10</v>
      </c>
      <c r="D2465">
        <v>3.6</v>
      </c>
      <c r="E2465">
        <v>3.6</v>
      </c>
      <c r="F2465">
        <v>3.5</v>
      </c>
      <c r="G2465" s="3">
        <v>3.6</v>
      </c>
      <c r="H2465">
        <v>3.55</v>
      </c>
      <c r="I2465">
        <v>3.55</v>
      </c>
      <c r="J2465">
        <v>2294977</v>
      </c>
      <c r="K2465">
        <v>8154099.0499999998</v>
      </c>
      <c r="L2465" s="1">
        <v>45240</v>
      </c>
      <c r="M2465">
        <v>2368</v>
      </c>
      <c r="N2465" t="s">
        <v>5540</v>
      </c>
      <c r="O2465" s="5">
        <v>45240</v>
      </c>
      <c r="P2465" s="5">
        <v>43777</v>
      </c>
    </row>
    <row r="2466" spans="1:16" x14ac:dyDescent="0.25">
      <c r="A2466" t="s">
        <v>5541</v>
      </c>
      <c r="B2466" t="str">
        <v>Vikas Lifecare Limited</v>
      </c>
      <c r="C2466" t="s">
        <v>14</v>
      </c>
      <c r="D2466">
        <v>4.95</v>
      </c>
      <c r="E2466">
        <v>5.05</v>
      </c>
      <c r="F2466">
        <v>4.9000000000000004</v>
      </c>
      <c r="G2466" s="3">
        <v>5</v>
      </c>
      <c r="H2466">
        <v>5</v>
      </c>
      <c r="I2466">
        <v>4.9000000000000004</v>
      </c>
      <c r="J2466">
        <v>13571561</v>
      </c>
      <c r="K2466">
        <v>67598294.650000006</v>
      </c>
      <c r="L2466" s="1">
        <v>45240</v>
      </c>
      <c r="M2466">
        <v>5988</v>
      </c>
      <c r="N2466" t="s">
        <v>5543</v>
      </c>
      <c r="O2466" s="5">
        <v>45240</v>
      </c>
      <c r="P2466" s="5">
        <v>43777</v>
      </c>
    </row>
    <row r="2467" spans="1:16" x14ac:dyDescent="0.25">
      <c r="A2467" t="s">
        <v>5815</v>
      </c>
      <c r="B2467" t="str">
        <v>Not Found</v>
      </c>
      <c r="C2467" t="s">
        <v>5788</v>
      </c>
      <c r="D2467">
        <v>20.9</v>
      </c>
      <c r="E2467">
        <v>20.9</v>
      </c>
      <c r="F2467">
        <v>20.9</v>
      </c>
      <c r="G2467" s="3">
        <v>20.9</v>
      </c>
      <c r="H2467">
        <v>20.9</v>
      </c>
      <c r="I2467">
        <v>20.05</v>
      </c>
      <c r="J2467">
        <v>20000</v>
      </c>
      <c r="K2467">
        <v>418000</v>
      </c>
      <c r="L2467" s="1">
        <v>45240</v>
      </c>
      <c r="M2467">
        <v>5</v>
      </c>
      <c r="N2467" t="s">
        <v>5814</v>
      </c>
      <c r="O2467" s="5">
        <v>45240</v>
      </c>
      <c r="P2467" s="5">
        <v>43777</v>
      </c>
    </row>
    <row r="2468" spans="1:16" x14ac:dyDescent="0.25">
      <c r="A2468" t="s">
        <v>5544</v>
      </c>
      <c r="B2468" t="str">
        <v>Vimta Labs Limited</v>
      </c>
      <c r="C2468" t="s">
        <v>14</v>
      </c>
      <c r="D2468">
        <v>415.45</v>
      </c>
      <c r="E2468">
        <v>417</v>
      </c>
      <c r="F2468">
        <v>398.5</v>
      </c>
      <c r="G2468" s="3">
        <v>400.55</v>
      </c>
      <c r="H2468">
        <v>400</v>
      </c>
      <c r="I2468">
        <v>413.8</v>
      </c>
      <c r="J2468">
        <v>76670</v>
      </c>
      <c r="K2468">
        <v>31050484.699999999</v>
      </c>
      <c r="L2468" s="1">
        <v>45240</v>
      </c>
      <c r="M2468">
        <v>4706</v>
      </c>
      <c r="N2468" t="s">
        <v>5546</v>
      </c>
      <c r="O2468" s="5">
        <v>45240</v>
      </c>
      <c r="P2468" s="5">
        <v>43777</v>
      </c>
    </row>
    <row r="2469" spans="1:16" x14ac:dyDescent="0.25">
      <c r="A2469" t="s">
        <v>5547</v>
      </c>
      <c r="B2469" t="str">
        <v>Vinati Organics Limited</v>
      </c>
      <c r="C2469" t="s">
        <v>14</v>
      </c>
      <c r="D2469">
        <v>1758.95</v>
      </c>
      <c r="E2469">
        <v>1770.2</v>
      </c>
      <c r="F2469">
        <v>1743</v>
      </c>
      <c r="G2469" s="3">
        <v>1754.35</v>
      </c>
      <c r="H2469">
        <v>1755</v>
      </c>
      <c r="I2469">
        <v>1758.75</v>
      </c>
      <c r="J2469">
        <v>12659</v>
      </c>
      <c r="K2469">
        <v>22171813.100000001</v>
      </c>
      <c r="L2469" s="1">
        <v>45240</v>
      </c>
      <c r="M2469">
        <v>3224</v>
      </c>
      <c r="N2469" t="s">
        <v>5549</v>
      </c>
      <c r="O2469" s="5">
        <v>45240</v>
      </c>
      <c r="P2469" s="5">
        <v>43777</v>
      </c>
    </row>
    <row r="2470" spans="1:16" x14ac:dyDescent="0.25">
      <c r="A2470" t="s">
        <v>5550</v>
      </c>
      <c r="B2470" t="str">
        <v>Vindhya Telelinks Limited</v>
      </c>
      <c r="C2470" t="s">
        <v>14</v>
      </c>
      <c r="D2470">
        <v>2442.5</v>
      </c>
      <c r="E2470">
        <v>2442.5</v>
      </c>
      <c r="F2470">
        <v>2344.9499999999998</v>
      </c>
      <c r="G2470" s="3">
        <v>2359.5</v>
      </c>
      <c r="H2470">
        <v>2350</v>
      </c>
      <c r="I2470">
        <v>2480</v>
      </c>
      <c r="J2470">
        <v>33659</v>
      </c>
      <c r="K2470">
        <v>80049616.849999994</v>
      </c>
      <c r="L2470" s="1">
        <v>45240</v>
      </c>
      <c r="M2470">
        <v>5455</v>
      </c>
      <c r="N2470" t="s">
        <v>5552</v>
      </c>
      <c r="O2470" s="5">
        <v>45240</v>
      </c>
      <c r="P2470" s="5">
        <v>43777</v>
      </c>
    </row>
    <row r="2471" spans="1:16" x14ac:dyDescent="0.25">
      <c r="A2471" t="s">
        <v>5553</v>
      </c>
      <c r="B2471" t="str">
        <v>Vineet Laboratories Limited</v>
      </c>
      <c r="C2471" t="s">
        <v>14</v>
      </c>
      <c r="D2471">
        <v>53.05</v>
      </c>
      <c r="E2471">
        <v>53.1</v>
      </c>
      <c r="F2471">
        <v>51.8</v>
      </c>
      <c r="G2471" s="3">
        <v>52.5</v>
      </c>
      <c r="H2471">
        <v>52.75</v>
      </c>
      <c r="I2471">
        <v>53.05</v>
      </c>
      <c r="J2471">
        <v>11638</v>
      </c>
      <c r="K2471">
        <v>613077.4</v>
      </c>
      <c r="L2471" s="1">
        <v>45240</v>
      </c>
      <c r="M2471">
        <v>190</v>
      </c>
      <c r="N2471" t="s">
        <v>5555</v>
      </c>
      <c r="O2471" s="5">
        <v>45240</v>
      </c>
      <c r="P2471" s="5">
        <v>43777</v>
      </c>
    </row>
    <row r="2472" spans="1:16" x14ac:dyDescent="0.25">
      <c r="A2472" t="s">
        <v>5556</v>
      </c>
      <c r="B2472" t="str">
        <v>Vinny Overseas Limited</v>
      </c>
      <c r="C2472" t="s">
        <v>10</v>
      </c>
      <c r="D2472">
        <v>3.35</v>
      </c>
      <c r="E2472">
        <v>3.4</v>
      </c>
      <c r="F2472">
        <v>3.25</v>
      </c>
      <c r="G2472" s="3">
        <v>3.3</v>
      </c>
      <c r="H2472">
        <v>3.35</v>
      </c>
      <c r="I2472">
        <v>3.35</v>
      </c>
      <c r="J2472">
        <v>345927</v>
      </c>
      <c r="K2472">
        <v>1148244.05</v>
      </c>
      <c r="L2472" s="1">
        <v>45240</v>
      </c>
      <c r="M2472">
        <v>534</v>
      </c>
      <c r="N2472" t="s">
        <v>5558</v>
      </c>
      <c r="O2472" s="5">
        <v>45240</v>
      </c>
      <c r="P2472" s="5">
        <v>43777</v>
      </c>
    </row>
    <row r="2473" spans="1:16" x14ac:dyDescent="0.25">
      <c r="A2473" t="s">
        <v>5813</v>
      </c>
      <c r="B2473" t="str">
        <v>Not Found</v>
      </c>
      <c r="C2473" t="s">
        <v>5788</v>
      </c>
      <c r="D2473">
        <v>282</v>
      </c>
      <c r="E2473">
        <v>287.95</v>
      </c>
      <c r="F2473">
        <v>275</v>
      </c>
      <c r="G2473" s="3">
        <v>282.85000000000002</v>
      </c>
      <c r="H2473">
        <v>283.5</v>
      </c>
      <c r="I2473">
        <v>282.85000000000002</v>
      </c>
      <c r="J2473">
        <v>15000</v>
      </c>
      <c r="K2473">
        <v>4204550</v>
      </c>
      <c r="L2473" s="1">
        <v>45240</v>
      </c>
      <c r="M2473">
        <v>29</v>
      </c>
      <c r="N2473" t="s">
        <v>5812</v>
      </c>
      <c r="O2473" s="5">
        <v>45240</v>
      </c>
      <c r="P2473" s="5">
        <v>43777</v>
      </c>
    </row>
    <row r="2474" spans="1:16" x14ac:dyDescent="0.25">
      <c r="A2474" t="s">
        <v>5811</v>
      </c>
      <c r="B2474" t="str">
        <v>Not Found</v>
      </c>
      <c r="C2474" t="s">
        <v>5788</v>
      </c>
      <c r="D2474">
        <v>480</v>
      </c>
      <c r="E2474">
        <v>484</v>
      </c>
      <c r="F2474">
        <v>461.05</v>
      </c>
      <c r="G2474" s="3">
        <v>476</v>
      </c>
      <c r="H2474">
        <v>476</v>
      </c>
      <c r="I2474">
        <v>480</v>
      </c>
      <c r="J2474">
        <v>4800</v>
      </c>
      <c r="K2474">
        <v>2283440</v>
      </c>
      <c r="L2474" s="1">
        <v>45240</v>
      </c>
      <c r="M2474">
        <v>6</v>
      </c>
      <c r="N2474" t="s">
        <v>5810</v>
      </c>
      <c r="O2474" s="5">
        <v>45240</v>
      </c>
      <c r="P2474" s="5">
        <v>43777</v>
      </c>
    </row>
    <row r="2475" spans="1:16" x14ac:dyDescent="0.25">
      <c r="A2475" t="s">
        <v>5559</v>
      </c>
      <c r="B2475" t="str">
        <v>Vinyl Chemicals (India) Limited</v>
      </c>
      <c r="C2475" t="s">
        <v>14</v>
      </c>
      <c r="D2475">
        <v>409.95</v>
      </c>
      <c r="E2475">
        <v>411.05</v>
      </c>
      <c r="F2475">
        <v>405.3</v>
      </c>
      <c r="G2475" s="3">
        <v>409.4</v>
      </c>
      <c r="H2475">
        <v>409.5</v>
      </c>
      <c r="I2475">
        <v>406.8</v>
      </c>
      <c r="J2475">
        <v>10829</v>
      </c>
      <c r="K2475">
        <v>4423144.7</v>
      </c>
      <c r="L2475" s="1">
        <v>45240</v>
      </c>
      <c r="M2475">
        <v>1197</v>
      </c>
      <c r="N2475" t="s">
        <v>5561</v>
      </c>
      <c r="O2475" s="5">
        <v>45240</v>
      </c>
      <c r="P2475" s="5">
        <v>43777</v>
      </c>
    </row>
    <row r="2476" spans="1:16" x14ac:dyDescent="0.25">
      <c r="A2476" t="s">
        <v>5562</v>
      </c>
      <c r="B2476" t="str">
        <v>VIP Clothing Limited</v>
      </c>
      <c r="C2476" t="s">
        <v>14</v>
      </c>
      <c r="D2476">
        <v>47.3</v>
      </c>
      <c r="E2476">
        <v>47.9</v>
      </c>
      <c r="F2476">
        <v>46.55</v>
      </c>
      <c r="G2476" s="3">
        <v>46.95</v>
      </c>
      <c r="H2476">
        <v>47.5</v>
      </c>
      <c r="I2476">
        <v>48</v>
      </c>
      <c r="J2476">
        <v>246227</v>
      </c>
      <c r="K2476">
        <v>11618567.300000001</v>
      </c>
      <c r="L2476" s="1">
        <v>45240</v>
      </c>
      <c r="M2476">
        <v>1344</v>
      </c>
      <c r="N2476" t="s">
        <v>5564</v>
      </c>
      <c r="O2476" s="5">
        <v>45240</v>
      </c>
      <c r="P2476" s="5">
        <v>43777</v>
      </c>
    </row>
    <row r="2477" spans="1:16" x14ac:dyDescent="0.25">
      <c r="A2477" t="s">
        <v>5565</v>
      </c>
      <c r="B2477" t="str">
        <v>VIP Industries Limited</v>
      </c>
      <c r="C2477" t="s">
        <v>14</v>
      </c>
      <c r="D2477">
        <v>602.45000000000005</v>
      </c>
      <c r="E2477">
        <v>608.54999999999995</v>
      </c>
      <c r="F2477">
        <v>599.20000000000005</v>
      </c>
      <c r="G2477" s="3">
        <v>603.6</v>
      </c>
      <c r="H2477">
        <v>604</v>
      </c>
      <c r="I2477">
        <v>602.45000000000005</v>
      </c>
      <c r="J2477">
        <v>150879</v>
      </c>
      <c r="K2477">
        <v>91227977.549999997</v>
      </c>
      <c r="L2477" s="1">
        <v>45240</v>
      </c>
      <c r="M2477">
        <v>5495</v>
      </c>
      <c r="N2477" t="s">
        <v>5567</v>
      </c>
      <c r="O2477" s="5">
        <v>45240</v>
      </c>
      <c r="P2477" s="5">
        <v>43777</v>
      </c>
    </row>
    <row r="2478" spans="1:16" x14ac:dyDescent="0.25">
      <c r="A2478" t="s">
        <v>5568</v>
      </c>
      <c r="B2478" t="str">
        <v>Vipul Limited</v>
      </c>
      <c r="C2478" t="s">
        <v>14</v>
      </c>
      <c r="D2478">
        <v>18.350000000000001</v>
      </c>
      <c r="E2478">
        <v>18.350000000000001</v>
      </c>
      <c r="F2478">
        <v>17.5</v>
      </c>
      <c r="G2478" s="3">
        <v>17.7</v>
      </c>
      <c r="H2478">
        <v>17.7</v>
      </c>
      <c r="I2478">
        <v>18</v>
      </c>
      <c r="J2478">
        <v>63217</v>
      </c>
      <c r="K2478">
        <v>1123579.25</v>
      </c>
      <c r="L2478" s="1">
        <v>45240</v>
      </c>
      <c r="M2478">
        <v>176</v>
      </c>
      <c r="N2478" t="s">
        <v>5570</v>
      </c>
      <c r="O2478" s="5">
        <v>45240</v>
      </c>
      <c r="P2478" s="5">
        <v>43777</v>
      </c>
    </row>
    <row r="2479" spans="1:16" x14ac:dyDescent="0.25">
      <c r="A2479" t="s">
        <v>5571</v>
      </c>
      <c r="B2479" t="str">
        <v>Virinchi Limited</v>
      </c>
      <c r="C2479" t="s">
        <v>10</v>
      </c>
      <c r="D2479">
        <v>32.549999999999997</v>
      </c>
      <c r="E2479">
        <v>32.700000000000003</v>
      </c>
      <c r="F2479">
        <v>31.25</v>
      </c>
      <c r="G2479" s="3">
        <v>31.8</v>
      </c>
      <c r="H2479">
        <v>31.75</v>
      </c>
      <c r="I2479">
        <v>32.1</v>
      </c>
      <c r="J2479">
        <v>173128</v>
      </c>
      <c r="K2479">
        <v>5503599.5</v>
      </c>
      <c r="L2479" s="1">
        <v>45240</v>
      </c>
      <c r="M2479">
        <v>309</v>
      </c>
      <c r="N2479" t="s">
        <v>5573</v>
      </c>
      <c r="O2479" s="5">
        <v>45240</v>
      </c>
      <c r="P2479" s="5">
        <v>43777</v>
      </c>
    </row>
    <row r="2480" spans="1:16" x14ac:dyDescent="0.25">
      <c r="A2480" t="s">
        <v>5574</v>
      </c>
      <c r="B2480" t="str">
        <v>Visaka Industries Limited</v>
      </c>
      <c r="C2480" t="s">
        <v>14</v>
      </c>
      <c r="D2480">
        <v>81.400000000000006</v>
      </c>
      <c r="E2480">
        <v>82.95</v>
      </c>
      <c r="F2480">
        <v>81.400000000000006</v>
      </c>
      <c r="G2480" s="3">
        <v>81.7</v>
      </c>
      <c r="H2480">
        <v>82</v>
      </c>
      <c r="I2480">
        <v>81.7</v>
      </c>
      <c r="J2480">
        <v>164619</v>
      </c>
      <c r="K2480">
        <v>13488296.65</v>
      </c>
      <c r="L2480" s="1">
        <v>45240</v>
      </c>
      <c r="M2480">
        <v>2163</v>
      </c>
      <c r="N2480" t="s">
        <v>5576</v>
      </c>
      <c r="O2480" s="5">
        <v>45240</v>
      </c>
      <c r="P2480" s="5">
        <v>43777</v>
      </c>
    </row>
    <row r="2481" spans="1:16" x14ac:dyDescent="0.25">
      <c r="A2481" t="s">
        <v>5577</v>
      </c>
      <c r="B2481" t="str">
        <v>Visesh Infotecnics Limited</v>
      </c>
      <c r="C2481" t="s">
        <v>10</v>
      </c>
      <c r="D2481">
        <v>0.5</v>
      </c>
      <c r="E2481">
        <v>0.55000000000000004</v>
      </c>
      <c r="F2481">
        <v>0.45</v>
      </c>
      <c r="G2481" s="3">
        <v>0.5</v>
      </c>
      <c r="H2481">
        <v>0.5</v>
      </c>
      <c r="I2481">
        <v>0.5</v>
      </c>
      <c r="J2481">
        <v>19687659</v>
      </c>
      <c r="K2481">
        <v>9854680.75</v>
      </c>
      <c r="L2481" s="1">
        <v>45240</v>
      </c>
      <c r="M2481">
        <v>3259</v>
      </c>
      <c r="N2481" t="s">
        <v>5579</v>
      </c>
      <c r="O2481" s="5">
        <v>45240</v>
      </c>
      <c r="P2481" s="5">
        <v>43777</v>
      </c>
    </row>
    <row r="2482" spans="1:16" x14ac:dyDescent="0.25">
      <c r="A2482" t="s">
        <v>5580</v>
      </c>
      <c r="B2482" t="str">
        <v>Vishal Fabrics Limited</v>
      </c>
      <c r="C2482" t="s">
        <v>14</v>
      </c>
      <c r="D2482">
        <v>20.399999999999999</v>
      </c>
      <c r="E2482">
        <v>20.6</v>
      </c>
      <c r="F2482">
        <v>20.25</v>
      </c>
      <c r="G2482" s="3">
        <v>20.45</v>
      </c>
      <c r="H2482">
        <v>20.5</v>
      </c>
      <c r="I2482">
        <v>20.2</v>
      </c>
      <c r="J2482">
        <v>211250</v>
      </c>
      <c r="K2482">
        <v>4314415.55</v>
      </c>
      <c r="L2482" s="1">
        <v>45240</v>
      </c>
      <c r="M2482">
        <v>1304</v>
      </c>
      <c r="N2482" t="s">
        <v>5582</v>
      </c>
      <c r="O2482" s="5">
        <v>45240</v>
      </c>
      <c r="P2482" s="5">
        <v>43777</v>
      </c>
    </row>
    <row r="2483" spans="1:16" x14ac:dyDescent="0.25">
      <c r="A2483" t="s">
        <v>5583</v>
      </c>
      <c r="B2483" t="str">
        <v>Vishnu Chemicals Limited</v>
      </c>
      <c r="C2483" t="s">
        <v>14</v>
      </c>
      <c r="D2483">
        <v>324</v>
      </c>
      <c r="E2483">
        <v>325.8</v>
      </c>
      <c r="F2483">
        <v>311</v>
      </c>
      <c r="G2483" s="3">
        <v>313.3</v>
      </c>
      <c r="H2483">
        <v>313.5</v>
      </c>
      <c r="I2483">
        <v>322</v>
      </c>
      <c r="J2483">
        <v>221085</v>
      </c>
      <c r="K2483">
        <v>69860458.400000006</v>
      </c>
      <c r="L2483" s="1">
        <v>45240</v>
      </c>
      <c r="M2483">
        <v>7643</v>
      </c>
      <c r="N2483" t="s">
        <v>5585</v>
      </c>
      <c r="O2483" s="5">
        <v>45240</v>
      </c>
      <c r="P2483" s="5">
        <v>43777</v>
      </c>
    </row>
    <row r="2484" spans="1:16" x14ac:dyDescent="0.25">
      <c r="A2484" t="s">
        <v>5809</v>
      </c>
      <c r="B2484" t="str">
        <v>Not Found</v>
      </c>
      <c r="C2484" t="s">
        <v>5788</v>
      </c>
      <c r="D2484">
        <v>198</v>
      </c>
      <c r="E2484">
        <v>204.4</v>
      </c>
      <c r="F2484">
        <v>187.5</v>
      </c>
      <c r="G2484" s="3">
        <v>202.7</v>
      </c>
      <c r="H2484">
        <v>204.4</v>
      </c>
      <c r="I2484">
        <v>194.7</v>
      </c>
      <c r="J2484">
        <v>340000</v>
      </c>
      <c r="K2484">
        <v>67885000</v>
      </c>
      <c r="L2484" s="1">
        <v>45240</v>
      </c>
      <c r="M2484">
        <v>149</v>
      </c>
      <c r="N2484" t="s">
        <v>5808</v>
      </c>
      <c r="O2484" s="5">
        <v>45240</v>
      </c>
      <c r="P2484" s="5">
        <v>43777</v>
      </c>
    </row>
    <row r="2485" spans="1:16" x14ac:dyDescent="0.25">
      <c r="A2485" t="s">
        <v>5586</v>
      </c>
      <c r="B2485" t="str">
        <v>Vishwaraj Sugar Industries Limited</v>
      </c>
      <c r="C2485" t="s">
        <v>14</v>
      </c>
      <c r="D2485">
        <v>17.55</v>
      </c>
      <c r="E2485">
        <v>17.600000000000001</v>
      </c>
      <c r="F2485">
        <v>17.149999999999999</v>
      </c>
      <c r="G2485" s="3">
        <v>17.2</v>
      </c>
      <c r="H2485">
        <v>17.25</v>
      </c>
      <c r="I2485">
        <v>17.600000000000001</v>
      </c>
      <c r="J2485">
        <v>855978</v>
      </c>
      <c r="K2485">
        <v>14828575.449999999</v>
      </c>
      <c r="L2485" s="1">
        <v>45240</v>
      </c>
      <c r="M2485">
        <v>2537</v>
      </c>
      <c r="N2485" t="s">
        <v>5588</v>
      </c>
      <c r="O2485" s="5">
        <v>45240</v>
      </c>
      <c r="P2485" s="5">
        <v>43777</v>
      </c>
    </row>
    <row r="2486" spans="1:16" x14ac:dyDescent="0.25">
      <c r="A2486" t="s">
        <v>5807</v>
      </c>
      <c r="B2486" t="str">
        <v>Not Found</v>
      </c>
      <c r="C2486" t="s">
        <v>5788</v>
      </c>
      <c r="D2486">
        <v>88.35</v>
      </c>
      <c r="E2486">
        <v>88.45</v>
      </c>
      <c r="F2486">
        <v>86.5</v>
      </c>
      <c r="G2486" s="3">
        <v>87.75</v>
      </c>
      <c r="H2486">
        <v>87.75</v>
      </c>
      <c r="I2486">
        <v>88.4</v>
      </c>
      <c r="J2486">
        <v>54000</v>
      </c>
      <c r="K2486">
        <v>4738140</v>
      </c>
      <c r="L2486" s="1">
        <v>45240</v>
      </c>
      <c r="M2486">
        <v>25</v>
      </c>
      <c r="N2486" t="s">
        <v>5806</v>
      </c>
      <c r="O2486" s="5">
        <v>45240</v>
      </c>
      <c r="P2486" s="5">
        <v>43777</v>
      </c>
    </row>
    <row r="2487" spans="1:16" x14ac:dyDescent="0.25">
      <c r="A2487" t="s">
        <v>5805</v>
      </c>
      <c r="B2487" t="str">
        <v>Not Found</v>
      </c>
      <c r="C2487" t="s">
        <v>5788</v>
      </c>
      <c r="D2487">
        <v>157.5</v>
      </c>
      <c r="E2487">
        <v>158</v>
      </c>
      <c r="F2487">
        <v>156.15</v>
      </c>
      <c r="G2487" s="3">
        <v>156.15</v>
      </c>
      <c r="H2487">
        <v>156.15</v>
      </c>
      <c r="I2487">
        <v>164.35</v>
      </c>
      <c r="J2487">
        <v>23000</v>
      </c>
      <c r="K2487">
        <v>3595900</v>
      </c>
      <c r="L2487" s="1">
        <v>45240</v>
      </c>
      <c r="M2487">
        <v>22</v>
      </c>
      <c r="N2487" t="s">
        <v>5804</v>
      </c>
      <c r="O2487" s="5">
        <v>45240</v>
      </c>
      <c r="P2487" s="5">
        <v>43777</v>
      </c>
    </row>
    <row r="2488" spans="1:16" x14ac:dyDescent="0.25">
      <c r="A2488" t="s">
        <v>5589</v>
      </c>
      <c r="B2488" t="str">
        <v>Visagar Polytex Limited</v>
      </c>
      <c r="C2488" t="s">
        <v>14</v>
      </c>
      <c r="D2488">
        <v>0.85</v>
      </c>
      <c r="E2488">
        <v>0.9</v>
      </c>
      <c r="F2488">
        <v>0.85</v>
      </c>
      <c r="G2488" s="3">
        <v>0.85</v>
      </c>
      <c r="H2488">
        <v>0.9</v>
      </c>
      <c r="I2488">
        <v>0.9</v>
      </c>
      <c r="J2488">
        <v>330452</v>
      </c>
      <c r="K2488">
        <v>289186.05</v>
      </c>
      <c r="L2488" s="1">
        <v>45240</v>
      </c>
      <c r="M2488">
        <v>359</v>
      </c>
      <c r="N2488" t="s">
        <v>5591</v>
      </c>
      <c r="O2488" s="5">
        <v>45240</v>
      </c>
      <c r="P2488" s="5">
        <v>43777</v>
      </c>
    </row>
    <row r="2489" spans="1:16" x14ac:dyDescent="0.25">
      <c r="A2489" t="s">
        <v>5803</v>
      </c>
      <c r="B2489" t="str">
        <v>Not Found</v>
      </c>
      <c r="C2489" t="s">
        <v>5788</v>
      </c>
      <c r="D2489">
        <v>101</v>
      </c>
      <c r="E2489">
        <v>101</v>
      </c>
      <c r="F2489">
        <v>98.5</v>
      </c>
      <c r="G2489" s="3">
        <v>99.1</v>
      </c>
      <c r="H2489">
        <v>98.5</v>
      </c>
      <c r="I2489">
        <v>103.65</v>
      </c>
      <c r="J2489">
        <v>6400</v>
      </c>
      <c r="K2489">
        <v>634400</v>
      </c>
      <c r="L2489" s="1">
        <v>45240</v>
      </c>
      <c r="M2489">
        <v>3</v>
      </c>
      <c r="N2489" t="s">
        <v>5802</v>
      </c>
      <c r="O2489" s="5">
        <v>45240</v>
      </c>
      <c r="P2489" s="5">
        <v>43777</v>
      </c>
    </row>
    <row r="2490" spans="1:16" x14ac:dyDescent="0.25">
      <c r="A2490" t="s">
        <v>5592</v>
      </c>
      <c r="B2490" t="str">
        <v>VL E-Governance &amp; IT Solutions Limited</v>
      </c>
      <c r="C2490" t="s">
        <v>14</v>
      </c>
      <c r="D2490">
        <v>31.55</v>
      </c>
      <c r="E2490">
        <v>31.95</v>
      </c>
      <c r="F2490">
        <v>31.3</v>
      </c>
      <c r="G2490" s="3">
        <v>31.5</v>
      </c>
      <c r="H2490">
        <v>31.6</v>
      </c>
      <c r="I2490">
        <v>31.75</v>
      </c>
      <c r="J2490">
        <v>256091</v>
      </c>
      <c r="K2490">
        <v>8107292.1500000004</v>
      </c>
      <c r="L2490" s="1">
        <v>45240</v>
      </c>
      <c r="M2490">
        <v>1593</v>
      </c>
      <c r="N2490" t="s">
        <v>5594</v>
      </c>
      <c r="O2490" s="5">
        <v>45240</v>
      </c>
      <c r="P2490" s="5">
        <v>43777</v>
      </c>
    </row>
    <row r="2491" spans="1:16" x14ac:dyDescent="0.25">
      <c r="A2491" t="s">
        <v>5595</v>
      </c>
      <c r="B2491" t="str">
        <v>VLS Finance Limited</v>
      </c>
      <c r="C2491" t="s">
        <v>14</v>
      </c>
      <c r="D2491">
        <v>190.5</v>
      </c>
      <c r="E2491">
        <v>190.5</v>
      </c>
      <c r="F2491">
        <v>181.8</v>
      </c>
      <c r="G2491" s="3">
        <v>184.55</v>
      </c>
      <c r="H2491">
        <v>184</v>
      </c>
      <c r="I2491">
        <v>188.05</v>
      </c>
      <c r="J2491">
        <v>33986</v>
      </c>
      <c r="K2491">
        <v>6280122.4000000004</v>
      </c>
      <c r="L2491" s="1">
        <v>45240</v>
      </c>
      <c r="M2491">
        <v>966</v>
      </c>
      <c r="N2491" t="s">
        <v>5597</v>
      </c>
      <c r="O2491" s="5">
        <v>45240</v>
      </c>
      <c r="P2491" s="5">
        <v>43777</v>
      </c>
    </row>
    <row r="2492" spans="1:16" x14ac:dyDescent="0.25">
      <c r="A2492" t="s">
        <v>5801</v>
      </c>
      <c r="B2492" t="str">
        <v>Not Found</v>
      </c>
      <c r="C2492" t="s">
        <v>5788</v>
      </c>
      <c r="D2492">
        <v>131.25</v>
      </c>
      <c r="E2492">
        <v>131.25</v>
      </c>
      <c r="F2492">
        <v>131.25</v>
      </c>
      <c r="G2492" s="3">
        <v>131.25</v>
      </c>
      <c r="H2492">
        <v>131.25</v>
      </c>
      <c r="I2492">
        <v>125</v>
      </c>
      <c r="J2492">
        <v>14000</v>
      </c>
      <c r="K2492">
        <v>1837500</v>
      </c>
      <c r="L2492" s="1">
        <v>45240</v>
      </c>
      <c r="M2492">
        <v>14</v>
      </c>
      <c r="N2492" t="s">
        <v>5800</v>
      </c>
      <c r="O2492" s="5">
        <v>45240</v>
      </c>
      <c r="P2492" s="5">
        <v>43777</v>
      </c>
    </row>
    <row r="2493" spans="1:16" x14ac:dyDescent="0.25">
      <c r="A2493" t="s">
        <v>5598</v>
      </c>
      <c r="B2493" t="str">
        <v>V-Mart Retail Limited</v>
      </c>
      <c r="C2493" t="s">
        <v>14</v>
      </c>
      <c r="D2493">
        <v>1684.05</v>
      </c>
      <c r="E2493">
        <v>1691.05</v>
      </c>
      <c r="F2493">
        <v>1660</v>
      </c>
      <c r="G2493" s="3">
        <v>1682</v>
      </c>
      <c r="H2493">
        <v>1688</v>
      </c>
      <c r="I2493">
        <v>1684.05</v>
      </c>
      <c r="J2493">
        <v>14487</v>
      </c>
      <c r="K2493">
        <v>24328675.899999999</v>
      </c>
      <c r="L2493" s="1">
        <v>45240</v>
      </c>
      <c r="M2493">
        <v>2425</v>
      </c>
      <c r="N2493" t="s">
        <v>5600</v>
      </c>
      <c r="O2493" s="5">
        <v>45240</v>
      </c>
      <c r="P2493" s="5">
        <v>43777</v>
      </c>
    </row>
    <row r="2494" spans="1:16" x14ac:dyDescent="0.25">
      <c r="A2494" t="s">
        <v>5601</v>
      </c>
      <c r="B2494" t="str">
        <v>Voltamp Transformers Limited</v>
      </c>
      <c r="C2494" t="s">
        <v>14</v>
      </c>
      <c r="D2494">
        <v>5148</v>
      </c>
      <c r="E2494">
        <v>5380</v>
      </c>
      <c r="F2494">
        <v>5102.1000000000004</v>
      </c>
      <c r="G2494" s="3">
        <v>5229.5</v>
      </c>
      <c r="H2494">
        <v>5225</v>
      </c>
      <c r="I2494">
        <v>5126.1499999999996</v>
      </c>
      <c r="J2494">
        <v>38370</v>
      </c>
      <c r="K2494">
        <v>202388487.69999999</v>
      </c>
      <c r="L2494" s="1">
        <v>45240</v>
      </c>
      <c r="M2494">
        <v>9622</v>
      </c>
      <c r="N2494" t="s">
        <v>5603</v>
      </c>
      <c r="O2494" s="5">
        <v>45240</v>
      </c>
      <c r="P2494" s="5">
        <v>43777</v>
      </c>
    </row>
    <row r="2495" spans="1:16" x14ac:dyDescent="0.25">
      <c r="A2495" t="s">
        <v>5604</v>
      </c>
      <c r="B2495" t="str">
        <v>Voltas Limited</v>
      </c>
      <c r="C2495" t="s">
        <v>14</v>
      </c>
      <c r="D2495">
        <v>826.8</v>
      </c>
      <c r="E2495">
        <v>833.5</v>
      </c>
      <c r="F2495">
        <v>818.55</v>
      </c>
      <c r="G2495" s="3">
        <v>829.85</v>
      </c>
      <c r="H2495">
        <v>829.9</v>
      </c>
      <c r="I2495">
        <v>827.7</v>
      </c>
      <c r="J2495">
        <v>448677</v>
      </c>
      <c r="K2495">
        <v>371702758.19999999</v>
      </c>
      <c r="L2495" s="1">
        <v>45240</v>
      </c>
      <c r="M2495">
        <v>14916</v>
      </c>
      <c r="N2495" t="s">
        <v>5606</v>
      </c>
      <c r="O2495" s="5">
        <v>45240</v>
      </c>
      <c r="P2495" s="5">
        <v>43777</v>
      </c>
    </row>
    <row r="2496" spans="1:16" x14ac:dyDescent="0.25">
      <c r="A2496" t="s">
        <v>5607</v>
      </c>
      <c r="B2496" t="str">
        <v>Vishnu Prakash R Punglia Limited</v>
      </c>
      <c r="C2496" t="s">
        <v>14</v>
      </c>
      <c r="D2496">
        <v>194.7</v>
      </c>
      <c r="E2496">
        <v>195.75</v>
      </c>
      <c r="F2496">
        <v>189.8</v>
      </c>
      <c r="G2496" s="3">
        <v>191.1</v>
      </c>
      <c r="H2496">
        <v>191.7</v>
      </c>
      <c r="I2496">
        <v>193.65</v>
      </c>
      <c r="J2496">
        <v>1238007</v>
      </c>
      <c r="K2496">
        <v>237772216.65000001</v>
      </c>
      <c r="L2496" s="1">
        <v>45240</v>
      </c>
      <c r="M2496">
        <v>12925</v>
      </c>
      <c r="N2496" t="s">
        <v>5609</v>
      </c>
      <c r="O2496" s="5">
        <v>45240</v>
      </c>
      <c r="P2496" s="5">
        <v>43777</v>
      </c>
    </row>
    <row r="2497" spans="1:16" x14ac:dyDescent="0.25">
      <c r="A2497" t="s">
        <v>5610</v>
      </c>
      <c r="B2497" t="str">
        <v>VRL Logistics Limited</v>
      </c>
      <c r="C2497" t="s">
        <v>14</v>
      </c>
      <c r="D2497">
        <v>661.15</v>
      </c>
      <c r="E2497">
        <v>667</v>
      </c>
      <c r="F2497">
        <v>654.29999999999995</v>
      </c>
      <c r="G2497" s="3">
        <v>662.55</v>
      </c>
      <c r="H2497">
        <v>662</v>
      </c>
      <c r="I2497">
        <v>659.25</v>
      </c>
      <c r="J2497">
        <v>58851</v>
      </c>
      <c r="K2497">
        <v>38858054.549999997</v>
      </c>
      <c r="L2497" s="1">
        <v>45240</v>
      </c>
      <c r="M2497">
        <v>3629</v>
      </c>
      <c r="N2497" t="s">
        <v>5612</v>
      </c>
      <c r="O2497" s="5">
        <v>45240</v>
      </c>
      <c r="P2497" s="5">
        <v>43777</v>
      </c>
    </row>
    <row r="2498" spans="1:16" x14ac:dyDescent="0.25">
      <c r="A2498" t="s">
        <v>5799</v>
      </c>
      <c r="B2498" t="str">
        <v>Not Found</v>
      </c>
      <c r="C2498" t="s">
        <v>5788</v>
      </c>
      <c r="D2498">
        <v>41.9</v>
      </c>
      <c r="E2498">
        <v>41.9</v>
      </c>
      <c r="F2498">
        <v>39.799999999999997</v>
      </c>
      <c r="G2498" s="3">
        <v>39.799999999999997</v>
      </c>
      <c r="H2498">
        <v>39.799999999999997</v>
      </c>
      <c r="I2498">
        <v>41.9</v>
      </c>
      <c r="J2498">
        <v>6000</v>
      </c>
      <c r="K2498">
        <v>245100</v>
      </c>
      <c r="L2498" s="1">
        <v>45240</v>
      </c>
      <c r="M2498">
        <v>2</v>
      </c>
      <c r="N2498" t="s">
        <v>5798</v>
      </c>
      <c r="O2498" s="5">
        <v>45240</v>
      </c>
      <c r="P2498" s="5">
        <v>43777</v>
      </c>
    </row>
    <row r="2499" spans="1:16" x14ac:dyDescent="0.25">
      <c r="A2499" t="s">
        <v>5613</v>
      </c>
      <c r="B2499" t="str">
        <v>Vardhman Special Steels Limited</v>
      </c>
      <c r="C2499" t="s">
        <v>14</v>
      </c>
      <c r="D2499">
        <v>210</v>
      </c>
      <c r="E2499">
        <v>210.2</v>
      </c>
      <c r="F2499">
        <v>206.55</v>
      </c>
      <c r="G2499" s="3">
        <v>207.7</v>
      </c>
      <c r="H2499">
        <v>207</v>
      </c>
      <c r="I2499">
        <v>209.95</v>
      </c>
      <c r="J2499">
        <v>75245</v>
      </c>
      <c r="K2499">
        <v>15650597.25</v>
      </c>
      <c r="L2499" s="1">
        <v>45240</v>
      </c>
      <c r="M2499">
        <v>3090</v>
      </c>
      <c r="N2499" t="s">
        <v>5615</v>
      </c>
      <c r="O2499" s="5">
        <v>45240</v>
      </c>
      <c r="P2499" s="5">
        <v>43777</v>
      </c>
    </row>
    <row r="2500" spans="1:16" x14ac:dyDescent="0.25">
      <c r="A2500" t="s">
        <v>5616</v>
      </c>
      <c r="B2500" t="str">
        <v>VST Industries Limited</v>
      </c>
      <c r="C2500" t="s">
        <v>14</v>
      </c>
      <c r="D2500">
        <v>3187</v>
      </c>
      <c r="E2500">
        <v>3199.95</v>
      </c>
      <c r="F2500">
        <v>3175</v>
      </c>
      <c r="G2500" s="3">
        <v>3180.55</v>
      </c>
      <c r="H2500">
        <v>3180</v>
      </c>
      <c r="I2500">
        <v>3187.65</v>
      </c>
      <c r="J2500">
        <v>3374</v>
      </c>
      <c r="K2500">
        <v>10739988.85</v>
      </c>
      <c r="L2500" s="1">
        <v>45240</v>
      </c>
      <c r="M2500">
        <v>662</v>
      </c>
      <c r="N2500" t="s">
        <v>5618</v>
      </c>
      <c r="O2500" s="5">
        <v>45240</v>
      </c>
      <c r="P2500" s="5">
        <v>43777</v>
      </c>
    </row>
    <row r="2501" spans="1:16" x14ac:dyDescent="0.25">
      <c r="A2501" t="s">
        <v>5619</v>
      </c>
      <c r="B2501" t="str">
        <v>V.S.T Tillers Tractors Limited</v>
      </c>
      <c r="C2501" t="s">
        <v>14</v>
      </c>
      <c r="D2501">
        <v>3769.8</v>
      </c>
      <c r="E2501">
        <v>3776</v>
      </c>
      <c r="F2501">
        <v>3705</v>
      </c>
      <c r="G2501" s="3">
        <v>3757.4</v>
      </c>
      <c r="H2501">
        <v>3750</v>
      </c>
      <c r="I2501">
        <v>3751</v>
      </c>
      <c r="J2501">
        <v>8008</v>
      </c>
      <c r="K2501">
        <v>29963368.050000001</v>
      </c>
      <c r="L2501" s="1">
        <v>45240</v>
      </c>
      <c r="M2501">
        <v>2418</v>
      </c>
      <c r="N2501" t="s">
        <v>5621</v>
      </c>
      <c r="O2501" s="5">
        <v>45240</v>
      </c>
      <c r="P2501" s="5">
        <v>43777</v>
      </c>
    </row>
    <row r="2502" spans="1:16" x14ac:dyDescent="0.25">
      <c r="A2502" t="s">
        <v>5622</v>
      </c>
      <c r="B2502" t="str">
        <v>Vardhman Textiles Limited</v>
      </c>
      <c r="C2502" t="s">
        <v>14</v>
      </c>
      <c r="D2502">
        <v>371</v>
      </c>
      <c r="E2502">
        <v>373.35</v>
      </c>
      <c r="F2502">
        <v>364</v>
      </c>
      <c r="G2502" s="3">
        <v>366.65</v>
      </c>
      <c r="H2502">
        <v>364.7</v>
      </c>
      <c r="I2502">
        <v>372.1</v>
      </c>
      <c r="J2502">
        <v>166387</v>
      </c>
      <c r="K2502">
        <v>61293413.600000001</v>
      </c>
      <c r="L2502" s="1">
        <v>45240</v>
      </c>
      <c r="M2502">
        <v>8773</v>
      </c>
      <c r="N2502" t="s">
        <v>5624</v>
      </c>
      <c r="O2502" s="5">
        <v>45240</v>
      </c>
      <c r="P2502" s="5">
        <v>43777</v>
      </c>
    </row>
    <row r="2503" spans="1:16" x14ac:dyDescent="0.25">
      <c r="A2503" t="s">
        <v>5625</v>
      </c>
      <c r="B2503" t="str">
        <v>VA Tech Wabag Limited</v>
      </c>
      <c r="C2503" t="s">
        <v>14</v>
      </c>
      <c r="D2503">
        <v>558.5</v>
      </c>
      <c r="E2503">
        <v>562.20000000000005</v>
      </c>
      <c r="F2503">
        <v>540.04999999999995</v>
      </c>
      <c r="G2503" s="3">
        <v>544.65</v>
      </c>
      <c r="H2503">
        <v>542.1</v>
      </c>
      <c r="I2503">
        <v>556.5</v>
      </c>
      <c r="J2503">
        <v>873712</v>
      </c>
      <c r="K2503">
        <v>480066634.5</v>
      </c>
      <c r="L2503" s="1">
        <v>45240</v>
      </c>
      <c r="M2503">
        <v>32496</v>
      </c>
      <c r="N2503" t="s">
        <v>5627</v>
      </c>
      <c r="O2503" s="5">
        <v>45240</v>
      </c>
      <c r="P2503" s="5">
        <v>43777</v>
      </c>
    </row>
    <row r="2504" spans="1:16" x14ac:dyDescent="0.25">
      <c r="A2504" t="s">
        <v>5628</v>
      </c>
      <c r="B2504" t="str">
        <v>Walchandnagar Industries Limited</v>
      </c>
      <c r="C2504" t="s">
        <v>10</v>
      </c>
      <c r="D2504">
        <v>174.85</v>
      </c>
      <c r="E2504">
        <v>174.85</v>
      </c>
      <c r="F2504">
        <v>169.6</v>
      </c>
      <c r="G2504" s="3">
        <v>169.6</v>
      </c>
      <c r="H2504">
        <v>169.6</v>
      </c>
      <c r="I2504">
        <v>173</v>
      </c>
      <c r="J2504">
        <v>29672</v>
      </c>
      <c r="K2504">
        <v>5116235.9000000004</v>
      </c>
      <c r="L2504" s="1">
        <v>45240</v>
      </c>
      <c r="M2504">
        <v>151</v>
      </c>
      <c r="N2504" t="s">
        <v>5630</v>
      </c>
      <c r="O2504" s="5">
        <v>45240</v>
      </c>
      <c r="P2504" s="5">
        <v>43777</v>
      </c>
    </row>
    <row r="2505" spans="1:16" x14ac:dyDescent="0.25">
      <c r="A2505" t="s">
        <v>5797</v>
      </c>
      <c r="B2505" t="str">
        <v>Not Found</v>
      </c>
      <c r="C2505" t="s">
        <v>5788</v>
      </c>
      <c r="D2505">
        <v>84.5</v>
      </c>
      <c r="E2505">
        <v>84.5</v>
      </c>
      <c r="F2505">
        <v>84.5</v>
      </c>
      <c r="G2505" s="3">
        <v>84.5</v>
      </c>
      <c r="H2505">
        <v>84.5</v>
      </c>
      <c r="I2505">
        <v>80.5</v>
      </c>
      <c r="J2505">
        <v>2000</v>
      </c>
      <c r="K2505">
        <v>169000</v>
      </c>
      <c r="L2505" s="1">
        <v>45240</v>
      </c>
      <c r="M2505">
        <v>1</v>
      </c>
      <c r="N2505" t="s">
        <v>5796</v>
      </c>
      <c r="O2505" s="5">
        <v>45240</v>
      </c>
      <c r="P2505" s="5">
        <v>43777</v>
      </c>
    </row>
    <row r="2506" spans="1:16" x14ac:dyDescent="0.25">
      <c r="A2506" t="s">
        <v>5631</v>
      </c>
      <c r="B2506" t="str">
        <v>Wanbury Limited</v>
      </c>
      <c r="C2506" t="s">
        <v>10</v>
      </c>
      <c r="D2506">
        <v>88</v>
      </c>
      <c r="E2506">
        <v>88</v>
      </c>
      <c r="F2506">
        <v>87.9</v>
      </c>
      <c r="G2506" s="3">
        <v>87.9</v>
      </c>
      <c r="H2506">
        <v>87.9</v>
      </c>
      <c r="I2506">
        <v>88.2</v>
      </c>
      <c r="J2506">
        <v>11960</v>
      </c>
      <c r="K2506">
        <v>1052156</v>
      </c>
      <c r="L2506" s="1">
        <v>45240</v>
      </c>
      <c r="M2506">
        <v>50</v>
      </c>
      <c r="N2506" t="s">
        <v>5633</v>
      </c>
      <c r="O2506" s="5">
        <v>45240</v>
      </c>
      <c r="P2506" s="5">
        <v>43777</v>
      </c>
    </row>
    <row r="2507" spans="1:16" x14ac:dyDescent="0.25">
      <c r="A2507" t="s">
        <v>5634</v>
      </c>
      <c r="B2507" t="str">
        <v>Wealth First Portfolio Managers Limited</v>
      </c>
      <c r="C2507" t="s">
        <v>10</v>
      </c>
      <c r="D2507">
        <v>381.1</v>
      </c>
      <c r="E2507">
        <v>401</v>
      </c>
      <c r="F2507">
        <v>381.1</v>
      </c>
      <c r="G2507" s="3">
        <v>399.95</v>
      </c>
      <c r="H2507">
        <v>399.95</v>
      </c>
      <c r="I2507">
        <v>391.7</v>
      </c>
      <c r="J2507">
        <v>1017</v>
      </c>
      <c r="K2507">
        <v>400536.45</v>
      </c>
      <c r="L2507" s="1">
        <v>45240</v>
      </c>
      <c r="M2507">
        <v>43</v>
      </c>
      <c r="N2507" t="s">
        <v>5636</v>
      </c>
      <c r="O2507" s="5">
        <v>45240</v>
      </c>
      <c r="P2507" s="5">
        <v>43777</v>
      </c>
    </row>
    <row r="2508" spans="1:16" x14ac:dyDescent="0.25">
      <c r="A2508" t="s">
        <v>5637</v>
      </c>
      <c r="B2508" t="str">
        <v>Websol Energy System Limited</v>
      </c>
      <c r="C2508" t="s">
        <v>14</v>
      </c>
      <c r="D2508">
        <v>195</v>
      </c>
      <c r="E2508">
        <v>203.65</v>
      </c>
      <c r="F2508">
        <v>191.15</v>
      </c>
      <c r="G2508" s="3">
        <v>198.3</v>
      </c>
      <c r="H2508">
        <v>198</v>
      </c>
      <c r="I2508">
        <v>194.95</v>
      </c>
      <c r="J2508">
        <v>452151</v>
      </c>
      <c r="K2508">
        <v>90368651.150000006</v>
      </c>
      <c r="L2508" s="1">
        <v>45240</v>
      </c>
      <c r="M2508">
        <v>5100</v>
      </c>
      <c r="N2508" t="s">
        <v>5639</v>
      </c>
      <c r="O2508" s="5">
        <v>45240</v>
      </c>
      <c r="P2508" s="5">
        <v>43777</v>
      </c>
    </row>
    <row r="2509" spans="1:16" x14ac:dyDescent="0.25">
      <c r="A2509" t="s">
        <v>5640</v>
      </c>
      <c r="B2509" t="str">
        <v>Weizmann Limited</v>
      </c>
      <c r="C2509" t="s">
        <v>14</v>
      </c>
      <c r="D2509">
        <v>135.6</v>
      </c>
      <c r="E2509">
        <v>154.80000000000001</v>
      </c>
      <c r="F2509">
        <v>135</v>
      </c>
      <c r="G2509" s="3">
        <v>146</v>
      </c>
      <c r="H2509">
        <v>145.35</v>
      </c>
      <c r="I2509">
        <v>135.6</v>
      </c>
      <c r="J2509">
        <v>186243</v>
      </c>
      <c r="K2509">
        <v>27521101.649999999</v>
      </c>
      <c r="L2509" s="1">
        <v>45240</v>
      </c>
      <c r="M2509">
        <v>3254</v>
      </c>
      <c r="N2509" t="s">
        <v>5642</v>
      </c>
      <c r="O2509" s="5">
        <v>45240</v>
      </c>
      <c r="P2509" s="5">
        <v>43777</v>
      </c>
    </row>
    <row r="2510" spans="1:16" x14ac:dyDescent="0.25">
      <c r="A2510" t="s">
        <v>5643</v>
      </c>
      <c r="B2510" t="str">
        <v>Wonder Electricals Limited</v>
      </c>
      <c r="C2510" t="s">
        <v>10</v>
      </c>
      <c r="D2510">
        <v>286.2</v>
      </c>
      <c r="E2510">
        <v>292</v>
      </c>
      <c r="F2510">
        <v>286.2</v>
      </c>
      <c r="G2510" s="3">
        <v>292</v>
      </c>
      <c r="H2510">
        <v>292</v>
      </c>
      <c r="I2510">
        <v>292</v>
      </c>
      <c r="J2510">
        <v>5</v>
      </c>
      <c r="K2510">
        <v>1454.2</v>
      </c>
      <c r="L2510" s="1">
        <v>45240</v>
      </c>
      <c r="M2510">
        <v>2</v>
      </c>
      <c r="N2510" t="s">
        <v>5645</v>
      </c>
      <c r="O2510" s="5">
        <v>45240</v>
      </c>
      <c r="P2510" s="5">
        <v>43777</v>
      </c>
    </row>
    <row r="2511" spans="1:16" x14ac:dyDescent="0.25">
      <c r="A2511" t="s">
        <v>5646</v>
      </c>
      <c r="B2511" t="str">
        <v>Welspun Corp Limited</v>
      </c>
      <c r="C2511" t="s">
        <v>14</v>
      </c>
      <c r="D2511">
        <v>481.7</v>
      </c>
      <c r="E2511">
        <v>489.7</v>
      </c>
      <c r="F2511">
        <v>478.3</v>
      </c>
      <c r="G2511" s="3">
        <v>487.85</v>
      </c>
      <c r="H2511">
        <v>488</v>
      </c>
      <c r="I2511">
        <v>479.8</v>
      </c>
      <c r="J2511">
        <v>2009269</v>
      </c>
      <c r="K2511">
        <v>973361406.14999998</v>
      </c>
      <c r="L2511" s="1">
        <v>45240</v>
      </c>
      <c r="M2511">
        <v>23374</v>
      </c>
      <c r="N2511" t="s">
        <v>5648</v>
      </c>
      <c r="O2511" s="5">
        <v>45240</v>
      </c>
      <c r="P2511" s="5">
        <v>43777</v>
      </c>
    </row>
    <row r="2512" spans="1:16" x14ac:dyDescent="0.25">
      <c r="A2512" t="s">
        <v>5649</v>
      </c>
      <c r="B2512" t="str">
        <v>Welspun Enterprises Limited</v>
      </c>
      <c r="C2512" t="s">
        <v>14</v>
      </c>
      <c r="D2512">
        <v>290.5</v>
      </c>
      <c r="E2512">
        <v>310</v>
      </c>
      <c r="F2512">
        <v>280</v>
      </c>
      <c r="G2512" s="3">
        <v>308.7</v>
      </c>
      <c r="H2512">
        <v>310</v>
      </c>
      <c r="I2512">
        <v>287.95</v>
      </c>
      <c r="J2512">
        <v>972385</v>
      </c>
      <c r="K2512">
        <v>293419359.80000001</v>
      </c>
      <c r="L2512" s="1">
        <v>45240</v>
      </c>
      <c r="M2512">
        <v>22884</v>
      </c>
      <c r="N2512" t="s">
        <v>5651</v>
      </c>
      <c r="O2512" s="5">
        <v>45240</v>
      </c>
      <c r="P2512" s="5">
        <v>43777</v>
      </c>
    </row>
    <row r="2513" spans="1:16" x14ac:dyDescent="0.25">
      <c r="A2513" t="s">
        <v>5652</v>
      </c>
      <c r="B2513" t="str">
        <v>Welspun Investments and Commercials Limited</v>
      </c>
      <c r="C2513" t="s">
        <v>10</v>
      </c>
      <c r="D2513">
        <v>685</v>
      </c>
      <c r="E2513">
        <v>685</v>
      </c>
      <c r="F2513">
        <v>650</v>
      </c>
      <c r="G2513" s="3">
        <v>654</v>
      </c>
      <c r="H2513">
        <v>654</v>
      </c>
      <c r="I2513">
        <v>660.35</v>
      </c>
      <c r="J2513">
        <v>264</v>
      </c>
      <c r="K2513">
        <v>178484.7</v>
      </c>
      <c r="L2513" s="1">
        <v>45240</v>
      </c>
      <c r="M2513">
        <v>27</v>
      </c>
      <c r="N2513" t="s">
        <v>5654</v>
      </c>
      <c r="O2513" s="5">
        <v>45240</v>
      </c>
      <c r="P2513" s="5">
        <v>43777</v>
      </c>
    </row>
    <row r="2514" spans="1:16" x14ac:dyDescent="0.25">
      <c r="A2514" t="s">
        <v>5655</v>
      </c>
      <c r="B2514" t="str">
        <v>Welspun India Limited</v>
      </c>
      <c r="C2514" t="s">
        <v>14</v>
      </c>
      <c r="D2514">
        <v>150</v>
      </c>
      <c r="E2514">
        <v>151.65</v>
      </c>
      <c r="F2514">
        <v>148.44999999999999</v>
      </c>
      <c r="G2514" s="3">
        <v>148.85</v>
      </c>
      <c r="H2514">
        <v>148.65</v>
      </c>
      <c r="I2514">
        <v>149.6</v>
      </c>
      <c r="J2514">
        <v>3247136</v>
      </c>
      <c r="K2514">
        <v>486079788.39999998</v>
      </c>
      <c r="L2514" s="1">
        <v>45240</v>
      </c>
      <c r="M2514">
        <v>20633</v>
      </c>
      <c r="N2514" t="s">
        <v>5657</v>
      </c>
      <c r="O2514" s="5">
        <v>45240</v>
      </c>
      <c r="P2514" s="5">
        <v>43777</v>
      </c>
    </row>
    <row r="2515" spans="1:16" x14ac:dyDescent="0.25">
      <c r="A2515" t="s">
        <v>5658</v>
      </c>
      <c r="B2515" t="str">
        <v>Wendt (India) Limited</v>
      </c>
      <c r="C2515" t="s">
        <v>14</v>
      </c>
      <c r="D2515">
        <v>12491.45</v>
      </c>
      <c r="E2515">
        <v>12491.45</v>
      </c>
      <c r="F2515">
        <v>12270.9</v>
      </c>
      <c r="G2515" s="3">
        <v>12343.25</v>
      </c>
      <c r="H2515">
        <v>12400</v>
      </c>
      <c r="I2515">
        <v>12352.3</v>
      </c>
      <c r="J2515">
        <v>170</v>
      </c>
      <c r="K2515">
        <v>2102836.1</v>
      </c>
      <c r="L2515" s="1">
        <v>45240</v>
      </c>
      <c r="M2515">
        <v>127</v>
      </c>
      <c r="N2515" t="s">
        <v>5660</v>
      </c>
      <c r="O2515" s="5">
        <v>45240</v>
      </c>
      <c r="P2515" s="5">
        <v>43777</v>
      </c>
    </row>
    <row r="2516" spans="1:16" x14ac:dyDescent="0.25">
      <c r="A2516" t="s">
        <v>5661</v>
      </c>
      <c r="B2516" t="str">
        <v>WESTLIFE FOODWORLD LIMITED</v>
      </c>
      <c r="C2516" t="s">
        <v>14</v>
      </c>
      <c r="D2516">
        <v>810</v>
      </c>
      <c r="E2516">
        <v>825.5</v>
      </c>
      <c r="F2516">
        <v>802.6</v>
      </c>
      <c r="G2516" s="3">
        <v>818.4</v>
      </c>
      <c r="H2516">
        <v>818</v>
      </c>
      <c r="I2516">
        <v>810.85</v>
      </c>
      <c r="J2516">
        <v>101051</v>
      </c>
      <c r="K2516">
        <v>82184791.5</v>
      </c>
      <c r="L2516" s="1">
        <v>45240</v>
      </c>
      <c r="M2516">
        <v>10500</v>
      </c>
      <c r="N2516" t="s">
        <v>5663</v>
      </c>
      <c r="O2516" s="5">
        <v>45240</v>
      </c>
      <c r="P2516" s="5">
        <v>43777</v>
      </c>
    </row>
    <row r="2517" spans="1:16" x14ac:dyDescent="0.25">
      <c r="A2517" t="s">
        <v>5664</v>
      </c>
      <c r="B2517" t="str">
        <v>WE WIN LIMITED</v>
      </c>
      <c r="C2517" t="s">
        <v>10</v>
      </c>
      <c r="D2517">
        <v>78</v>
      </c>
      <c r="E2517">
        <v>78</v>
      </c>
      <c r="F2517">
        <v>78</v>
      </c>
      <c r="G2517" s="3">
        <v>78</v>
      </c>
      <c r="H2517">
        <v>78</v>
      </c>
      <c r="I2517">
        <v>79.599999999999994</v>
      </c>
      <c r="J2517">
        <v>37</v>
      </c>
      <c r="K2517">
        <v>2886</v>
      </c>
      <c r="L2517" s="1">
        <v>45240</v>
      </c>
      <c r="M2517">
        <v>4</v>
      </c>
      <c r="N2517" t="s">
        <v>5666</v>
      </c>
      <c r="O2517" s="5">
        <v>45240</v>
      </c>
      <c r="P2517" s="5">
        <v>43777</v>
      </c>
    </row>
    <row r="2518" spans="1:16" x14ac:dyDescent="0.25">
      <c r="A2518" t="s">
        <v>5667</v>
      </c>
      <c r="B2518" t="str">
        <v>Wheels India Limited</v>
      </c>
      <c r="C2518" t="s">
        <v>14</v>
      </c>
      <c r="D2518">
        <v>672</v>
      </c>
      <c r="E2518">
        <v>674.8</v>
      </c>
      <c r="F2518">
        <v>662.8</v>
      </c>
      <c r="G2518" s="3">
        <v>665.3</v>
      </c>
      <c r="H2518">
        <v>667</v>
      </c>
      <c r="I2518">
        <v>669.45</v>
      </c>
      <c r="J2518">
        <v>10876</v>
      </c>
      <c r="K2518">
        <v>7263357.1500000004</v>
      </c>
      <c r="L2518" s="1">
        <v>45240</v>
      </c>
      <c r="M2518">
        <v>1035</v>
      </c>
      <c r="N2518" t="s">
        <v>5669</v>
      </c>
      <c r="O2518" s="5">
        <v>45240</v>
      </c>
      <c r="P2518" s="5">
        <v>43777</v>
      </c>
    </row>
    <row r="2519" spans="1:16" x14ac:dyDescent="0.25">
      <c r="A2519" t="s">
        <v>5670</v>
      </c>
      <c r="B2519" t="str">
        <v>Whirlpool of India Limited</v>
      </c>
      <c r="C2519" t="s">
        <v>14</v>
      </c>
      <c r="D2519">
        <v>1592.85</v>
      </c>
      <c r="E2519">
        <v>1601.65</v>
      </c>
      <c r="F2519">
        <v>1573.65</v>
      </c>
      <c r="G2519" s="3">
        <v>1582.6</v>
      </c>
      <c r="H2519">
        <v>1581.55</v>
      </c>
      <c r="I2519">
        <v>1589.6</v>
      </c>
      <c r="J2519">
        <v>76027</v>
      </c>
      <c r="K2519">
        <v>120340531.84999999</v>
      </c>
      <c r="L2519" s="1">
        <v>45240</v>
      </c>
      <c r="M2519">
        <v>4638</v>
      </c>
      <c r="N2519" t="s">
        <v>5672</v>
      </c>
      <c r="O2519" s="5">
        <v>45240</v>
      </c>
      <c r="P2519" s="5">
        <v>43777</v>
      </c>
    </row>
    <row r="2520" spans="1:16" x14ac:dyDescent="0.25">
      <c r="A2520" t="s">
        <v>5673</v>
      </c>
      <c r="B2520" t="str">
        <v>Williamson Magor &amp; Company Limited</v>
      </c>
      <c r="C2520" t="s">
        <v>14</v>
      </c>
      <c r="D2520">
        <v>32.5</v>
      </c>
      <c r="E2520">
        <v>32.5</v>
      </c>
      <c r="F2520">
        <v>29.3</v>
      </c>
      <c r="G2520" s="3">
        <v>29.95</v>
      </c>
      <c r="H2520">
        <v>29.3</v>
      </c>
      <c r="I2520">
        <v>30.9</v>
      </c>
      <c r="J2520">
        <v>49825</v>
      </c>
      <c r="K2520">
        <v>1541806.6</v>
      </c>
      <c r="L2520" s="1">
        <v>45240</v>
      </c>
      <c r="M2520">
        <v>496</v>
      </c>
      <c r="N2520" t="s">
        <v>5675</v>
      </c>
      <c r="O2520" s="5">
        <v>45240</v>
      </c>
      <c r="P2520" s="5">
        <v>43777</v>
      </c>
    </row>
    <row r="2521" spans="1:16" x14ac:dyDescent="0.25">
      <c r="A2521" t="s">
        <v>5676</v>
      </c>
      <c r="B2521" t="str">
        <v>Windlas Biotech Limited</v>
      </c>
      <c r="C2521" t="s">
        <v>14</v>
      </c>
      <c r="D2521">
        <v>381</v>
      </c>
      <c r="E2521">
        <v>419.05</v>
      </c>
      <c r="F2521">
        <v>378.65</v>
      </c>
      <c r="G2521" s="3">
        <v>411.15</v>
      </c>
      <c r="H2521">
        <v>410.05</v>
      </c>
      <c r="I2521">
        <v>379.25</v>
      </c>
      <c r="J2521">
        <v>548345</v>
      </c>
      <c r="K2521">
        <v>223239000.5</v>
      </c>
      <c r="L2521" s="1">
        <v>45240</v>
      </c>
      <c r="M2521">
        <v>22340</v>
      </c>
      <c r="N2521" t="s">
        <v>5678</v>
      </c>
      <c r="O2521" s="5">
        <v>45240</v>
      </c>
      <c r="P2521" s="5">
        <v>43777</v>
      </c>
    </row>
    <row r="2522" spans="1:16" x14ac:dyDescent="0.25">
      <c r="A2522" t="s">
        <v>5679</v>
      </c>
      <c r="B2522" t="str">
        <v>Windsor Machines Limited</v>
      </c>
      <c r="C2522" t="s">
        <v>10</v>
      </c>
      <c r="D2522">
        <v>68</v>
      </c>
      <c r="E2522">
        <v>70.849999999999994</v>
      </c>
      <c r="F2522">
        <v>68</v>
      </c>
      <c r="G2522" s="3">
        <v>70.849999999999994</v>
      </c>
      <c r="H2522">
        <v>70.849999999999994</v>
      </c>
      <c r="I2522">
        <v>67.5</v>
      </c>
      <c r="J2522">
        <v>28272</v>
      </c>
      <c r="K2522">
        <v>1971778.65</v>
      </c>
      <c r="L2522" s="1">
        <v>45240</v>
      </c>
      <c r="M2522">
        <v>141</v>
      </c>
      <c r="N2522" t="s">
        <v>5681</v>
      </c>
      <c r="O2522" s="5">
        <v>45240</v>
      </c>
      <c r="P2522" s="5">
        <v>43777</v>
      </c>
    </row>
    <row r="2523" spans="1:16" x14ac:dyDescent="0.25">
      <c r="A2523" t="s">
        <v>5682</v>
      </c>
      <c r="B2523" t="str">
        <v>Winsome Yarns Limited</v>
      </c>
      <c r="C2523" t="s">
        <v>14</v>
      </c>
      <c r="D2523">
        <v>4.75</v>
      </c>
      <c r="E2523">
        <v>4.75</v>
      </c>
      <c r="F2523">
        <v>4.75</v>
      </c>
      <c r="G2523" s="3">
        <v>4.75</v>
      </c>
      <c r="H2523">
        <v>4.75</v>
      </c>
      <c r="I2523">
        <v>4.8499999999999996</v>
      </c>
      <c r="J2523">
        <v>9262</v>
      </c>
      <c r="K2523">
        <v>43994.5</v>
      </c>
      <c r="L2523" s="1">
        <v>45240</v>
      </c>
      <c r="M2523">
        <v>60</v>
      </c>
      <c r="N2523" t="s">
        <v>5684</v>
      </c>
      <c r="O2523" s="5">
        <v>45240</v>
      </c>
      <c r="P2523" s="5">
        <v>43777</v>
      </c>
    </row>
    <row r="2524" spans="1:16" x14ac:dyDescent="0.25">
      <c r="A2524" t="s">
        <v>5685</v>
      </c>
      <c r="B2524" t="str">
        <v>The Western India Plywoods Limited</v>
      </c>
      <c r="C2524" t="s">
        <v>10</v>
      </c>
      <c r="D2524">
        <v>144.94999999999999</v>
      </c>
      <c r="E2524">
        <v>152.25</v>
      </c>
      <c r="F2524">
        <v>144.94999999999999</v>
      </c>
      <c r="G2524" s="3">
        <v>152.05000000000001</v>
      </c>
      <c r="H2524">
        <v>152.25</v>
      </c>
      <c r="I2524">
        <v>145</v>
      </c>
      <c r="J2524">
        <v>4047</v>
      </c>
      <c r="K2524">
        <v>610000.6</v>
      </c>
      <c r="L2524" s="1">
        <v>45240</v>
      </c>
      <c r="M2524">
        <v>69</v>
      </c>
      <c r="N2524" t="s">
        <v>5687</v>
      </c>
      <c r="O2524" s="5">
        <v>45240</v>
      </c>
      <c r="P2524" s="5">
        <v>43777</v>
      </c>
    </row>
    <row r="2525" spans="1:16" x14ac:dyDescent="0.25">
      <c r="A2525" t="s">
        <v>5688</v>
      </c>
      <c r="B2525" t="str">
        <v>Wipro Limited</v>
      </c>
      <c r="C2525" t="s">
        <v>14</v>
      </c>
      <c r="D2525">
        <v>380.3</v>
      </c>
      <c r="E2525">
        <v>381.8</v>
      </c>
      <c r="F2525">
        <v>377</v>
      </c>
      <c r="G2525" s="3">
        <v>379.3</v>
      </c>
      <c r="H2525">
        <v>379.75</v>
      </c>
      <c r="I2525">
        <v>380.85</v>
      </c>
      <c r="J2525">
        <v>5355350</v>
      </c>
      <c r="K2525">
        <v>2027215362.3</v>
      </c>
      <c r="L2525" s="1">
        <v>45240</v>
      </c>
      <c r="M2525">
        <v>95452</v>
      </c>
      <c r="N2525" t="s">
        <v>5690</v>
      </c>
      <c r="O2525" s="5">
        <v>45240</v>
      </c>
      <c r="P2525" s="5">
        <v>43777</v>
      </c>
    </row>
    <row r="2526" spans="1:16" x14ac:dyDescent="0.25">
      <c r="A2526" t="s">
        <v>5691</v>
      </c>
      <c r="B2526" t="str">
        <v>Wockhardt Limited</v>
      </c>
      <c r="C2526" t="s">
        <v>14</v>
      </c>
      <c r="D2526">
        <v>239.3</v>
      </c>
      <c r="E2526">
        <v>257</v>
      </c>
      <c r="F2526">
        <v>237.1</v>
      </c>
      <c r="G2526" s="3">
        <v>250.5</v>
      </c>
      <c r="H2526">
        <v>252</v>
      </c>
      <c r="I2526">
        <v>239.75</v>
      </c>
      <c r="J2526">
        <v>6026110</v>
      </c>
      <c r="K2526">
        <v>1515036858.75</v>
      </c>
      <c r="L2526" s="1">
        <v>45240</v>
      </c>
      <c r="M2526">
        <v>55136</v>
      </c>
      <c r="N2526" t="s">
        <v>5693</v>
      </c>
      <c r="O2526" s="5">
        <v>45240</v>
      </c>
      <c r="P2526" s="5">
        <v>43777</v>
      </c>
    </row>
    <row r="2527" spans="1:16" x14ac:dyDescent="0.25">
      <c r="A2527" t="s">
        <v>5795</v>
      </c>
      <c r="B2527" t="str">
        <v>Not Found</v>
      </c>
      <c r="C2527" t="s">
        <v>5788</v>
      </c>
      <c r="D2527">
        <v>128</v>
      </c>
      <c r="E2527">
        <v>128</v>
      </c>
      <c r="F2527">
        <v>103</v>
      </c>
      <c r="G2527" s="3">
        <v>106.15</v>
      </c>
      <c r="H2527">
        <v>108</v>
      </c>
      <c r="I2527">
        <v>127.65</v>
      </c>
      <c r="J2527">
        <v>206400</v>
      </c>
      <c r="K2527">
        <v>23284640</v>
      </c>
      <c r="L2527" s="1">
        <v>45240</v>
      </c>
      <c r="M2527">
        <v>108</v>
      </c>
      <c r="N2527" t="s">
        <v>5794</v>
      </c>
      <c r="O2527" s="5">
        <v>45240</v>
      </c>
      <c r="P2527" s="5">
        <v>43777</v>
      </c>
    </row>
    <row r="2528" spans="1:16" x14ac:dyDescent="0.25">
      <c r="A2528" t="s">
        <v>5694</v>
      </c>
      <c r="B2528" t="str">
        <v>Wonderla Holidays Limited</v>
      </c>
      <c r="C2528" t="s">
        <v>14</v>
      </c>
      <c r="D2528">
        <v>883.7</v>
      </c>
      <c r="E2528">
        <v>925</v>
      </c>
      <c r="F2528">
        <v>882.65</v>
      </c>
      <c r="G2528" s="3">
        <v>900.65</v>
      </c>
      <c r="H2528">
        <v>900</v>
      </c>
      <c r="I2528">
        <v>892.6</v>
      </c>
      <c r="J2528">
        <v>148410</v>
      </c>
      <c r="K2528">
        <v>135201126.25</v>
      </c>
      <c r="L2528" s="1">
        <v>45240</v>
      </c>
      <c r="M2528">
        <v>12172</v>
      </c>
      <c r="N2528" t="s">
        <v>5696</v>
      </c>
      <c r="O2528" s="5">
        <v>45240</v>
      </c>
      <c r="P2528" s="5">
        <v>43777</v>
      </c>
    </row>
    <row r="2529" spans="1:16" x14ac:dyDescent="0.25">
      <c r="A2529" t="s">
        <v>5697</v>
      </c>
      <c r="B2529" t="str">
        <v>Worth Peripherals Limited</v>
      </c>
      <c r="C2529" t="s">
        <v>14</v>
      </c>
      <c r="D2529">
        <v>109.85</v>
      </c>
      <c r="E2529">
        <v>109.85</v>
      </c>
      <c r="F2529">
        <v>105.55</v>
      </c>
      <c r="G2529" s="3">
        <v>106.1</v>
      </c>
      <c r="H2529">
        <v>105.7</v>
      </c>
      <c r="I2529">
        <v>108.8</v>
      </c>
      <c r="J2529">
        <v>18721</v>
      </c>
      <c r="K2529">
        <v>2008089.95</v>
      </c>
      <c r="L2529" s="1">
        <v>45240</v>
      </c>
      <c r="M2529">
        <v>251</v>
      </c>
      <c r="N2529" t="s">
        <v>5699</v>
      </c>
      <c r="O2529" s="5">
        <v>45240</v>
      </c>
      <c r="P2529" s="5">
        <v>43777</v>
      </c>
    </row>
    <row r="2530" spans="1:16" x14ac:dyDescent="0.25">
      <c r="A2530" t="s">
        <v>5700</v>
      </c>
      <c r="B2530" t="str">
        <v>W S Industries (I) Limited</v>
      </c>
      <c r="C2530" t="s">
        <v>10</v>
      </c>
      <c r="D2530">
        <v>108.6</v>
      </c>
      <c r="E2530">
        <v>108.6</v>
      </c>
      <c r="F2530">
        <v>108.6</v>
      </c>
      <c r="G2530" s="3">
        <v>108.6</v>
      </c>
      <c r="H2530">
        <v>108.6</v>
      </c>
      <c r="I2530">
        <v>103.45</v>
      </c>
      <c r="J2530">
        <v>65180</v>
      </c>
      <c r="K2530">
        <v>7078548</v>
      </c>
      <c r="L2530" s="1">
        <v>45240</v>
      </c>
      <c r="M2530">
        <v>51</v>
      </c>
      <c r="N2530" t="s">
        <v>5702</v>
      </c>
      <c r="O2530" s="5">
        <v>45240</v>
      </c>
      <c r="P2530" s="5">
        <v>43777</v>
      </c>
    </row>
    <row r="2531" spans="1:16" x14ac:dyDescent="0.25">
      <c r="A2531" t="s">
        <v>5703</v>
      </c>
      <c r="B2531" t="str">
        <v>West Coast Paper Mills Limited</v>
      </c>
      <c r="C2531" t="s">
        <v>14</v>
      </c>
      <c r="D2531">
        <v>692.7</v>
      </c>
      <c r="E2531">
        <v>724.9</v>
      </c>
      <c r="F2531">
        <v>679.7</v>
      </c>
      <c r="G2531" s="3">
        <v>705.05</v>
      </c>
      <c r="H2531">
        <v>703.95</v>
      </c>
      <c r="I2531">
        <v>703.2</v>
      </c>
      <c r="J2531">
        <v>252013</v>
      </c>
      <c r="K2531">
        <v>177437754.5</v>
      </c>
      <c r="L2531" s="1">
        <v>45240</v>
      </c>
      <c r="M2531">
        <v>13796</v>
      </c>
      <c r="N2531" t="s">
        <v>5705</v>
      </c>
      <c r="O2531" s="5">
        <v>45240</v>
      </c>
      <c r="P2531" s="5">
        <v>43777</v>
      </c>
    </row>
    <row r="2532" spans="1:16" x14ac:dyDescent="0.25">
      <c r="A2532" t="s">
        <v>5706</v>
      </c>
      <c r="B2532" t="str">
        <v>Xchanging Solutions Limited</v>
      </c>
      <c r="C2532" t="s">
        <v>14</v>
      </c>
      <c r="D2532">
        <v>97.2</v>
      </c>
      <c r="E2532">
        <v>98.35</v>
      </c>
      <c r="F2532">
        <v>96.6</v>
      </c>
      <c r="G2532" s="3">
        <v>97.8</v>
      </c>
      <c r="H2532">
        <v>98.2</v>
      </c>
      <c r="I2532">
        <v>97.5</v>
      </c>
      <c r="J2532">
        <v>284437</v>
      </c>
      <c r="K2532">
        <v>27687294.899999999</v>
      </c>
      <c r="L2532" s="1">
        <v>45240</v>
      </c>
      <c r="M2532">
        <v>3267</v>
      </c>
      <c r="N2532" t="s">
        <v>5708</v>
      </c>
      <c r="O2532" s="5">
        <v>45240</v>
      </c>
      <c r="P2532" s="5">
        <v>43777</v>
      </c>
    </row>
    <row r="2533" spans="1:16" x14ac:dyDescent="0.25">
      <c r="A2533" t="s">
        <v>5709</v>
      </c>
      <c r="B2533" t="str">
        <v>Xelpmoc Design And Tech Limited</v>
      </c>
      <c r="C2533" t="s">
        <v>14</v>
      </c>
      <c r="D2533">
        <v>85</v>
      </c>
      <c r="E2533">
        <v>86.8</v>
      </c>
      <c r="F2533">
        <v>80.099999999999994</v>
      </c>
      <c r="G2533" s="3">
        <v>86.25</v>
      </c>
      <c r="H2533">
        <v>84</v>
      </c>
      <c r="I2533">
        <v>88.4</v>
      </c>
      <c r="J2533">
        <v>79878</v>
      </c>
      <c r="K2533">
        <v>6748857.0499999998</v>
      </c>
      <c r="L2533" s="1">
        <v>45240</v>
      </c>
      <c r="M2533">
        <v>1283</v>
      </c>
      <c r="N2533" t="s">
        <v>5711</v>
      </c>
      <c r="O2533" s="5">
        <v>45240</v>
      </c>
      <c r="P2533" s="5">
        <v>43777</v>
      </c>
    </row>
    <row r="2534" spans="1:16" x14ac:dyDescent="0.25">
      <c r="A2534" t="s">
        <v>5712</v>
      </c>
      <c r="B2534" t="str">
        <v>Xpro India Limited</v>
      </c>
      <c r="C2534" t="s">
        <v>14</v>
      </c>
      <c r="D2534">
        <v>895</v>
      </c>
      <c r="E2534">
        <v>899.9</v>
      </c>
      <c r="F2534">
        <v>874.2</v>
      </c>
      <c r="G2534" s="3">
        <v>881.85</v>
      </c>
      <c r="H2534">
        <v>874.2</v>
      </c>
      <c r="I2534">
        <v>895</v>
      </c>
      <c r="J2534">
        <v>74435</v>
      </c>
      <c r="K2534">
        <v>65792805.899999999</v>
      </c>
      <c r="L2534" s="1">
        <v>45240</v>
      </c>
      <c r="M2534">
        <v>8867</v>
      </c>
      <c r="N2534" t="s">
        <v>5714</v>
      </c>
      <c r="O2534" s="5">
        <v>45240</v>
      </c>
      <c r="P2534" s="5">
        <v>43777</v>
      </c>
    </row>
    <row r="2535" spans="1:16" x14ac:dyDescent="0.25">
      <c r="A2535" t="s">
        <v>5715</v>
      </c>
      <c r="B2535" t="str">
        <v>Yaari Digital Integrated Services Limited</v>
      </c>
      <c r="C2535" t="s">
        <v>10</v>
      </c>
      <c r="D2535">
        <v>9.9499999999999993</v>
      </c>
      <c r="E2535">
        <v>10.25</v>
      </c>
      <c r="F2535">
        <v>9.8000000000000007</v>
      </c>
      <c r="G2535" s="3">
        <v>9.9</v>
      </c>
      <c r="H2535">
        <v>9.9499999999999993</v>
      </c>
      <c r="I2535">
        <v>9.9</v>
      </c>
      <c r="J2535">
        <v>64988</v>
      </c>
      <c r="K2535">
        <v>646270.94999999995</v>
      </c>
      <c r="L2535" s="1">
        <v>45240</v>
      </c>
      <c r="M2535">
        <v>385</v>
      </c>
      <c r="N2535" t="s">
        <v>5717</v>
      </c>
      <c r="O2535" s="5">
        <v>45240</v>
      </c>
      <c r="P2535" s="5">
        <v>43777</v>
      </c>
    </row>
    <row r="2536" spans="1:16" x14ac:dyDescent="0.25">
      <c r="A2536" t="s">
        <v>5718</v>
      </c>
      <c r="B2536" t="str">
        <v>Yasho Industries Limited</v>
      </c>
      <c r="C2536" t="s">
        <v>14</v>
      </c>
      <c r="D2536">
        <v>1590.5</v>
      </c>
      <c r="E2536">
        <v>1632.5</v>
      </c>
      <c r="F2536">
        <v>1590.5</v>
      </c>
      <c r="G2536" s="3">
        <v>1600.8</v>
      </c>
      <c r="H2536">
        <v>1595.35</v>
      </c>
      <c r="I2536">
        <v>1608</v>
      </c>
      <c r="J2536">
        <v>5112</v>
      </c>
      <c r="K2536">
        <v>8225358.1500000004</v>
      </c>
      <c r="L2536" s="1">
        <v>45240</v>
      </c>
      <c r="M2536">
        <v>1497</v>
      </c>
      <c r="N2536" t="s">
        <v>5720</v>
      </c>
      <c r="O2536" s="5">
        <v>45240</v>
      </c>
      <c r="P2536" s="5">
        <v>43777</v>
      </c>
    </row>
    <row r="2537" spans="1:16" x14ac:dyDescent="0.25">
      <c r="A2537" t="s">
        <v>5721</v>
      </c>
      <c r="B2537" t="str">
        <v>Yatharth Hospital &amp; Trauma Care Services Limited</v>
      </c>
      <c r="C2537" t="s">
        <v>14</v>
      </c>
      <c r="D2537">
        <v>389</v>
      </c>
      <c r="E2537">
        <v>396.5</v>
      </c>
      <c r="F2537">
        <v>386</v>
      </c>
      <c r="G2537" s="3">
        <v>390.4</v>
      </c>
      <c r="H2537">
        <v>390.1</v>
      </c>
      <c r="I2537">
        <v>384.2</v>
      </c>
      <c r="J2537">
        <v>539135</v>
      </c>
      <c r="K2537">
        <v>210970649.25</v>
      </c>
      <c r="L2537" s="1">
        <v>45240</v>
      </c>
      <c r="M2537">
        <v>15662</v>
      </c>
      <c r="N2537" t="s">
        <v>5723</v>
      </c>
      <c r="O2537" s="5">
        <v>45240</v>
      </c>
      <c r="P2537" s="5">
        <v>43777</v>
      </c>
    </row>
    <row r="2538" spans="1:16" x14ac:dyDescent="0.25">
      <c r="A2538" t="s">
        <v>5724</v>
      </c>
      <c r="B2538" t="str">
        <v>Yatra Online Limited</v>
      </c>
      <c r="C2538" t="s">
        <v>14</v>
      </c>
      <c r="D2538">
        <v>137.44999999999999</v>
      </c>
      <c r="E2538">
        <v>140.44999999999999</v>
      </c>
      <c r="F2538">
        <v>135.25</v>
      </c>
      <c r="G2538" s="3">
        <v>139.05000000000001</v>
      </c>
      <c r="H2538">
        <v>138.69999999999999</v>
      </c>
      <c r="I2538">
        <v>137.19999999999999</v>
      </c>
      <c r="J2538">
        <v>367505</v>
      </c>
      <c r="K2538">
        <v>50905686.25</v>
      </c>
      <c r="L2538" s="1">
        <v>45240</v>
      </c>
      <c r="M2538">
        <v>8989</v>
      </c>
      <c r="N2538" t="s">
        <v>5726</v>
      </c>
      <c r="O2538" s="5">
        <v>45240</v>
      </c>
      <c r="P2538" s="5">
        <v>43777</v>
      </c>
    </row>
    <row r="2539" spans="1:16" x14ac:dyDescent="0.25">
      <c r="A2539" t="s">
        <v>5793</v>
      </c>
      <c r="B2539" t="str">
        <v>Not Found</v>
      </c>
      <c r="C2539" t="s">
        <v>5788</v>
      </c>
      <c r="D2539">
        <v>31.05</v>
      </c>
      <c r="E2539">
        <v>31.7</v>
      </c>
      <c r="F2539">
        <v>31</v>
      </c>
      <c r="G2539" s="3">
        <v>31.7</v>
      </c>
      <c r="H2539">
        <v>31.7</v>
      </c>
      <c r="I2539">
        <v>31.1</v>
      </c>
      <c r="J2539">
        <v>15000</v>
      </c>
      <c r="K2539">
        <v>470850</v>
      </c>
      <c r="L2539" s="1">
        <v>45240</v>
      </c>
      <c r="M2539">
        <v>5</v>
      </c>
      <c r="N2539" t="s">
        <v>5792</v>
      </c>
      <c r="O2539" s="5">
        <v>45240</v>
      </c>
      <c r="P2539" s="5">
        <v>43777</v>
      </c>
    </row>
    <row r="2540" spans="1:16" x14ac:dyDescent="0.25">
      <c r="A2540" t="s">
        <v>5727</v>
      </c>
      <c r="B2540" t="str">
        <v>Yes Bank Limited</v>
      </c>
      <c r="C2540" t="s">
        <v>14</v>
      </c>
      <c r="D2540">
        <v>18.350000000000001</v>
      </c>
      <c r="E2540">
        <v>18.55</v>
      </c>
      <c r="F2540">
        <v>18.149999999999999</v>
      </c>
      <c r="G2540" s="3">
        <v>18.3</v>
      </c>
      <c r="H2540">
        <v>18.399999999999999</v>
      </c>
      <c r="I2540">
        <v>18.350000000000001</v>
      </c>
      <c r="J2540">
        <v>188889074</v>
      </c>
      <c r="K2540">
        <v>3464554901.8499999</v>
      </c>
      <c r="L2540" s="1">
        <v>45240</v>
      </c>
      <c r="M2540">
        <v>67163</v>
      </c>
      <c r="N2540" t="s">
        <v>5729</v>
      </c>
      <c r="O2540" s="5">
        <v>45240</v>
      </c>
      <c r="P2540" s="5">
        <v>43777</v>
      </c>
    </row>
    <row r="2541" spans="1:16" x14ac:dyDescent="0.25">
      <c r="A2541" t="s">
        <v>5791</v>
      </c>
      <c r="B2541" t="str">
        <v>Not Found</v>
      </c>
      <c r="C2541" t="s">
        <v>5788</v>
      </c>
      <c r="D2541">
        <v>152</v>
      </c>
      <c r="E2541">
        <v>155.9</v>
      </c>
      <c r="F2541">
        <v>150.1</v>
      </c>
      <c r="G2541" s="3">
        <v>152</v>
      </c>
      <c r="H2541">
        <v>152</v>
      </c>
      <c r="I2541">
        <v>152</v>
      </c>
      <c r="J2541">
        <v>15200</v>
      </c>
      <c r="K2541">
        <v>2318280</v>
      </c>
      <c r="L2541" s="1">
        <v>45240</v>
      </c>
      <c r="M2541">
        <v>19</v>
      </c>
      <c r="N2541" t="s">
        <v>5790</v>
      </c>
      <c r="O2541" s="5">
        <v>45240</v>
      </c>
      <c r="P2541" s="5">
        <v>43777</v>
      </c>
    </row>
    <row r="2542" spans="1:16" x14ac:dyDescent="0.25">
      <c r="A2542" t="s">
        <v>5730</v>
      </c>
      <c r="B2542" t="str">
        <v>Yuken India Limited</v>
      </c>
      <c r="C2542" t="s">
        <v>14</v>
      </c>
      <c r="D2542">
        <v>694.2</v>
      </c>
      <c r="E2542">
        <v>694.2</v>
      </c>
      <c r="F2542">
        <v>683.7</v>
      </c>
      <c r="G2542" s="3">
        <v>692.25</v>
      </c>
      <c r="H2542">
        <v>685</v>
      </c>
      <c r="I2542">
        <v>688.45</v>
      </c>
      <c r="J2542">
        <v>7902</v>
      </c>
      <c r="K2542">
        <v>5431178.7000000002</v>
      </c>
      <c r="L2542" s="1">
        <v>45240</v>
      </c>
      <c r="M2542">
        <v>1529</v>
      </c>
      <c r="N2542" t="s">
        <v>5732</v>
      </c>
      <c r="O2542" s="5">
        <v>45240</v>
      </c>
      <c r="P2542" s="5">
        <v>43777</v>
      </c>
    </row>
    <row r="2543" spans="1:16" x14ac:dyDescent="0.25">
      <c r="A2543" t="s">
        <v>5733</v>
      </c>
      <c r="B2543" t="str">
        <v>Zaggle Prepaid Ocean Services Limited</v>
      </c>
      <c r="C2543" t="s">
        <v>14</v>
      </c>
      <c r="D2543">
        <v>236.9</v>
      </c>
      <c r="E2543">
        <v>238.45</v>
      </c>
      <c r="F2543">
        <v>231.2</v>
      </c>
      <c r="G2543" s="3">
        <v>233.55</v>
      </c>
      <c r="H2543">
        <v>232.6</v>
      </c>
      <c r="I2543">
        <v>237</v>
      </c>
      <c r="J2543">
        <v>337328</v>
      </c>
      <c r="K2543">
        <v>79006478.650000006</v>
      </c>
      <c r="L2543" s="1">
        <v>45240</v>
      </c>
      <c r="M2543">
        <v>6052</v>
      </c>
      <c r="N2543" t="s">
        <v>5735</v>
      </c>
      <c r="O2543" s="5">
        <v>45240</v>
      </c>
      <c r="P2543" s="5">
        <v>43777</v>
      </c>
    </row>
    <row r="2544" spans="1:16" x14ac:dyDescent="0.25">
      <c r="A2544" t="s">
        <v>5789</v>
      </c>
      <c r="B2544" t="str">
        <v>Not Found</v>
      </c>
      <c r="C2544" t="s">
        <v>5788</v>
      </c>
      <c r="D2544">
        <v>170</v>
      </c>
      <c r="E2544">
        <v>182</v>
      </c>
      <c r="F2544">
        <v>148.85</v>
      </c>
      <c r="G2544" s="3">
        <v>172.55</v>
      </c>
      <c r="H2544">
        <v>180.05</v>
      </c>
      <c r="I2544">
        <v>170.35</v>
      </c>
      <c r="J2544">
        <v>170400</v>
      </c>
      <c r="K2544">
        <v>27730740</v>
      </c>
      <c r="L2544" s="1">
        <v>45240</v>
      </c>
      <c r="M2544">
        <v>258</v>
      </c>
      <c r="N2544" t="s">
        <v>5787</v>
      </c>
      <c r="O2544" s="5">
        <v>45240</v>
      </c>
      <c r="P2544" s="5">
        <v>43777</v>
      </c>
    </row>
    <row r="2545" spans="1:16" x14ac:dyDescent="0.25">
      <c r="A2545" t="s">
        <v>5736</v>
      </c>
      <c r="B2545" t="str">
        <v>Zee Entertainment Enterprises Limited</v>
      </c>
      <c r="C2545" t="s">
        <v>14</v>
      </c>
      <c r="D2545">
        <v>263.89999999999998</v>
      </c>
      <c r="E2545">
        <v>265.95</v>
      </c>
      <c r="F2545">
        <v>245.85</v>
      </c>
      <c r="G2545" s="3">
        <v>248.95</v>
      </c>
      <c r="H2545">
        <v>249.35</v>
      </c>
      <c r="I2545">
        <v>262.85000000000002</v>
      </c>
      <c r="J2545">
        <v>26360902</v>
      </c>
      <c r="K2545">
        <v>6673193917.25</v>
      </c>
      <c r="L2545" s="1">
        <v>45240</v>
      </c>
      <c r="M2545">
        <v>137548</v>
      </c>
      <c r="N2545" t="s">
        <v>5738</v>
      </c>
      <c r="O2545" s="5">
        <v>45240</v>
      </c>
      <c r="P2545" s="5">
        <v>43777</v>
      </c>
    </row>
    <row r="2546" spans="1:16" x14ac:dyDescent="0.25">
      <c r="A2546" t="s">
        <v>5739</v>
      </c>
      <c r="B2546" t="str">
        <v>Zee Learn Limited</v>
      </c>
      <c r="C2546" t="s">
        <v>10</v>
      </c>
      <c r="D2546">
        <v>6.9</v>
      </c>
      <c r="E2546">
        <v>6.9</v>
      </c>
      <c r="F2546">
        <v>6.35</v>
      </c>
      <c r="G2546" s="3">
        <v>6.9</v>
      </c>
      <c r="H2546">
        <v>6.9</v>
      </c>
      <c r="I2546">
        <v>6.6</v>
      </c>
      <c r="J2546">
        <v>3934550</v>
      </c>
      <c r="K2546">
        <v>26956057.75</v>
      </c>
      <c r="L2546" s="1">
        <v>45240</v>
      </c>
      <c r="M2546">
        <v>999</v>
      </c>
      <c r="N2546" t="s">
        <v>5741</v>
      </c>
      <c r="O2546" s="5">
        <v>45240</v>
      </c>
      <c r="P2546" s="5">
        <v>43777</v>
      </c>
    </row>
    <row r="2547" spans="1:16" x14ac:dyDescent="0.25">
      <c r="A2547" t="s">
        <v>5742</v>
      </c>
      <c r="B2547" t="str">
        <v>Zee Media Corporation Limited</v>
      </c>
      <c r="C2547" t="s">
        <v>14</v>
      </c>
      <c r="D2547">
        <v>16</v>
      </c>
      <c r="E2547">
        <v>16.399999999999999</v>
      </c>
      <c r="F2547">
        <v>15.6</v>
      </c>
      <c r="G2547" s="3">
        <v>16</v>
      </c>
      <c r="H2547">
        <v>16</v>
      </c>
      <c r="I2547">
        <v>16</v>
      </c>
      <c r="J2547">
        <v>13148486</v>
      </c>
      <c r="K2547">
        <v>210414136.40000001</v>
      </c>
      <c r="L2547" s="1">
        <v>45240</v>
      </c>
      <c r="M2547">
        <v>5472</v>
      </c>
      <c r="N2547" t="s">
        <v>5744</v>
      </c>
      <c r="O2547" s="5">
        <v>45240</v>
      </c>
      <c r="P2547" s="5">
        <v>43777</v>
      </c>
    </row>
    <row r="2548" spans="1:16" x14ac:dyDescent="0.25">
      <c r="A2548" t="s">
        <v>5745</v>
      </c>
      <c r="B2548" t="str">
        <v>Zenith Exports Limited</v>
      </c>
      <c r="C2548" t="s">
        <v>14</v>
      </c>
      <c r="D2548">
        <v>125</v>
      </c>
      <c r="E2548">
        <v>130.80000000000001</v>
      </c>
      <c r="F2548">
        <v>122</v>
      </c>
      <c r="G2548" s="3">
        <v>127.1</v>
      </c>
      <c r="H2548">
        <v>129</v>
      </c>
      <c r="I2548">
        <v>125.3</v>
      </c>
      <c r="J2548">
        <v>3595</v>
      </c>
      <c r="K2548">
        <v>454549.25</v>
      </c>
      <c r="L2548" s="1">
        <v>45240</v>
      </c>
      <c r="M2548">
        <v>258</v>
      </c>
      <c r="N2548" t="s">
        <v>5747</v>
      </c>
      <c r="O2548" s="5">
        <v>45240</v>
      </c>
      <c r="P2548" s="5">
        <v>43777</v>
      </c>
    </row>
    <row r="2549" spans="1:16" x14ac:dyDescent="0.25">
      <c r="A2549" t="s">
        <v>5748</v>
      </c>
      <c r="B2549" t="str">
        <v>Zenith Steel Pipes &amp; Industries Limited</v>
      </c>
      <c r="C2549" t="s">
        <v>10</v>
      </c>
      <c r="D2549">
        <v>7.1</v>
      </c>
      <c r="E2549">
        <v>7.1</v>
      </c>
      <c r="F2549">
        <v>7.05</v>
      </c>
      <c r="G2549" s="3">
        <v>7.1</v>
      </c>
      <c r="H2549">
        <v>7.1</v>
      </c>
      <c r="I2549">
        <v>6.8</v>
      </c>
      <c r="J2549">
        <v>920232</v>
      </c>
      <c r="K2549">
        <v>6532093.2000000002</v>
      </c>
      <c r="L2549" s="1">
        <v>45240</v>
      </c>
      <c r="M2549">
        <v>571</v>
      </c>
      <c r="N2549" t="s">
        <v>5750</v>
      </c>
      <c r="O2549" s="5">
        <v>45240</v>
      </c>
      <c r="P2549" s="5">
        <v>43777</v>
      </c>
    </row>
    <row r="2550" spans="1:16" x14ac:dyDescent="0.25">
      <c r="A2550" t="s">
        <v>5751</v>
      </c>
      <c r="B2550" t="str">
        <v>Zensar Technologies Limited</v>
      </c>
      <c r="C2550" t="s">
        <v>14</v>
      </c>
      <c r="D2550">
        <v>491.6</v>
      </c>
      <c r="E2550">
        <v>492</v>
      </c>
      <c r="F2550">
        <v>480</v>
      </c>
      <c r="G2550" s="3">
        <v>481</v>
      </c>
      <c r="H2550">
        <v>483</v>
      </c>
      <c r="I2550">
        <v>491.65</v>
      </c>
      <c r="J2550">
        <v>576199</v>
      </c>
      <c r="K2550">
        <v>278370766.10000002</v>
      </c>
      <c r="L2550" s="1">
        <v>45240</v>
      </c>
      <c r="M2550">
        <v>17800</v>
      </c>
      <c r="N2550" t="s">
        <v>5753</v>
      </c>
      <c r="O2550" s="5">
        <v>45240</v>
      </c>
      <c r="P2550" s="5">
        <v>43777</v>
      </c>
    </row>
    <row r="2551" spans="1:16" x14ac:dyDescent="0.25">
      <c r="A2551" t="s">
        <v>5754</v>
      </c>
      <c r="B2551" t="str">
        <v>Zen Technologies Limited</v>
      </c>
      <c r="C2551" t="s">
        <v>10</v>
      </c>
      <c r="D2551">
        <v>737</v>
      </c>
      <c r="E2551">
        <v>745</v>
      </c>
      <c r="F2551">
        <v>715</v>
      </c>
      <c r="G2551" s="3">
        <v>736.95</v>
      </c>
      <c r="H2551">
        <v>744</v>
      </c>
      <c r="I2551">
        <v>735.55</v>
      </c>
      <c r="J2551">
        <v>110449</v>
      </c>
      <c r="K2551">
        <v>80992483.599999994</v>
      </c>
      <c r="L2551" s="1">
        <v>45240</v>
      </c>
      <c r="M2551">
        <v>2873</v>
      </c>
      <c r="N2551" t="s">
        <v>5756</v>
      </c>
      <c r="O2551" s="5">
        <v>45240</v>
      </c>
      <c r="P2551" s="5">
        <v>43777</v>
      </c>
    </row>
    <row r="2552" spans="1:16" x14ac:dyDescent="0.25">
      <c r="A2552" t="s">
        <v>5757</v>
      </c>
      <c r="B2552" t="str">
        <v>ZF Commercial Vehicle Control Systems India Limited</v>
      </c>
      <c r="C2552" t="s">
        <v>14</v>
      </c>
      <c r="D2552">
        <v>16200</v>
      </c>
      <c r="E2552">
        <v>16622.2</v>
      </c>
      <c r="F2552">
        <v>16200</v>
      </c>
      <c r="G2552" s="3">
        <v>16387.349999999999</v>
      </c>
      <c r="H2552">
        <v>16202</v>
      </c>
      <c r="I2552">
        <v>16317.55</v>
      </c>
      <c r="J2552">
        <v>8810</v>
      </c>
      <c r="K2552">
        <v>145325469.34999999</v>
      </c>
      <c r="L2552" s="1">
        <v>45240</v>
      </c>
      <c r="M2552">
        <v>2936</v>
      </c>
      <c r="N2552" t="s">
        <v>5759</v>
      </c>
      <c r="O2552" s="5">
        <v>45240</v>
      </c>
      <c r="P2552" s="5">
        <v>43777</v>
      </c>
    </row>
    <row r="2553" spans="1:16" x14ac:dyDescent="0.25">
      <c r="A2553" t="s">
        <v>5760</v>
      </c>
      <c r="B2553" t="str">
        <v>Zim Laboratories Limited</v>
      </c>
      <c r="C2553" t="s">
        <v>14</v>
      </c>
      <c r="D2553">
        <v>120</v>
      </c>
      <c r="E2553">
        <v>120</v>
      </c>
      <c r="F2553">
        <v>116</v>
      </c>
      <c r="G2553" s="3">
        <v>118.1</v>
      </c>
      <c r="H2553">
        <v>118</v>
      </c>
      <c r="I2553">
        <v>118.65</v>
      </c>
      <c r="J2553">
        <v>63801</v>
      </c>
      <c r="K2553">
        <v>7535807.4000000004</v>
      </c>
      <c r="L2553" s="1">
        <v>45240</v>
      </c>
      <c r="M2553">
        <v>1226</v>
      </c>
      <c r="N2553" t="s">
        <v>5762</v>
      </c>
      <c r="O2553" s="5">
        <v>45240</v>
      </c>
      <c r="P2553" s="5">
        <v>43777</v>
      </c>
    </row>
    <row r="2554" spans="1:16" x14ac:dyDescent="0.25">
      <c r="A2554" t="s">
        <v>5763</v>
      </c>
      <c r="B2554" t="str">
        <v>Zodiac Energy Limited</v>
      </c>
      <c r="C2554" t="s">
        <v>10</v>
      </c>
      <c r="D2554">
        <v>152.9</v>
      </c>
      <c r="E2554">
        <v>153</v>
      </c>
      <c r="F2554">
        <v>147</v>
      </c>
      <c r="G2554" s="3">
        <v>148.75</v>
      </c>
      <c r="H2554">
        <v>149</v>
      </c>
      <c r="I2554">
        <v>153.35</v>
      </c>
      <c r="J2554">
        <v>18827</v>
      </c>
      <c r="K2554">
        <v>2824337.05</v>
      </c>
      <c r="L2554" s="1">
        <v>45240</v>
      </c>
      <c r="M2554">
        <v>480</v>
      </c>
      <c r="N2554" t="s">
        <v>5765</v>
      </c>
      <c r="O2554" s="5">
        <v>45240</v>
      </c>
      <c r="P2554" s="5">
        <v>43777</v>
      </c>
    </row>
    <row r="2555" spans="1:16" x14ac:dyDescent="0.25">
      <c r="A2555" t="s">
        <v>5766</v>
      </c>
      <c r="B2555" t="str">
        <v>Zodiac Clothing Company Limited</v>
      </c>
      <c r="C2555" t="s">
        <v>14</v>
      </c>
      <c r="D2555">
        <v>131.69999999999999</v>
      </c>
      <c r="E2555">
        <v>132.5</v>
      </c>
      <c r="F2555">
        <v>125.2</v>
      </c>
      <c r="G2555" s="3">
        <v>128.6</v>
      </c>
      <c r="H2555">
        <v>129.9</v>
      </c>
      <c r="I2555">
        <v>127.05</v>
      </c>
      <c r="J2555">
        <v>49889</v>
      </c>
      <c r="K2555">
        <v>6371430.3499999996</v>
      </c>
      <c r="L2555" s="1">
        <v>45240</v>
      </c>
      <c r="M2555">
        <v>1467</v>
      </c>
      <c r="N2555" t="s">
        <v>5768</v>
      </c>
      <c r="O2555" s="5">
        <v>45240</v>
      </c>
      <c r="P2555" s="5">
        <v>43777</v>
      </c>
    </row>
    <row r="2556" spans="1:16" x14ac:dyDescent="0.25">
      <c r="A2556" t="s">
        <v>5769</v>
      </c>
      <c r="B2556" t="str">
        <v>Zomato Limited</v>
      </c>
      <c r="C2556" t="s">
        <v>14</v>
      </c>
      <c r="D2556">
        <v>122</v>
      </c>
      <c r="E2556">
        <v>123.3</v>
      </c>
      <c r="F2556">
        <v>120.7</v>
      </c>
      <c r="G2556" s="3">
        <v>121.3</v>
      </c>
      <c r="H2556">
        <v>121.45</v>
      </c>
      <c r="I2556">
        <v>121.85</v>
      </c>
      <c r="J2556">
        <v>43388163</v>
      </c>
      <c r="K2556">
        <v>5276336879.9499998</v>
      </c>
      <c r="L2556" s="1">
        <v>45240</v>
      </c>
      <c r="M2556">
        <v>123196</v>
      </c>
      <c r="N2556" t="s">
        <v>5771</v>
      </c>
      <c r="O2556" s="5">
        <v>45240</v>
      </c>
      <c r="P2556" s="5">
        <v>43777</v>
      </c>
    </row>
    <row r="2557" spans="1:16" x14ac:dyDescent="0.25">
      <c r="A2557" t="s">
        <v>5772</v>
      </c>
      <c r="B2557" t="str">
        <v>Zota Health Care LImited</v>
      </c>
      <c r="C2557" t="s">
        <v>14</v>
      </c>
      <c r="D2557">
        <v>439.45</v>
      </c>
      <c r="E2557">
        <v>440</v>
      </c>
      <c r="F2557">
        <v>424.7</v>
      </c>
      <c r="G2557" s="3">
        <v>425.15</v>
      </c>
      <c r="H2557">
        <v>424.7</v>
      </c>
      <c r="I2557">
        <v>435.15</v>
      </c>
      <c r="J2557">
        <v>20705</v>
      </c>
      <c r="K2557">
        <v>8910124.3000000007</v>
      </c>
      <c r="L2557" s="1">
        <v>45240</v>
      </c>
      <c r="M2557">
        <v>1391</v>
      </c>
      <c r="N2557" t="s">
        <v>5774</v>
      </c>
      <c r="O2557" s="5">
        <v>45240</v>
      </c>
      <c r="P2557" s="5">
        <v>43777</v>
      </c>
    </row>
    <row r="2558" spans="1:16" x14ac:dyDescent="0.25">
      <c r="A2558" t="s">
        <v>5775</v>
      </c>
      <c r="B2558" t="str">
        <v>Zuari Agro Chemicals Limited</v>
      </c>
      <c r="C2558" t="s">
        <v>14</v>
      </c>
      <c r="D2558">
        <v>156.05000000000001</v>
      </c>
      <c r="E2558">
        <v>156.5</v>
      </c>
      <c r="F2558">
        <v>153.80000000000001</v>
      </c>
      <c r="G2558" s="3">
        <v>154.44999999999999</v>
      </c>
      <c r="H2558">
        <v>154</v>
      </c>
      <c r="I2558">
        <v>156.05000000000001</v>
      </c>
      <c r="J2558">
        <v>167105</v>
      </c>
      <c r="K2558">
        <v>25866132.100000001</v>
      </c>
      <c r="L2558" s="1">
        <v>45240</v>
      </c>
      <c r="M2558">
        <v>2172</v>
      </c>
      <c r="N2558" t="s">
        <v>5777</v>
      </c>
      <c r="O2558" s="5">
        <v>45240</v>
      </c>
      <c r="P2558" s="5">
        <v>43777</v>
      </c>
    </row>
    <row r="2559" spans="1:16" x14ac:dyDescent="0.25">
      <c r="A2559" t="s">
        <v>5778</v>
      </c>
      <c r="B2559" t="str">
        <v>ZUARI INDUSTRIES LIMITED</v>
      </c>
      <c r="C2559" t="s">
        <v>14</v>
      </c>
      <c r="D2559">
        <v>150.55000000000001</v>
      </c>
      <c r="E2559">
        <v>154.94999999999999</v>
      </c>
      <c r="F2559">
        <v>149.30000000000001</v>
      </c>
      <c r="G2559" s="3">
        <v>153.6</v>
      </c>
      <c r="H2559">
        <v>152.65</v>
      </c>
      <c r="I2559">
        <v>150.55000000000001</v>
      </c>
      <c r="J2559">
        <v>96493</v>
      </c>
      <c r="K2559">
        <v>14805092</v>
      </c>
      <c r="L2559" s="1">
        <v>45240</v>
      </c>
      <c r="M2559">
        <v>5177</v>
      </c>
      <c r="N2559" t="s">
        <v>5780</v>
      </c>
      <c r="O2559" s="5">
        <v>45240</v>
      </c>
      <c r="P2559" s="5">
        <v>43777</v>
      </c>
    </row>
    <row r="2560" spans="1:16" x14ac:dyDescent="0.25">
      <c r="A2560" t="s">
        <v>5781</v>
      </c>
      <c r="B2560" t="str">
        <v>Zydus Lifesciences Limited</v>
      </c>
      <c r="C2560" t="s">
        <v>14</v>
      </c>
      <c r="D2560">
        <v>609.5</v>
      </c>
      <c r="E2560">
        <v>621.15</v>
      </c>
      <c r="F2560">
        <v>606.04999999999995</v>
      </c>
      <c r="G2560" s="3">
        <v>619.9</v>
      </c>
      <c r="H2560">
        <v>620</v>
      </c>
      <c r="I2560">
        <v>612.45000000000005</v>
      </c>
      <c r="J2560">
        <v>1024488</v>
      </c>
      <c r="K2560">
        <v>630824299.79999995</v>
      </c>
      <c r="L2560" s="1">
        <v>45240</v>
      </c>
      <c r="M2560">
        <v>24624</v>
      </c>
      <c r="N2560" t="s">
        <v>5783</v>
      </c>
      <c r="O2560" s="5">
        <v>45240</v>
      </c>
      <c r="P2560" s="5">
        <v>43777</v>
      </c>
    </row>
    <row r="2561" spans="1:16" x14ac:dyDescent="0.25">
      <c r="A2561" t="s">
        <v>5784</v>
      </c>
      <c r="B2561" t="str">
        <v>Zydus Wellness Limited</v>
      </c>
      <c r="C2561" t="s">
        <v>14</v>
      </c>
      <c r="D2561">
        <v>1540</v>
      </c>
      <c r="E2561">
        <v>1543.2</v>
      </c>
      <c r="F2561">
        <v>1526.05</v>
      </c>
      <c r="G2561" s="3">
        <v>1531.75</v>
      </c>
      <c r="H2561">
        <v>1535.5</v>
      </c>
      <c r="I2561">
        <v>1533</v>
      </c>
      <c r="J2561">
        <v>27860</v>
      </c>
      <c r="K2561">
        <v>42706315.799999997</v>
      </c>
      <c r="L2561" s="1">
        <v>45240</v>
      </c>
      <c r="M2561">
        <v>2442</v>
      </c>
      <c r="N2561" t="s">
        <v>5786</v>
      </c>
      <c r="O2561" s="5">
        <v>45240</v>
      </c>
      <c r="P2561" s="5">
        <v>43777</v>
      </c>
    </row>
  </sheetData>
  <autoFilter ref="A1:P2561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941"/>
  <sheetViews>
    <sheetView topLeftCell="A1921" workbookViewId="0"/>
  </sheetViews>
  <sheetFormatPr defaultRowHeight="15" x14ac:dyDescent="0.25"/>
  <cols>
    <col min="11" max="11" width="11.42578125" bestFit="1" customWidth="1"/>
  </cols>
  <sheetData>
    <row r="1" spans="1:13" x14ac:dyDescent="0.25">
      <c r="A1" t="s">
        <v>0</v>
      </c>
      <c r="B1" t="s">
        <v>7029</v>
      </c>
      <c r="C1" t="s">
        <v>7028</v>
      </c>
      <c r="D1" t="s">
        <v>7027</v>
      </c>
      <c r="E1" t="s">
        <v>7026</v>
      </c>
      <c r="F1" t="s">
        <v>7025</v>
      </c>
      <c r="G1" t="s">
        <v>7024</v>
      </c>
      <c r="H1" t="s">
        <v>7023</v>
      </c>
      <c r="I1" t="s">
        <v>7022</v>
      </c>
      <c r="J1" t="s">
        <v>7021</v>
      </c>
      <c r="K1" t="s">
        <v>7020</v>
      </c>
      <c r="L1" t="s">
        <v>7019</v>
      </c>
      <c r="M1" t="s">
        <v>7018</v>
      </c>
    </row>
    <row r="2" spans="1:13" x14ac:dyDescent="0.25">
      <c r="A2" t="s">
        <v>8</v>
      </c>
      <c r="B2" t="s">
        <v>14</v>
      </c>
      <c r="C2">
        <v>38.450000000000003</v>
      </c>
      <c r="D2">
        <v>38.450000000000003</v>
      </c>
      <c r="E2">
        <v>36.65</v>
      </c>
      <c r="F2">
        <v>37.1</v>
      </c>
      <c r="G2">
        <v>37.4</v>
      </c>
      <c r="H2">
        <v>39.049999999999997</v>
      </c>
      <c r="I2">
        <v>101367</v>
      </c>
      <c r="J2">
        <v>3809072.4</v>
      </c>
      <c r="K2" s="1">
        <v>43777</v>
      </c>
      <c r="L2">
        <v>886</v>
      </c>
      <c r="M2" t="s">
        <v>11</v>
      </c>
    </row>
    <row r="3" spans="1:13" x14ac:dyDescent="0.25">
      <c r="A3" t="s">
        <v>12</v>
      </c>
      <c r="B3" t="s">
        <v>14</v>
      </c>
      <c r="C3">
        <v>14</v>
      </c>
      <c r="D3">
        <v>14</v>
      </c>
      <c r="E3">
        <v>14</v>
      </c>
      <c r="F3">
        <v>14</v>
      </c>
      <c r="G3">
        <v>14</v>
      </c>
      <c r="H3">
        <v>14</v>
      </c>
      <c r="I3">
        <v>6</v>
      </c>
      <c r="J3">
        <v>84</v>
      </c>
      <c r="K3" s="1">
        <v>43777</v>
      </c>
      <c r="L3">
        <v>2</v>
      </c>
      <c r="M3" t="s">
        <v>15</v>
      </c>
    </row>
    <row r="4" spans="1:13" x14ac:dyDescent="0.25">
      <c r="A4" t="s">
        <v>7796</v>
      </c>
      <c r="B4" t="s">
        <v>14</v>
      </c>
      <c r="C4">
        <v>1.95</v>
      </c>
      <c r="D4">
        <v>2</v>
      </c>
      <c r="E4">
        <v>1.95</v>
      </c>
      <c r="F4">
        <v>1.95</v>
      </c>
      <c r="G4">
        <v>2</v>
      </c>
      <c r="H4">
        <v>2</v>
      </c>
      <c r="I4">
        <v>859134</v>
      </c>
      <c r="J4">
        <v>1699724.7</v>
      </c>
      <c r="K4" s="1">
        <v>43777</v>
      </c>
      <c r="L4">
        <v>455</v>
      </c>
      <c r="M4" t="s">
        <v>7795</v>
      </c>
    </row>
    <row r="5" spans="1:13" x14ac:dyDescent="0.25">
      <c r="A5" t="s">
        <v>22</v>
      </c>
      <c r="B5" t="s">
        <v>14</v>
      </c>
      <c r="C5">
        <v>22285.65</v>
      </c>
      <c r="D5">
        <v>22844</v>
      </c>
      <c r="E5">
        <v>22285.65</v>
      </c>
      <c r="F5">
        <v>22392.9</v>
      </c>
      <c r="G5">
        <v>22350</v>
      </c>
      <c r="H5">
        <v>22463.45</v>
      </c>
      <c r="I5">
        <v>1601</v>
      </c>
      <c r="J5">
        <v>36182186.450000003</v>
      </c>
      <c r="K5" s="1">
        <v>43777</v>
      </c>
      <c r="L5">
        <v>787</v>
      </c>
      <c r="M5" t="s">
        <v>24</v>
      </c>
    </row>
    <row r="6" spans="1:13" x14ac:dyDescent="0.25">
      <c r="A6" t="s">
        <v>25</v>
      </c>
      <c r="B6" t="s">
        <v>14</v>
      </c>
      <c r="C6">
        <v>6.3</v>
      </c>
      <c r="D6">
        <v>6.3</v>
      </c>
      <c r="E6">
        <v>6.3</v>
      </c>
      <c r="F6">
        <v>6.3</v>
      </c>
      <c r="G6">
        <v>6.3</v>
      </c>
      <c r="H6">
        <v>6.3</v>
      </c>
      <c r="I6">
        <v>3</v>
      </c>
      <c r="J6">
        <v>18.899999999999999</v>
      </c>
      <c r="K6" s="1">
        <v>43777</v>
      </c>
      <c r="L6">
        <v>1</v>
      </c>
      <c r="M6" t="s">
        <v>27</v>
      </c>
    </row>
    <row r="7" spans="1:13" x14ac:dyDescent="0.25">
      <c r="A7" t="s">
        <v>28</v>
      </c>
      <c r="B7" t="s">
        <v>14</v>
      </c>
      <c r="C7">
        <v>169.45</v>
      </c>
      <c r="D7">
        <v>169.5</v>
      </c>
      <c r="E7">
        <v>165.1</v>
      </c>
      <c r="F7">
        <v>165.85</v>
      </c>
      <c r="G7">
        <v>168</v>
      </c>
      <c r="H7">
        <v>167.35</v>
      </c>
      <c r="I7">
        <v>4080</v>
      </c>
      <c r="J7">
        <v>682729.7</v>
      </c>
      <c r="K7" s="1">
        <v>43777</v>
      </c>
      <c r="L7">
        <v>177</v>
      </c>
      <c r="M7" t="s">
        <v>30</v>
      </c>
    </row>
    <row r="8" spans="1:13" x14ac:dyDescent="0.25">
      <c r="A8" t="s">
        <v>31</v>
      </c>
      <c r="B8" t="s">
        <v>14</v>
      </c>
      <c r="C8">
        <v>117.9</v>
      </c>
      <c r="D8">
        <v>119.65</v>
      </c>
      <c r="E8">
        <v>115</v>
      </c>
      <c r="F8">
        <v>115.85</v>
      </c>
      <c r="G8">
        <v>115.9</v>
      </c>
      <c r="H8">
        <v>118.2</v>
      </c>
      <c r="I8">
        <v>85270</v>
      </c>
      <c r="J8">
        <v>9998494.5500000007</v>
      </c>
      <c r="K8" s="1">
        <v>43777</v>
      </c>
      <c r="L8">
        <v>1122</v>
      </c>
      <c r="M8" t="s">
        <v>33</v>
      </c>
    </row>
    <row r="9" spans="1:13" x14ac:dyDescent="0.25">
      <c r="A9" t="s">
        <v>7794</v>
      </c>
      <c r="B9" t="s">
        <v>6920</v>
      </c>
      <c r="C9">
        <v>99.25</v>
      </c>
      <c r="D9">
        <v>99.25</v>
      </c>
      <c r="E9">
        <v>99.25</v>
      </c>
      <c r="F9">
        <v>99.25</v>
      </c>
      <c r="G9">
        <v>99.25</v>
      </c>
      <c r="H9">
        <v>97.15</v>
      </c>
      <c r="I9">
        <v>200</v>
      </c>
      <c r="J9">
        <v>19850</v>
      </c>
      <c r="K9" s="1">
        <v>43777</v>
      </c>
      <c r="L9">
        <v>1</v>
      </c>
      <c r="M9" t="s">
        <v>7793</v>
      </c>
    </row>
    <row r="10" spans="1:13" x14ac:dyDescent="0.25">
      <c r="A10" t="s">
        <v>34</v>
      </c>
      <c r="B10" t="s">
        <v>14</v>
      </c>
      <c r="C10">
        <v>9.85</v>
      </c>
      <c r="D10">
        <v>10.3</v>
      </c>
      <c r="E10">
        <v>9.6</v>
      </c>
      <c r="F10">
        <v>10.050000000000001</v>
      </c>
      <c r="G10">
        <v>10.050000000000001</v>
      </c>
      <c r="H10">
        <v>9.6999999999999993</v>
      </c>
      <c r="I10">
        <v>354119</v>
      </c>
      <c r="J10">
        <v>3568827.6</v>
      </c>
      <c r="K10" s="1">
        <v>43777</v>
      </c>
      <c r="L10">
        <v>661</v>
      </c>
      <c r="M10" t="s">
        <v>36</v>
      </c>
    </row>
    <row r="11" spans="1:13" x14ac:dyDescent="0.25">
      <c r="A11" t="s">
        <v>40</v>
      </c>
      <c r="B11" t="s">
        <v>5788</v>
      </c>
      <c r="C11">
        <v>40.65</v>
      </c>
      <c r="D11">
        <v>40.65</v>
      </c>
      <c r="E11">
        <v>40.65</v>
      </c>
      <c r="F11">
        <v>40.65</v>
      </c>
      <c r="G11">
        <v>40.65</v>
      </c>
      <c r="H11">
        <v>38.75</v>
      </c>
      <c r="I11">
        <v>2000</v>
      </c>
      <c r="J11">
        <v>81300</v>
      </c>
      <c r="K11" s="1">
        <v>43777</v>
      </c>
      <c r="L11">
        <v>1</v>
      </c>
      <c r="M11" t="s">
        <v>7792</v>
      </c>
    </row>
    <row r="12" spans="1:13" x14ac:dyDescent="0.25">
      <c r="A12" t="s">
        <v>46</v>
      </c>
      <c r="B12" t="s">
        <v>5788</v>
      </c>
      <c r="C12">
        <v>49.2</v>
      </c>
      <c r="D12">
        <v>49.2</v>
      </c>
      <c r="E12">
        <v>49.2</v>
      </c>
      <c r="F12">
        <v>49.2</v>
      </c>
      <c r="G12">
        <v>49.2</v>
      </c>
      <c r="H12">
        <v>49.5</v>
      </c>
      <c r="I12">
        <v>3300</v>
      </c>
      <c r="J12">
        <v>162360</v>
      </c>
      <c r="K12" s="1">
        <v>43777</v>
      </c>
      <c r="L12">
        <v>1</v>
      </c>
      <c r="M12" t="s">
        <v>48</v>
      </c>
    </row>
    <row r="13" spans="1:13" x14ac:dyDescent="0.25">
      <c r="A13" t="s">
        <v>52</v>
      </c>
      <c r="B13" t="s">
        <v>14</v>
      </c>
      <c r="C13">
        <v>528</v>
      </c>
      <c r="D13">
        <v>537.85</v>
      </c>
      <c r="E13">
        <v>515.95000000000005</v>
      </c>
      <c r="F13">
        <v>518.85</v>
      </c>
      <c r="G13">
        <v>520</v>
      </c>
      <c r="H13">
        <v>523.1</v>
      </c>
      <c r="I13">
        <v>18692</v>
      </c>
      <c r="J13">
        <v>9837991.0500000007</v>
      </c>
      <c r="K13" s="1">
        <v>43777</v>
      </c>
      <c r="L13">
        <v>1542</v>
      </c>
      <c r="M13" t="s">
        <v>54</v>
      </c>
    </row>
    <row r="14" spans="1:13" x14ac:dyDescent="0.25">
      <c r="A14" t="s">
        <v>55</v>
      </c>
      <c r="B14" t="s">
        <v>14</v>
      </c>
      <c r="C14">
        <v>819.9</v>
      </c>
      <c r="D14">
        <v>822.4</v>
      </c>
      <c r="E14">
        <v>808.1</v>
      </c>
      <c r="F14">
        <v>812.2</v>
      </c>
      <c r="G14">
        <v>811.1</v>
      </c>
      <c r="H14">
        <v>819.55</v>
      </c>
      <c r="I14">
        <v>51620</v>
      </c>
      <c r="J14">
        <v>42085725.25</v>
      </c>
      <c r="K14" s="1">
        <v>43777</v>
      </c>
      <c r="L14">
        <v>3141</v>
      </c>
      <c r="M14" t="s">
        <v>57</v>
      </c>
    </row>
    <row r="15" spans="1:13" x14ac:dyDescent="0.25">
      <c r="A15" t="s">
        <v>64</v>
      </c>
      <c r="B15" t="s">
        <v>14</v>
      </c>
      <c r="C15">
        <v>13.75</v>
      </c>
      <c r="D15">
        <v>14.2</v>
      </c>
      <c r="E15">
        <v>13.7</v>
      </c>
      <c r="F15">
        <v>14.05</v>
      </c>
      <c r="G15">
        <v>14.05</v>
      </c>
      <c r="H15">
        <v>13.75</v>
      </c>
      <c r="I15">
        <v>3816</v>
      </c>
      <c r="J15">
        <v>53210.45</v>
      </c>
      <c r="K15" s="1">
        <v>43777</v>
      </c>
      <c r="L15">
        <v>34</v>
      </c>
      <c r="M15" t="s">
        <v>66</v>
      </c>
    </row>
    <row r="16" spans="1:13" x14ac:dyDescent="0.25">
      <c r="A16" t="s">
        <v>67</v>
      </c>
      <c r="B16" t="s">
        <v>5788</v>
      </c>
      <c r="C16">
        <v>40.85</v>
      </c>
      <c r="D16">
        <v>40.85</v>
      </c>
      <c r="E16">
        <v>40.85</v>
      </c>
      <c r="F16">
        <v>40.85</v>
      </c>
      <c r="G16">
        <v>40.85</v>
      </c>
      <c r="H16">
        <v>42.95</v>
      </c>
      <c r="I16">
        <v>6000</v>
      </c>
      <c r="J16">
        <v>245100</v>
      </c>
      <c r="K16" s="1">
        <v>43777</v>
      </c>
      <c r="L16">
        <v>3</v>
      </c>
      <c r="M16" t="s">
        <v>69</v>
      </c>
    </row>
    <row r="17" spans="1:13" x14ac:dyDescent="0.25">
      <c r="A17" t="s">
        <v>70</v>
      </c>
      <c r="B17" t="s">
        <v>14</v>
      </c>
      <c r="C17">
        <v>1556</v>
      </c>
      <c r="D17">
        <v>1601</v>
      </c>
      <c r="E17">
        <v>1520</v>
      </c>
      <c r="F17">
        <v>1564.2</v>
      </c>
      <c r="G17">
        <v>1570</v>
      </c>
      <c r="H17">
        <v>1545.2</v>
      </c>
      <c r="I17">
        <v>181039</v>
      </c>
      <c r="J17">
        <v>288846891.55000001</v>
      </c>
      <c r="K17" s="1">
        <v>43777</v>
      </c>
      <c r="L17">
        <v>4058</v>
      </c>
      <c r="M17" t="s">
        <v>72</v>
      </c>
    </row>
    <row r="18" spans="1:13" x14ac:dyDescent="0.25">
      <c r="A18" t="s">
        <v>73</v>
      </c>
      <c r="B18" t="s">
        <v>10</v>
      </c>
      <c r="C18">
        <v>31</v>
      </c>
      <c r="D18">
        <v>32.85</v>
      </c>
      <c r="E18">
        <v>30.6</v>
      </c>
      <c r="F18">
        <v>31</v>
      </c>
      <c r="G18">
        <v>31</v>
      </c>
      <c r="H18">
        <v>32.200000000000003</v>
      </c>
      <c r="I18">
        <v>60639</v>
      </c>
      <c r="J18">
        <v>1866606.9</v>
      </c>
      <c r="K18" s="1">
        <v>43777</v>
      </c>
      <c r="L18">
        <v>370</v>
      </c>
      <c r="M18" t="s">
        <v>75</v>
      </c>
    </row>
    <row r="19" spans="1:13" x14ac:dyDescent="0.25">
      <c r="A19" t="s">
        <v>76</v>
      </c>
      <c r="B19" t="s">
        <v>14</v>
      </c>
      <c r="C19">
        <v>1474.5</v>
      </c>
      <c r="D19">
        <v>1479.9</v>
      </c>
      <c r="E19">
        <v>1441.65</v>
      </c>
      <c r="F19">
        <v>1462.7</v>
      </c>
      <c r="G19">
        <v>1470</v>
      </c>
      <c r="H19">
        <v>1482.75</v>
      </c>
      <c r="I19">
        <v>73375</v>
      </c>
      <c r="J19">
        <v>107088200.95</v>
      </c>
      <c r="K19" s="1">
        <v>43777</v>
      </c>
      <c r="L19">
        <v>4817</v>
      </c>
      <c r="M19" t="s">
        <v>78</v>
      </c>
    </row>
    <row r="20" spans="1:13" x14ac:dyDescent="0.25">
      <c r="A20" t="s">
        <v>79</v>
      </c>
      <c r="B20" t="s">
        <v>14</v>
      </c>
      <c r="C20">
        <v>11700</v>
      </c>
      <c r="D20">
        <v>11711</v>
      </c>
      <c r="E20">
        <v>11400</v>
      </c>
      <c r="F20">
        <v>11502.95</v>
      </c>
      <c r="G20">
        <v>11410</v>
      </c>
      <c r="H20">
        <v>11695.25</v>
      </c>
      <c r="I20">
        <v>5622</v>
      </c>
      <c r="J20">
        <v>65154854.549999997</v>
      </c>
      <c r="K20" s="1">
        <v>43777</v>
      </c>
      <c r="L20">
        <v>1821</v>
      </c>
      <c r="M20" t="s">
        <v>81</v>
      </c>
    </row>
    <row r="21" spans="1:13" x14ac:dyDescent="0.25">
      <c r="A21" t="s">
        <v>82</v>
      </c>
      <c r="B21" t="s">
        <v>14</v>
      </c>
      <c r="C21">
        <v>85.6</v>
      </c>
      <c r="D21">
        <v>88.6</v>
      </c>
      <c r="E21">
        <v>85.6</v>
      </c>
      <c r="F21">
        <v>86.85</v>
      </c>
      <c r="G21">
        <v>86.85</v>
      </c>
      <c r="H21">
        <v>84.7</v>
      </c>
      <c r="I21">
        <v>6258041</v>
      </c>
      <c r="J21">
        <v>545890906.39999998</v>
      </c>
      <c r="K21" s="1">
        <v>43777</v>
      </c>
      <c r="L21">
        <v>35698</v>
      </c>
      <c r="M21" t="s">
        <v>84</v>
      </c>
    </row>
    <row r="22" spans="1:13" x14ac:dyDescent="0.25">
      <c r="A22" t="s">
        <v>85</v>
      </c>
      <c r="B22" t="s">
        <v>14</v>
      </c>
      <c r="C22">
        <v>200.5</v>
      </c>
      <c r="D22">
        <v>227.7</v>
      </c>
      <c r="E22">
        <v>200.5</v>
      </c>
      <c r="F22">
        <v>204.6</v>
      </c>
      <c r="G22">
        <v>205.5</v>
      </c>
      <c r="H22">
        <v>202.5</v>
      </c>
      <c r="I22">
        <v>468140</v>
      </c>
      <c r="J22">
        <v>97467117.099999994</v>
      </c>
      <c r="K22" s="1">
        <v>43777</v>
      </c>
      <c r="L22">
        <v>9092</v>
      </c>
      <c r="M22" t="s">
        <v>87</v>
      </c>
    </row>
    <row r="23" spans="1:13" x14ac:dyDescent="0.25">
      <c r="A23" t="s">
        <v>6910</v>
      </c>
      <c r="B23" t="s">
        <v>14</v>
      </c>
      <c r="C23">
        <v>308</v>
      </c>
      <c r="D23">
        <v>308</v>
      </c>
      <c r="E23">
        <v>308</v>
      </c>
      <c r="F23">
        <v>308</v>
      </c>
      <c r="G23">
        <v>308</v>
      </c>
      <c r="H23">
        <v>308</v>
      </c>
      <c r="I23">
        <v>49</v>
      </c>
      <c r="J23">
        <v>15092</v>
      </c>
      <c r="K23" s="1">
        <v>43777</v>
      </c>
      <c r="L23">
        <v>2</v>
      </c>
      <c r="M23" t="s">
        <v>7791</v>
      </c>
    </row>
    <row r="24" spans="1:13" x14ac:dyDescent="0.25">
      <c r="A24" t="s">
        <v>6906</v>
      </c>
      <c r="B24" t="s">
        <v>14</v>
      </c>
      <c r="C24">
        <v>288.74</v>
      </c>
      <c r="D24">
        <v>288.74</v>
      </c>
      <c r="E24">
        <v>288.74</v>
      </c>
      <c r="F24">
        <v>288.74</v>
      </c>
      <c r="G24">
        <v>288.74</v>
      </c>
      <c r="H24">
        <v>287.57</v>
      </c>
      <c r="I24">
        <v>88</v>
      </c>
      <c r="J24">
        <v>25409.119999999999</v>
      </c>
      <c r="K24" s="1">
        <v>43777</v>
      </c>
      <c r="L24">
        <v>1</v>
      </c>
      <c r="M24" t="s">
        <v>7790</v>
      </c>
    </row>
    <row r="25" spans="1:13" x14ac:dyDescent="0.25">
      <c r="A25" t="s">
        <v>7789</v>
      </c>
      <c r="B25" t="s">
        <v>7076</v>
      </c>
      <c r="C25">
        <v>7.2</v>
      </c>
      <c r="D25">
        <v>7.2</v>
      </c>
      <c r="E25">
        <v>7.17</v>
      </c>
      <c r="F25">
        <v>7.17</v>
      </c>
      <c r="G25">
        <v>7.17</v>
      </c>
      <c r="H25">
        <v>7.2</v>
      </c>
      <c r="I25">
        <v>502</v>
      </c>
      <c r="J25">
        <v>3599.4</v>
      </c>
      <c r="K25" s="1">
        <v>43777</v>
      </c>
      <c r="L25">
        <v>3</v>
      </c>
      <c r="M25" t="s">
        <v>7788</v>
      </c>
    </row>
    <row r="26" spans="1:13" x14ac:dyDescent="0.25">
      <c r="A26" t="s">
        <v>94</v>
      </c>
      <c r="B26" t="s">
        <v>14</v>
      </c>
      <c r="C26">
        <v>1526.8</v>
      </c>
      <c r="D26">
        <v>1544</v>
      </c>
      <c r="E26">
        <v>1499.05</v>
      </c>
      <c r="F26">
        <v>1506.4</v>
      </c>
      <c r="G26">
        <v>1502</v>
      </c>
      <c r="H26">
        <v>1527.15</v>
      </c>
      <c r="I26">
        <v>635287</v>
      </c>
      <c r="J26">
        <v>968240342.29999995</v>
      </c>
      <c r="K26" s="1">
        <v>43777</v>
      </c>
      <c r="L26">
        <v>22465</v>
      </c>
      <c r="M26" t="s">
        <v>96</v>
      </c>
    </row>
    <row r="27" spans="1:13" x14ac:dyDescent="0.25">
      <c r="A27" t="s">
        <v>97</v>
      </c>
      <c r="B27" t="s">
        <v>14</v>
      </c>
      <c r="C27">
        <v>955.5</v>
      </c>
      <c r="D27">
        <v>969</v>
      </c>
      <c r="E27">
        <v>950</v>
      </c>
      <c r="F27">
        <v>964.8</v>
      </c>
      <c r="G27">
        <v>967</v>
      </c>
      <c r="H27">
        <v>955.5</v>
      </c>
      <c r="I27">
        <v>3883</v>
      </c>
      <c r="J27">
        <v>3738272.8</v>
      </c>
      <c r="K27" s="1">
        <v>43777</v>
      </c>
      <c r="L27">
        <v>413</v>
      </c>
      <c r="M27" t="s">
        <v>99</v>
      </c>
    </row>
    <row r="28" spans="1:13" x14ac:dyDescent="0.25">
      <c r="A28" t="s">
        <v>103</v>
      </c>
      <c r="B28" t="s">
        <v>14</v>
      </c>
      <c r="C28">
        <v>88.25</v>
      </c>
      <c r="D28">
        <v>88.35</v>
      </c>
      <c r="E28">
        <v>84.95</v>
      </c>
      <c r="F28">
        <v>85.15</v>
      </c>
      <c r="G28">
        <v>85.1</v>
      </c>
      <c r="H28">
        <v>88.4</v>
      </c>
      <c r="I28">
        <v>146900</v>
      </c>
      <c r="J28">
        <v>12633306.35</v>
      </c>
      <c r="K28" s="1">
        <v>43777</v>
      </c>
      <c r="L28">
        <v>1594</v>
      </c>
      <c r="M28" t="s">
        <v>105</v>
      </c>
    </row>
    <row r="29" spans="1:13" x14ac:dyDescent="0.25">
      <c r="A29" t="s">
        <v>118</v>
      </c>
      <c r="B29" t="s">
        <v>14</v>
      </c>
      <c r="C29">
        <v>208.7</v>
      </c>
      <c r="D29">
        <v>212</v>
      </c>
      <c r="E29">
        <v>206.2</v>
      </c>
      <c r="F29">
        <v>208.05</v>
      </c>
      <c r="G29">
        <v>207.25</v>
      </c>
      <c r="H29">
        <v>209.15</v>
      </c>
      <c r="I29">
        <v>4057743</v>
      </c>
      <c r="J29">
        <v>850681983.5</v>
      </c>
      <c r="K29" s="1">
        <v>43777</v>
      </c>
      <c r="L29">
        <v>23951</v>
      </c>
      <c r="M29" t="s">
        <v>120</v>
      </c>
    </row>
    <row r="30" spans="1:13" x14ac:dyDescent="0.25">
      <c r="A30" t="s">
        <v>7787</v>
      </c>
      <c r="B30" t="s">
        <v>14</v>
      </c>
      <c r="C30">
        <v>147.44999999999999</v>
      </c>
      <c r="D30">
        <v>148.69999999999999</v>
      </c>
      <c r="E30">
        <v>146.6</v>
      </c>
      <c r="F30">
        <v>146.80000000000001</v>
      </c>
      <c r="G30">
        <v>147.05000000000001</v>
      </c>
      <c r="H30">
        <v>147.35</v>
      </c>
      <c r="I30">
        <v>557647</v>
      </c>
      <c r="J30">
        <v>82290242.299999997</v>
      </c>
      <c r="K30" s="1">
        <v>43777</v>
      </c>
      <c r="L30">
        <v>4007</v>
      </c>
      <c r="M30" t="s">
        <v>501</v>
      </c>
    </row>
    <row r="31" spans="1:13" x14ac:dyDescent="0.25">
      <c r="A31" t="s">
        <v>121</v>
      </c>
      <c r="B31" t="s">
        <v>14</v>
      </c>
      <c r="C31">
        <v>88.8</v>
      </c>
      <c r="D31">
        <v>89.6</v>
      </c>
      <c r="E31">
        <v>83.6</v>
      </c>
      <c r="F31">
        <v>86.7</v>
      </c>
      <c r="G31">
        <v>86.8</v>
      </c>
      <c r="H31">
        <v>88.7</v>
      </c>
      <c r="I31">
        <v>1403419</v>
      </c>
      <c r="J31">
        <v>121969637.7</v>
      </c>
      <c r="K31" s="1">
        <v>43777</v>
      </c>
      <c r="L31">
        <v>8262</v>
      </c>
      <c r="M31" t="s">
        <v>123</v>
      </c>
    </row>
    <row r="32" spans="1:13" x14ac:dyDescent="0.25">
      <c r="A32" t="s">
        <v>124</v>
      </c>
      <c r="B32" t="s">
        <v>14</v>
      </c>
      <c r="C32">
        <v>391.2</v>
      </c>
      <c r="D32">
        <v>391.2</v>
      </c>
      <c r="E32">
        <v>385.5</v>
      </c>
      <c r="F32">
        <v>386.15</v>
      </c>
      <c r="G32">
        <v>385.5</v>
      </c>
      <c r="H32">
        <v>390.45</v>
      </c>
      <c r="I32">
        <v>1206504</v>
      </c>
      <c r="J32">
        <v>469297176.10000002</v>
      </c>
      <c r="K32" s="1">
        <v>43777</v>
      </c>
      <c r="L32">
        <v>16064</v>
      </c>
      <c r="M32" t="s">
        <v>126</v>
      </c>
    </row>
    <row r="33" spans="1:13" x14ac:dyDescent="0.25">
      <c r="A33" t="s">
        <v>127</v>
      </c>
      <c r="B33" t="s">
        <v>14</v>
      </c>
      <c r="C33">
        <v>70.3</v>
      </c>
      <c r="D33">
        <v>72.099999999999994</v>
      </c>
      <c r="E33">
        <v>68.3</v>
      </c>
      <c r="F33">
        <v>68.7</v>
      </c>
      <c r="G33">
        <v>68.349999999999994</v>
      </c>
      <c r="H33">
        <v>70.55</v>
      </c>
      <c r="I33">
        <v>8559882</v>
      </c>
      <c r="J33">
        <v>601929720.85000002</v>
      </c>
      <c r="K33" s="1">
        <v>43777</v>
      </c>
      <c r="L33">
        <v>22712</v>
      </c>
      <c r="M33" t="s">
        <v>129</v>
      </c>
    </row>
    <row r="34" spans="1:13" x14ac:dyDescent="0.25">
      <c r="A34" t="s">
        <v>7786</v>
      </c>
      <c r="B34" t="s">
        <v>14</v>
      </c>
      <c r="C34">
        <v>301</v>
      </c>
      <c r="D34">
        <v>304.89999999999998</v>
      </c>
      <c r="E34">
        <v>285</v>
      </c>
      <c r="F34">
        <v>286.85000000000002</v>
      </c>
      <c r="G34">
        <v>286</v>
      </c>
      <c r="H34">
        <v>298.55</v>
      </c>
      <c r="I34">
        <v>664417</v>
      </c>
      <c r="J34">
        <v>196254416.84999999</v>
      </c>
      <c r="K34" s="1">
        <v>43777</v>
      </c>
      <c r="L34">
        <v>11192</v>
      </c>
      <c r="M34" t="s">
        <v>117</v>
      </c>
    </row>
    <row r="35" spans="1:13" x14ac:dyDescent="0.25">
      <c r="A35" t="s">
        <v>130</v>
      </c>
      <c r="B35" t="s">
        <v>14</v>
      </c>
      <c r="C35">
        <v>307</v>
      </c>
      <c r="D35">
        <v>316.39999999999998</v>
      </c>
      <c r="E35">
        <v>298.10000000000002</v>
      </c>
      <c r="F35">
        <v>300.85000000000002</v>
      </c>
      <c r="G35">
        <v>301.64999999999998</v>
      </c>
      <c r="H35">
        <v>308.35000000000002</v>
      </c>
      <c r="I35">
        <v>107698</v>
      </c>
      <c r="J35">
        <v>33199385</v>
      </c>
      <c r="K35" s="1">
        <v>43777</v>
      </c>
      <c r="L35">
        <v>2867</v>
      </c>
      <c r="M35" t="s">
        <v>7785</v>
      </c>
    </row>
    <row r="36" spans="1:13" x14ac:dyDescent="0.25">
      <c r="A36" t="s">
        <v>7784</v>
      </c>
      <c r="B36" t="s">
        <v>786</v>
      </c>
      <c r="C36">
        <v>0.6</v>
      </c>
      <c r="D36">
        <v>0.6</v>
      </c>
      <c r="E36">
        <v>0.55000000000000004</v>
      </c>
      <c r="F36">
        <v>0.55000000000000004</v>
      </c>
      <c r="G36">
        <v>0.55000000000000004</v>
      </c>
      <c r="H36">
        <v>0.6</v>
      </c>
      <c r="I36">
        <v>1191</v>
      </c>
      <c r="J36">
        <v>665.05</v>
      </c>
      <c r="K36" s="1">
        <v>43777</v>
      </c>
      <c r="L36">
        <v>9</v>
      </c>
      <c r="M36" t="s">
        <v>7783</v>
      </c>
    </row>
    <row r="37" spans="1:13" x14ac:dyDescent="0.25">
      <c r="A37" t="s">
        <v>7782</v>
      </c>
      <c r="B37" t="s">
        <v>14</v>
      </c>
      <c r="C37">
        <v>118.1</v>
      </c>
      <c r="D37">
        <v>120.5</v>
      </c>
      <c r="E37">
        <v>113.5</v>
      </c>
      <c r="F37">
        <v>115.35</v>
      </c>
      <c r="G37">
        <v>114.65</v>
      </c>
      <c r="H37">
        <v>118.2</v>
      </c>
      <c r="I37">
        <v>84244</v>
      </c>
      <c r="J37">
        <v>9898142.6500000004</v>
      </c>
      <c r="K37" s="1">
        <v>43777</v>
      </c>
      <c r="L37">
        <v>1402</v>
      </c>
      <c r="M37" t="s">
        <v>2284</v>
      </c>
    </row>
    <row r="38" spans="1:13" x14ac:dyDescent="0.25">
      <c r="A38" t="s">
        <v>7781</v>
      </c>
      <c r="B38" t="s">
        <v>10</v>
      </c>
      <c r="C38">
        <v>3.15</v>
      </c>
      <c r="D38">
        <v>3.15</v>
      </c>
      <c r="E38">
        <v>3.15</v>
      </c>
      <c r="F38">
        <v>3.15</v>
      </c>
      <c r="G38">
        <v>3.15</v>
      </c>
      <c r="H38">
        <v>3</v>
      </c>
      <c r="I38">
        <v>10405</v>
      </c>
      <c r="J38">
        <v>32775.75</v>
      </c>
      <c r="K38" s="1">
        <v>43777</v>
      </c>
      <c r="L38">
        <v>21</v>
      </c>
      <c r="M38" t="s">
        <v>2272</v>
      </c>
    </row>
    <row r="39" spans="1:13" x14ac:dyDescent="0.25">
      <c r="A39" t="s">
        <v>136</v>
      </c>
      <c r="B39" t="s">
        <v>14</v>
      </c>
      <c r="C39">
        <v>319.39999999999998</v>
      </c>
      <c r="D39">
        <v>321</v>
      </c>
      <c r="E39">
        <v>311.10000000000002</v>
      </c>
      <c r="F39">
        <v>312.8</v>
      </c>
      <c r="G39">
        <v>312</v>
      </c>
      <c r="H39">
        <v>315.5</v>
      </c>
      <c r="I39">
        <v>5946</v>
      </c>
      <c r="J39">
        <v>1868451.15</v>
      </c>
      <c r="K39" s="1">
        <v>43777</v>
      </c>
      <c r="L39">
        <v>296</v>
      </c>
      <c r="M39" t="s">
        <v>138</v>
      </c>
    </row>
    <row r="40" spans="1:13" x14ac:dyDescent="0.25">
      <c r="A40" t="s">
        <v>139</v>
      </c>
      <c r="B40" t="s">
        <v>10</v>
      </c>
      <c r="C40">
        <v>8.1999999999999993</v>
      </c>
      <c r="D40">
        <v>8.85</v>
      </c>
      <c r="E40">
        <v>8.1999999999999993</v>
      </c>
      <c r="F40">
        <v>8.75</v>
      </c>
      <c r="G40">
        <v>8.75</v>
      </c>
      <c r="H40">
        <v>8.4499999999999993</v>
      </c>
      <c r="I40">
        <v>908</v>
      </c>
      <c r="J40">
        <v>7798.6</v>
      </c>
      <c r="K40" s="1">
        <v>43777</v>
      </c>
      <c r="L40">
        <v>16</v>
      </c>
      <c r="M40" t="s">
        <v>141</v>
      </c>
    </row>
    <row r="41" spans="1:13" x14ac:dyDescent="0.25">
      <c r="A41" t="s">
        <v>142</v>
      </c>
      <c r="B41" t="s">
        <v>14</v>
      </c>
      <c r="C41">
        <v>15</v>
      </c>
      <c r="D41">
        <v>15.4</v>
      </c>
      <c r="E41">
        <v>14.7</v>
      </c>
      <c r="F41">
        <v>15</v>
      </c>
      <c r="G41">
        <v>15</v>
      </c>
      <c r="H41">
        <v>15.05</v>
      </c>
      <c r="I41">
        <v>23485</v>
      </c>
      <c r="J41">
        <v>350871.05</v>
      </c>
      <c r="K41" s="1">
        <v>43777</v>
      </c>
      <c r="L41">
        <v>74</v>
      </c>
      <c r="M41" t="s">
        <v>144</v>
      </c>
    </row>
    <row r="42" spans="1:13" x14ac:dyDescent="0.25">
      <c r="A42" t="s">
        <v>145</v>
      </c>
      <c r="B42" t="s">
        <v>14</v>
      </c>
      <c r="C42">
        <v>57.45</v>
      </c>
      <c r="D42">
        <v>58.9</v>
      </c>
      <c r="E42">
        <v>57</v>
      </c>
      <c r="F42">
        <v>57.85</v>
      </c>
      <c r="G42">
        <v>57.95</v>
      </c>
      <c r="H42">
        <v>58.15</v>
      </c>
      <c r="I42">
        <v>4040</v>
      </c>
      <c r="J42">
        <v>232571.5</v>
      </c>
      <c r="K42" s="1">
        <v>43777</v>
      </c>
      <c r="L42">
        <v>69</v>
      </c>
      <c r="M42" t="s">
        <v>147</v>
      </c>
    </row>
    <row r="43" spans="1:13" x14ac:dyDescent="0.25">
      <c r="A43" t="s">
        <v>148</v>
      </c>
      <c r="B43" t="s">
        <v>14</v>
      </c>
      <c r="C43">
        <v>178</v>
      </c>
      <c r="D43">
        <v>182.85</v>
      </c>
      <c r="E43">
        <v>178</v>
      </c>
      <c r="F43">
        <v>178.1</v>
      </c>
      <c r="G43">
        <v>178.25</v>
      </c>
      <c r="H43">
        <v>178.6</v>
      </c>
      <c r="I43">
        <v>87400</v>
      </c>
      <c r="J43">
        <v>15682148.35</v>
      </c>
      <c r="K43" s="1">
        <v>43777</v>
      </c>
      <c r="L43">
        <v>2601</v>
      </c>
      <c r="M43" t="s">
        <v>150</v>
      </c>
    </row>
    <row r="44" spans="1:13" x14ac:dyDescent="0.25">
      <c r="A44" t="s">
        <v>151</v>
      </c>
      <c r="B44" t="s">
        <v>14</v>
      </c>
      <c r="C44">
        <v>168.9</v>
      </c>
      <c r="D44">
        <v>169.1</v>
      </c>
      <c r="E44">
        <v>162.6</v>
      </c>
      <c r="F44">
        <v>163.44999999999999</v>
      </c>
      <c r="G44">
        <v>163.95</v>
      </c>
      <c r="H44">
        <v>168.05</v>
      </c>
      <c r="I44">
        <v>158869</v>
      </c>
      <c r="J44">
        <v>26245505</v>
      </c>
      <c r="K44" s="1">
        <v>43777</v>
      </c>
      <c r="L44">
        <v>3329</v>
      </c>
      <c r="M44" t="s">
        <v>153</v>
      </c>
    </row>
    <row r="45" spans="1:13" x14ac:dyDescent="0.25">
      <c r="A45" t="s">
        <v>160</v>
      </c>
      <c r="B45" t="s">
        <v>14</v>
      </c>
      <c r="C45">
        <v>1388</v>
      </c>
      <c r="D45">
        <v>1428</v>
      </c>
      <c r="E45">
        <v>1366.3</v>
      </c>
      <c r="F45">
        <v>1395.75</v>
      </c>
      <c r="G45">
        <v>1400</v>
      </c>
      <c r="H45">
        <v>1356.35</v>
      </c>
      <c r="I45">
        <v>273487</v>
      </c>
      <c r="J45">
        <v>383282911</v>
      </c>
      <c r="K45" s="1">
        <v>43777</v>
      </c>
      <c r="L45">
        <v>17148</v>
      </c>
      <c r="M45" t="s">
        <v>7780</v>
      </c>
    </row>
    <row r="46" spans="1:13" x14ac:dyDescent="0.25">
      <c r="A46" t="s">
        <v>163</v>
      </c>
      <c r="B46" t="s">
        <v>14</v>
      </c>
      <c r="C46">
        <v>119.9</v>
      </c>
      <c r="D46">
        <v>119.9</v>
      </c>
      <c r="E46">
        <v>113.1</v>
      </c>
      <c r="F46">
        <v>114.95</v>
      </c>
      <c r="G46">
        <v>114.65</v>
      </c>
      <c r="H46">
        <v>116.9</v>
      </c>
      <c r="I46">
        <v>2959</v>
      </c>
      <c r="J46">
        <v>340474.8</v>
      </c>
      <c r="K46" s="1">
        <v>43777</v>
      </c>
      <c r="L46">
        <v>48</v>
      </c>
      <c r="M46" t="s">
        <v>165</v>
      </c>
    </row>
    <row r="47" spans="1:13" x14ac:dyDescent="0.25">
      <c r="A47" t="s">
        <v>7779</v>
      </c>
      <c r="B47" t="s">
        <v>10</v>
      </c>
      <c r="C47">
        <v>112.15</v>
      </c>
      <c r="D47">
        <v>122.5</v>
      </c>
      <c r="E47">
        <v>112.15</v>
      </c>
      <c r="F47">
        <v>119.95</v>
      </c>
      <c r="G47">
        <v>120</v>
      </c>
      <c r="H47">
        <v>116.8</v>
      </c>
      <c r="I47">
        <v>2731</v>
      </c>
      <c r="J47">
        <v>324279.65000000002</v>
      </c>
      <c r="K47" s="1">
        <v>43777</v>
      </c>
      <c r="L47">
        <v>24</v>
      </c>
      <c r="M47" t="s">
        <v>7778</v>
      </c>
    </row>
    <row r="48" spans="1:13" x14ac:dyDescent="0.25">
      <c r="A48" t="s">
        <v>169</v>
      </c>
      <c r="B48" t="s">
        <v>14</v>
      </c>
      <c r="C48">
        <v>46.95</v>
      </c>
      <c r="D48">
        <v>47.75</v>
      </c>
      <c r="E48">
        <v>46.15</v>
      </c>
      <c r="F48">
        <v>46.7</v>
      </c>
      <c r="G48">
        <v>46.9</v>
      </c>
      <c r="H48">
        <v>46.65</v>
      </c>
      <c r="I48">
        <v>7940</v>
      </c>
      <c r="J48">
        <v>372497.25</v>
      </c>
      <c r="K48" s="1">
        <v>43777</v>
      </c>
      <c r="L48">
        <v>275</v>
      </c>
      <c r="M48" t="s">
        <v>171</v>
      </c>
    </row>
    <row r="49" spans="1:13" x14ac:dyDescent="0.25">
      <c r="A49" t="s">
        <v>172</v>
      </c>
      <c r="B49" t="s">
        <v>14</v>
      </c>
      <c r="C49">
        <v>120</v>
      </c>
      <c r="D49">
        <v>121.1</v>
      </c>
      <c r="E49">
        <v>119.75</v>
      </c>
      <c r="F49">
        <v>120.8</v>
      </c>
      <c r="G49">
        <v>120.8</v>
      </c>
      <c r="H49">
        <v>119.15</v>
      </c>
      <c r="I49">
        <v>861237</v>
      </c>
      <c r="J49">
        <v>103862646.59999999</v>
      </c>
      <c r="K49" s="1">
        <v>43777</v>
      </c>
      <c r="L49">
        <v>47533</v>
      </c>
      <c r="M49" t="s">
        <v>174</v>
      </c>
    </row>
    <row r="50" spans="1:13" x14ac:dyDescent="0.25">
      <c r="A50" t="s">
        <v>181</v>
      </c>
      <c r="B50" t="s">
        <v>5788</v>
      </c>
      <c r="C50">
        <v>57.9</v>
      </c>
      <c r="D50">
        <v>57.9</v>
      </c>
      <c r="E50">
        <v>57.9</v>
      </c>
      <c r="F50">
        <v>57.9</v>
      </c>
      <c r="G50">
        <v>57.9</v>
      </c>
      <c r="H50">
        <v>58</v>
      </c>
      <c r="I50">
        <v>1000</v>
      </c>
      <c r="J50">
        <v>57900</v>
      </c>
      <c r="K50" s="1">
        <v>43777</v>
      </c>
      <c r="L50">
        <v>1</v>
      </c>
      <c r="M50" t="s">
        <v>183</v>
      </c>
    </row>
    <row r="51" spans="1:13" x14ac:dyDescent="0.25">
      <c r="A51" t="s">
        <v>184</v>
      </c>
      <c r="B51" t="s">
        <v>14</v>
      </c>
      <c r="C51">
        <v>196</v>
      </c>
      <c r="D51">
        <v>196.95</v>
      </c>
      <c r="E51">
        <v>180.95</v>
      </c>
      <c r="F51">
        <v>181</v>
      </c>
      <c r="G51">
        <v>181</v>
      </c>
      <c r="H51">
        <v>184.8</v>
      </c>
      <c r="I51">
        <v>1175</v>
      </c>
      <c r="J51">
        <v>213676.79999999999</v>
      </c>
      <c r="K51" s="1">
        <v>43777</v>
      </c>
      <c r="L51">
        <v>87</v>
      </c>
      <c r="M51" t="s">
        <v>186</v>
      </c>
    </row>
    <row r="52" spans="1:13" x14ac:dyDescent="0.25">
      <c r="A52" t="s">
        <v>187</v>
      </c>
      <c r="B52" t="s">
        <v>14</v>
      </c>
      <c r="C52">
        <v>300.5</v>
      </c>
      <c r="D52">
        <v>304.35000000000002</v>
      </c>
      <c r="E52">
        <v>296.85000000000002</v>
      </c>
      <c r="F52">
        <v>300.75</v>
      </c>
      <c r="G52">
        <v>303.8</v>
      </c>
      <c r="H52">
        <v>299.7</v>
      </c>
      <c r="I52">
        <v>12699</v>
      </c>
      <c r="J52">
        <v>3807036.15</v>
      </c>
      <c r="K52" s="1">
        <v>43777</v>
      </c>
      <c r="L52">
        <v>1500</v>
      </c>
      <c r="M52" t="s">
        <v>189</v>
      </c>
    </row>
    <row r="53" spans="1:13" x14ac:dyDescent="0.25">
      <c r="A53" t="s">
        <v>7777</v>
      </c>
      <c r="B53" t="s">
        <v>14</v>
      </c>
      <c r="C53">
        <v>273</v>
      </c>
      <c r="D53">
        <v>285.05</v>
      </c>
      <c r="E53">
        <v>268</v>
      </c>
      <c r="F53">
        <v>270</v>
      </c>
      <c r="G53">
        <v>268</v>
      </c>
      <c r="H53">
        <v>271.95</v>
      </c>
      <c r="I53">
        <v>371</v>
      </c>
      <c r="J53">
        <v>102942.05</v>
      </c>
      <c r="K53" s="1">
        <v>43777</v>
      </c>
      <c r="L53">
        <v>171</v>
      </c>
      <c r="M53" t="s">
        <v>7776</v>
      </c>
    </row>
    <row r="54" spans="1:13" x14ac:dyDescent="0.25">
      <c r="A54" t="s">
        <v>190</v>
      </c>
      <c r="B54" t="s">
        <v>14</v>
      </c>
      <c r="C54">
        <v>1676.2</v>
      </c>
      <c r="D54">
        <v>1702</v>
      </c>
      <c r="E54">
        <v>1670</v>
      </c>
      <c r="F54">
        <v>1686</v>
      </c>
      <c r="G54">
        <v>1698</v>
      </c>
      <c r="H54">
        <v>1692.7</v>
      </c>
      <c r="I54">
        <v>33519</v>
      </c>
      <c r="J54">
        <v>56302597.850000001</v>
      </c>
      <c r="K54" s="1">
        <v>43777</v>
      </c>
      <c r="L54">
        <v>1244</v>
      </c>
      <c r="M54" t="s">
        <v>192</v>
      </c>
    </row>
    <row r="55" spans="1:13" x14ac:dyDescent="0.25">
      <c r="A55" t="s">
        <v>7775</v>
      </c>
      <c r="B55" t="s">
        <v>14</v>
      </c>
      <c r="C55">
        <v>9.9</v>
      </c>
      <c r="D55">
        <v>10.15</v>
      </c>
      <c r="E55">
        <v>9.8000000000000007</v>
      </c>
      <c r="F55">
        <v>9.9</v>
      </c>
      <c r="G55">
        <v>10</v>
      </c>
      <c r="H55">
        <v>10</v>
      </c>
      <c r="I55">
        <v>112202</v>
      </c>
      <c r="J55">
        <v>1121695.55</v>
      </c>
      <c r="K55" s="1">
        <v>43777</v>
      </c>
      <c r="L55">
        <v>421</v>
      </c>
      <c r="M55" t="s">
        <v>7774</v>
      </c>
    </row>
    <row r="56" spans="1:13" x14ac:dyDescent="0.25">
      <c r="A56" t="s">
        <v>193</v>
      </c>
      <c r="B56" t="s">
        <v>14</v>
      </c>
      <c r="C56">
        <v>11.8</v>
      </c>
      <c r="D56">
        <v>12.1</v>
      </c>
      <c r="E56">
        <v>11</v>
      </c>
      <c r="F56">
        <v>11.25</v>
      </c>
      <c r="G56">
        <v>11.9</v>
      </c>
      <c r="H56">
        <v>11.55</v>
      </c>
      <c r="I56">
        <v>81982</v>
      </c>
      <c r="J56">
        <v>947678.55</v>
      </c>
      <c r="K56" s="1">
        <v>43777</v>
      </c>
      <c r="L56">
        <v>167</v>
      </c>
      <c r="M56" t="s">
        <v>195</v>
      </c>
    </row>
    <row r="57" spans="1:13" x14ac:dyDescent="0.25">
      <c r="A57" t="s">
        <v>199</v>
      </c>
      <c r="B57" t="s">
        <v>14</v>
      </c>
      <c r="C57">
        <v>991.2</v>
      </c>
      <c r="D57">
        <v>1003</v>
      </c>
      <c r="E57">
        <v>985</v>
      </c>
      <c r="F57">
        <v>988.8</v>
      </c>
      <c r="G57">
        <v>986</v>
      </c>
      <c r="H57">
        <v>991.3</v>
      </c>
      <c r="I57">
        <v>91434</v>
      </c>
      <c r="J57">
        <v>90936960.75</v>
      </c>
      <c r="K57" s="1">
        <v>43777</v>
      </c>
      <c r="L57">
        <v>7299</v>
      </c>
      <c r="M57" t="s">
        <v>201</v>
      </c>
    </row>
    <row r="58" spans="1:13" x14ac:dyDescent="0.25">
      <c r="A58" t="s">
        <v>202</v>
      </c>
      <c r="B58" t="s">
        <v>14</v>
      </c>
      <c r="C58">
        <v>135</v>
      </c>
      <c r="D58">
        <v>135</v>
      </c>
      <c r="E58">
        <v>128.19999999999999</v>
      </c>
      <c r="F58">
        <v>130.35</v>
      </c>
      <c r="G58">
        <v>130</v>
      </c>
      <c r="H58">
        <v>136.30000000000001</v>
      </c>
      <c r="I58">
        <v>80671</v>
      </c>
      <c r="J58">
        <v>10567761.699999999</v>
      </c>
      <c r="K58" s="1">
        <v>43777</v>
      </c>
      <c r="L58">
        <v>1905</v>
      </c>
      <c r="M58" t="s">
        <v>204</v>
      </c>
    </row>
    <row r="59" spans="1:13" x14ac:dyDescent="0.25">
      <c r="A59" t="s">
        <v>208</v>
      </c>
      <c r="B59" t="s">
        <v>14</v>
      </c>
      <c r="C59">
        <v>62.55</v>
      </c>
      <c r="D59">
        <v>63.25</v>
      </c>
      <c r="E59">
        <v>62</v>
      </c>
      <c r="F59">
        <v>63.2</v>
      </c>
      <c r="G59">
        <v>63.2</v>
      </c>
      <c r="H59">
        <v>62.5</v>
      </c>
      <c r="I59">
        <v>2205</v>
      </c>
      <c r="J59">
        <v>138213.75</v>
      </c>
      <c r="K59" s="1">
        <v>43777</v>
      </c>
      <c r="L59">
        <v>9</v>
      </c>
      <c r="M59" t="s">
        <v>210</v>
      </c>
    </row>
    <row r="60" spans="1:13" x14ac:dyDescent="0.25">
      <c r="A60" t="s">
        <v>220</v>
      </c>
      <c r="B60" t="s">
        <v>14</v>
      </c>
      <c r="C60">
        <v>214.9</v>
      </c>
      <c r="D60">
        <v>216</v>
      </c>
      <c r="E60">
        <v>211</v>
      </c>
      <c r="F60">
        <v>214</v>
      </c>
      <c r="G60">
        <v>216</v>
      </c>
      <c r="H60">
        <v>215</v>
      </c>
      <c r="I60">
        <v>2253</v>
      </c>
      <c r="J60">
        <v>481854.65</v>
      </c>
      <c r="K60" s="1">
        <v>43777</v>
      </c>
      <c r="L60">
        <v>228</v>
      </c>
      <c r="M60" t="s">
        <v>222</v>
      </c>
    </row>
    <row r="61" spans="1:13" x14ac:dyDescent="0.25">
      <c r="A61" t="s">
        <v>223</v>
      </c>
      <c r="B61" t="s">
        <v>14</v>
      </c>
      <c r="C61">
        <v>7.55</v>
      </c>
      <c r="D61">
        <v>7.55</v>
      </c>
      <c r="E61">
        <v>7.35</v>
      </c>
      <c r="F61">
        <v>7.5</v>
      </c>
      <c r="G61">
        <v>7.5</v>
      </c>
      <c r="H61">
        <v>7.55</v>
      </c>
      <c r="I61">
        <v>152548</v>
      </c>
      <c r="J61">
        <v>1137233.1499999999</v>
      </c>
      <c r="K61" s="1">
        <v>43777</v>
      </c>
      <c r="L61">
        <v>363</v>
      </c>
      <c r="M61" t="s">
        <v>225</v>
      </c>
    </row>
    <row r="62" spans="1:13" x14ac:dyDescent="0.25">
      <c r="A62" t="s">
        <v>226</v>
      </c>
      <c r="B62" t="s">
        <v>14</v>
      </c>
      <c r="C62">
        <v>2222</v>
      </c>
      <c r="D62">
        <v>2238.9499999999998</v>
      </c>
      <c r="E62">
        <v>2125.1</v>
      </c>
      <c r="F62">
        <v>2152.6999999999998</v>
      </c>
      <c r="G62">
        <v>2140</v>
      </c>
      <c r="H62">
        <v>2186.1999999999998</v>
      </c>
      <c r="I62">
        <v>15021</v>
      </c>
      <c r="J62">
        <v>32550173.850000001</v>
      </c>
      <c r="K62" s="1">
        <v>43777</v>
      </c>
      <c r="L62">
        <v>1718</v>
      </c>
      <c r="M62" t="s">
        <v>228</v>
      </c>
    </row>
    <row r="63" spans="1:13" x14ac:dyDescent="0.25">
      <c r="A63" t="s">
        <v>229</v>
      </c>
      <c r="B63" t="s">
        <v>14</v>
      </c>
      <c r="C63">
        <v>16</v>
      </c>
      <c r="D63">
        <v>16</v>
      </c>
      <c r="E63">
        <v>14.85</v>
      </c>
      <c r="F63">
        <v>14.85</v>
      </c>
      <c r="G63">
        <v>14.85</v>
      </c>
      <c r="H63">
        <v>15.6</v>
      </c>
      <c r="I63">
        <v>73397</v>
      </c>
      <c r="J63">
        <v>1108059</v>
      </c>
      <c r="K63" s="1">
        <v>43777</v>
      </c>
      <c r="L63">
        <v>259</v>
      </c>
      <c r="M63" t="s">
        <v>231</v>
      </c>
    </row>
    <row r="64" spans="1:13" x14ac:dyDescent="0.25">
      <c r="A64" t="s">
        <v>232</v>
      </c>
      <c r="B64" t="s">
        <v>14</v>
      </c>
      <c r="C64">
        <v>402</v>
      </c>
      <c r="D64">
        <v>409</v>
      </c>
      <c r="E64">
        <v>393.2</v>
      </c>
      <c r="F64">
        <v>402.4</v>
      </c>
      <c r="G64">
        <v>406.95</v>
      </c>
      <c r="H64">
        <v>403.95</v>
      </c>
      <c r="I64">
        <v>1821</v>
      </c>
      <c r="J64">
        <v>730636.25</v>
      </c>
      <c r="K64" s="1">
        <v>43777</v>
      </c>
      <c r="L64">
        <v>213</v>
      </c>
      <c r="M64" t="s">
        <v>234</v>
      </c>
    </row>
    <row r="65" spans="1:13" x14ac:dyDescent="0.25">
      <c r="A65" t="s">
        <v>7773</v>
      </c>
      <c r="B65" t="s">
        <v>14</v>
      </c>
      <c r="C65">
        <v>27.25</v>
      </c>
      <c r="D65">
        <v>27.6</v>
      </c>
      <c r="E65">
        <v>24</v>
      </c>
      <c r="F65">
        <v>25.95</v>
      </c>
      <c r="G65">
        <v>26.05</v>
      </c>
      <c r="H65">
        <v>27</v>
      </c>
      <c r="I65">
        <v>6214896</v>
      </c>
      <c r="J65">
        <v>158282638.69999999</v>
      </c>
      <c r="K65" s="1">
        <v>43777</v>
      </c>
      <c r="L65">
        <v>16941</v>
      </c>
      <c r="M65" t="s">
        <v>7772</v>
      </c>
    </row>
    <row r="66" spans="1:13" x14ac:dyDescent="0.25">
      <c r="A66" t="s">
        <v>7771</v>
      </c>
      <c r="B66" t="s">
        <v>10</v>
      </c>
      <c r="C66">
        <v>0.85</v>
      </c>
      <c r="D66">
        <v>0.85</v>
      </c>
      <c r="E66">
        <v>0.85</v>
      </c>
      <c r="F66">
        <v>0.85</v>
      </c>
      <c r="G66">
        <v>0.85</v>
      </c>
      <c r="H66">
        <v>0.85</v>
      </c>
      <c r="I66">
        <v>1500</v>
      </c>
      <c r="J66">
        <v>1275</v>
      </c>
      <c r="K66" s="1">
        <v>43777</v>
      </c>
      <c r="L66">
        <v>3</v>
      </c>
      <c r="M66" t="s">
        <v>7770</v>
      </c>
    </row>
    <row r="67" spans="1:13" x14ac:dyDescent="0.25">
      <c r="A67" t="s">
        <v>235</v>
      </c>
      <c r="B67" t="s">
        <v>14</v>
      </c>
      <c r="C67">
        <v>49</v>
      </c>
      <c r="D67">
        <v>50.4</v>
      </c>
      <c r="E67">
        <v>48.2</v>
      </c>
      <c r="F67">
        <v>49.95</v>
      </c>
      <c r="G67">
        <v>50.1</v>
      </c>
      <c r="H67">
        <v>48.75</v>
      </c>
      <c r="I67">
        <v>122492</v>
      </c>
      <c r="J67">
        <v>6076378.0499999998</v>
      </c>
      <c r="K67" s="1">
        <v>43777</v>
      </c>
      <c r="L67">
        <v>1160</v>
      </c>
      <c r="M67" t="s">
        <v>237</v>
      </c>
    </row>
    <row r="68" spans="1:13" x14ac:dyDescent="0.25">
      <c r="A68" t="s">
        <v>238</v>
      </c>
      <c r="B68" t="s">
        <v>14</v>
      </c>
      <c r="C68">
        <v>385.45</v>
      </c>
      <c r="D68">
        <v>389.95</v>
      </c>
      <c r="E68">
        <v>382</v>
      </c>
      <c r="F68">
        <v>385.85</v>
      </c>
      <c r="G68">
        <v>386</v>
      </c>
      <c r="H68">
        <v>389</v>
      </c>
      <c r="I68">
        <v>1597</v>
      </c>
      <c r="J68">
        <v>614667.35</v>
      </c>
      <c r="K68" s="1">
        <v>43777</v>
      </c>
      <c r="L68">
        <v>48</v>
      </c>
      <c r="M68" t="s">
        <v>240</v>
      </c>
    </row>
    <row r="69" spans="1:13" x14ac:dyDescent="0.25">
      <c r="A69" t="s">
        <v>241</v>
      </c>
      <c r="B69" t="s">
        <v>14</v>
      </c>
      <c r="C69">
        <v>52.95</v>
      </c>
      <c r="D69">
        <v>53.75</v>
      </c>
      <c r="E69">
        <v>51.1</v>
      </c>
      <c r="F69">
        <v>52.45</v>
      </c>
      <c r="G69">
        <v>52.6</v>
      </c>
      <c r="H69">
        <v>52.75</v>
      </c>
      <c r="I69">
        <v>15012</v>
      </c>
      <c r="J69">
        <v>793229.15</v>
      </c>
      <c r="K69" s="1">
        <v>43777</v>
      </c>
      <c r="L69">
        <v>261</v>
      </c>
      <c r="M69" t="s">
        <v>243</v>
      </c>
    </row>
    <row r="70" spans="1:13" x14ac:dyDescent="0.25">
      <c r="A70" t="s">
        <v>244</v>
      </c>
      <c r="B70" t="s">
        <v>14</v>
      </c>
      <c r="C70">
        <v>2005.1</v>
      </c>
      <c r="D70">
        <v>2048.3000000000002</v>
      </c>
      <c r="E70">
        <v>2005.1</v>
      </c>
      <c r="F70">
        <v>2034.25</v>
      </c>
      <c r="G70">
        <v>2037</v>
      </c>
      <c r="H70">
        <v>2006.95</v>
      </c>
      <c r="I70">
        <v>10123</v>
      </c>
      <c r="J70">
        <v>20519490.800000001</v>
      </c>
      <c r="K70" s="1">
        <v>43777</v>
      </c>
      <c r="L70">
        <v>1308</v>
      </c>
      <c r="M70" t="s">
        <v>246</v>
      </c>
    </row>
    <row r="71" spans="1:13" x14ac:dyDescent="0.25">
      <c r="A71" t="s">
        <v>247</v>
      </c>
      <c r="B71" t="s">
        <v>14</v>
      </c>
      <c r="C71">
        <v>1003.9</v>
      </c>
      <c r="D71">
        <v>1074.95</v>
      </c>
      <c r="E71">
        <v>992.3</v>
      </c>
      <c r="F71">
        <v>1015.2</v>
      </c>
      <c r="G71">
        <v>1016</v>
      </c>
      <c r="H71">
        <v>998.65</v>
      </c>
      <c r="I71">
        <v>69784</v>
      </c>
      <c r="J71">
        <v>72410991.799999997</v>
      </c>
      <c r="K71" s="1">
        <v>43777</v>
      </c>
      <c r="L71">
        <v>6672</v>
      </c>
      <c r="M71" t="s">
        <v>7769</v>
      </c>
    </row>
    <row r="72" spans="1:13" x14ac:dyDescent="0.25">
      <c r="A72" t="s">
        <v>250</v>
      </c>
      <c r="B72" t="s">
        <v>14</v>
      </c>
      <c r="C72">
        <v>106.65</v>
      </c>
      <c r="D72">
        <v>108.3</v>
      </c>
      <c r="E72">
        <v>100.5</v>
      </c>
      <c r="F72">
        <v>101.75</v>
      </c>
      <c r="G72">
        <v>102.5</v>
      </c>
      <c r="H72">
        <v>106.6</v>
      </c>
      <c r="I72">
        <v>166617</v>
      </c>
      <c r="J72">
        <v>17285054.649999999</v>
      </c>
      <c r="K72" s="1">
        <v>43777</v>
      </c>
      <c r="L72">
        <v>3086</v>
      </c>
      <c r="M72" t="s">
        <v>252</v>
      </c>
    </row>
    <row r="73" spans="1:13" x14ac:dyDescent="0.25">
      <c r="A73" t="s">
        <v>253</v>
      </c>
      <c r="B73" t="s">
        <v>14</v>
      </c>
      <c r="C73">
        <v>284.89999999999998</v>
      </c>
      <c r="D73">
        <v>287.7</v>
      </c>
      <c r="E73">
        <v>281.95</v>
      </c>
      <c r="F73">
        <v>283.35000000000002</v>
      </c>
      <c r="G73">
        <v>287</v>
      </c>
      <c r="H73">
        <v>282.7</v>
      </c>
      <c r="I73">
        <v>812</v>
      </c>
      <c r="J73">
        <v>231041.3</v>
      </c>
      <c r="K73" s="1">
        <v>43777</v>
      </c>
      <c r="L73">
        <v>174</v>
      </c>
      <c r="M73" t="s">
        <v>255</v>
      </c>
    </row>
    <row r="74" spans="1:13" x14ac:dyDescent="0.25">
      <c r="A74" t="s">
        <v>7768</v>
      </c>
      <c r="B74" t="s">
        <v>14</v>
      </c>
      <c r="C74">
        <v>1.8</v>
      </c>
      <c r="D74">
        <v>1.8</v>
      </c>
      <c r="E74">
        <v>1.75</v>
      </c>
      <c r="F74">
        <v>1.8</v>
      </c>
      <c r="G74">
        <v>1.8</v>
      </c>
      <c r="H74">
        <v>1.75</v>
      </c>
      <c r="I74">
        <v>2563395</v>
      </c>
      <c r="J74">
        <v>4611576.95</v>
      </c>
      <c r="K74" s="1">
        <v>43777</v>
      </c>
      <c r="L74">
        <v>1234</v>
      </c>
      <c r="M74" t="s">
        <v>7767</v>
      </c>
    </row>
    <row r="75" spans="1:13" x14ac:dyDescent="0.25">
      <c r="A75" t="s">
        <v>262</v>
      </c>
      <c r="B75" t="s">
        <v>14</v>
      </c>
      <c r="C75">
        <v>18</v>
      </c>
      <c r="D75">
        <v>18.2</v>
      </c>
      <c r="E75">
        <v>17</v>
      </c>
      <c r="F75">
        <v>17.5</v>
      </c>
      <c r="G75">
        <v>17.7</v>
      </c>
      <c r="H75">
        <v>17.7</v>
      </c>
      <c r="I75">
        <v>34443</v>
      </c>
      <c r="J75">
        <v>610958.19999999995</v>
      </c>
      <c r="K75" s="1">
        <v>43777</v>
      </c>
      <c r="L75">
        <v>234</v>
      </c>
      <c r="M75" t="s">
        <v>264</v>
      </c>
    </row>
    <row r="76" spans="1:13" x14ac:dyDescent="0.25">
      <c r="A76" t="s">
        <v>265</v>
      </c>
      <c r="B76" t="s">
        <v>14</v>
      </c>
      <c r="C76">
        <v>188</v>
      </c>
      <c r="D76">
        <v>193.2</v>
      </c>
      <c r="E76">
        <v>183.2</v>
      </c>
      <c r="F76">
        <v>184.6</v>
      </c>
      <c r="G76">
        <v>186</v>
      </c>
      <c r="H76">
        <v>188.8</v>
      </c>
      <c r="I76">
        <v>10575</v>
      </c>
      <c r="J76">
        <v>1988670.85</v>
      </c>
      <c r="K76" s="1">
        <v>43777</v>
      </c>
      <c r="L76">
        <v>374</v>
      </c>
      <c r="M76" t="s">
        <v>267</v>
      </c>
    </row>
    <row r="77" spans="1:13" x14ac:dyDescent="0.25">
      <c r="A77" t="s">
        <v>268</v>
      </c>
      <c r="B77" t="s">
        <v>10</v>
      </c>
      <c r="C77">
        <v>0.5</v>
      </c>
      <c r="D77">
        <v>0.55000000000000004</v>
      </c>
      <c r="E77">
        <v>0.5</v>
      </c>
      <c r="F77">
        <v>0.55000000000000004</v>
      </c>
      <c r="G77">
        <v>0.55000000000000004</v>
      </c>
      <c r="H77">
        <v>0.5</v>
      </c>
      <c r="I77">
        <v>37701</v>
      </c>
      <c r="J77">
        <v>19133</v>
      </c>
      <c r="K77" s="1">
        <v>43777</v>
      </c>
      <c r="L77">
        <v>16</v>
      </c>
      <c r="M77" t="s">
        <v>270</v>
      </c>
    </row>
    <row r="78" spans="1:13" x14ac:dyDescent="0.25">
      <c r="A78" t="s">
        <v>7766</v>
      </c>
      <c r="B78" t="s">
        <v>14</v>
      </c>
      <c r="C78">
        <v>664</v>
      </c>
      <c r="D78">
        <v>674.2</v>
      </c>
      <c r="E78">
        <v>650.5</v>
      </c>
      <c r="F78">
        <v>654.20000000000005</v>
      </c>
      <c r="G78">
        <v>655.75</v>
      </c>
      <c r="H78">
        <v>662.5</v>
      </c>
      <c r="I78">
        <v>374273</v>
      </c>
      <c r="J78">
        <v>249176412</v>
      </c>
      <c r="K78" s="1">
        <v>43777</v>
      </c>
      <c r="L78">
        <v>10208</v>
      </c>
      <c r="M78" t="s">
        <v>378</v>
      </c>
    </row>
    <row r="79" spans="1:13" x14ac:dyDescent="0.25">
      <c r="A79" t="s">
        <v>271</v>
      </c>
      <c r="B79" t="s">
        <v>14</v>
      </c>
      <c r="C79">
        <v>1020</v>
      </c>
      <c r="D79">
        <v>1025.3499999999999</v>
      </c>
      <c r="E79">
        <v>965</v>
      </c>
      <c r="F79">
        <v>976.05</v>
      </c>
      <c r="G79">
        <v>968</v>
      </c>
      <c r="H79">
        <v>999.55</v>
      </c>
      <c r="I79">
        <v>173715</v>
      </c>
      <c r="J79">
        <v>173509167.90000001</v>
      </c>
      <c r="K79" s="1">
        <v>43777</v>
      </c>
      <c r="L79">
        <v>10268</v>
      </c>
      <c r="M79" t="s">
        <v>273</v>
      </c>
    </row>
    <row r="80" spans="1:13" x14ac:dyDescent="0.25">
      <c r="A80" t="s">
        <v>277</v>
      </c>
      <c r="B80" t="s">
        <v>14</v>
      </c>
      <c r="C80">
        <v>891.45</v>
      </c>
      <c r="D80">
        <v>908.95</v>
      </c>
      <c r="E80">
        <v>856</v>
      </c>
      <c r="F80">
        <v>864.3</v>
      </c>
      <c r="G80">
        <v>878.95</v>
      </c>
      <c r="H80">
        <v>899.05</v>
      </c>
      <c r="I80">
        <v>9425</v>
      </c>
      <c r="J80">
        <v>8340040.0999999996</v>
      </c>
      <c r="K80" s="1">
        <v>43777</v>
      </c>
      <c r="L80">
        <v>1032</v>
      </c>
      <c r="M80" t="s">
        <v>279</v>
      </c>
    </row>
    <row r="81" spans="1:13" x14ac:dyDescent="0.25">
      <c r="A81" t="s">
        <v>280</v>
      </c>
      <c r="B81" t="s">
        <v>14</v>
      </c>
      <c r="C81">
        <v>203.2</v>
      </c>
      <c r="D81">
        <v>204.9</v>
      </c>
      <c r="E81">
        <v>200</v>
      </c>
      <c r="F81">
        <v>202.25</v>
      </c>
      <c r="G81">
        <v>200.05</v>
      </c>
      <c r="H81">
        <v>203.2</v>
      </c>
      <c r="I81">
        <v>2181870</v>
      </c>
      <c r="J81">
        <v>441764329.75</v>
      </c>
      <c r="K81" s="1">
        <v>43777</v>
      </c>
      <c r="L81">
        <v>12193</v>
      </c>
      <c r="M81" t="s">
        <v>282</v>
      </c>
    </row>
    <row r="82" spans="1:13" x14ac:dyDescent="0.25">
      <c r="A82" t="s">
        <v>283</v>
      </c>
      <c r="B82" t="s">
        <v>14</v>
      </c>
      <c r="C82">
        <v>18.5</v>
      </c>
      <c r="D82">
        <v>19.95</v>
      </c>
      <c r="E82">
        <v>17.55</v>
      </c>
      <c r="F82">
        <v>19.75</v>
      </c>
      <c r="G82">
        <v>19.600000000000001</v>
      </c>
      <c r="H82">
        <v>19.2</v>
      </c>
      <c r="I82">
        <v>44477</v>
      </c>
      <c r="J82">
        <v>858171.5</v>
      </c>
      <c r="K82" s="1">
        <v>43777</v>
      </c>
      <c r="L82">
        <v>167</v>
      </c>
      <c r="M82" t="s">
        <v>285</v>
      </c>
    </row>
    <row r="83" spans="1:13" x14ac:dyDescent="0.25">
      <c r="A83" t="s">
        <v>289</v>
      </c>
      <c r="B83" t="s">
        <v>14</v>
      </c>
      <c r="C83">
        <v>19.399999999999999</v>
      </c>
      <c r="D83">
        <v>19.399999999999999</v>
      </c>
      <c r="E83">
        <v>18.25</v>
      </c>
      <c r="F83">
        <v>18.95</v>
      </c>
      <c r="G83">
        <v>18.75</v>
      </c>
      <c r="H83">
        <v>19.100000000000001</v>
      </c>
      <c r="I83">
        <v>16469</v>
      </c>
      <c r="J83">
        <v>307478.8</v>
      </c>
      <c r="K83" s="1">
        <v>43777</v>
      </c>
      <c r="L83">
        <v>122</v>
      </c>
      <c r="M83" t="s">
        <v>291</v>
      </c>
    </row>
    <row r="84" spans="1:13" x14ac:dyDescent="0.25">
      <c r="A84" t="s">
        <v>7765</v>
      </c>
      <c r="B84" t="s">
        <v>5788</v>
      </c>
      <c r="C84">
        <v>13.4</v>
      </c>
      <c r="D84">
        <v>13.4</v>
      </c>
      <c r="E84">
        <v>12.9</v>
      </c>
      <c r="F84">
        <v>13.4</v>
      </c>
      <c r="G84">
        <v>13.4</v>
      </c>
      <c r="H84">
        <v>12.8</v>
      </c>
      <c r="I84">
        <v>64000</v>
      </c>
      <c r="J84">
        <v>853600</v>
      </c>
      <c r="K84" s="1">
        <v>43777</v>
      </c>
      <c r="L84">
        <v>7</v>
      </c>
      <c r="M84" t="s">
        <v>7764</v>
      </c>
    </row>
    <row r="85" spans="1:13" x14ac:dyDescent="0.25">
      <c r="A85" t="s">
        <v>295</v>
      </c>
      <c r="B85" t="s">
        <v>14</v>
      </c>
      <c r="C85">
        <v>490</v>
      </c>
      <c r="D85">
        <v>497.85</v>
      </c>
      <c r="E85">
        <v>482.5</v>
      </c>
      <c r="F85">
        <v>492</v>
      </c>
      <c r="G85">
        <v>488</v>
      </c>
      <c r="H85">
        <v>488</v>
      </c>
      <c r="I85">
        <v>86243</v>
      </c>
      <c r="J85">
        <v>42430849.100000001</v>
      </c>
      <c r="K85" s="1">
        <v>43777</v>
      </c>
      <c r="L85">
        <v>3843</v>
      </c>
      <c r="M85" t="s">
        <v>297</v>
      </c>
    </row>
    <row r="86" spans="1:13" x14ac:dyDescent="0.25">
      <c r="A86" t="s">
        <v>301</v>
      </c>
      <c r="B86" t="s">
        <v>14</v>
      </c>
      <c r="C86">
        <v>33.700000000000003</v>
      </c>
      <c r="D86">
        <v>33.700000000000003</v>
      </c>
      <c r="E86">
        <v>33</v>
      </c>
      <c r="F86">
        <v>33.049999999999997</v>
      </c>
      <c r="G86">
        <v>33.1</v>
      </c>
      <c r="H86">
        <v>33.25</v>
      </c>
      <c r="I86">
        <v>159878</v>
      </c>
      <c r="J86">
        <v>5310525.95</v>
      </c>
      <c r="K86" s="1">
        <v>43777</v>
      </c>
      <c r="L86">
        <v>654</v>
      </c>
      <c r="M86" t="s">
        <v>303</v>
      </c>
    </row>
    <row r="87" spans="1:13" x14ac:dyDescent="0.25">
      <c r="A87" t="s">
        <v>7763</v>
      </c>
      <c r="B87" t="s">
        <v>14</v>
      </c>
      <c r="C87">
        <v>19.100000000000001</v>
      </c>
      <c r="D87">
        <v>19.149999999999999</v>
      </c>
      <c r="E87">
        <v>17.55</v>
      </c>
      <c r="F87">
        <v>18.05</v>
      </c>
      <c r="G87">
        <v>17.899999999999999</v>
      </c>
      <c r="H87">
        <v>18.649999999999999</v>
      </c>
      <c r="I87">
        <v>1638044</v>
      </c>
      <c r="J87">
        <v>30140930.600000001</v>
      </c>
      <c r="K87" s="1">
        <v>43777</v>
      </c>
      <c r="L87">
        <v>4121</v>
      </c>
      <c r="M87" t="s">
        <v>7762</v>
      </c>
    </row>
    <row r="88" spans="1:13" x14ac:dyDescent="0.25">
      <c r="A88" t="s">
        <v>7761</v>
      </c>
      <c r="B88" t="s">
        <v>10</v>
      </c>
      <c r="C88">
        <v>2.85</v>
      </c>
      <c r="D88">
        <v>2.85</v>
      </c>
      <c r="E88">
        <v>2.75</v>
      </c>
      <c r="F88">
        <v>2.8</v>
      </c>
      <c r="G88">
        <v>2.8</v>
      </c>
      <c r="H88">
        <v>2.75</v>
      </c>
      <c r="I88">
        <v>25207</v>
      </c>
      <c r="J88">
        <v>71307.75</v>
      </c>
      <c r="K88" s="1">
        <v>43777</v>
      </c>
      <c r="L88">
        <v>84</v>
      </c>
      <c r="M88" t="s">
        <v>7760</v>
      </c>
    </row>
    <row r="89" spans="1:13" x14ac:dyDescent="0.25">
      <c r="A89" t="s">
        <v>307</v>
      </c>
      <c r="B89" t="s">
        <v>14</v>
      </c>
      <c r="C89">
        <v>295.39999999999998</v>
      </c>
      <c r="D89">
        <v>295.39999999999998</v>
      </c>
      <c r="E89">
        <v>286.25</v>
      </c>
      <c r="F89">
        <v>290.10000000000002</v>
      </c>
      <c r="G89">
        <v>290.05</v>
      </c>
      <c r="H89">
        <v>278.64999999999998</v>
      </c>
      <c r="I89">
        <v>170500</v>
      </c>
      <c r="J89">
        <v>49554965.299999997</v>
      </c>
      <c r="K89" s="1">
        <v>43777</v>
      </c>
      <c r="L89">
        <v>5223</v>
      </c>
      <c r="M89" t="s">
        <v>7759</v>
      </c>
    </row>
    <row r="90" spans="1:13" x14ac:dyDescent="0.25">
      <c r="A90" t="s">
        <v>313</v>
      </c>
      <c r="B90" t="s">
        <v>10</v>
      </c>
      <c r="C90">
        <v>9</v>
      </c>
      <c r="D90">
        <v>9.4499999999999993</v>
      </c>
      <c r="E90">
        <v>9</v>
      </c>
      <c r="F90">
        <v>9.4499999999999993</v>
      </c>
      <c r="G90">
        <v>9.4499999999999993</v>
      </c>
      <c r="H90">
        <v>9</v>
      </c>
      <c r="I90">
        <v>3365</v>
      </c>
      <c r="J90">
        <v>31203.5</v>
      </c>
      <c r="K90" s="1">
        <v>43777</v>
      </c>
      <c r="L90">
        <v>26</v>
      </c>
      <c r="M90" t="s">
        <v>315</v>
      </c>
    </row>
    <row r="91" spans="1:13" x14ac:dyDescent="0.25">
      <c r="A91" t="s">
        <v>316</v>
      </c>
      <c r="B91" t="s">
        <v>10</v>
      </c>
      <c r="C91">
        <v>0.5</v>
      </c>
      <c r="D91">
        <v>0.55000000000000004</v>
      </c>
      <c r="E91">
        <v>0.5</v>
      </c>
      <c r="F91">
        <v>0.5</v>
      </c>
      <c r="G91">
        <v>0.5</v>
      </c>
      <c r="H91">
        <v>0.5</v>
      </c>
      <c r="I91">
        <v>27632</v>
      </c>
      <c r="J91">
        <v>14816</v>
      </c>
      <c r="K91" s="1">
        <v>43777</v>
      </c>
      <c r="L91">
        <v>17</v>
      </c>
      <c r="M91" t="s">
        <v>318</v>
      </c>
    </row>
    <row r="92" spans="1:13" x14ac:dyDescent="0.25">
      <c r="A92" t="s">
        <v>7758</v>
      </c>
      <c r="B92" t="s">
        <v>14</v>
      </c>
      <c r="C92">
        <v>5.55</v>
      </c>
      <c r="D92">
        <v>5.55</v>
      </c>
      <c r="E92">
        <v>5.55</v>
      </c>
      <c r="F92">
        <v>5.55</v>
      </c>
      <c r="G92">
        <v>5.55</v>
      </c>
      <c r="H92">
        <v>5.3</v>
      </c>
      <c r="I92">
        <v>23891</v>
      </c>
      <c r="J92">
        <v>132595.04999999999</v>
      </c>
      <c r="K92" s="1">
        <v>43777</v>
      </c>
      <c r="L92">
        <v>35</v>
      </c>
      <c r="M92" t="s">
        <v>7757</v>
      </c>
    </row>
    <row r="93" spans="1:13" x14ac:dyDescent="0.25">
      <c r="A93" t="s">
        <v>7756</v>
      </c>
      <c r="B93" t="s">
        <v>14</v>
      </c>
      <c r="C93">
        <v>7.7</v>
      </c>
      <c r="D93">
        <v>8.35</v>
      </c>
      <c r="E93">
        <v>7.6</v>
      </c>
      <c r="F93">
        <v>8.35</v>
      </c>
      <c r="G93">
        <v>8.35</v>
      </c>
      <c r="H93">
        <v>7.6</v>
      </c>
      <c r="I93">
        <v>922989</v>
      </c>
      <c r="J93">
        <v>7540354.4000000004</v>
      </c>
      <c r="K93" s="1">
        <v>43777</v>
      </c>
      <c r="L93">
        <v>1416</v>
      </c>
      <c r="M93" t="s">
        <v>7755</v>
      </c>
    </row>
    <row r="94" spans="1:13" x14ac:dyDescent="0.25">
      <c r="A94" t="s">
        <v>322</v>
      </c>
      <c r="B94" t="s">
        <v>10</v>
      </c>
      <c r="C94">
        <v>0.6</v>
      </c>
      <c r="D94">
        <v>0.7</v>
      </c>
      <c r="E94">
        <v>0.6</v>
      </c>
      <c r="F94">
        <v>0.7</v>
      </c>
      <c r="G94">
        <v>0.6</v>
      </c>
      <c r="H94">
        <v>0.65</v>
      </c>
      <c r="I94">
        <v>36937</v>
      </c>
      <c r="J94">
        <v>23232.25</v>
      </c>
      <c r="K94" s="1">
        <v>43777</v>
      </c>
      <c r="L94">
        <v>39</v>
      </c>
      <c r="M94" t="s">
        <v>324</v>
      </c>
    </row>
    <row r="95" spans="1:13" x14ac:dyDescent="0.25">
      <c r="A95" t="s">
        <v>325</v>
      </c>
      <c r="B95" t="s">
        <v>14</v>
      </c>
      <c r="C95">
        <v>475.15</v>
      </c>
      <c r="D95">
        <v>548</v>
      </c>
      <c r="E95">
        <v>475.15</v>
      </c>
      <c r="F95">
        <v>512.79999999999995</v>
      </c>
      <c r="G95">
        <v>516</v>
      </c>
      <c r="H95">
        <v>481.1</v>
      </c>
      <c r="I95">
        <v>47794</v>
      </c>
      <c r="J95">
        <v>24794927.100000001</v>
      </c>
      <c r="K95" s="1">
        <v>43777</v>
      </c>
      <c r="L95">
        <v>2757</v>
      </c>
      <c r="M95" t="s">
        <v>327</v>
      </c>
    </row>
    <row r="96" spans="1:13" x14ac:dyDescent="0.25">
      <c r="A96" t="s">
        <v>331</v>
      </c>
      <c r="B96" t="s">
        <v>14</v>
      </c>
      <c r="C96">
        <v>546.75</v>
      </c>
      <c r="D96">
        <v>546.75</v>
      </c>
      <c r="E96">
        <v>516.04999999999995</v>
      </c>
      <c r="F96">
        <v>519.70000000000005</v>
      </c>
      <c r="G96">
        <v>520.9</v>
      </c>
      <c r="H96">
        <v>549.6</v>
      </c>
      <c r="I96">
        <v>9634</v>
      </c>
      <c r="J96">
        <v>5054890.8499999996</v>
      </c>
      <c r="K96" s="1">
        <v>43777</v>
      </c>
      <c r="L96">
        <v>939</v>
      </c>
      <c r="M96" t="s">
        <v>333</v>
      </c>
    </row>
    <row r="97" spans="1:13" x14ac:dyDescent="0.25">
      <c r="A97" t="s">
        <v>334</v>
      </c>
      <c r="B97" t="s">
        <v>14</v>
      </c>
      <c r="C97">
        <v>162</v>
      </c>
      <c r="D97">
        <v>162.94999999999999</v>
      </c>
      <c r="E97">
        <v>147.55000000000001</v>
      </c>
      <c r="F97">
        <v>157.15</v>
      </c>
      <c r="G97">
        <v>158.80000000000001</v>
      </c>
      <c r="H97">
        <v>161</v>
      </c>
      <c r="I97">
        <v>23928</v>
      </c>
      <c r="J97">
        <v>3665881.3</v>
      </c>
      <c r="K97" s="1">
        <v>43777</v>
      </c>
      <c r="L97">
        <v>889</v>
      </c>
      <c r="M97" t="s">
        <v>336</v>
      </c>
    </row>
    <row r="98" spans="1:13" x14ac:dyDescent="0.25">
      <c r="A98" t="s">
        <v>337</v>
      </c>
      <c r="B98" t="s">
        <v>14</v>
      </c>
      <c r="C98">
        <v>165</v>
      </c>
      <c r="D98">
        <v>166.95</v>
      </c>
      <c r="E98">
        <v>164.65</v>
      </c>
      <c r="F98">
        <v>166.05</v>
      </c>
      <c r="G98">
        <v>166</v>
      </c>
      <c r="H98">
        <v>165.55</v>
      </c>
      <c r="I98">
        <v>12046</v>
      </c>
      <c r="J98">
        <v>1999928.9</v>
      </c>
      <c r="K98" s="1">
        <v>43777</v>
      </c>
      <c r="L98">
        <v>338</v>
      </c>
      <c r="M98" t="s">
        <v>339</v>
      </c>
    </row>
    <row r="99" spans="1:13" x14ac:dyDescent="0.25">
      <c r="A99" t="s">
        <v>340</v>
      </c>
      <c r="B99" t="s">
        <v>14</v>
      </c>
      <c r="C99">
        <v>286</v>
      </c>
      <c r="D99">
        <v>329</v>
      </c>
      <c r="E99">
        <v>281</v>
      </c>
      <c r="F99">
        <v>315.95</v>
      </c>
      <c r="G99">
        <v>312.95</v>
      </c>
      <c r="H99">
        <v>279.75</v>
      </c>
      <c r="I99">
        <v>2099510</v>
      </c>
      <c r="J99">
        <v>657346660.29999995</v>
      </c>
      <c r="K99" s="1">
        <v>43777</v>
      </c>
      <c r="L99">
        <v>39237</v>
      </c>
      <c r="M99" t="s">
        <v>342</v>
      </c>
    </row>
    <row r="100" spans="1:13" x14ac:dyDescent="0.25">
      <c r="A100" t="s">
        <v>343</v>
      </c>
      <c r="B100" t="s">
        <v>14</v>
      </c>
      <c r="C100">
        <v>1469.45</v>
      </c>
      <c r="D100">
        <v>1486</v>
      </c>
      <c r="E100">
        <v>1426.45</v>
      </c>
      <c r="F100">
        <v>1438.55</v>
      </c>
      <c r="G100">
        <v>1448.5</v>
      </c>
      <c r="H100">
        <v>1454.15</v>
      </c>
      <c r="I100">
        <v>10272</v>
      </c>
      <c r="J100">
        <v>14949410.199999999</v>
      </c>
      <c r="K100" s="1">
        <v>43777</v>
      </c>
      <c r="L100">
        <v>1330</v>
      </c>
      <c r="M100" t="s">
        <v>7754</v>
      </c>
    </row>
    <row r="101" spans="1:13" x14ac:dyDescent="0.25">
      <c r="A101" t="s">
        <v>346</v>
      </c>
      <c r="B101" t="s">
        <v>14</v>
      </c>
      <c r="C101">
        <v>577.25</v>
      </c>
      <c r="D101">
        <v>586.45000000000005</v>
      </c>
      <c r="E101">
        <v>571.29999999999995</v>
      </c>
      <c r="F101">
        <v>577.04999999999995</v>
      </c>
      <c r="G101">
        <v>576</v>
      </c>
      <c r="H101">
        <v>576.45000000000005</v>
      </c>
      <c r="I101">
        <v>82911</v>
      </c>
      <c r="J101">
        <v>48064324.850000001</v>
      </c>
      <c r="K101" s="1">
        <v>43777</v>
      </c>
      <c r="L101">
        <v>1960</v>
      </c>
      <c r="M101" t="s">
        <v>348</v>
      </c>
    </row>
    <row r="102" spans="1:13" x14ac:dyDescent="0.25">
      <c r="A102" t="s">
        <v>349</v>
      </c>
      <c r="B102" t="s">
        <v>14</v>
      </c>
      <c r="C102">
        <v>82.1</v>
      </c>
      <c r="D102">
        <v>91</v>
      </c>
      <c r="E102">
        <v>81</v>
      </c>
      <c r="F102">
        <v>82.25</v>
      </c>
      <c r="G102">
        <v>82.7</v>
      </c>
      <c r="H102">
        <v>82.15</v>
      </c>
      <c r="I102">
        <v>153564</v>
      </c>
      <c r="J102">
        <v>13239158.25</v>
      </c>
      <c r="K102" s="1">
        <v>43777</v>
      </c>
      <c r="L102">
        <v>2153</v>
      </c>
      <c r="M102" t="s">
        <v>7753</v>
      </c>
    </row>
    <row r="103" spans="1:13" x14ac:dyDescent="0.25">
      <c r="A103" t="s">
        <v>352</v>
      </c>
      <c r="B103" t="s">
        <v>14</v>
      </c>
      <c r="C103">
        <v>1467.9</v>
      </c>
      <c r="D103">
        <v>1467.9</v>
      </c>
      <c r="E103">
        <v>1415</v>
      </c>
      <c r="F103">
        <v>1418.6</v>
      </c>
      <c r="G103">
        <v>1421</v>
      </c>
      <c r="H103">
        <v>1463.9</v>
      </c>
      <c r="I103">
        <v>504630</v>
      </c>
      <c r="J103">
        <v>726392028.25</v>
      </c>
      <c r="K103" s="1">
        <v>43777</v>
      </c>
      <c r="L103">
        <v>23231</v>
      </c>
      <c r="M103" t="s">
        <v>354</v>
      </c>
    </row>
    <row r="104" spans="1:13" x14ac:dyDescent="0.25">
      <c r="A104" t="s">
        <v>358</v>
      </c>
      <c r="B104" t="s">
        <v>14</v>
      </c>
      <c r="C104">
        <v>167</v>
      </c>
      <c r="D104">
        <v>168.8</v>
      </c>
      <c r="E104">
        <v>164.5</v>
      </c>
      <c r="F104">
        <v>165.15</v>
      </c>
      <c r="G104">
        <v>164.85</v>
      </c>
      <c r="H104">
        <v>167</v>
      </c>
      <c r="I104">
        <v>2566305</v>
      </c>
      <c r="J104">
        <v>428911519.44999999</v>
      </c>
      <c r="K104" s="1">
        <v>43777</v>
      </c>
      <c r="L104">
        <v>20574</v>
      </c>
      <c r="M104" t="s">
        <v>360</v>
      </c>
    </row>
    <row r="105" spans="1:13" x14ac:dyDescent="0.25">
      <c r="A105" t="s">
        <v>361</v>
      </c>
      <c r="B105" t="s">
        <v>14</v>
      </c>
      <c r="C105">
        <v>791</v>
      </c>
      <c r="D105">
        <v>801.9</v>
      </c>
      <c r="E105">
        <v>791</v>
      </c>
      <c r="F105">
        <v>801.9</v>
      </c>
      <c r="G105">
        <v>801.9</v>
      </c>
      <c r="H105">
        <v>796.8</v>
      </c>
      <c r="I105">
        <v>868</v>
      </c>
      <c r="J105">
        <v>691528.7</v>
      </c>
      <c r="K105" s="1">
        <v>43777</v>
      </c>
      <c r="L105">
        <v>42</v>
      </c>
      <c r="M105" t="s">
        <v>363</v>
      </c>
    </row>
    <row r="106" spans="1:13" x14ac:dyDescent="0.25">
      <c r="A106" t="s">
        <v>364</v>
      </c>
      <c r="B106" t="s">
        <v>14</v>
      </c>
      <c r="C106">
        <v>169.05</v>
      </c>
      <c r="D106">
        <v>175.8</v>
      </c>
      <c r="E106">
        <v>169.05</v>
      </c>
      <c r="F106">
        <v>171.15</v>
      </c>
      <c r="G106">
        <v>171.2</v>
      </c>
      <c r="H106">
        <v>170.55</v>
      </c>
      <c r="I106">
        <v>200747</v>
      </c>
      <c r="J106">
        <v>34674133.450000003</v>
      </c>
      <c r="K106" s="1">
        <v>43777</v>
      </c>
      <c r="L106">
        <v>3687</v>
      </c>
      <c r="M106" t="s">
        <v>366</v>
      </c>
    </row>
    <row r="107" spans="1:13" x14ac:dyDescent="0.25">
      <c r="A107" t="s">
        <v>370</v>
      </c>
      <c r="B107" t="s">
        <v>14</v>
      </c>
      <c r="C107">
        <v>28.5</v>
      </c>
      <c r="D107">
        <v>30.25</v>
      </c>
      <c r="E107">
        <v>27.9</v>
      </c>
      <c r="F107">
        <v>28.35</v>
      </c>
      <c r="G107">
        <v>28</v>
      </c>
      <c r="H107">
        <v>29.3</v>
      </c>
      <c r="I107">
        <v>12783</v>
      </c>
      <c r="J107">
        <v>373764.35</v>
      </c>
      <c r="K107" s="1">
        <v>43777</v>
      </c>
      <c r="L107">
        <v>248</v>
      </c>
      <c r="M107" t="s">
        <v>372</v>
      </c>
    </row>
    <row r="108" spans="1:13" x14ac:dyDescent="0.25">
      <c r="A108" t="s">
        <v>373</v>
      </c>
      <c r="B108" t="s">
        <v>10</v>
      </c>
      <c r="C108">
        <v>19.600000000000001</v>
      </c>
      <c r="D108">
        <v>19.600000000000001</v>
      </c>
      <c r="E108">
        <v>19</v>
      </c>
      <c r="F108">
        <v>19.2</v>
      </c>
      <c r="G108">
        <v>19</v>
      </c>
      <c r="H108">
        <v>19.350000000000001</v>
      </c>
      <c r="I108">
        <v>15836</v>
      </c>
      <c r="J108">
        <v>303844.34999999998</v>
      </c>
      <c r="K108" s="1">
        <v>43777</v>
      </c>
      <c r="L108">
        <v>73</v>
      </c>
      <c r="M108" t="s">
        <v>375</v>
      </c>
    </row>
    <row r="109" spans="1:13" x14ac:dyDescent="0.25">
      <c r="A109" t="s">
        <v>7752</v>
      </c>
      <c r="B109" t="s">
        <v>10</v>
      </c>
      <c r="C109">
        <v>2.1</v>
      </c>
      <c r="D109">
        <v>2.1</v>
      </c>
      <c r="E109">
        <v>2.1</v>
      </c>
      <c r="F109">
        <v>2.1</v>
      </c>
      <c r="G109">
        <v>2.1</v>
      </c>
      <c r="H109">
        <v>2</v>
      </c>
      <c r="I109">
        <v>4968</v>
      </c>
      <c r="J109">
        <v>10432.799999999999</v>
      </c>
      <c r="K109" s="1">
        <v>43777</v>
      </c>
      <c r="L109">
        <v>15</v>
      </c>
      <c r="M109" t="s">
        <v>7751</v>
      </c>
    </row>
    <row r="110" spans="1:13" x14ac:dyDescent="0.25">
      <c r="A110" t="s">
        <v>382</v>
      </c>
      <c r="B110" t="s">
        <v>14</v>
      </c>
      <c r="C110">
        <v>63</v>
      </c>
      <c r="D110">
        <v>65</v>
      </c>
      <c r="E110">
        <v>62.95</v>
      </c>
      <c r="F110">
        <v>64.349999999999994</v>
      </c>
      <c r="G110">
        <v>65</v>
      </c>
      <c r="H110">
        <v>64.349999999999994</v>
      </c>
      <c r="I110">
        <v>17175</v>
      </c>
      <c r="J110">
        <v>1095577</v>
      </c>
      <c r="K110" s="1">
        <v>43777</v>
      </c>
      <c r="L110">
        <v>340</v>
      </c>
      <c r="M110" t="s">
        <v>384</v>
      </c>
    </row>
    <row r="111" spans="1:13" x14ac:dyDescent="0.25">
      <c r="A111" t="s">
        <v>7750</v>
      </c>
      <c r="B111" t="s">
        <v>14</v>
      </c>
      <c r="C111">
        <v>25.4</v>
      </c>
      <c r="D111">
        <v>27.75</v>
      </c>
      <c r="E111">
        <v>25</v>
      </c>
      <c r="F111">
        <v>27.75</v>
      </c>
      <c r="G111">
        <v>27.75</v>
      </c>
      <c r="H111">
        <v>23.15</v>
      </c>
      <c r="I111">
        <v>62039</v>
      </c>
      <c r="J111">
        <v>1679272.6</v>
      </c>
      <c r="K111" s="1">
        <v>43777</v>
      </c>
      <c r="L111">
        <v>778</v>
      </c>
      <c r="M111" t="s">
        <v>7749</v>
      </c>
    </row>
    <row r="112" spans="1:13" x14ac:dyDescent="0.25">
      <c r="A112" t="s">
        <v>388</v>
      </c>
      <c r="B112" t="s">
        <v>10</v>
      </c>
      <c r="C112">
        <v>27.7</v>
      </c>
      <c r="D112">
        <v>27.7</v>
      </c>
      <c r="E112">
        <v>25.2</v>
      </c>
      <c r="F112">
        <v>26.6</v>
      </c>
      <c r="G112">
        <v>27.2</v>
      </c>
      <c r="H112">
        <v>26.5</v>
      </c>
      <c r="I112">
        <v>104900</v>
      </c>
      <c r="J112">
        <v>2818716.4</v>
      </c>
      <c r="K112" s="1">
        <v>43777</v>
      </c>
      <c r="L112">
        <v>57</v>
      </c>
      <c r="M112" t="s">
        <v>390</v>
      </c>
    </row>
    <row r="113" spans="1:13" x14ac:dyDescent="0.25">
      <c r="A113" t="s">
        <v>391</v>
      </c>
      <c r="B113" t="s">
        <v>14</v>
      </c>
      <c r="C113">
        <v>565</v>
      </c>
      <c r="D113">
        <v>576</v>
      </c>
      <c r="E113">
        <v>556.04999999999995</v>
      </c>
      <c r="F113">
        <v>564.25</v>
      </c>
      <c r="G113">
        <v>563</v>
      </c>
      <c r="H113">
        <v>567.15</v>
      </c>
      <c r="I113">
        <v>1513</v>
      </c>
      <c r="J113">
        <v>861717.5</v>
      </c>
      <c r="K113" s="1">
        <v>43777</v>
      </c>
      <c r="L113">
        <v>135</v>
      </c>
      <c r="M113" t="s">
        <v>393</v>
      </c>
    </row>
    <row r="114" spans="1:13" x14ac:dyDescent="0.25">
      <c r="A114" t="s">
        <v>394</v>
      </c>
      <c r="B114" t="s">
        <v>14</v>
      </c>
      <c r="C114">
        <v>40.450000000000003</v>
      </c>
      <c r="D114">
        <v>40.85</v>
      </c>
      <c r="E114">
        <v>39.1</v>
      </c>
      <c r="F114">
        <v>39.65</v>
      </c>
      <c r="G114">
        <v>39.65</v>
      </c>
      <c r="H114">
        <v>39.700000000000003</v>
      </c>
      <c r="I114">
        <v>1938</v>
      </c>
      <c r="J114">
        <v>76968.5</v>
      </c>
      <c r="K114" s="1">
        <v>43777</v>
      </c>
      <c r="L114">
        <v>74</v>
      </c>
      <c r="M114" t="s">
        <v>396</v>
      </c>
    </row>
    <row r="115" spans="1:13" x14ac:dyDescent="0.25">
      <c r="A115" t="s">
        <v>397</v>
      </c>
      <c r="B115" t="s">
        <v>14</v>
      </c>
      <c r="C115">
        <v>54.3</v>
      </c>
      <c r="D115">
        <v>54.3</v>
      </c>
      <c r="E115">
        <v>51.1</v>
      </c>
      <c r="F115">
        <v>52.15</v>
      </c>
      <c r="G115">
        <v>53.2</v>
      </c>
      <c r="H115">
        <v>53.05</v>
      </c>
      <c r="I115">
        <v>4421</v>
      </c>
      <c r="J115">
        <v>230232.55</v>
      </c>
      <c r="K115" s="1">
        <v>43777</v>
      </c>
      <c r="L115">
        <v>129</v>
      </c>
      <c r="M115" t="s">
        <v>399</v>
      </c>
    </row>
    <row r="116" spans="1:13" x14ac:dyDescent="0.25">
      <c r="A116" t="s">
        <v>7748</v>
      </c>
      <c r="B116" t="s">
        <v>14</v>
      </c>
      <c r="C116">
        <v>13.3</v>
      </c>
      <c r="D116">
        <v>14</v>
      </c>
      <c r="E116">
        <v>12.45</v>
      </c>
      <c r="F116">
        <v>12.85</v>
      </c>
      <c r="G116">
        <v>12.9</v>
      </c>
      <c r="H116">
        <v>12.2</v>
      </c>
      <c r="I116">
        <v>115862</v>
      </c>
      <c r="J116">
        <v>1522966.3</v>
      </c>
      <c r="K116" s="1">
        <v>43777</v>
      </c>
      <c r="L116">
        <v>892</v>
      </c>
      <c r="M116" t="s">
        <v>7747</v>
      </c>
    </row>
    <row r="117" spans="1:13" x14ac:dyDescent="0.25">
      <c r="A117" t="s">
        <v>400</v>
      </c>
      <c r="B117" t="s">
        <v>14</v>
      </c>
      <c r="C117">
        <v>18</v>
      </c>
      <c r="D117">
        <v>18.899999999999999</v>
      </c>
      <c r="E117">
        <v>17.3</v>
      </c>
      <c r="F117">
        <v>17.95</v>
      </c>
      <c r="G117">
        <v>17.3</v>
      </c>
      <c r="H117">
        <v>18</v>
      </c>
      <c r="I117">
        <v>57351</v>
      </c>
      <c r="J117">
        <v>1066727.95</v>
      </c>
      <c r="K117" s="1">
        <v>43777</v>
      </c>
      <c r="L117">
        <v>393</v>
      </c>
      <c r="M117" t="s">
        <v>402</v>
      </c>
    </row>
    <row r="118" spans="1:13" x14ac:dyDescent="0.25">
      <c r="A118" t="s">
        <v>403</v>
      </c>
      <c r="B118" t="s">
        <v>14</v>
      </c>
      <c r="C118">
        <v>25.45</v>
      </c>
      <c r="D118">
        <v>25.45</v>
      </c>
      <c r="E118">
        <v>24.6</v>
      </c>
      <c r="F118">
        <v>24.75</v>
      </c>
      <c r="G118">
        <v>24.95</v>
      </c>
      <c r="H118">
        <v>25</v>
      </c>
      <c r="I118">
        <v>3339</v>
      </c>
      <c r="J118">
        <v>82701.7</v>
      </c>
      <c r="K118" s="1">
        <v>43777</v>
      </c>
      <c r="L118">
        <v>33</v>
      </c>
      <c r="M118" t="s">
        <v>405</v>
      </c>
    </row>
    <row r="119" spans="1:13" x14ac:dyDescent="0.25">
      <c r="A119" t="s">
        <v>415</v>
      </c>
      <c r="B119" t="s">
        <v>14</v>
      </c>
      <c r="C119">
        <v>51.4</v>
      </c>
      <c r="D119">
        <v>53.8</v>
      </c>
      <c r="E119">
        <v>50.6</v>
      </c>
      <c r="F119">
        <v>52.5</v>
      </c>
      <c r="G119">
        <v>52.5</v>
      </c>
      <c r="H119">
        <v>51.5</v>
      </c>
      <c r="I119">
        <v>2298321</v>
      </c>
      <c r="J119">
        <v>120969686.34999999</v>
      </c>
      <c r="K119" s="1">
        <v>43777</v>
      </c>
      <c r="L119">
        <v>14156</v>
      </c>
      <c r="M119" t="s">
        <v>417</v>
      </c>
    </row>
    <row r="120" spans="1:13" x14ac:dyDescent="0.25">
      <c r="A120" t="s">
        <v>418</v>
      </c>
      <c r="B120" t="s">
        <v>14</v>
      </c>
      <c r="C120">
        <v>427</v>
      </c>
      <c r="D120">
        <v>434</v>
      </c>
      <c r="E120">
        <v>422.15</v>
      </c>
      <c r="F120">
        <v>425.35</v>
      </c>
      <c r="G120">
        <v>422.15</v>
      </c>
      <c r="H120">
        <v>431.5</v>
      </c>
      <c r="I120">
        <v>43651</v>
      </c>
      <c r="J120">
        <v>18731970.649999999</v>
      </c>
      <c r="K120" s="1">
        <v>43777</v>
      </c>
      <c r="L120">
        <v>9228</v>
      </c>
      <c r="M120" t="s">
        <v>420</v>
      </c>
    </row>
    <row r="121" spans="1:13" x14ac:dyDescent="0.25">
      <c r="A121" t="s">
        <v>421</v>
      </c>
      <c r="B121" t="s">
        <v>14</v>
      </c>
      <c r="C121">
        <v>102.65</v>
      </c>
      <c r="D121">
        <v>103.8</v>
      </c>
      <c r="E121">
        <v>100.5</v>
      </c>
      <c r="F121">
        <v>101.2</v>
      </c>
      <c r="G121">
        <v>101</v>
      </c>
      <c r="H121">
        <v>101.75</v>
      </c>
      <c r="I121">
        <v>8302</v>
      </c>
      <c r="J121">
        <v>847459.8</v>
      </c>
      <c r="K121" s="1">
        <v>43777</v>
      </c>
      <c r="L121">
        <v>461</v>
      </c>
      <c r="M121" t="s">
        <v>423</v>
      </c>
    </row>
    <row r="122" spans="1:13" x14ac:dyDescent="0.25">
      <c r="A122" t="s">
        <v>424</v>
      </c>
      <c r="B122" t="s">
        <v>14</v>
      </c>
      <c r="C122">
        <v>196.25</v>
      </c>
      <c r="D122">
        <v>199.4</v>
      </c>
      <c r="E122">
        <v>189.1</v>
      </c>
      <c r="F122">
        <v>190.55</v>
      </c>
      <c r="G122">
        <v>191.65</v>
      </c>
      <c r="H122">
        <v>195.05</v>
      </c>
      <c r="I122">
        <v>12766</v>
      </c>
      <c r="J122">
        <v>2469812</v>
      </c>
      <c r="K122" s="1">
        <v>43777</v>
      </c>
      <c r="L122">
        <v>440</v>
      </c>
      <c r="M122" t="s">
        <v>426</v>
      </c>
    </row>
    <row r="123" spans="1:13" x14ac:dyDescent="0.25">
      <c r="A123" t="s">
        <v>427</v>
      </c>
      <c r="B123" t="s">
        <v>14</v>
      </c>
      <c r="C123">
        <v>155.5</v>
      </c>
      <c r="D123">
        <v>155.94999999999999</v>
      </c>
      <c r="E123">
        <v>148.1</v>
      </c>
      <c r="F123">
        <v>150.05000000000001</v>
      </c>
      <c r="G123">
        <v>148.5</v>
      </c>
      <c r="H123">
        <v>152.80000000000001</v>
      </c>
      <c r="I123">
        <v>2817</v>
      </c>
      <c r="J123">
        <v>429995.25</v>
      </c>
      <c r="K123" s="1">
        <v>43777</v>
      </c>
      <c r="L123">
        <v>158</v>
      </c>
      <c r="M123" t="s">
        <v>429</v>
      </c>
    </row>
    <row r="124" spans="1:13" x14ac:dyDescent="0.25">
      <c r="A124" t="s">
        <v>430</v>
      </c>
      <c r="B124" t="s">
        <v>14</v>
      </c>
      <c r="C124">
        <v>34.25</v>
      </c>
      <c r="D124">
        <v>34.25</v>
      </c>
      <c r="E124">
        <v>32.4</v>
      </c>
      <c r="F124">
        <v>32.700000000000003</v>
      </c>
      <c r="G124">
        <v>32.549999999999997</v>
      </c>
      <c r="H124">
        <v>33.299999999999997</v>
      </c>
      <c r="I124">
        <v>11312</v>
      </c>
      <c r="J124">
        <v>371977.9</v>
      </c>
      <c r="K124" s="1">
        <v>43777</v>
      </c>
      <c r="L124">
        <v>83</v>
      </c>
      <c r="M124" t="s">
        <v>432</v>
      </c>
    </row>
    <row r="125" spans="1:13" x14ac:dyDescent="0.25">
      <c r="A125" t="s">
        <v>436</v>
      </c>
      <c r="B125" t="s">
        <v>10</v>
      </c>
      <c r="C125">
        <v>28</v>
      </c>
      <c r="D125">
        <v>30</v>
      </c>
      <c r="E125">
        <v>27.55</v>
      </c>
      <c r="F125">
        <v>27.6</v>
      </c>
      <c r="G125">
        <v>27.7</v>
      </c>
      <c r="H125">
        <v>29</v>
      </c>
      <c r="I125">
        <v>64226</v>
      </c>
      <c r="J125">
        <v>1783367.8</v>
      </c>
      <c r="K125" s="1">
        <v>43777</v>
      </c>
      <c r="L125">
        <v>281</v>
      </c>
      <c r="M125" t="s">
        <v>438</v>
      </c>
    </row>
    <row r="126" spans="1:13" x14ac:dyDescent="0.25">
      <c r="A126" t="s">
        <v>439</v>
      </c>
      <c r="B126" t="s">
        <v>14</v>
      </c>
      <c r="C126">
        <v>100</v>
      </c>
      <c r="D126">
        <v>101.8</v>
      </c>
      <c r="E126">
        <v>99.05</v>
      </c>
      <c r="F126">
        <v>99.65</v>
      </c>
      <c r="G126">
        <v>99.05</v>
      </c>
      <c r="H126">
        <v>101.8</v>
      </c>
      <c r="I126">
        <v>14529</v>
      </c>
      <c r="J126">
        <v>1458858.4</v>
      </c>
      <c r="K126" s="1">
        <v>43777</v>
      </c>
      <c r="L126">
        <v>312</v>
      </c>
      <c r="M126" t="s">
        <v>441</v>
      </c>
    </row>
    <row r="127" spans="1:13" x14ac:dyDescent="0.25">
      <c r="A127" t="s">
        <v>442</v>
      </c>
      <c r="B127" t="s">
        <v>14</v>
      </c>
      <c r="C127">
        <v>7.75</v>
      </c>
      <c r="D127">
        <v>7.95</v>
      </c>
      <c r="E127">
        <v>7.55</v>
      </c>
      <c r="F127">
        <v>7.85</v>
      </c>
      <c r="G127">
        <v>7.9</v>
      </c>
      <c r="H127">
        <v>7.75</v>
      </c>
      <c r="I127">
        <v>20012</v>
      </c>
      <c r="J127">
        <v>155479</v>
      </c>
      <c r="K127" s="1">
        <v>43777</v>
      </c>
      <c r="L127">
        <v>112</v>
      </c>
      <c r="M127" t="s">
        <v>444</v>
      </c>
    </row>
    <row r="128" spans="1:13" x14ac:dyDescent="0.25">
      <c r="A128" t="s">
        <v>445</v>
      </c>
      <c r="B128" t="s">
        <v>14</v>
      </c>
      <c r="C128">
        <v>96.4</v>
      </c>
      <c r="D128">
        <v>97.9</v>
      </c>
      <c r="E128">
        <v>96.3</v>
      </c>
      <c r="F128">
        <v>96.95</v>
      </c>
      <c r="G128">
        <v>97.25</v>
      </c>
      <c r="H128">
        <v>97.1</v>
      </c>
      <c r="I128">
        <v>185677</v>
      </c>
      <c r="J128">
        <v>18003223.350000001</v>
      </c>
      <c r="K128" s="1">
        <v>43777</v>
      </c>
      <c r="L128">
        <v>3161</v>
      </c>
      <c r="M128" t="s">
        <v>447</v>
      </c>
    </row>
    <row r="129" spans="1:13" x14ac:dyDescent="0.25">
      <c r="A129" t="s">
        <v>451</v>
      </c>
      <c r="B129" t="s">
        <v>14</v>
      </c>
      <c r="C129">
        <v>76.05</v>
      </c>
      <c r="D129">
        <v>79.25</v>
      </c>
      <c r="E129">
        <v>75.7</v>
      </c>
      <c r="F129">
        <v>76.55</v>
      </c>
      <c r="G129">
        <v>76.150000000000006</v>
      </c>
      <c r="H129">
        <v>76.7</v>
      </c>
      <c r="I129">
        <v>28384175</v>
      </c>
      <c r="J129">
        <v>2198744257.4499998</v>
      </c>
      <c r="K129" s="1">
        <v>43777</v>
      </c>
      <c r="L129">
        <v>85462</v>
      </c>
      <c r="M129" t="s">
        <v>453</v>
      </c>
    </row>
    <row r="130" spans="1:13" x14ac:dyDescent="0.25">
      <c r="A130" t="s">
        <v>457</v>
      </c>
      <c r="B130" t="s">
        <v>14</v>
      </c>
      <c r="C130">
        <v>105</v>
      </c>
      <c r="D130">
        <v>105.4</v>
      </c>
      <c r="E130">
        <v>100</v>
      </c>
      <c r="F130">
        <v>100</v>
      </c>
      <c r="G130">
        <v>100</v>
      </c>
      <c r="H130">
        <v>101.9</v>
      </c>
      <c r="I130">
        <v>732</v>
      </c>
      <c r="J130">
        <v>74425.45</v>
      </c>
      <c r="K130" s="1">
        <v>43777</v>
      </c>
      <c r="L130">
        <v>102</v>
      </c>
      <c r="M130" t="s">
        <v>459</v>
      </c>
    </row>
    <row r="131" spans="1:13" x14ac:dyDescent="0.25">
      <c r="A131" t="s">
        <v>460</v>
      </c>
      <c r="B131" t="s">
        <v>14</v>
      </c>
      <c r="C131">
        <v>1826</v>
      </c>
      <c r="D131">
        <v>1826.8</v>
      </c>
      <c r="E131">
        <v>1790.8</v>
      </c>
      <c r="F131">
        <v>1794.85</v>
      </c>
      <c r="G131">
        <v>1790.8</v>
      </c>
      <c r="H131">
        <v>1826.95</v>
      </c>
      <c r="I131">
        <v>1077136</v>
      </c>
      <c r="J131">
        <v>1943964124.95</v>
      </c>
      <c r="K131" s="1">
        <v>43777</v>
      </c>
      <c r="L131">
        <v>78960</v>
      </c>
      <c r="M131" t="s">
        <v>462</v>
      </c>
    </row>
    <row r="132" spans="1:13" x14ac:dyDescent="0.25">
      <c r="A132" t="s">
        <v>463</v>
      </c>
      <c r="B132" t="s">
        <v>14</v>
      </c>
      <c r="C132">
        <v>227</v>
      </c>
      <c r="D132">
        <v>228.8</v>
      </c>
      <c r="E132">
        <v>224.1</v>
      </c>
      <c r="F132">
        <v>225.2</v>
      </c>
      <c r="G132">
        <v>224.1</v>
      </c>
      <c r="H132">
        <v>229.25</v>
      </c>
      <c r="I132">
        <v>23069</v>
      </c>
      <c r="J132">
        <v>5228877.45</v>
      </c>
      <c r="K132" s="1">
        <v>43777</v>
      </c>
      <c r="L132">
        <v>2195</v>
      </c>
      <c r="M132" t="s">
        <v>465</v>
      </c>
    </row>
    <row r="133" spans="1:13" x14ac:dyDescent="0.25">
      <c r="A133" t="s">
        <v>469</v>
      </c>
      <c r="B133" t="s">
        <v>14</v>
      </c>
      <c r="C133">
        <v>144</v>
      </c>
      <c r="D133">
        <v>148</v>
      </c>
      <c r="E133">
        <v>144</v>
      </c>
      <c r="F133">
        <v>144</v>
      </c>
      <c r="G133">
        <v>144</v>
      </c>
      <c r="H133">
        <v>144</v>
      </c>
      <c r="I133">
        <v>498</v>
      </c>
      <c r="J133">
        <v>71732.100000000006</v>
      </c>
      <c r="K133" s="1">
        <v>43777</v>
      </c>
      <c r="L133">
        <v>7</v>
      </c>
      <c r="M133" t="s">
        <v>471</v>
      </c>
    </row>
    <row r="134" spans="1:13" x14ac:dyDescent="0.25">
      <c r="A134" t="s">
        <v>472</v>
      </c>
      <c r="B134" t="s">
        <v>14</v>
      </c>
      <c r="C134">
        <v>356</v>
      </c>
      <c r="D134">
        <v>361</v>
      </c>
      <c r="E134">
        <v>356</v>
      </c>
      <c r="F134">
        <v>359.7</v>
      </c>
      <c r="G134">
        <v>359.7</v>
      </c>
      <c r="H134">
        <v>359.9</v>
      </c>
      <c r="I134">
        <v>7118</v>
      </c>
      <c r="J134">
        <v>2557305.0499999998</v>
      </c>
      <c r="K134" s="1">
        <v>43777</v>
      </c>
      <c r="L134">
        <v>175</v>
      </c>
      <c r="M134" t="s">
        <v>474</v>
      </c>
    </row>
    <row r="135" spans="1:13" x14ac:dyDescent="0.25">
      <c r="A135" t="s">
        <v>475</v>
      </c>
      <c r="B135" t="s">
        <v>14</v>
      </c>
      <c r="C135">
        <v>139</v>
      </c>
      <c r="D135">
        <v>146.5</v>
      </c>
      <c r="E135">
        <v>138</v>
      </c>
      <c r="F135">
        <v>144.75</v>
      </c>
      <c r="G135">
        <v>145</v>
      </c>
      <c r="H135">
        <v>140.94999999999999</v>
      </c>
      <c r="I135">
        <v>108944</v>
      </c>
      <c r="J135">
        <v>15587423.550000001</v>
      </c>
      <c r="K135" s="1">
        <v>43777</v>
      </c>
      <c r="L135">
        <v>3391</v>
      </c>
      <c r="M135" t="s">
        <v>477</v>
      </c>
    </row>
    <row r="136" spans="1:13" x14ac:dyDescent="0.25">
      <c r="A136" t="s">
        <v>478</v>
      </c>
      <c r="B136" t="s">
        <v>14</v>
      </c>
      <c r="C136">
        <v>1097</v>
      </c>
      <c r="D136">
        <v>1115.25</v>
      </c>
      <c r="E136">
        <v>1091.0999999999999</v>
      </c>
      <c r="F136">
        <v>1103.95</v>
      </c>
      <c r="G136">
        <v>1093</v>
      </c>
      <c r="H136">
        <v>1090.45</v>
      </c>
      <c r="I136">
        <v>559316</v>
      </c>
      <c r="J136">
        <v>616622066</v>
      </c>
      <c r="K136" s="1">
        <v>43777</v>
      </c>
      <c r="L136">
        <v>12975</v>
      </c>
      <c r="M136" t="s">
        <v>480</v>
      </c>
    </row>
    <row r="137" spans="1:13" x14ac:dyDescent="0.25">
      <c r="A137" t="s">
        <v>481</v>
      </c>
      <c r="B137" t="s">
        <v>14</v>
      </c>
      <c r="C137">
        <v>76.05</v>
      </c>
      <c r="D137">
        <v>76.849999999999994</v>
      </c>
      <c r="E137">
        <v>75</v>
      </c>
      <c r="F137">
        <v>75.599999999999994</v>
      </c>
      <c r="G137">
        <v>75.400000000000006</v>
      </c>
      <c r="H137">
        <v>76.900000000000006</v>
      </c>
      <c r="I137">
        <v>58342</v>
      </c>
      <c r="J137">
        <v>4427096.5999999996</v>
      </c>
      <c r="K137" s="1">
        <v>43777</v>
      </c>
      <c r="L137">
        <v>443</v>
      </c>
      <c r="M137" t="s">
        <v>483</v>
      </c>
    </row>
    <row r="138" spans="1:13" x14ac:dyDescent="0.25">
      <c r="A138" t="s">
        <v>484</v>
      </c>
      <c r="B138" t="s">
        <v>14</v>
      </c>
      <c r="C138">
        <v>2509.25</v>
      </c>
      <c r="D138">
        <v>2538.1999999999998</v>
      </c>
      <c r="E138">
        <v>2480</v>
      </c>
      <c r="F138">
        <v>2492</v>
      </c>
      <c r="G138">
        <v>2484</v>
      </c>
      <c r="H138">
        <v>2495.1</v>
      </c>
      <c r="I138">
        <v>10006</v>
      </c>
      <c r="J138">
        <v>25191082.449999999</v>
      </c>
      <c r="K138" s="1">
        <v>43777</v>
      </c>
      <c r="L138">
        <v>1571</v>
      </c>
      <c r="M138" t="s">
        <v>486</v>
      </c>
    </row>
    <row r="139" spans="1:13" x14ac:dyDescent="0.25">
      <c r="A139" t="s">
        <v>487</v>
      </c>
      <c r="B139" t="s">
        <v>14</v>
      </c>
      <c r="C139">
        <v>39</v>
      </c>
      <c r="D139">
        <v>39</v>
      </c>
      <c r="E139">
        <v>39</v>
      </c>
      <c r="F139">
        <v>39</v>
      </c>
      <c r="G139">
        <v>39</v>
      </c>
      <c r="H139">
        <v>41.05</v>
      </c>
      <c r="I139">
        <v>171589</v>
      </c>
      <c r="J139">
        <v>6691971</v>
      </c>
      <c r="K139" s="1">
        <v>43777</v>
      </c>
      <c r="L139">
        <v>393</v>
      </c>
      <c r="M139" t="s">
        <v>489</v>
      </c>
    </row>
    <row r="140" spans="1:13" x14ac:dyDescent="0.25">
      <c r="A140" t="s">
        <v>496</v>
      </c>
      <c r="B140" t="s">
        <v>14</v>
      </c>
      <c r="C140">
        <v>640</v>
      </c>
      <c r="D140">
        <v>642.5</v>
      </c>
      <c r="E140">
        <v>615.6</v>
      </c>
      <c r="F140">
        <v>623.6</v>
      </c>
      <c r="G140">
        <v>618</v>
      </c>
      <c r="H140">
        <v>634.5</v>
      </c>
      <c r="I140">
        <v>3836</v>
      </c>
      <c r="J140">
        <v>2407292.15</v>
      </c>
      <c r="K140" s="1">
        <v>43777</v>
      </c>
      <c r="L140">
        <v>500</v>
      </c>
      <c r="M140" t="s">
        <v>498</v>
      </c>
    </row>
    <row r="141" spans="1:13" x14ac:dyDescent="0.25">
      <c r="A141" t="s">
        <v>505</v>
      </c>
      <c r="B141" t="s">
        <v>10</v>
      </c>
      <c r="C141">
        <v>7.1</v>
      </c>
      <c r="D141">
        <v>7.4</v>
      </c>
      <c r="E141">
        <v>6.75</v>
      </c>
      <c r="F141">
        <v>7</v>
      </c>
      <c r="G141">
        <v>7</v>
      </c>
      <c r="H141">
        <v>7.1</v>
      </c>
      <c r="I141">
        <v>6289</v>
      </c>
      <c r="J141">
        <v>44033.55</v>
      </c>
      <c r="K141" s="1">
        <v>43777</v>
      </c>
      <c r="L141">
        <v>50</v>
      </c>
      <c r="M141" t="s">
        <v>507</v>
      </c>
    </row>
    <row r="142" spans="1:13" x14ac:dyDescent="0.25">
      <c r="A142" t="s">
        <v>7746</v>
      </c>
      <c r="B142" t="s">
        <v>786</v>
      </c>
      <c r="C142">
        <v>54.6</v>
      </c>
      <c r="D142">
        <v>56</v>
      </c>
      <c r="E142">
        <v>54.05</v>
      </c>
      <c r="F142">
        <v>55.1</v>
      </c>
      <c r="G142">
        <v>55</v>
      </c>
      <c r="H142">
        <v>56.05</v>
      </c>
      <c r="I142">
        <v>880</v>
      </c>
      <c r="J142">
        <v>48436.95</v>
      </c>
      <c r="K142" s="1">
        <v>43777</v>
      </c>
      <c r="L142">
        <v>20</v>
      </c>
      <c r="M142" t="s">
        <v>7745</v>
      </c>
    </row>
    <row r="143" spans="1:13" x14ac:dyDescent="0.25">
      <c r="A143" t="s">
        <v>508</v>
      </c>
      <c r="B143" t="s">
        <v>14</v>
      </c>
      <c r="C143">
        <v>4225</v>
      </c>
      <c r="D143">
        <v>4258</v>
      </c>
      <c r="E143">
        <v>4191</v>
      </c>
      <c r="F143">
        <v>4202.7</v>
      </c>
      <c r="G143">
        <v>4191</v>
      </c>
      <c r="H143">
        <v>4225.6499999999996</v>
      </c>
      <c r="I143">
        <v>4894</v>
      </c>
      <c r="J143">
        <v>20601545.199999999</v>
      </c>
      <c r="K143" s="1">
        <v>43777</v>
      </c>
      <c r="L143">
        <v>974</v>
      </c>
      <c r="M143" t="s">
        <v>510</v>
      </c>
    </row>
    <row r="144" spans="1:13" x14ac:dyDescent="0.25">
      <c r="A144" t="s">
        <v>511</v>
      </c>
      <c r="B144" t="s">
        <v>14</v>
      </c>
      <c r="C144">
        <v>220.25</v>
      </c>
      <c r="D144">
        <v>224.35</v>
      </c>
      <c r="E144">
        <v>216.35</v>
      </c>
      <c r="F144">
        <v>217.55</v>
      </c>
      <c r="G144">
        <v>216.65</v>
      </c>
      <c r="H144">
        <v>220.1</v>
      </c>
      <c r="I144">
        <v>10219</v>
      </c>
      <c r="J144">
        <v>2244464.5499999998</v>
      </c>
      <c r="K144" s="1">
        <v>43777</v>
      </c>
      <c r="L144">
        <v>527</v>
      </c>
      <c r="M144" t="s">
        <v>513</v>
      </c>
    </row>
    <row r="145" spans="1:13" x14ac:dyDescent="0.25">
      <c r="A145" t="s">
        <v>514</v>
      </c>
      <c r="B145" t="s">
        <v>14</v>
      </c>
      <c r="C145">
        <v>689</v>
      </c>
      <c r="D145">
        <v>697</v>
      </c>
      <c r="E145">
        <v>676</v>
      </c>
      <c r="F145">
        <v>689.5</v>
      </c>
      <c r="G145">
        <v>688.75</v>
      </c>
      <c r="H145">
        <v>685.1</v>
      </c>
      <c r="I145">
        <v>267306</v>
      </c>
      <c r="J145">
        <v>184673636.5</v>
      </c>
      <c r="K145" s="1">
        <v>43777</v>
      </c>
      <c r="L145">
        <v>10589</v>
      </c>
      <c r="M145" t="s">
        <v>516</v>
      </c>
    </row>
    <row r="146" spans="1:13" x14ac:dyDescent="0.25">
      <c r="A146" t="s">
        <v>517</v>
      </c>
      <c r="B146" t="s">
        <v>14</v>
      </c>
      <c r="C146">
        <v>79.5</v>
      </c>
      <c r="D146">
        <v>82</v>
      </c>
      <c r="E146">
        <v>77.099999999999994</v>
      </c>
      <c r="F146">
        <v>77.8</v>
      </c>
      <c r="G146">
        <v>77.2</v>
      </c>
      <c r="H146">
        <v>79.5</v>
      </c>
      <c r="I146">
        <v>3301</v>
      </c>
      <c r="J146">
        <v>261777.7</v>
      </c>
      <c r="K146" s="1">
        <v>43777</v>
      </c>
      <c r="L146">
        <v>205</v>
      </c>
      <c r="M146" t="s">
        <v>519</v>
      </c>
    </row>
    <row r="147" spans="1:13" x14ac:dyDescent="0.25">
      <c r="A147" t="s">
        <v>520</v>
      </c>
      <c r="B147" t="s">
        <v>14</v>
      </c>
      <c r="C147">
        <v>452.6</v>
      </c>
      <c r="D147">
        <v>456.25</v>
      </c>
      <c r="E147">
        <v>436.5</v>
      </c>
      <c r="F147">
        <v>439.95</v>
      </c>
      <c r="G147">
        <v>439.65</v>
      </c>
      <c r="H147">
        <v>452</v>
      </c>
      <c r="I147">
        <v>3189184</v>
      </c>
      <c r="J147">
        <v>1424323523.5</v>
      </c>
      <c r="K147" s="1">
        <v>43777</v>
      </c>
      <c r="L147">
        <v>47232</v>
      </c>
      <c r="M147" t="s">
        <v>522</v>
      </c>
    </row>
    <row r="148" spans="1:13" x14ac:dyDescent="0.25">
      <c r="A148" t="s">
        <v>526</v>
      </c>
      <c r="B148" t="s">
        <v>14</v>
      </c>
      <c r="C148">
        <v>28.05</v>
      </c>
      <c r="D148">
        <v>28.95</v>
      </c>
      <c r="E148">
        <v>27.1</v>
      </c>
      <c r="F148">
        <v>27.75</v>
      </c>
      <c r="G148">
        <v>27.65</v>
      </c>
      <c r="H148">
        <v>28.65</v>
      </c>
      <c r="I148">
        <v>709</v>
      </c>
      <c r="J148">
        <v>19614.150000000001</v>
      </c>
      <c r="K148" s="1">
        <v>43777</v>
      </c>
      <c r="L148">
        <v>84</v>
      </c>
      <c r="M148" t="s">
        <v>528</v>
      </c>
    </row>
    <row r="149" spans="1:13" x14ac:dyDescent="0.25">
      <c r="A149" t="s">
        <v>529</v>
      </c>
      <c r="B149" t="s">
        <v>14</v>
      </c>
      <c r="C149">
        <v>853.85</v>
      </c>
      <c r="D149">
        <v>853.85</v>
      </c>
      <c r="E149">
        <v>827.1</v>
      </c>
      <c r="F149">
        <v>831.5</v>
      </c>
      <c r="G149">
        <v>831</v>
      </c>
      <c r="H149">
        <v>841.5</v>
      </c>
      <c r="I149">
        <v>8174</v>
      </c>
      <c r="J149">
        <v>6852990.25</v>
      </c>
      <c r="K149" s="1">
        <v>43777</v>
      </c>
      <c r="L149">
        <v>788</v>
      </c>
      <c r="M149" t="s">
        <v>531</v>
      </c>
    </row>
    <row r="150" spans="1:13" x14ac:dyDescent="0.25">
      <c r="A150" t="s">
        <v>532</v>
      </c>
      <c r="B150" t="s">
        <v>14</v>
      </c>
      <c r="C150">
        <v>23.9</v>
      </c>
      <c r="D150">
        <v>24.3</v>
      </c>
      <c r="E150">
        <v>22.15</v>
      </c>
      <c r="F150">
        <v>22.6</v>
      </c>
      <c r="G150">
        <v>23.25</v>
      </c>
      <c r="H150">
        <v>23.9</v>
      </c>
      <c r="I150">
        <v>13931</v>
      </c>
      <c r="J150">
        <v>323394.2</v>
      </c>
      <c r="K150" s="1">
        <v>43777</v>
      </c>
      <c r="L150">
        <v>127</v>
      </c>
      <c r="M150" t="s">
        <v>534</v>
      </c>
    </row>
    <row r="151" spans="1:13" x14ac:dyDescent="0.25">
      <c r="A151" t="s">
        <v>7744</v>
      </c>
      <c r="B151" t="s">
        <v>14</v>
      </c>
      <c r="C151">
        <v>22.35</v>
      </c>
      <c r="D151">
        <v>23.45</v>
      </c>
      <c r="E151">
        <v>22.05</v>
      </c>
      <c r="F151">
        <v>22.65</v>
      </c>
      <c r="G151">
        <v>22.05</v>
      </c>
      <c r="H151">
        <v>22.7</v>
      </c>
      <c r="I151">
        <v>1155</v>
      </c>
      <c r="J151">
        <v>25892.85</v>
      </c>
      <c r="K151" s="1">
        <v>43777</v>
      </c>
      <c r="L151">
        <v>50</v>
      </c>
      <c r="M151" t="s">
        <v>7743</v>
      </c>
    </row>
    <row r="152" spans="1:13" x14ac:dyDescent="0.25">
      <c r="A152" t="s">
        <v>535</v>
      </c>
      <c r="B152" t="s">
        <v>14</v>
      </c>
      <c r="C152">
        <v>260</v>
      </c>
      <c r="D152">
        <v>265</v>
      </c>
      <c r="E152">
        <v>258.05</v>
      </c>
      <c r="F152">
        <v>258.60000000000002</v>
      </c>
      <c r="G152">
        <v>258.35000000000002</v>
      </c>
      <c r="H152">
        <v>257.55</v>
      </c>
      <c r="I152">
        <v>112235</v>
      </c>
      <c r="J152">
        <v>29308763.600000001</v>
      </c>
      <c r="K152" s="1">
        <v>43777</v>
      </c>
      <c r="L152">
        <v>2126</v>
      </c>
      <c r="M152" t="s">
        <v>537</v>
      </c>
    </row>
    <row r="153" spans="1:13" x14ac:dyDescent="0.25">
      <c r="A153" t="s">
        <v>541</v>
      </c>
      <c r="B153" t="s">
        <v>14</v>
      </c>
      <c r="C153">
        <v>516</v>
      </c>
      <c r="D153">
        <v>562</v>
      </c>
      <c r="E153">
        <v>504.5</v>
      </c>
      <c r="F153">
        <v>553.95000000000005</v>
      </c>
      <c r="G153">
        <v>559.9</v>
      </c>
      <c r="H153">
        <v>523.79999999999995</v>
      </c>
      <c r="I153">
        <v>2964706</v>
      </c>
      <c r="J153">
        <v>1610690313.7</v>
      </c>
      <c r="K153" s="1">
        <v>43777</v>
      </c>
      <c r="L153">
        <v>109789</v>
      </c>
      <c r="M153" t="s">
        <v>543</v>
      </c>
    </row>
    <row r="154" spans="1:13" x14ac:dyDescent="0.25">
      <c r="A154" t="s">
        <v>544</v>
      </c>
      <c r="B154" t="s">
        <v>5788</v>
      </c>
      <c r="C154">
        <v>75</v>
      </c>
      <c r="D154">
        <v>75</v>
      </c>
      <c r="E154">
        <v>72.05</v>
      </c>
      <c r="F154">
        <v>72.05</v>
      </c>
      <c r="G154">
        <v>72.05</v>
      </c>
      <c r="H154">
        <v>75</v>
      </c>
      <c r="I154">
        <v>2400</v>
      </c>
      <c r="J154">
        <v>176460</v>
      </c>
      <c r="K154" s="1">
        <v>43777</v>
      </c>
      <c r="L154">
        <v>2</v>
      </c>
      <c r="M154" t="s">
        <v>546</v>
      </c>
    </row>
    <row r="155" spans="1:13" x14ac:dyDescent="0.25">
      <c r="A155" t="s">
        <v>553</v>
      </c>
      <c r="B155" t="s">
        <v>14</v>
      </c>
      <c r="C155">
        <v>24.8</v>
      </c>
      <c r="D155">
        <v>29.4</v>
      </c>
      <c r="E155">
        <v>24.2</v>
      </c>
      <c r="F155">
        <v>29.05</v>
      </c>
      <c r="G155">
        <v>29.2</v>
      </c>
      <c r="H155">
        <v>24.5</v>
      </c>
      <c r="I155">
        <v>708702</v>
      </c>
      <c r="J155">
        <v>20591781.100000001</v>
      </c>
      <c r="K155" s="1">
        <v>43777</v>
      </c>
      <c r="L155">
        <v>2192</v>
      </c>
      <c r="M155" t="s">
        <v>555</v>
      </c>
    </row>
    <row r="156" spans="1:13" x14ac:dyDescent="0.25">
      <c r="A156" t="s">
        <v>562</v>
      </c>
      <c r="B156" t="s">
        <v>14</v>
      </c>
      <c r="C156">
        <v>735.9</v>
      </c>
      <c r="D156">
        <v>735.9</v>
      </c>
      <c r="E156">
        <v>722.8</v>
      </c>
      <c r="F156">
        <v>725.5</v>
      </c>
      <c r="G156">
        <v>725.4</v>
      </c>
      <c r="H156">
        <v>734.75</v>
      </c>
      <c r="I156">
        <v>7427196</v>
      </c>
      <c r="J156">
        <v>5424604453.1000004</v>
      </c>
      <c r="K156" s="1">
        <v>43777</v>
      </c>
      <c r="L156">
        <v>114812</v>
      </c>
      <c r="M156" t="s">
        <v>564</v>
      </c>
    </row>
    <row r="157" spans="1:13" x14ac:dyDescent="0.25">
      <c r="A157" t="s">
        <v>565</v>
      </c>
      <c r="B157" t="s">
        <v>14</v>
      </c>
      <c r="C157">
        <v>72.900000000000006</v>
      </c>
      <c r="D157">
        <v>73.5</v>
      </c>
      <c r="E157">
        <v>70.7</v>
      </c>
      <c r="F157">
        <v>71.2</v>
      </c>
      <c r="G157">
        <v>71.5</v>
      </c>
      <c r="H157">
        <v>71.75</v>
      </c>
      <c r="I157">
        <v>112355</v>
      </c>
      <c r="J157">
        <v>8146093.0999999996</v>
      </c>
      <c r="K157" s="1">
        <v>43777</v>
      </c>
      <c r="L157">
        <v>1178</v>
      </c>
      <c r="M157" t="s">
        <v>567</v>
      </c>
    </row>
    <row r="158" spans="1:13" x14ac:dyDescent="0.25">
      <c r="A158" t="s">
        <v>6852</v>
      </c>
      <c r="B158" t="s">
        <v>14</v>
      </c>
      <c r="C158">
        <v>3360</v>
      </c>
      <c r="D158">
        <v>3369</v>
      </c>
      <c r="E158">
        <v>3324</v>
      </c>
      <c r="F158">
        <v>3333.6</v>
      </c>
      <c r="G158">
        <v>3330</v>
      </c>
      <c r="H158">
        <v>3369.55</v>
      </c>
      <c r="I158">
        <v>575</v>
      </c>
      <c r="J158">
        <v>1917885.2</v>
      </c>
      <c r="K158" s="1">
        <v>43777</v>
      </c>
      <c r="L158">
        <v>94</v>
      </c>
      <c r="M158" t="s">
        <v>7742</v>
      </c>
    </row>
    <row r="159" spans="1:13" x14ac:dyDescent="0.25">
      <c r="A159" t="s">
        <v>6846</v>
      </c>
      <c r="B159" t="s">
        <v>14</v>
      </c>
      <c r="C159">
        <v>1230</v>
      </c>
      <c r="D159">
        <v>1239.31</v>
      </c>
      <c r="E159">
        <v>1225.9000000000001</v>
      </c>
      <c r="F159">
        <v>1228.5899999999999</v>
      </c>
      <c r="G159">
        <v>1228.5899999999999</v>
      </c>
      <c r="H159">
        <v>1231.99</v>
      </c>
      <c r="I159">
        <v>140</v>
      </c>
      <c r="J159">
        <v>172079.16</v>
      </c>
      <c r="K159" s="1">
        <v>43777</v>
      </c>
      <c r="L159">
        <v>15</v>
      </c>
      <c r="M159" t="s">
        <v>7741</v>
      </c>
    </row>
    <row r="160" spans="1:13" x14ac:dyDescent="0.25">
      <c r="A160" t="s">
        <v>571</v>
      </c>
      <c r="B160" t="s">
        <v>14</v>
      </c>
      <c r="C160">
        <v>31.05</v>
      </c>
      <c r="D160">
        <v>31.3</v>
      </c>
      <c r="E160">
        <v>30.15</v>
      </c>
      <c r="F160">
        <v>30.6</v>
      </c>
      <c r="G160">
        <v>30.6</v>
      </c>
      <c r="H160">
        <v>31</v>
      </c>
      <c r="I160">
        <v>1608</v>
      </c>
      <c r="J160">
        <v>49143.55</v>
      </c>
      <c r="K160" s="1">
        <v>43777</v>
      </c>
      <c r="L160">
        <v>27</v>
      </c>
      <c r="M160" t="s">
        <v>573</v>
      </c>
    </row>
    <row r="161" spans="1:13" x14ac:dyDescent="0.25">
      <c r="A161" t="s">
        <v>577</v>
      </c>
      <c r="B161" t="s">
        <v>14</v>
      </c>
      <c r="C161">
        <v>2</v>
      </c>
      <c r="D161">
        <v>2</v>
      </c>
      <c r="E161">
        <v>2</v>
      </c>
      <c r="F161">
        <v>2</v>
      </c>
      <c r="G161">
        <v>2</v>
      </c>
      <c r="H161">
        <v>1.95</v>
      </c>
      <c r="I161">
        <v>156277</v>
      </c>
      <c r="J161">
        <v>312554</v>
      </c>
      <c r="K161" s="1">
        <v>43777</v>
      </c>
      <c r="L161">
        <v>132</v>
      </c>
      <c r="M161" t="s">
        <v>579</v>
      </c>
    </row>
    <row r="162" spans="1:13" x14ac:dyDescent="0.25">
      <c r="A162" t="s">
        <v>583</v>
      </c>
      <c r="B162" t="s">
        <v>14</v>
      </c>
      <c r="C162">
        <v>3257.8</v>
      </c>
      <c r="D162">
        <v>3288.8</v>
      </c>
      <c r="E162">
        <v>3235.55</v>
      </c>
      <c r="F162">
        <v>3245.55</v>
      </c>
      <c r="G162">
        <v>3246.9</v>
      </c>
      <c r="H162">
        <v>3265.85</v>
      </c>
      <c r="I162">
        <v>483871</v>
      </c>
      <c r="J162">
        <v>1582608377.3499999</v>
      </c>
      <c r="K162" s="1">
        <v>43777</v>
      </c>
      <c r="L162">
        <v>26498</v>
      </c>
      <c r="M162" t="s">
        <v>585</v>
      </c>
    </row>
    <row r="163" spans="1:13" x14ac:dyDescent="0.25">
      <c r="A163" t="s">
        <v>586</v>
      </c>
      <c r="B163" t="s">
        <v>14</v>
      </c>
      <c r="C163">
        <v>255.7</v>
      </c>
      <c r="D163">
        <v>255.7</v>
      </c>
      <c r="E163">
        <v>249</v>
      </c>
      <c r="F163">
        <v>249.8</v>
      </c>
      <c r="G163">
        <v>249.05</v>
      </c>
      <c r="H163">
        <v>255.75</v>
      </c>
      <c r="I163">
        <v>146067</v>
      </c>
      <c r="J163">
        <v>36652518.850000001</v>
      </c>
      <c r="K163" s="1">
        <v>43777</v>
      </c>
      <c r="L163">
        <v>3396</v>
      </c>
      <c r="M163" t="s">
        <v>588</v>
      </c>
    </row>
    <row r="164" spans="1:13" x14ac:dyDescent="0.25">
      <c r="A164" t="s">
        <v>589</v>
      </c>
      <c r="B164" t="s">
        <v>14</v>
      </c>
      <c r="C164">
        <v>339.9</v>
      </c>
      <c r="D164">
        <v>340</v>
      </c>
      <c r="E164">
        <v>323</v>
      </c>
      <c r="F164">
        <v>325.05</v>
      </c>
      <c r="G164">
        <v>324</v>
      </c>
      <c r="H164">
        <v>335.15</v>
      </c>
      <c r="I164">
        <v>276634</v>
      </c>
      <c r="J164">
        <v>91245552.549999997</v>
      </c>
      <c r="K164" s="1">
        <v>43777</v>
      </c>
      <c r="L164">
        <v>7458</v>
      </c>
      <c r="M164" t="s">
        <v>591</v>
      </c>
    </row>
    <row r="165" spans="1:13" x14ac:dyDescent="0.25">
      <c r="A165" t="s">
        <v>592</v>
      </c>
      <c r="B165" t="s">
        <v>14</v>
      </c>
      <c r="C165">
        <v>8795</v>
      </c>
      <c r="D165">
        <v>8950</v>
      </c>
      <c r="E165">
        <v>8750</v>
      </c>
      <c r="F165">
        <v>8818.85</v>
      </c>
      <c r="G165">
        <v>8812</v>
      </c>
      <c r="H165">
        <v>8832.9</v>
      </c>
      <c r="I165">
        <v>294904</v>
      </c>
      <c r="J165">
        <v>2610886065.5999999</v>
      </c>
      <c r="K165" s="1">
        <v>43777</v>
      </c>
      <c r="L165">
        <v>34977</v>
      </c>
      <c r="M165" t="s">
        <v>7740</v>
      </c>
    </row>
    <row r="166" spans="1:13" x14ac:dyDescent="0.25">
      <c r="A166" t="s">
        <v>598</v>
      </c>
      <c r="B166" t="s">
        <v>14</v>
      </c>
      <c r="C166">
        <v>7</v>
      </c>
      <c r="D166">
        <v>7.2</v>
      </c>
      <c r="E166">
        <v>6.9</v>
      </c>
      <c r="F166">
        <v>6.95</v>
      </c>
      <c r="G166">
        <v>7</v>
      </c>
      <c r="H166">
        <v>6.9</v>
      </c>
      <c r="I166">
        <v>906118</v>
      </c>
      <c r="J166">
        <v>6346247</v>
      </c>
      <c r="K166" s="1">
        <v>43777</v>
      </c>
      <c r="L166">
        <v>1058</v>
      </c>
      <c r="M166" t="s">
        <v>600</v>
      </c>
    </row>
    <row r="167" spans="1:13" x14ac:dyDescent="0.25">
      <c r="A167" t="s">
        <v>601</v>
      </c>
      <c r="B167" t="s">
        <v>14</v>
      </c>
      <c r="C167">
        <v>3830</v>
      </c>
      <c r="D167">
        <v>3903.95</v>
      </c>
      <c r="E167">
        <v>3763.2</v>
      </c>
      <c r="F167">
        <v>3777.1</v>
      </c>
      <c r="G167">
        <v>3781</v>
      </c>
      <c r="H167">
        <v>3799.95</v>
      </c>
      <c r="I167">
        <v>34834</v>
      </c>
      <c r="J167">
        <v>133147441.09999999</v>
      </c>
      <c r="K167" s="1">
        <v>43777</v>
      </c>
      <c r="L167">
        <v>4541</v>
      </c>
      <c r="M167" t="s">
        <v>603</v>
      </c>
    </row>
    <row r="168" spans="1:13" x14ac:dyDescent="0.25">
      <c r="A168" t="s">
        <v>604</v>
      </c>
      <c r="B168" t="s">
        <v>14</v>
      </c>
      <c r="C168">
        <v>4220</v>
      </c>
      <c r="D168">
        <v>4240</v>
      </c>
      <c r="E168">
        <v>4148</v>
      </c>
      <c r="F168">
        <v>4159.45</v>
      </c>
      <c r="G168">
        <v>4160</v>
      </c>
      <c r="H168">
        <v>4225.8500000000004</v>
      </c>
      <c r="I168">
        <v>1509693</v>
      </c>
      <c r="J168">
        <v>6332596181.3999996</v>
      </c>
      <c r="K168" s="1">
        <v>43777</v>
      </c>
      <c r="L168">
        <v>94208</v>
      </c>
      <c r="M168" t="s">
        <v>606</v>
      </c>
    </row>
    <row r="169" spans="1:13" x14ac:dyDescent="0.25">
      <c r="A169" t="s">
        <v>607</v>
      </c>
      <c r="B169" t="s">
        <v>14</v>
      </c>
      <c r="C169">
        <v>56.8</v>
      </c>
      <c r="D169">
        <v>58.2</v>
      </c>
      <c r="E169">
        <v>55.45</v>
      </c>
      <c r="F169">
        <v>56.4</v>
      </c>
      <c r="G169">
        <v>57</v>
      </c>
      <c r="H169">
        <v>56.4</v>
      </c>
      <c r="I169">
        <v>50184</v>
      </c>
      <c r="J169">
        <v>2850038</v>
      </c>
      <c r="K169" s="1">
        <v>43777</v>
      </c>
      <c r="L169">
        <v>568</v>
      </c>
      <c r="M169" t="s">
        <v>609</v>
      </c>
    </row>
    <row r="170" spans="1:13" x14ac:dyDescent="0.25">
      <c r="A170" t="s">
        <v>610</v>
      </c>
      <c r="B170" t="s">
        <v>14</v>
      </c>
      <c r="C170">
        <v>378</v>
      </c>
      <c r="D170">
        <v>390</v>
      </c>
      <c r="E170">
        <v>374</v>
      </c>
      <c r="F170">
        <v>379.75</v>
      </c>
      <c r="G170">
        <v>375.35</v>
      </c>
      <c r="H170">
        <v>377.25</v>
      </c>
      <c r="I170">
        <v>68531</v>
      </c>
      <c r="J170">
        <v>26258220.949999999</v>
      </c>
      <c r="K170" s="1">
        <v>43777</v>
      </c>
      <c r="L170">
        <v>3908</v>
      </c>
      <c r="M170" t="s">
        <v>612</v>
      </c>
    </row>
    <row r="171" spans="1:13" x14ac:dyDescent="0.25">
      <c r="A171" t="s">
        <v>613</v>
      </c>
      <c r="B171" t="s">
        <v>14</v>
      </c>
      <c r="C171">
        <v>82</v>
      </c>
      <c r="D171">
        <v>82</v>
      </c>
      <c r="E171">
        <v>75.05</v>
      </c>
      <c r="F171">
        <v>75.55</v>
      </c>
      <c r="G171">
        <v>79.8</v>
      </c>
      <c r="H171">
        <v>78.349999999999994</v>
      </c>
      <c r="I171">
        <v>512</v>
      </c>
      <c r="J171">
        <v>39659.15</v>
      </c>
      <c r="K171" s="1">
        <v>43777</v>
      </c>
      <c r="L171">
        <v>42</v>
      </c>
      <c r="M171" t="s">
        <v>615</v>
      </c>
    </row>
    <row r="172" spans="1:13" x14ac:dyDescent="0.25">
      <c r="A172" t="s">
        <v>616</v>
      </c>
      <c r="B172" t="s">
        <v>10</v>
      </c>
      <c r="C172">
        <v>18.95</v>
      </c>
      <c r="D172">
        <v>19</v>
      </c>
      <c r="E172">
        <v>18.3</v>
      </c>
      <c r="F172">
        <v>18.350000000000001</v>
      </c>
      <c r="G172">
        <v>18.7</v>
      </c>
      <c r="H172">
        <v>18.399999999999999</v>
      </c>
      <c r="I172">
        <v>5135</v>
      </c>
      <c r="J172">
        <v>95421.4</v>
      </c>
      <c r="K172" s="1">
        <v>43777</v>
      </c>
      <c r="L172">
        <v>36</v>
      </c>
      <c r="M172" t="s">
        <v>618</v>
      </c>
    </row>
    <row r="173" spans="1:13" x14ac:dyDescent="0.25">
      <c r="A173" t="s">
        <v>619</v>
      </c>
      <c r="B173" t="s">
        <v>14</v>
      </c>
      <c r="C173">
        <v>869.9</v>
      </c>
      <c r="D173">
        <v>871</v>
      </c>
      <c r="E173">
        <v>845.45</v>
      </c>
      <c r="F173">
        <v>850.75</v>
      </c>
      <c r="G173">
        <v>849.5</v>
      </c>
      <c r="H173">
        <v>865.95</v>
      </c>
      <c r="I173">
        <v>135534</v>
      </c>
      <c r="J173">
        <v>116434708</v>
      </c>
      <c r="K173" s="1">
        <v>43777</v>
      </c>
      <c r="L173">
        <v>4802</v>
      </c>
      <c r="M173" t="s">
        <v>621</v>
      </c>
    </row>
    <row r="174" spans="1:13" x14ac:dyDescent="0.25">
      <c r="A174" t="s">
        <v>7739</v>
      </c>
      <c r="B174" t="s">
        <v>14</v>
      </c>
      <c r="C174">
        <v>0.55000000000000004</v>
      </c>
      <c r="D174">
        <v>0.55000000000000004</v>
      </c>
      <c r="E174">
        <v>0.5</v>
      </c>
      <c r="F174">
        <v>0.5</v>
      </c>
      <c r="G174">
        <v>0.5</v>
      </c>
      <c r="H174">
        <v>0.55000000000000004</v>
      </c>
      <c r="I174">
        <v>3578478</v>
      </c>
      <c r="J174">
        <v>1790443.85</v>
      </c>
      <c r="K174" s="1">
        <v>43777</v>
      </c>
      <c r="L174">
        <v>406</v>
      </c>
      <c r="M174" t="s">
        <v>7738</v>
      </c>
    </row>
    <row r="175" spans="1:13" x14ac:dyDescent="0.25">
      <c r="A175" t="s">
        <v>622</v>
      </c>
      <c r="B175" t="s">
        <v>14</v>
      </c>
      <c r="C175">
        <v>198.35</v>
      </c>
      <c r="D175">
        <v>203.45</v>
      </c>
      <c r="E175">
        <v>197</v>
      </c>
      <c r="F175">
        <v>198.05</v>
      </c>
      <c r="G175">
        <v>199.65</v>
      </c>
      <c r="H175">
        <v>198.35</v>
      </c>
      <c r="I175">
        <v>93492</v>
      </c>
      <c r="J175">
        <v>18638253.199999999</v>
      </c>
      <c r="K175" s="1">
        <v>43777</v>
      </c>
      <c r="L175">
        <v>1818</v>
      </c>
      <c r="M175" t="s">
        <v>624</v>
      </c>
    </row>
    <row r="176" spans="1:13" x14ac:dyDescent="0.25">
      <c r="A176" t="s">
        <v>625</v>
      </c>
      <c r="B176" t="s">
        <v>14</v>
      </c>
      <c r="C176">
        <v>45.05</v>
      </c>
      <c r="D176">
        <v>48.9</v>
      </c>
      <c r="E176">
        <v>44.1</v>
      </c>
      <c r="F176">
        <v>46.8</v>
      </c>
      <c r="G176">
        <v>47</v>
      </c>
      <c r="H176">
        <v>45.4</v>
      </c>
      <c r="I176">
        <v>27912</v>
      </c>
      <c r="J176">
        <v>1331685.1000000001</v>
      </c>
      <c r="K176" s="1">
        <v>43777</v>
      </c>
      <c r="L176">
        <v>681</v>
      </c>
      <c r="M176" t="s">
        <v>627</v>
      </c>
    </row>
    <row r="177" spans="1:13" x14ac:dyDescent="0.25">
      <c r="A177" t="s">
        <v>628</v>
      </c>
      <c r="B177" t="s">
        <v>14</v>
      </c>
      <c r="C177">
        <v>153.05000000000001</v>
      </c>
      <c r="D177">
        <v>154.4</v>
      </c>
      <c r="E177">
        <v>148</v>
      </c>
      <c r="F177">
        <v>149.5</v>
      </c>
      <c r="G177">
        <v>148.80000000000001</v>
      </c>
      <c r="H177">
        <v>152.75</v>
      </c>
      <c r="I177">
        <v>980459</v>
      </c>
      <c r="J177">
        <v>148798930.94999999</v>
      </c>
      <c r="K177" s="1">
        <v>43777</v>
      </c>
      <c r="L177">
        <v>18366</v>
      </c>
      <c r="M177" t="s">
        <v>630</v>
      </c>
    </row>
    <row r="178" spans="1:13" x14ac:dyDescent="0.25">
      <c r="A178" t="s">
        <v>631</v>
      </c>
      <c r="B178" t="s">
        <v>14</v>
      </c>
      <c r="C178">
        <v>33.5</v>
      </c>
      <c r="D178">
        <v>34.700000000000003</v>
      </c>
      <c r="E178">
        <v>33.200000000000003</v>
      </c>
      <c r="F178">
        <v>33.25</v>
      </c>
      <c r="G178">
        <v>33.200000000000003</v>
      </c>
      <c r="H178">
        <v>33.85</v>
      </c>
      <c r="I178">
        <v>1388</v>
      </c>
      <c r="J178">
        <v>47475.25</v>
      </c>
      <c r="K178" s="1">
        <v>43777</v>
      </c>
      <c r="L178">
        <v>31</v>
      </c>
      <c r="M178" t="s">
        <v>633</v>
      </c>
    </row>
    <row r="179" spans="1:13" x14ac:dyDescent="0.25">
      <c r="A179" t="s">
        <v>634</v>
      </c>
      <c r="B179" t="s">
        <v>14</v>
      </c>
      <c r="C179">
        <v>1172</v>
      </c>
      <c r="D179">
        <v>1245</v>
      </c>
      <c r="E179">
        <v>1172</v>
      </c>
      <c r="F179">
        <v>1182.3</v>
      </c>
      <c r="G179">
        <v>1182</v>
      </c>
      <c r="H179">
        <v>1200</v>
      </c>
      <c r="I179">
        <v>386</v>
      </c>
      <c r="J179">
        <v>460080.8</v>
      </c>
      <c r="K179" s="1">
        <v>43777</v>
      </c>
      <c r="L179">
        <v>68</v>
      </c>
      <c r="M179" t="s">
        <v>636</v>
      </c>
    </row>
    <row r="180" spans="1:13" x14ac:dyDescent="0.25">
      <c r="A180" t="s">
        <v>637</v>
      </c>
      <c r="B180" t="s">
        <v>14</v>
      </c>
      <c r="C180">
        <v>109.2</v>
      </c>
      <c r="D180">
        <v>111.75</v>
      </c>
      <c r="E180">
        <v>105.6</v>
      </c>
      <c r="F180">
        <v>106.8</v>
      </c>
      <c r="G180">
        <v>107.5</v>
      </c>
      <c r="H180">
        <v>110</v>
      </c>
      <c r="I180">
        <v>54373</v>
      </c>
      <c r="J180">
        <v>5928178.5999999996</v>
      </c>
      <c r="K180" s="1">
        <v>43777</v>
      </c>
      <c r="L180">
        <v>1295</v>
      </c>
      <c r="M180" t="s">
        <v>639</v>
      </c>
    </row>
    <row r="181" spans="1:13" x14ac:dyDescent="0.25">
      <c r="A181" t="s">
        <v>640</v>
      </c>
      <c r="B181" t="s">
        <v>14</v>
      </c>
      <c r="C181">
        <v>568</v>
      </c>
      <c r="D181">
        <v>574.25</v>
      </c>
      <c r="E181">
        <v>548.5</v>
      </c>
      <c r="F181">
        <v>550.79999999999995</v>
      </c>
      <c r="G181">
        <v>550.54999999999995</v>
      </c>
      <c r="H181">
        <v>568.6</v>
      </c>
      <c r="I181">
        <v>1979356</v>
      </c>
      <c r="J181">
        <v>1102413079.95</v>
      </c>
      <c r="K181" s="1">
        <v>43777</v>
      </c>
      <c r="L181">
        <v>161905</v>
      </c>
      <c r="M181" t="s">
        <v>642</v>
      </c>
    </row>
    <row r="182" spans="1:13" x14ac:dyDescent="0.25">
      <c r="A182" t="s">
        <v>643</v>
      </c>
      <c r="B182" t="s">
        <v>14</v>
      </c>
      <c r="C182">
        <v>17.100000000000001</v>
      </c>
      <c r="D182">
        <v>18</v>
      </c>
      <c r="E182">
        <v>17</v>
      </c>
      <c r="F182">
        <v>17.649999999999999</v>
      </c>
      <c r="G182">
        <v>17.350000000000001</v>
      </c>
      <c r="H182">
        <v>17.899999999999999</v>
      </c>
      <c r="I182">
        <v>2675</v>
      </c>
      <c r="J182">
        <v>47074.6</v>
      </c>
      <c r="K182" s="1">
        <v>43777</v>
      </c>
      <c r="L182">
        <v>99</v>
      </c>
      <c r="M182" t="s">
        <v>645</v>
      </c>
    </row>
    <row r="183" spans="1:13" x14ac:dyDescent="0.25">
      <c r="A183" t="s">
        <v>649</v>
      </c>
      <c r="B183" t="s">
        <v>14</v>
      </c>
      <c r="C183">
        <v>95.7</v>
      </c>
      <c r="D183">
        <v>97.15</v>
      </c>
      <c r="E183">
        <v>93.35</v>
      </c>
      <c r="F183">
        <v>93.8</v>
      </c>
      <c r="G183">
        <v>93.9</v>
      </c>
      <c r="H183">
        <v>96.2</v>
      </c>
      <c r="I183">
        <v>36265152</v>
      </c>
      <c r="J183">
        <v>3453379000.0999999</v>
      </c>
      <c r="K183" s="1">
        <v>43777</v>
      </c>
      <c r="L183">
        <v>89956</v>
      </c>
      <c r="M183" t="s">
        <v>651</v>
      </c>
    </row>
    <row r="184" spans="1:13" x14ac:dyDescent="0.25">
      <c r="A184" t="s">
        <v>6838</v>
      </c>
      <c r="B184" t="s">
        <v>14</v>
      </c>
      <c r="C184">
        <v>3120</v>
      </c>
      <c r="D184">
        <v>3168.9</v>
      </c>
      <c r="E184">
        <v>3120</v>
      </c>
      <c r="F184">
        <v>3141.19</v>
      </c>
      <c r="G184">
        <v>3147.18</v>
      </c>
      <c r="H184">
        <v>3128.67</v>
      </c>
      <c r="I184">
        <v>9192</v>
      </c>
      <c r="J184">
        <v>28922330.850000001</v>
      </c>
      <c r="K184" s="1">
        <v>43777</v>
      </c>
      <c r="L184">
        <v>940</v>
      </c>
      <c r="M184" t="s">
        <v>7737</v>
      </c>
    </row>
    <row r="185" spans="1:13" x14ac:dyDescent="0.25">
      <c r="A185" t="s">
        <v>652</v>
      </c>
      <c r="B185" t="s">
        <v>14</v>
      </c>
      <c r="C185">
        <v>68</v>
      </c>
      <c r="D185">
        <v>69.2</v>
      </c>
      <c r="E185">
        <v>66.099999999999994</v>
      </c>
      <c r="F185">
        <v>66.45</v>
      </c>
      <c r="G185">
        <v>66.55</v>
      </c>
      <c r="H185">
        <v>68.75</v>
      </c>
      <c r="I185">
        <v>8076600</v>
      </c>
      <c r="J185">
        <v>548887763.29999995</v>
      </c>
      <c r="K185" s="1">
        <v>43777</v>
      </c>
      <c r="L185">
        <v>19091</v>
      </c>
      <c r="M185" t="s">
        <v>654</v>
      </c>
    </row>
    <row r="186" spans="1:13" x14ac:dyDescent="0.25">
      <c r="A186" t="s">
        <v>655</v>
      </c>
      <c r="B186" t="s">
        <v>14</v>
      </c>
      <c r="C186">
        <v>67.75</v>
      </c>
      <c r="D186">
        <v>74.5</v>
      </c>
      <c r="E186">
        <v>67.7</v>
      </c>
      <c r="F186">
        <v>73.75</v>
      </c>
      <c r="G186">
        <v>73.25</v>
      </c>
      <c r="H186">
        <v>69.599999999999994</v>
      </c>
      <c r="I186">
        <v>12360</v>
      </c>
      <c r="J186">
        <v>893883.55</v>
      </c>
      <c r="K186" s="1">
        <v>43777</v>
      </c>
      <c r="L186">
        <v>564</v>
      </c>
      <c r="M186" t="s">
        <v>7736</v>
      </c>
    </row>
    <row r="187" spans="1:13" x14ac:dyDescent="0.25">
      <c r="A187" t="s">
        <v>7735</v>
      </c>
      <c r="B187" t="s">
        <v>10</v>
      </c>
      <c r="C187">
        <v>1.6</v>
      </c>
      <c r="D187">
        <v>1.6</v>
      </c>
      <c r="E187">
        <v>1.6</v>
      </c>
      <c r="F187">
        <v>1.6</v>
      </c>
      <c r="G187">
        <v>1.6</v>
      </c>
      <c r="H187">
        <v>1.55</v>
      </c>
      <c r="I187">
        <v>3458</v>
      </c>
      <c r="J187">
        <v>5532.8</v>
      </c>
      <c r="K187" s="1">
        <v>43777</v>
      </c>
      <c r="L187">
        <v>11</v>
      </c>
      <c r="M187" t="s">
        <v>7734</v>
      </c>
    </row>
    <row r="188" spans="1:13" x14ac:dyDescent="0.25">
      <c r="A188" t="s">
        <v>661</v>
      </c>
      <c r="B188" t="s">
        <v>14</v>
      </c>
      <c r="C188">
        <v>963.05</v>
      </c>
      <c r="D188">
        <v>993.95</v>
      </c>
      <c r="E188">
        <v>941.9</v>
      </c>
      <c r="F188">
        <v>985.7</v>
      </c>
      <c r="G188">
        <v>985</v>
      </c>
      <c r="H188">
        <v>962.85</v>
      </c>
      <c r="I188">
        <v>23068</v>
      </c>
      <c r="J188">
        <v>22550742.100000001</v>
      </c>
      <c r="K188" s="1">
        <v>43777</v>
      </c>
      <c r="L188">
        <v>2877</v>
      </c>
      <c r="M188" t="s">
        <v>663</v>
      </c>
    </row>
    <row r="189" spans="1:13" x14ac:dyDescent="0.25">
      <c r="A189" t="s">
        <v>664</v>
      </c>
      <c r="B189" t="s">
        <v>14</v>
      </c>
      <c r="C189">
        <v>140</v>
      </c>
      <c r="D189">
        <v>140</v>
      </c>
      <c r="E189">
        <v>135.05000000000001</v>
      </c>
      <c r="F189">
        <v>135.25</v>
      </c>
      <c r="G189">
        <v>139.85</v>
      </c>
      <c r="H189">
        <v>138.35</v>
      </c>
      <c r="I189">
        <v>1411</v>
      </c>
      <c r="J189">
        <v>196197.2</v>
      </c>
      <c r="K189" s="1">
        <v>43777</v>
      </c>
      <c r="L189">
        <v>43</v>
      </c>
      <c r="M189" t="s">
        <v>7733</v>
      </c>
    </row>
    <row r="190" spans="1:13" x14ac:dyDescent="0.25">
      <c r="A190" t="s">
        <v>667</v>
      </c>
      <c r="B190" t="s">
        <v>14</v>
      </c>
      <c r="C190">
        <v>1724</v>
      </c>
      <c r="D190">
        <v>1741</v>
      </c>
      <c r="E190">
        <v>1688.65</v>
      </c>
      <c r="F190">
        <v>1697.75</v>
      </c>
      <c r="G190">
        <v>1698.15</v>
      </c>
      <c r="H190">
        <v>1725.75</v>
      </c>
      <c r="I190">
        <v>456488</v>
      </c>
      <c r="J190">
        <v>785609145.85000002</v>
      </c>
      <c r="K190" s="1">
        <v>43777</v>
      </c>
      <c r="L190">
        <v>19408</v>
      </c>
      <c r="M190" t="s">
        <v>669</v>
      </c>
    </row>
    <row r="191" spans="1:13" x14ac:dyDescent="0.25">
      <c r="A191" t="s">
        <v>670</v>
      </c>
      <c r="B191" t="s">
        <v>14</v>
      </c>
      <c r="C191">
        <v>3551.9</v>
      </c>
      <c r="D191">
        <v>3600</v>
      </c>
      <c r="E191">
        <v>3425</v>
      </c>
      <c r="F191">
        <v>3445.35</v>
      </c>
      <c r="G191">
        <v>3441</v>
      </c>
      <c r="H191">
        <v>3549.35</v>
      </c>
      <c r="I191">
        <v>4728</v>
      </c>
      <c r="J191">
        <v>16469767.449999999</v>
      </c>
      <c r="K191" s="1">
        <v>43777</v>
      </c>
      <c r="L191">
        <v>1358</v>
      </c>
      <c r="M191" t="s">
        <v>672</v>
      </c>
    </row>
    <row r="192" spans="1:13" x14ac:dyDescent="0.25">
      <c r="A192" t="s">
        <v>673</v>
      </c>
      <c r="B192" t="s">
        <v>14</v>
      </c>
      <c r="C192">
        <v>904.65</v>
      </c>
      <c r="D192">
        <v>909.7</v>
      </c>
      <c r="E192">
        <v>884</v>
      </c>
      <c r="F192">
        <v>889.7</v>
      </c>
      <c r="G192">
        <v>884</v>
      </c>
      <c r="H192">
        <v>904.8</v>
      </c>
      <c r="I192">
        <v>6015</v>
      </c>
      <c r="J192">
        <v>5375037.9000000004</v>
      </c>
      <c r="K192" s="1">
        <v>43777</v>
      </c>
      <c r="L192">
        <v>611</v>
      </c>
      <c r="M192" t="s">
        <v>675</v>
      </c>
    </row>
    <row r="193" spans="1:13" x14ac:dyDescent="0.25">
      <c r="A193" t="s">
        <v>679</v>
      </c>
      <c r="B193" t="s">
        <v>14</v>
      </c>
      <c r="C193">
        <v>1183.95</v>
      </c>
      <c r="D193">
        <v>1248</v>
      </c>
      <c r="E193">
        <v>1180.8</v>
      </c>
      <c r="F193">
        <v>1201.25</v>
      </c>
      <c r="G193">
        <v>1203</v>
      </c>
      <c r="H193">
        <v>1187</v>
      </c>
      <c r="I193">
        <v>367624</v>
      </c>
      <c r="J193">
        <v>446514270.30000001</v>
      </c>
      <c r="K193" s="1">
        <v>43777</v>
      </c>
      <c r="L193">
        <v>16220</v>
      </c>
      <c r="M193" t="s">
        <v>681</v>
      </c>
    </row>
    <row r="194" spans="1:13" x14ac:dyDescent="0.25">
      <c r="A194" t="s">
        <v>682</v>
      </c>
      <c r="B194" t="s">
        <v>5788</v>
      </c>
      <c r="C194">
        <v>38.5</v>
      </c>
      <c r="D194">
        <v>39.5</v>
      </c>
      <c r="E194">
        <v>37.5</v>
      </c>
      <c r="F194">
        <v>39.5</v>
      </c>
      <c r="G194">
        <v>39.5</v>
      </c>
      <c r="H194">
        <v>40.4</v>
      </c>
      <c r="I194">
        <v>24000</v>
      </c>
      <c r="J194">
        <v>939000</v>
      </c>
      <c r="K194" s="1">
        <v>43777</v>
      </c>
      <c r="L194">
        <v>3</v>
      </c>
      <c r="M194" t="s">
        <v>684</v>
      </c>
    </row>
    <row r="195" spans="1:13" x14ac:dyDescent="0.25">
      <c r="A195" t="s">
        <v>685</v>
      </c>
      <c r="B195" t="s">
        <v>14</v>
      </c>
      <c r="C195">
        <v>3.15</v>
      </c>
      <c r="D195">
        <v>3.2</v>
      </c>
      <c r="E195">
        <v>3</v>
      </c>
      <c r="F195">
        <v>3.15</v>
      </c>
      <c r="G195">
        <v>3.1</v>
      </c>
      <c r="H195">
        <v>3.1</v>
      </c>
      <c r="I195">
        <v>142958</v>
      </c>
      <c r="J195">
        <v>441458.55</v>
      </c>
      <c r="K195" s="1">
        <v>43777</v>
      </c>
      <c r="L195">
        <v>165</v>
      </c>
      <c r="M195" t="s">
        <v>687</v>
      </c>
    </row>
    <row r="196" spans="1:13" x14ac:dyDescent="0.25">
      <c r="A196" t="s">
        <v>691</v>
      </c>
      <c r="B196" t="s">
        <v>5788</v>
      </c>
      <c r="C196">
        <v>33</v>
      </c>
      <c r="D196">
        <v>33.450000000000003</v>
      </c>
      <c r="E196">
        <v>31.35</v>
      </c>
      <c r="F196">
        <v>31.35</v>
      </c>
      <c r="G196">
        <v>31.35</v>
      </c>
      <c r="H196">
        <v>33</v>
      </c>
      <c r="I196">
        <v>12000</v>
      </c>
      <c r="J196">
        <v>387450</v>
      </c>
      <c r="K196" s="1">
        <v>43777</v>
      </c>
      <c r="L196">
        <v>4</v>
      </c>
      <c r="M196" t="s">
        <v>693</v>
      </c>
    </row>
    <row r="197" spans="1:13" x14ac:dyDescent="0.25">
      <c r="A197" t="s">
        <v>7732</v>
      </c>
      <c r="B197" t="s">
        <v>14</v>
      </c>
      <c r="C197">
        <v>8.5500000000000007</v>
      </c>
      <c r="D197">
        <v>8.5500000000000007</v>
      </c>
      <c r="E197">
        <v>8.5500000000000007</v>
      </c>
      <c r="F197">
        <v>8.5500000000000007</v>
      </c>
      <c r="G197">
        <v>8.5500000000000007</v>
      </c>
      <c r="H197">
        <v>8.4</v>
      </c>
      <c r="I197">
        <v>141400</v>
      </c>
      <c r="J197">
        <v>1208970</v>
      </c>
      <c r="K197" s="1">
        <v>43777</v>
      </c>
      <c r="L197">
        <v>50</v>
      </c>
      <c r="M197" t="s">
        <v>7731</v>
      </c>
    </row>
    <row r="198" spans="1:13" x14ac:dyDescent="0.25">
      <c r="A198" t="s">
        <v>694</v>
      </c>
      <c r="B198" t="s">
        <v>14</v>
      </c>
      <c r="C198">
        <v>325</v>
      </c>
      <c r="D198">
        <v>334.9</v>
      </c>
      <c r="E198">
        <v>323</v>
      </c>
      <c r="F198">
        <v>327.95</v>
      </c>
      <c r="G198">
        <v>328.4</v>
      </c>
      <c r="H198">
        <v>325.64999999999998</v>
      </c>
      <c r="I198">
        <v>64135</v>
      </c>
      <c r="J198">
        <v>21106550.949999999</v>
      </c>
      <c r="K198" s="1">
        <v>43777</v>
      </c>
      <c r="L198">
        <v>2525</v>
      </c>
      <c r="M198" t="s">
        <v>696</v>
      </c>
    </row>
    <row r="199" spans="1:13" x14ac:dyDescent="0.25">
      <c r="A199" t="s">
        <v>697</v>
      </c>
      <c r="B199" t="s">
        <v>14</v>
      </c>
      <c r="C199">
        <v>12.2</v>
      </c>
      <c r="D199">
        <v>12.2</v>
      </c>
      <c r="E199">
        <v>11</v>
      </c>
      <c r="F199">
        <v>11.4</v>
      </c>
      <c r="G199">
        <v>11.75</v>
      </c>
      <c r="H199">
        <v>11.85</v>
      </c>
      <c r="I199">
        <v>2872</v>
      </c>
      <c r="J199">
        <v>32942.050000000003</v>
      </c>
      <c r="K199" s="1">
        <v>43777</v>
      </c>
      <c r="L199">
        <v>68</v>
      </c>
      <c r="M199" t="s">
        <v>699</v>
      </c>
    </row>
    <row r="200" spans="1:13" x14ac:dyDescent="0.25">
      <c r="A200" t="s">
        <v>703</v>
      </c>
      <c r="B200" t="s">
        <v>14</v>
      </c>
      <c r="C200">
        <v>12.15</v>
      </c>
      <c r="D200">
        <v>12.15</v>
      </c>
      <c r="E200">
        <v>10.9</v>
      </c>
      <c r="F200">
        <v>11.3</v>
      </c>
      <c r="G200">
        <v>11.25</v>
      </c>
      <c r="H200">
        <v>11.75</v>
      </c>
      <c r="I200">
        <v>27047</v>
      </c>
      <c r="J200">
        <v>304088.05</v>
      </c>
      <c r="K200" s="1">
        <v>43777</v>
      </c>
      <c r="L200">
        <v>77</v>
      </c>
      <c r="M200" t="s">
        <v>705</v>
      </c>
    </row>
    <row r="201" spans="1:13" x14ac:dyDescent="0.25">
      <c r="A201" t="s">
        <v>706</v>
      </c>
      <c r="B201" t="s">
        <v>14</v>
      </c>
      <c r="C201">
        <v>108.65</v>
      </c>
      <c r="D201">
        <v>112.8</v>
      </c>
      <c r="E201">
        <v>108.65</v>
      </c>
      <c r="F201">
        <v>109.45</v>
      </c>
      <c r="G201">
        <v>109.4</v>
      </c>
      <c r="H201">
        <v>108.9</v>
      </c>
      <c r="I201">
        <v>13385907</v>
      </c>
      <c r="J201">
        <v>1487621677.75</v>
      </c>
      <c r="K201" s="1">
        <v>43777</v>
      </c>
      <c r="L201">
        <v>60063</v>
      </c>
      <c r="M201" t="s">
        <v>708</v>
      </c>
    </row>
    <row r="202" spans="1:13" x14ac:dyDescent="0.25">
      <c r="A202" t="s">
        <v>709</v>
      </c>
      <c r="B202" t="s">
        <v>14</v>
      </c>
      <c r="C202">
        <v>980</v>
      </c>
      <c r="D202">
        <v>980.05</v>
      </c>
      <c r="E202">
        <v>957.75</v>
      </c>
      <c r="F202">
        <v>961.7</v>
      </c>
      <c r="G202">
        <v>963.9</v>
      </c>
      <c r="H202">
        <v>980.75</v>
      </c>
      <c r="I202">
        <v>334339</v>
      </c>
      <c r="J202">
        <v>323928939.30000001</v>
      </c>
      <c r="K202" s="1">
        <v>43777</v>
      </c>
      <c r="L202">
        <v>13434</v>
      </c>
      <c r="M202" t="s">
        <v>711</v>
      </c>
    </row>
    <row r="203" spans="1:13" x14ac:dyDescent="0.25">
      <c r="A203" t="s">
        <v>712</v>
      </c>
      <c r="B203" t="s">
        <v>14</v>
      </c>
      <c r="C203">
        <v>50</v>
      </c>
      <c r="D203">
        <v>52.55</v>
      </c>
      <c r="E203">
        <v>49.1</v>
      </c>
      <c r="F203">
        <v>49.6</v>
      </c>
      <c r="G203">
        <v>50</v>
      </c>
      <c r="H203">
        <v>50</v>
      </c>
      <c r="I203">
        <v>555529</v>
      </c>
      <c r="J203">
        <v>28140271.550000001</v>
      </c>
      <c r="K203" s="1">
        <v>43777</v>
      </c>
      <c r="L203">
        <v>4237</v>
      </c>
      <c r="M203" t="s">
        <v>714</v>
      </c>
    </row>
    <row r="204" spans="1:13" x14ac:dyDescent="0.25">
      <c r="A204" t="s">
        <v>715</v>
      </c>
      <c r="B204" t="s">
        <v>14</v>
      </c>
      <c r="C204">
        <v>507.7</v>
      </c>
      <c r="D204">
        <v>508.4</v>
      </c>
      <c r="E204">
        <v>483.65</v>
      </c>
      <c r="F204">
        <v>485.4</v>
      </c>
      <c r="G204">
        <v>485.5</v>
      </c>
      <c r="H204">
        <v>506.7</v>
      </c>
      <c r="I204">
        <v>4604427</v>
      </c>
      <c r="J204">
        <v>2264159175.5999999</v>
      </c>
      <c r="K204" s="1">
        <v>43777</v>
      </c>
      <c r="L204">
        <v>125904</v>
      </c>
      <c r="M204" t="s">
        <v>717</v>
      </c>
    </row>
    <row r="205" spans="1:13" x14ac:dyDescent="0.25">
      <c r="A205" t="s">
        <v>6830</v>
      </c>
      <c r="B205" t="s">
        <v>5788</v>
      </c>
      <c r="C205">
        <v>82.5</v>
      </c>
      <c r="D205">
        <v>85.1</v>
      </c>
      <c r="E205">
        <v>80.05</v>
      </c>
      <c r="F205">
        <v>82</v>
      </c>
      <c r="G205">
        <v>82</v>
      </c>
      <c r="H205">
        <v>85</v>
      </c>
      <c r="I205">
        <v>34400</v>
      </c>
      <c r="J205">
        <v>2829840</v>
      </c>
      <c r="K205" s="1">
        <v>43777</v>
      </c>
      <c r="L205">
        <v>24</v>
      </c>
      <c r="M205" t="s">
        <v>6829</v>
      </c>
    </row>
    <row r="206" spans="1:13" x14ac:dyDescent="0.25">
      <c r="A206" t="s">
        <v>718</v>
      </c>
      <c r="B206" t="s">
        <v>14</v>
      </c>
      <c r="C206">
        <v>322.55</v>
      </c>
      <c r="D206">
        <v>347.75</v>
      </c>
      <c r="E206">
        <v>321.5</v>
      </c>
      <c r="F206">
        <v>324.55</v>
      </c>
      <c r="G206">
        <v>324.05</v>
      </c>
      <c r="H206">
        <v>322.2</v>
      </c>
      <c r="I206">
        <v>174620</v>
      </c>
      <c r="J206">
        <v>58236793.899999999</v>
      </c>
      <c r="K206" s="1">
        <v>43777</v>
      </c>
      <c r="L206">
        <v>4882</v>
      </c>
      <c r="M206" t="s">
        <v>720</v>
      </c>
    </row>
    <row r="207" spans="1:13" x14ac:dyDescent="0.25">
      <c r="A207" t="s">
        <v>721</v>
      </c>
      <c r="B207" t="s">
        <v>14</v>
      </c>
      <c r="C207">
        <v>288.5</v>
      </c>
      <c r="D207">
        <v>306.8</v>
      </c>
      <c r="E207">
        <v>288.45</v>
      </c>
      <c r="F207">
        <v>293.25</v>
      </c>
      <c r="G207">
        <v>294.39999999999998</v>
      </c>
      <c r="H207">
        <v>292.2</v>
      </c>
      <c r="I207">
        <v>340920</v>
      </c>
      <c r="J207">
        <v>101715447.15000001</v>
      </c>
      <c r="K207" s="1">
        <v>43777</v>
      </c>
      <c r="L207">
        <v>4909</v>
      </c>
      <c r="M207" t="s">
        <v>723</v>
      </c>
    </row>
    <row r="208" spans="1:13" x14ac:dyDescent="0.25">
      <c r="A208" t="s">
        <v>7730</v>
      </c>
      <c r="B208" t="s">
        <v>10</v>
      </c>
      <c r="C208">
        <v>1.85</v>
      </c>
      <c r="D208">
        <v>1.9</v>
      </c>
      <c r="E208">
        <v>1.85</v>
      </c>
      <c r="F208">
        <v>1.9</v>
      </c>
      <c r="G208">
        <v>1.9</v>
      </c>
      <c r="H208">
        <v>1.85</v>
      </c>
      <c r="I208">
        <v>9651</v>
      </c>
      <c r="J208">
        <v>18061.849999999999</v>
      </c>
      <c r="K208" s="1">
        <v>43777</v>
      </c>
      <c r="L208">
        <v>10</v>
      </c>
      <c r="M208" t="s">
        <v>7729</v>
      </c>
    </row>
    <row r="209" spans="1:13" x14ac:dyDescent="0.25">
      <c r="A209" t="s">
        <v>724</v>
      </c>
      <c r="B209" t="s">
        <v>14</v>
      </c>
      <c r="C209">
        <v>33.049999999999997</v>
      </c>
      <c r="D209">
        <v>33.450000000000003</v>
      </c>
      <c r="E209">
        <v>32.1</v>
      </c>
      <c r="F209">
        <v>32.35</v>
      </c>
      <c r="G209">
        <v>32.1</v>
      </c>
      <c r="H209">
        <v>33.200000000000003</v>
      </c>
      <c r="I209">
        <v>98933</v>
      </c>
      <c r="J209">
        <v>3245984.05</v>
      </c>
      <c r="K209" s="1">
        <v>43777</v>
      </c>
      <c r="L209">
        <v>1150</v>
      </c>
      <c r="M209" t="s">
        <v>726</v>
      </c>
    </row>
    <row r="210" spans="1:13" x14ac:dyDescent="0.25">
      <c r="A210" t="s">
        <v>730</v>
      </c>
      <c r="B210" t="s">
        <v>14</v>
      </c>
      <c r="C210">
        <v>109.75</v>
      </c>
      <c r="D210">
        <v>109.75</v>
      </c>
      <c r="E210">
        <v>107</v>
      </c>
      <c r="F210">
        <v>107.7</v>
      </c>
      <c r="G210">
        <v>107.95</v>
      </c>
      <c r="H210">
        <v>108.15</v>
      </c>
      <c r="I210">
        <v>14246</v>
      </c>
      <c r="J210">
        <v>1543863.55</v>
      </c>
      <c r="K210" s="1">
        <v>43777</v>
      </c>
      <c r="L210">
        <v>201</v>
      </c>
      <c r="M210" t="s">
        <v>732</v>
      </c>
    </row>
    <row r="211" spans="1:13" x14ac:dyDescent="0.25">
      <c r="A211" t="s">
        <v>733</v>
      </c>
      <c r="B211" t="s">
        <v>14</v>
      </c>
      <c r="C211">
        <v>20</v>
      </c>
      <c r="D211">
        <v>20</v>
      </c>
      <c r="E211">
        <v>18.5</v>
      </c>
      <c r="F211">
        <v>19.05</v>
      </c>
      <c r="G211">
        <v>19.05</v>
      </c>
      <c r="H211">
        <v>19.5</v>
      </c>
      <c r="I211">
        <v>7469</v>
      </c>
      <c r="J211">
        <v>143099.9</v>
      </c>
      <c r="K211" s="1">
        <v>43777</v>
      </c>
      <c r="L211">
        <v>57</v>
      </c>
      <c r="M211" t="s">
        <v>735</v>
      </c>
    </row>
    <row r="212" spans="1:13" x14ac:dyDescent="0.25">
      <c r="A212" t="s">
        <v>7728</v>
      </c>
      <c r="B212" t="s">
        <v>14</v>
      </c>
      <c r="C212">
        <v>20</v>
      </c>
      <c r="D212">
        <v>21.75</v>
      </c>
      <c r="E212">
        <v>19.5</v>
      </c>
      <c r="F212">
        <v>20.85</v>
      </c>
      <c r="G212">
        <v>20.85</v>
      </c>
      <c r="H212">
        <v>20.5</v>
      </c>
      <c r="I212">
        <v>2738</v>
      </c>
      <c r="J212">
        <v>53887.6</v>
      </c>
      <c r="K212" s="1">
        <v>43777</v>
      </c>
      <c r="L212">
        <v>17</v>
      </c>
      <c r="M212" t="s">
        <v>7727</v>
      </c>
    </row>
    <row r="213" spans="1:13" x14ac:dyDescent="0.25">
      <c r="A213" t="s">
        <v>736</v>
      </c>
      <c r="B213" t="s">
        <v>14</v>
      </c>
      <c r="C213">
        <v>1.35</v>
      </c>
      <c r="D213">
        <v>1.35</v>
      </c>
      <c r="E213">
        <v>1.25</v>
      </c>
      <c r="F213">
        <v>1.25</v>
      </c>
      <c r="G213">
        <v>1.25</v>
      </c>
      <c r="H213">
        <v>1.3</v>
      </c>
      <c r="I213">
        <v>91106</v>
      </c>
      <c r="J213">
        <v>118618.15</v>
      </c>
      <c r="K213" s="1">
        <v>43777</v>
      </c>
      <c r="L213">
        <v>80</v>
      </c>
      <c r="M213" t="s">
        <v>738</v>
      </c>
    </row>
    <row r="214" spans="1:13" x14ac:dyDescent="0.25">
      <c r="A214" t="s">
        <v>739</v>
      </c>
      <c r="B214" t="s">
        <v>14</v>
      </c>
      <c r="C214">
        <v>468.7</v>
      </c>
      <c r="D214">
        <v>473.45</v>
      </c>
      <c r="E214">
        <v>420.85</v>
      </c>
      <c r="F214">
        <v>426.65</v>
      </c>
      <c r="G214">
        <v>426.35</v>
      </c>
      <c r="H214">
        <v>469.15</v>
      </c>
      <c r="I214">
        <v>7061664</v>
      </c>
      <c r="J214">
        <v>3128259941.4000001</v>
      </c>
      <c r="K214" s="1">
        <v>43777</v>
      </c>
      <c r="L214">
        <v>104450</v>
      </c>
      <c r="M214" t="s">
        <v>741</v>
      </c>
    </row>
    <row r="215" spans="1:13" x14ac:dyDescent="0.25">
      <c r="A215" t="s">
        <v>742</v>
      </c>
      <c r="B215" t="s">
        <v>14</v>
      </c>
      <c r="C215">
        <v>81.099999999999994</v>
      </c>
      <c r="D215">
        <v>81.8</v>
      </c>
      <c r="E215">
        <v>76.3</v>
      </c>
      <c r="F215">
        <v>78.349999999999994</v>
      </c>
      <c r="G215">
        <v>78</v>
      </c>
      <c r="H215">
        <v>81.95</v>
      </c>
      <c r="I215">
        <v>13646</v>
      </c>
      <c r="J215">
        <v>1087525.1499999999</v>
      </c>
      <c r="K215" s="1">
        <v>43777</v>
      </c>
      <c r="L215">
        <v>265</v>
      </c>
      <c r="M215" t="s">
        <v>744</v>
      </c>
    </row>
    <row r="216" spans="1:13" x14ac:dyDescent="0.25">
      <c r="A216" t="s">
        <v>745</v>
      </c>
      <c r="B216" t="s">
        <v>14</v>
      </c>
      <c r="C216">
        <v>5972.05</v>
      </c>
      <c r="D216">
        <v>6775.45</v>
      </c>
      <c r="E216">
        <v>5955</v>
      </c>
      <c r="F216">
        <v>6476.85</v>
      </c>
      <c r="G216">
        <v>6450</v>
      </c>
      <c r="H216">
        <v>5970.85</v>
      </c>
      <c r="I216">
        <v>13425</v>
      </c>
      <c r="J216">
        <v>87454601.849999994</v>
      </c>
      <c r="K216" s="1">
        <v>43777</v>
      </c>
      <c r="L216">
        <v>3588</v>
      </c>
      <c r="M216" t="s">
        <v>747</v>
      </c>
    </row>
    <row r="217" spans="1:13" x14ac:dyDescent="0.25">
      <c r="A217" t="s">
        <v>748</v>
      </c>
      <c r="B217" t="s">
        <v>14</v>
      </c>
      <c r="C217">
        <v>30.6</v>
      </c>
      <c r="D217">
        <v>31.45</v>
      </c>
      <c r="E217">
        <v>30.55</v>
      </c>
      <c r="F217">
        <v>31.15</v>
      </c>
      <c r="G217">
        <v>31</v>
      </c>
      <c r="H217">
        <v>30.7</v>
      </c>
      <c r="I217">
        <v>646</v>
      </c>
      <c r="J217">
        <v>19980.2</v>
      </c>
      <c r="K217" s="1">
        <v>43777</v>
      </c>
      <c r="L217">
        <v>27</v>
      </c>
      <c r="M217" t="s">
        <v>750</v>
      </c>
    </row>
    <row r="218" spans="1:13" x14ac:dyDescent="0.25">
      <c r="A218" t="s">
        <v>751</v>
      </c>
      <c r="B218" t="s">
        <v>14</v>
      </c>
      <c r="C218">
        <v>370</v>
      </c>
      <c r="D218">
        <v>375.85</v>
      </c>
      <c r="E218">
        <v>366.6</v>
      </c>
      <c r="F218">
        <v>369.15</v>
      </c>
      <c r="G218">
        <v>368.4</v>
      </c>
      <c r="H218">
        <v>371.75</v>
      </c>
      <c r="I218">
        <v>5982102</v>
      </c>
      <c r="J218">
        <v>2215611610.8000002</v>
      </c>
      <c r="K218" s="1">
        <v>43777</v>
      </c>
      <c r="L218">
        <v>50951</v>
      </c>
      <c r="M218" t="s">
        <v>753</v>
      </c>
    </row>
    <row r="219" spans="1:13" x14ac:dyDescent="0.25">
      <c r="A219" t="s">
        <v>754</v>
      </c>
      <c r="B219" t="s">
        <v>14</v>
      </c>
      <c r="C219">
        <v>53.9</v>
      </c>
      <c r="D219">
        <v>56</v>
      </c>
      <c r="E219">
        <v>53.3</v>
      </c>
      <c r="F219">
        <v>54.25</v>
      </c>
      <c r="G219">
        <v>54.15</v>
      </c>
      <c r="H219">
        <v>55.45</v>
      </c>
      <c r="I219">
        <v>21720965</v>
      </c>
      <c r="J219">
        <v>1187653181.9000001</v>
      </c>
      <c r="K219" s="1">
        <v>43777</v>
      </c>
      <c r="L219">
        <v>46494</v>
      </c>
      <c r="M219" t="s">
        <v>756</v>
      </c>
    </row>
    <row r="220" spans="1:13" x14ac:dyDescent="0.25">
      <c r="A220" t="s">
        <v>757</v>
      </c>
      <c r="B220" t="s">
        <v>14</v>
      </c>
      <c r="C220">
        <v>24.35</v>
      </c>
      <c r="D220">
        <v>24.6</v>
      </c>
      <c r="E220">
        <v>23.5</v>
      </c>
      <c r="F220">
        <v>24</v>
      </c>
      <c r="G220">
        <v>24.25</v>
      </c>
      <c r="H220">
        <v>24.35</v>
      </c>
      <c r="I220">
        <v>708</v>
      </c>
      <c r="J220">
        <v>17110.900000000001</v>
      </c>
      <c r="K220" s="1">
        <v>43777</v>
      </c>
      <c r="L220">
        <v>38</v>
      </c>
      <c r="M220" t="s">
        <v>7726</v>
      </c>
    </row>
    <row r="221" spans="1:13" x14ac:dyDescent="0.25">
      <c r="A221" t="s">
        <v>763</v>
      </c>
      <c r="B221" t="s">
        <v>14</v>
      </c>
      <c r="C221">
        <v>158</v>
      </c>
      <c r="D221">
        <v>159</v>
      </c>
      <c r="E221">
        <v>153.1</v>
      </c>
      <c r="F221">
        <v>156.25</v>
      </c>
      <c r="G221">
        <v>155</v>
      </c>
      <c r="H221">
        <v>158.05000000000001</v>
      </c>
      <c r="I221">
        <v>1728</v>
      </c>
      <c r="J221">
        <v>269617.5</v>
      </c>
      <c r="K221" s="1">
        <v>43777</v>
      </c>
      <c r="L221">
        <v>130</v>
      </c>
      <c r="M221" t="s">
        <v>765</v>
      </c>
    </row>
    <row r="222" spans="1:13" x14ac:dyDescent="0.25">
      <c r="A222" t="s">
        <v>7725</v>
      </c>
      <c r="B222" t="s">
        <v>10</v>
      </c>
      <c r="C222">
        <v>1.4</v>
      </c>
      <c r="D222">
        <v>1.4</v>
      </c>
      <c r="E222">
        <v>1.4</v>
      </c>
      <c r="F222">
        <v>1.4</v>
      </c>
      <c r="G222">
        <v>1.4</v>
      </c>
      <c r="H222">
        <v>1.35</v>
      </c>
      <c r="I222">
        <v>30701</v>
      </c>
      <c r="J222">
        <v>42981.4</v>
      </c>
      <c r="K222" s="1">
        <v>43777</v>
      </c>
      <c r="L222">
        <v>35</v>
      </c>
      <c r="M222" t="s">
        <v>7724</v>
      </c>
    </row>
    <row r="223" spans="1:13" x14ac:dyDescent="0.25">
      <c r="A223" t="s">
        <v>7723</v>
      </c>
      <c r="B223" t="s">
        <v>14</v>
      </c>
      <c r="C223">
        <v>10.75</v>
      </c>
      <c r="D223">
        <v>11.2</v>
      </c>
      <c r="E223">
        <v>10.35</v>
      </c>
      <c r="F223">
        <v>10.45</v>
      </c>
      <c r="G223">
        <v>10.35</v>
      </c>
      <c r="H223">
        <v>10.85</v>
      </c>
      <c r="I223">
        <v>21377</v>
      </c>
      <c r="J223">
        <v>227147.8</v>
      </c>
      <c r="K223" s="1">
        <v>43777</v>
      </c>
      <c r="L223">
        <v>250</v>
      </c>
      <c r="M223" t="s">
        <v>3738</v>
      </c>
    </row>
    <row r="224" spans="1:13" x14ac:dyDescent="0.25">
      <c r="A224" t="s">
        <v>769</v>
      </c>
      <c r="B224" t="s">
        <v>14</v>
      </c>
      <c r="C224">
        <v>263.85000000000002</v>
      </c>
      <c r="D224">
        <v>268.5</v>
      </c>
      <c r="E224">
        <v>262.10000000000002</v>
      </c>
      <c r="F224">
        <v>265</v>
      </c>
      <c r="G224">
        <v>265</v>
      </c>
      <c r="H224">
        <v>263.95</v>
      </c>
      <c r="I224">
        <v>3380307</v>
      </c>
      <c r="J224">
        <v>900676038.75</v>
      </c>
      <c r="K224" s="1">
        <v>43777</v>
      </c>
      <c r="L224">
        <v>32920</v>
      </c>
      <c r="M224" t="s">
        <v>771</v>
      </c>
    </row>
    <row r="225" spans="1:13" x14ac:dyDescent="0.25">
      <c r="A225" t="s">
        <v>772</v>
      </c>
      <c r="B225" t="s">
        <v>10</v>
      </c>
      <c r="C225">
        <v>4.55</v>
      </c>
      <c r="D225">
        <v>4.55</v>
      </c>
      <c r="E225">
        <v>4.55</v>
      </c>
      <c r="F225">
        <v>4.55</v>
      </c>
      <c r="G225">
        <v>4.55</v>
      </c>
      <c r="H225">
        <v>4.55</v>
      </c>
      <c r="I225">
        <v>74</v>
      </c>
      <c r="J225">
        <v>336.7</v>
      </c>
      <c r="K225" s="1">
        <v>43777</v>
      </c>
      <c r="L225">
        <v>1</v>
      </c>
      <c r="M225" t="s">
        <v>774</v>
      </c>
    </row>
    <row r="226" spans="1:13" x14ac:dyDescent="0.25">
      <c r="A226" t="s">
        <v>775</v>
      </c>
      <c r="B226" t="s">
        <v>14</v>
      </c>
      <c r="C226">
        <v>72.8</v>
      </c>
      <c r="D226">
        <v>80.650000000000006</v>
      </c>
      <c r="E226">
        <v>71</v>
      </c>
      <c r="F226">
        <v>80.650000000000006</v>
      </c>
      <c r="G226">
        <v>80.650000000000006</v>
      </c>
      <c r="H226">
        <v>73.349999999999994</v>
      </c>
      <c r="I226">
        <v>305098</v>
      </c>
      <c r="J226">
        <v>23899566.300000001</v>
      </c>
      <c r="K226" s="1">
        <v>43777</v>
      </c>
      <c r="L226">
        <v>2601</v>
      </c>
      <c r="M226" t="s">
        <v>777</v>
      </c>
    </row>
    <row r="227" spans="1:13" x14ac:dyDescent="0.25">
      <c r="A227" t="s">
        <v>778</v>
      </c>
      <c r="B227" t="s">
        <v>14</v>
      </c>
      <c r="C227">
        <v>630</v>
      </c>
      <c r="D227">
        <v>662</v>
      </c>
      <c r="E227">
        <v>625.65</v>
      </c>
      <c r="F227">
        <v>629.79999999999995</v>
      </c>
      <c r="G227">
        <v>629.1</v>
      </c>
      <c r="H227">
        <v>634.85</v>
      </c>
      <c r="I227">
        <v>347136</v>
      </c>
      <c r="J227">
        <v>223163195.90000001</v>
      </c>
      <c r="K227" s="1">
        <v>43777</v>
      </c>
      <c r="L227">
        <v>10232</v>
      </c>
      <c r="M227" t="s">
        <v>780</v>
      </c>
    </row>
    <row r="228" spans="1:13" x14ac:dyDescent="0.25">
      <c r="A228" t="s">
        <v>781</v>
      </c>
      <c r="B228" t="s">
        <v>14</v>
      </c>
      <c r="C228">
        <v>35.700000000000003</v>
      </c>
      <c r="D228">
        <v>36.5</v>
      </c>
      <c r="E228">
        <v>35.25</v>
      </c>
      <c r="F228">
        <v>35.549999999999997</v>
      </c>
      <c r="G228">
        <v>35.5</v>
      </c>
      <c r="H228">
        <v>35.799999999999997</v>
      </c>
      <c r="I228">
        <v>65927</v>
      </c>
      <c r="J228">
        <v>2366062.9500000002</v>
      </c>
      <c r="K228" s="1">
        <v>43777</v>
      </c>
      <c r="L228">
        <v>669</v>
      </c>
      <c r="M228" t="s">
        <v>783</v>
      </c>
    </row>
    <row r="229" spans="1:13" x14ac:dyDescent="0.25">
      <c r="A229" t="s">
        <v>784</v>
      </c>
      <c r="B229" t="s">
        <v>14</v>
      </c>
      <c r="C229">
        <v>0.85</v>
      </c>
      <c r="D229">
        <v>0.85</v>
      </c>
      <c r="E229">
        <v>0.75</v>
      </c>
      <c r="F229">
        <v>0.75</v>
      </c>
      <c r="G229">
        <v>0.8</v>
      </c>
      <c r="H229">
        <v>0.8</v>
      </c>
      <c r="I229">
        <v>553298</v>
      </c>
      <c r="J229">
        <v>419168.3</v>
      </c>
      <c r="K229" s="1">
        <v>43777</v>
      </c>
      <c r="L229">
        <v>131</v>
      </c>
      <c r="M229" t="s">
        <v>787</v>
      </c>
    </row>
    <row r="230" spans="1:13" x14ac:dyDescent="0.25">
      <c r="A230" t="s">
        <v>791</v>
      </c>
      <c r="B230" t="s">
        <v>14</v>
      </c>
      <c r="C230">
        <v>3.8</v>
      </c>
      <c r="D230">
        <v>3.8</v>
      </c>
      <c r="E230">
        <v>3.6</v>
      </c>
      <c r="F230">
        <v>3.65</v>
      </c>
      <c r="G230">
        <v>3.65</v>
      </c>
      <c r="H230">
        <v>3.6</v>
      </c>
      <c r="I230">
        <v>2237</v>
      </c>
      <c r="J230">
        <v>8417.0499999999993</v>
      </c>
      <c r="K230" s="1">
        <v>43777</v>
      </c>
      <c r="L230">
        <v>25</v>
      </c>
      <c r="M230" t="s">
        <v>793</v>
      </c>
    </row>
    <row r="231" spans="1:13" x14ac:dyDescent="0.25">
      <c r="A231" t="s">
        <v>794</v>
      </c>
      <c r="B231" t="s">
        <v>14</v>
      </c>
      <c r="C231">
        <v>140.85</v>
      </c>
      <c r="D231">
        <v>141.15</v>
      </c>
      <c r="E231">
        <v>135.80000000000001</v>
      </c>
      <c r="F231">
        <v>138.80000000000001</v>
      </c>
      <c r="G231">
        <v>137</v>
      </c>
      <c r="H231">
        <v>140.65</v>
      </c>
      <c r="I231">
        <v>239211</v>
      </c>
      <c r="J231">
        <v>33421243.399999999</v>
      </c>
      <c r="K231" s="1">
        <v>43777</v>
      </c>
      <c r="L231">
        <v>2526</v>
      </c>
      <c r="M231" t="s">
        <v>796</v>
      </c>
    </row>
    <row r="232" spans="1:13" x14ac:dyDescent="0.25">
      <c r="A232" t="s">
        <v>797</v>
      </c>
      <c r="B232" t="s">
        <v>14</v>
      </c>
      <c r="C232">
        <v>10.7</v>
      </c>
      <c r="D232">
        <v>10.7</v>
      </c>
      <c r="E232">
        <v>10.7</v>
      </c>
      <c r="F232">
        <v>10.7</v>
      </c>
      <c r="G232">
        <v>10.7</v>
      </c>
      <c r="H232">
        <v>10.199999999999999</v>
      </c>
      <c r="I232">
        <v>73132</v>
      </c>
      <c r="J232">
        <v>782512.4</v>
      </c>
      <c r="K232" s="1">
        <v>43777</v>
      </c>
      <c r="L232">
        <v>81</v>
      </c>
      <c r="M232" t="s">
        <v>799</v>
      </c>
    </row>
    <row r="233" spans="1:13" x14ac:dyDescent="0.25">
      <c r="A233" t="s">
        <v>800</v>
      </c>
      <c r="B233" t="s">
        <v>14</v>
      </c>
      <c r="C233">
        <v>68.95</v>
      </c>
      <c r="D233">
        <v>68.95</v>
      </c>
      <c r="E233">
        <v>65.099999999999994</v>
      </c>
      <c r="F233">
        <v>65.400000000000006</v>
      </c>
      <c r="G233">
        <v>65.25</v>
      </c>
      <c r="H233">
        <v>67.150000000000006</v>
      </c>
      <c r="I233">
        <v>25670</v>
      </c>
      <c r="J233">
        <v>1714366.1</v>
      </c>
      <c r="K233" s="1">
        <v>43777</v>
      </c>
      <c r="L233">
        <v>451</v>
      </c>
      <c r="M233" t="s">
        <v>802</v>
      </c>
    </row>
    <row r="234" spans="1:13" x14ac:dyDescent="0.25">
      <c r="A234" t="s">
        <v>7722</v>
      </c>
      <c r="B234" t="s">
        <v>10</v>
      </c>
      <c r="C234">
        <v>0.65</v>
      </c>
      <c r="D234">
        <v>0.65</v>
      </c>
      <c r="E234">
        <v>0.65</v>
      </c>
      <c r="F234">
        <v>0.65</v>
      </c>
      <c r="G234">
        <v>0.65</v>
      </c>
      <c r="H234">
        <v>0.7</v>
      </c>
      <c r="I234">
        <v>101</v>
      </c>
      <c r="J234">
        <v>65.650000000000006</v>
      </c>
      <c r="K234" s="1">
        <v>43777</v>
      </c>
      <c r="L234">
        <v>2</v>
      </c>
      <c r="M234" t="s">
        <v>7721</v>
      </c>
    </row>
    <row r="235" spans="1:13" x14ac:dyDescent="0.25">
      <c r="A235" t="s">
        <v>806</v>
      </c>
      <c r="B235" t="s">
        <v>14</v>
      </c>
      <c r="C235">
        <v>2277</v>
      </c>
      <c r="D235">
        <v>2292.25</v>
      </c>
      <c r="E235">
        <v>2255</v>
      </c>
      <c r="F235">
        <v>2260.8000000000002</v>
      </c>
      <c r="G235">
        <v>2255</v>
      </c>
      <c r="H235">
        <v>2289.85</v>
      </c>
      <c r="I235">
        <v>1641</v>
      </c>
      <c r="J235">
        <v>3726366.7</v>
      </c>
      <c r="K235" s="1">
        <v>43777</v>
      </c>
      <c r="L235">
        <v>466</v>
      </c>
      <c r="M235" t="s">
        <v>808</v>
      </c>
    </row>
    <row r="236" spans="1:13" x14ac:dyDescent="0.25">
      <c r="A236" t="s">
        <v>812</v>
      </c>
      <c r="B236" t="s">
        <v>14</v>
      </c>
      <c r="C236">
        <v>804.9</v>
      </c>
      <c r="D236">
        <v>819</v>
      </c>
      <c r="E236">
        <v>793</v>
      </c>
      <c r="F236">
        <v>797.15</v>
      </c>
      <c r="G236">
        <v>794.05</v>
      </c>
      <c r="H236">
        <v>800.8</v>
      </c>
      <c r="I236">
        <v>79186</v>
      </c>
      <c r="J236">
        <v>63664836.700000003</v>
      </c>
      <c r="K236" s="1">
        <v>43777</v>
      </c>
      <c r="L236">
        <v>6469</v>
      </c>
      <c r="M236" t="s">
        <v>814</v>
      </c>
    </row>
    <row r="237" spans="1:13" x14ac:dyDescent="0.25">
      <c r="A237" t="s">
        <v>815</v>
      </c>
      <c r="B237" t="s">
        <v>14</v>
      </c>
      <c r="C237">
        <v>77.8</v>
      </c>
      <c r="D237">
        <v>77.8</v>
      </c>
      <c r="E237">
        <v>76</v>
      </c>
      <c r="F237">
        <v>76.3</v>
      </c>
      <c r="G237">
        <v>76.7</v>
      </c>
      <c r="H237">
        <v>76.75</v>
      </c>
      <c r="I237">
        <v>104850</v>
      </c>
      <c r="J237">
        <v>8091038.25</v>
      </c>
      <c r="K237" s="1">
        <v>43777</v>
      </c>
      <c r="L237">
        <v>850</v>
      </c>
      <c r="M237" t="s">
        <v>817</v>
      </c>
    </row>
    <row r="238" spans="1:13" x14ac:dyDescent="0.25">
      <c r="A238" t="s">
        <v>7720</v>
      </c>
      <c r="B238" t="s">
        <v>5788</v>
      </c>
      <c r="C238">
        <v>2.7</v>
      </c>
      <c r="D238">
        <v>2.7</v>
      </c>
      <c r="E238">
        <v>2.7</v>
      </c>
      <c r="F238">
        <v>2.7</v>
      </c>
      <c r="G238">
        <v>2.7</v>
      </c>
      <c r="H238">
        <v>2.8</v>
      </c>
      <c r="I238">
        <v>18000</v>
      </c>
      <c r="J238">
        <v>48600</v>
      </c>
      <c r="K238" s="1">
        <v>43777</v>
      </c>
      <c r="L238">
        <v>8</v>
      </c>
      <c r="M238" t="s">
        <v>7719</v>
      </c>
    </row>
    <row r="239" spans="1:13" x14ac:dyDescent="0.25">
      <c r="A239" t="s">
        <v>821</v>
      </c>
      <c r="B239" t="s">
        <v>14</v>
      </c>
      <c r="C239">
        <v>85</v>
      </c>
      <c r="D239">
        <v>97.5</v>
      </c>
      <c r="E239">
        <v>84.5</v>
      </c>
      <c r="F239">
        <v>90.85</v>
      </c>
      <c r="G239">
        <v>91.2</v>
      </c>
      <c r="H239">
        <v>85.5</v>
      </c>
      <c r="I239">
        <v>12643971</v>
      </c>
      <c r="J239">
        <v>1165572135.0999999</v>
      </c>
      <c r="K239" s="1">
        <v>43777</v>
      </c>
      <c r="L239">
        <v>62101</v>
      </c>
      <c r="M239" t="s">
        <v>823</v>
      </c>
    </row>
    <row r="240" spans="1:13" x14ac:dyDescent="0.25">
      <c r="A240" t="s">
        <v>7718</v>
      </c>
      <c r="B240" t="s">
        <v>14</v>
      </c>
      <c r="C240">
        <v>172.85</v>
      </c>
      <c r="D240">
        <v>177.95</v>
      </c>
      <c r="E240">
        <v>169.8</v>
      </c>
      <c r="F240">
        <v>174.65</v>
      </c>
      <c r="G240">
        <v>174.8</v>
      </c>
      <c r="H240">
        <v>172.75</v>
      </c>
      <c r="I240">
        <v>77352</v>
      </c>
      <c r="J240">
        <v>13546462</v>
      </c>
      <c r="K240" s="1">
        <v>43777</v>
      </c>
      <c r="L240">
        <v>2121</v>
      </c>
      <c r="M240" t="s">
        <v>829</v>
      </c>
    </row>
    <row r="241" spans="1:13" x14ac:dyDescent="0.25">
      <c r="A241" t="s">
        <v>830</v>
      </c>
      <c r="B241" t="s">
        <v>14</v>
      </c>
      <c r="C241">
        <v>15250</v>
      </c>
      <c r="D241">
        <v>15535</v>
      </c>
      <c r="E241">
        <v>15053.05</v>
      </c>
      <c r="F241">
        <v>15353.85</v>
      </c>
      <c r="G241">
        <v>15311.1</v>
      </c>
      <c r="H241">
        <v>15259.7</v>
      </c>
      <c r="I241">
        <v>17292</v>
      </c>
      <c r="J241">
        <v>265316574.84999999</v>
      </c>
      <c r="K241" s="1">
        <v>43777</v>
      </c>
      <c r="L241">
        <v>4148</v>
      </c>
      <c r="M241" t="s">
        <v>832</v>
      </c>
    </row>
    <row r="242" spans="1:13" x14ac:dyDescent="0.25">
      <c r="A242" t="s">
        <v>833</v>
      </c>
      <c r="B242" t="s">
        <v>14</v>
      </c>
      <c r="C242">
        <v>515</v>
      </c>
      <c r="D242">
        <v>515.70000000000005</v>
      </c>
      <c r="E242">
        <v>500.5</v>
      </c>
      <c r="F242">
        <v>502.75</v>
      </c>
      <c r="G242">
        <v>501.15</v>
      </c>
      <c r="H242">
        <v>513.20000000000005</v>
      </c>
      <c r="I242">
        <v>9862300</v>
      </c>
      <c r="J242">
        <v>5010355506.25</v>
      </c>
      <c r="K242" s="1">
        <v>43777</v>
      </c>
      <c r="L242">
        <v>102393</v>
      </c>
      <c r="M242" t="s">
        <v>835</v>
      </c>
    </row>
    <row r="243" spans="1:13" x14ac:dyDescent="0.25">
      <c r="A243" t="s">
        <v>836</v>
      </c>
      <c r="B243" t="s">
        <v>14</v>
      </c>
      <c r="C243">
        <v>18.7</v>
      </c>
      <c r="D243">
        <v>19.149999999999999</v>
      </c>
      <c r="E243">
        <v>18.649999999999999</v>
      </c>
      <c r="F243">
        <v>18.95</v>
      </c>
      <c r="G243">
        <v>19.05</v>
      </c>
      <c r="H243">
        <v>18.649999999999999</v>
      </c>
      <c r="I243">
        <v>56354</v>
      </c>
      <c r="J243">
        <v>1069143.3500000001</v>
      </c>
      <c r="K243" s="1">
        <v>43777</v>
      </c>
      <c r="L243">
        <v>419</v>
      </c>
      <c r="M243" t="s">
        <v>838</v>
      </c>
    </row>
    <row r="244" spans="1:13" x14ac:dyDescent="0.25">
      <c r="A244" t="s">
        <v>7717</v>
      </c>
      <c r="B244" t="s">
        <v>10</v>
      </c>
      <c r="C244">
        <v>4.4000000000000004</v>
      </c>
      <c r="D244">
        <v>4.7</v>
      </c>
      <c r="E244">
        <v>4.3</v>
      </c>
      <c r="F244">
        <v>4.7</v>
      </c>
      <c r="G244">
        <v>4.6500000000000004</v>
      </c>
      <c r="H244">
        <v>4.5</v>
      </c>
      <c r="I244">
        <v>36130</v>
      </c>
      <c r="J244">
        <v>167837.05</v>
      </c>
      <c r="K244" s="1">
        <v>43777</v>
      </c>
      <c r="L244">
        <v>86</v>
      </c>
      <c r="M244" t="s">
        <v>7716</v>
      </c>
    </row>
    <row r="245" spans="1:13" x14ac:dyDescent="0.25">
      <c r="A245" t="s">
        <v>839</v>
      </c>
      <c r="B245" t="s">
        <v>14</v>
      </c>
      <c r="C245">
        <v>211</v>
      </c>
      <c r="D245">
        <v>223.6</v>
      </c>
      <c r="E245">
        <v>210</v>
      </c>
      <c r="F245">
        <v>212.9</v>
      </c>
      <c r="G245">
        <v>213.6</v>
      </c>
      <c r="H245">
        <v>207.25</v>
      </c>
      <c r="I245">
        <v>624647</v>
      </c>
      <c r="J245">
        <v>134938676.30000001</v>
      </c>
      <c r="K245" s="1">
        <v>43777</v>
      </c>
      <c r="L245">
        <v>27032</v>
      </c>
      <c r="M245" t="s">
        <v>841</v>
      </c>
    </row>
    <row r="246" spans="1:13" x14ac:dyDescent="0.25">
      <c r="A246" t="s">
        <v>6820</v>
      </c>
      <c r="B246" t="s">
        <v>5788</v>
      </c>
      <c r="C246">
        <v>18.95</v>
      </c>
      <c r="D246">
        <v>18.95</v>
      </c>
      <c r="E246">
        <v>18.05</v>
      </c>
      <c r="F246">
        <v>18.05</v>
      </c>
      <c r="G246">
        <v>18.05</v>
      </c>
      <c r="H246">
        <v>18.95</v>
      </c>
      <c r="I246">
        <v>9000</v>
      </c>
      <c r="J246">
        <v>165150</v>
      </c>
      <c r="K246" s="1">
        <v>43777</v>
      </c>
      <c r="L246">
        <v>3</v>
      </c>
      <c r="M246" t="s">
        <v>6819</v>
      </c>
    </row>
    <row r="247" spans="1:13" x14ac:dyDescent="0.25">
      <c r="A247" t="s">
        <v>842</v>
      </c>
      <c r="B247" t="s">
        <v>14</v>
      </c>
      <c r="C247">
        <v>3228</v>
      </c>
      <c r="D247">
        <v>3245.45</v>
      </c>
      <c r="E247">
        <v>3143</v>
      </c>
      <c r="F247">
        <v>3158</v>
      </c>
      <c r="G247">
        <v>3162</v>
      </c>
      <c r="H247">
        <v>3223.8</v>
      </c>
      <c r="I247">
        <v>376182</v>
      </c>
      <c r="J247">
        <v>1204167322.7</v>
      </c>
      <c r="K247" s="1">
        <v>43777</v>
      </c>
      <c r="L247">
        <v>35062</v>
      </c>
      <c r="M247" t="s">
        <v>844</v>
      </c>
    </row>
    <row r="248" spans="1:13" x14ac:dyDescent="0.25">
      <c r="A248" t="s">
        <v>842</v>
      </c>
      <c r="B248" t="s">
        <v>6176</v>
      </c>
      <c r="C248">
        <v>31.16</v>
      </c>
      <c r="D248">
        <v>31.32</v>
      </c>
      <c r="E248">
        <v>31.16</v>
      </c>
      <c r="F248">
        <v>31.16</v>
      </c>
      <c r="G248">
        <v>31.2</v>
      </c>
      <c r="H248">
        <v>31.16</v>
      </c>
      <c r="I248">
        <v>118004</v>
      </c>
      <c r="J248">
        <v>3677338.18</v>
      </c>
      <c r="K248" s="1">
        <v>43777</v>
      </c>
      <c r="L248">
        <v>135</v>
      </c>
      <c r="M248" t="s">
        <v>7715</v>
      </c>
    </row>
    <row r="249" spans="1:13" x14ac:dyDescent="0.25">
      <c r="A249" t="s">
        <v>845</v>
      </c>
      <c r="B249" t="s">
        <v>14</v>
      </c>
      <c r="C249">
        <v>61.5</v>
      </c>
      <c r="D249">
        <v>63.7</v>
      </c>
      <c r="E249">
        <v>61.5</v>
      </c>
      <c r="F249">
        <v>62.1</v>
      </c>
      <c r="G249">
        <v>61.9</v>
      </c>
      <c r="H249">
        <v>61.3</v>
      </c>
      <c r="I249">
        <v>4041</v>
      </c>
      <c r="J249">
        <v>253074.1</v>
      </c>
      <c r="K249" s="1">
        <v>43777</v>
      </c>
      <c r="L249">
        <v>293</v>
      </c>
      <c r="M249" t="s">
        <v>847</v>
      </c>
    </row>
    <row r="250" spans="1:13" x14ac:dyDescent="0.25">
      <c r="A250" t="s">
        <v>848</v>
      </c>
      <c r="B250" t="s">
        <v>14</v>
      </c>
      <c r="C250">
        <v>32.200000000000003</v>
      </c>
      <c r="D250">
        <v>34</v>
      </c>
      <c r="E250">
        <v>32.200000000000003</v>
      </c>
      <c r="F250">
        <v>32.450000000000003</v>
      </c>
      <c r="G250">
        <v>32.299999999999997</v>
      </c>
      <c r="H250">
        <v>33.1</v>
      </c>
      <c r="I250">
        <v>13110</v>
      </c>
      <c r="J250">
        <v>432139.35</v>
      </c>
      <c r="K250" s="1">
        <v>43777</v>
      </c>
      <c r="L250">
        <v>234</v>
      </c>
      <c r="M250" t="s">
        <v>850</v>
      </c>
    </row>
    <row r="251" spans="1:13" x14ac:dyDescent="0.25">
      <c r="A251" t="s">
        <v>851</v>
      </c>
      <c r="B251" t="s">
        <v>14</v>
      </c>
      <c r="C251">
        <v>535</v>
      </c>
      <c r="D251">
        <v>539.95000000000005</v>
      </c>
      <c r="E251">
        <v>525</v>
      </c>
      <c r="F251">
        <v>525.85</v>
      </c>
      <c r="G251">
        <v>525.04999999999995</v>
      </c>
      <c r="H251">
        <v>541.29999999999995</v>
      </c>
      <c r="I251">
        <v>77642</v>
      </c>
      <c r="J251">
        <v>41120422.149999999</v>
      </c>
      <c r="K251" s="1">
        <v>43777</v>
      </c>
      <c r="L251">
        <v>4328</v>
      </c>
      <c r="M251" t="s">
        <v>853</v>
      </c>
    </row>
    <row r="252" spans="1:13" x14ac:dyDescent="0.25">
      <c r="A252" t="s">
        <v>7714</v>
      </c>
      <c r="B252" t="s">
        <v>10</v>
      </c>
      <c r="C252">
        <v>1.1000000000000001</v>
      </c>
      <c r="D252">
        <v>1.1000000000000001</v>
      </c>
      <c r="E252">
        <v>1</v>
      </c>
      <c r="F252">
        <v>1.1000000000000001</v>
      </c>
      <c r="G252">
        <v>1.1000000000000001</v>
      </c>
      <c r="H252">
        <v>1.05</v>
      </c>
      <c r="I252">
        <v>12815</v>
      </c>
      <c r="J252">
        <v>13360.75</v>
      </c>
      <c r="K252" s="1">
        <v>43777</v>
      </c>
      <c r="L252">
        <v>29</v>
      </c>
      <c r="M252" t="s">
        <v>7713</v>
      </c>
    </row>
    <row r="253" spans="1:13" x14ac:dyDescent="0.25">
      <c r="A253" t="s">
        <v>854</v>
      </c>
      <c r="B253" t="s">
        <v>5788</v>
      </c>
      <c r="C253">
        <v>117.45</v>
      </c>
      <c r="D253">
        <v>117.45</v>
      </c>
      <c r="E253">
        <v>117.45</v>
      </c>
      <c r="F253">
        <v>117.45</v>
      </c>
      <c r="G253">
        <v>117.45</v>
      </c>
      <c r="H253">
        <v>115</v>
      </c>
      <c r="I253">
        <v>1200</v>
      </c>
      <c r="J253">
        <v>140940</v>
      </c>
      <c r="K253" s="1">
        <v>43777</v>
      </c>
      <c r="L253">
        <v>1</v>
      </c>
      <c r="M253" t="s">
        <v>7712</v>
      </c>
    </row>
    <row r="254" spans="1:13" x14ac:dyDescent="0.25">
      <c r="A254" t="s">
        <v>857</v>
      </c>
      <c r="B254" t="s">
        <v>14</v>
      </c>
      <c r="C254">
        <v>26</v>
      </c>
      <c r="D254">
        <v>26.75</v>
      </c>
      <c r="E254">
        <v>24.7</v>
      </c>
      <c r="F254">
        <v>26.3</v>
      </c>
      <c r="G254">
        <v>26.05</v>
      </c>
      <c r="H254">
        <v>25.4</v>
      </c>
      <c r="I254">
        <v>3778</v>
      </c>
      <c r="J254">
        <v>97485.35</v>
      </c>
      <c r="K254" s="1">
        <v>43777</v>
      </c>
      <c r="L254">
        <v>131</v>
      </c>
      <c r="M254" t="s">
        <v>859</v>
      </c>
    </row>
    <row r="255" spans="1:13" x14ac:dyDescent="0.25">
      <c r="A255" t="s">
        <v>6817</v>
      </c>
      <c r="B255" t="s">
        <v>14</v>
      </c>
      <c r="C255">
        <v>3569</v>
      </c>
      <c r="D255">
        <v>3569</v>
      </c>
      <c r="E255">
        <v>3500.25</v>
      </c>
      <c r="F255">
        <v>3507</v>
      </c>
      <c r="G255">
        <v>3507</v>
      </c>
      <c r="H255">
        <v>3537.95</v>
      </c>
      <c r="I255">
        <v>58</v>
      </c>
      <c r="J255">
        <v>203831.1</v>
      </c>
      <c r="K255" s="1">
        <v>43777</v>
      </c>
      <c r="L255">
        <v>16</v>
      </c>
      <c r="M255" t="s">
        <v>7711</v>
      </c>
    </row>
    <row r="256" spans="1:13" x14ac:dyDescent="0.25">
      <c r="A256" t="s">
        <v>6815</v>
      </c>
      <c r="B256" t="s">
        <v>14</v>
      </c>
      <c r="C256">
        <v>130.6</v>
      </c>
      <c r="D256">
        <v>130.75</v>
      </c>
      <c r="E256">
        <v>129.63</v>
      </c>
      <c r="F256">
        <v>129.63</v>
      </c>
      <c r="G256">
        <v>129.63</v>
      </c>
      <c r="H256">
        <v>130.62</v>
      </c>
      <c r="I256">
        <v>1166</v>
      </c>
      <c r="J256">
        <v>151569.38</v>
      </c>
      <c r="K256" s="1">
        <v>43777</v>
      </c>
      <c r="L256">
        <v>10</v>
      </c>
      <c r="M256" t="s">
        <v>7710</v>
      </c>
    </row>
    <row r="257" spans="1:13" x14ac:dyDescent="0.25">
      <c r="A257" t="s">
        <v>860</v>
      </c>
      <c r="B257" t="s">
        <v>14</v>
      </c>
      <c r="C257">
        <v>62.3</v>
      </c>
      <c r="D257">
        <v>65.900000000000006</v>
      </c>
      <c r="E257">
        <v>61.1</v>
      </c>
      <c r="F257">
        <v>63.4</v>
      </c>
      <c r="G257">
        <v>63.8</v>
      </c>
      <c r="H257">
        <v>61.95</v>
      </c>
      <c r="I257">
        <v>888267</v>
      </c>
      <c r="J257">
        <v>56503617.399999999</v>
      </c>
      <c r="K257" s="1">
        <v>43777</v>
      </c>
      <c r="L257">
        <v>5388</v>
      </c>
      <c r="M257" t="s">
        <v>862</v>
      </c>
    </row>
    <row r="258" spans="1:13" x14ac:dyDescent="0.25">
      <c r="A258" t="s">
        <v>866</v>
      </c>
      <c r="B258" t="s">
        <v>10</v>
      </c>
      <c r="C258">
        <v>1.3</v>
      </c>
      <c r="D258">
        <v>1.3</v>
      </c>
      <c r="E258">
        <v>1.25</v>
      </c>
      <c r="F258">
        <v>1.25</v>
      </c>
      <c r="G258">
        <v>1.25</v>
      </c>
      <c r="H258">
        <v>1.3</v>
      </c>
      <c r="I258">
        <v>13779</v>
      </c>
      <c r="J258">
        <v>17295.95</v>
      </c>
      <c r="K258" s="1">
        <v>43777</v>
      </c>
      <c r="L258">
        <v>25</v>
      </c>
      <c r="M258" t="s">
        <v>868</v>
      </c>
    </row>
    <row r="259" spans="1:13" x14ac:dyDescent="0.25">
      <c r="A259" t="s">
        <v>869</v>
      </c>
      <c r="B259" t="s">
        <v>14</v>
      </c>
      <c r="C259">
        <v>193</v>
      </c>
      <c r="D259">
        <v>197.9</v>
      </c>
      <c r="E259">
        <v>189.9</v>
      </c>
      <c r="F259">
        <v>190.6</v>
      </c>
      <c r="G259">
        <v>190.4</v>
      </c>
      <c r="H259">
        <v>196.1</v>
      </c>
      <c r="I259">
        <v>42226</v>
      </c>
      <c r="J259">
        <v>8175325.0499999998</v>
      </c>
      <c r="K259" s="1">
        <v>43777</v>
      </c>
      <c r="L259">
        <v>1395</v>
      </c>
      <c r="M259" t="s">
        <v>871</v>
      </c>
    </row>
    <row r="260" spans="1:13" x14ac:dyDescent="0.25">
      <c r="A260" t="s">
        <v>872</v>
      </c>
      <c r="B260" t="s">
        <v>10</v>
      </c>
      <c r="C260">
        <v>11.55</v>
      </c>
      <c r="D260">
        <v>11.55</v>
      </c>
      <c r="E260">
        <v>10.6</v>
      </c>
      <c r="F260">
        <v>10.65</v>
      </c>
      <c r="G260">
        <v>10.65</v>
      </c>
      <c r="H260">
        <v>11</v>
      </c>
      <c r="I260">
        <v>401</v>
      </c>
      <c r="J260">
        <v>4360.6000000000004</v>
      </c>
      <c r="K260" s="1">
        <v>43777</v>
      </c>
      <c r="L260">
        <v>3</v>
      </c>
      <c r="M260" t="s">
        <v>874</v>
      </c>
    </row>
    <row r="261" spans="1:13" x14ac:dyDescent="0.25">
      <c r="A261" t="s">
        <v>875</v>
      </c>
      <c r="B261" t="s">
        <v>14</v>
      </c>
      <c r="C261">
        <v>20.9</v>
      </c>
      <c r="D261">
        <v>21.2</v>
      </c>
      <c r="E261">
        <v>20.149999999999999</v>
      </c>
      <c r="F261">
        <v>21</v>
      </c>
      <c r="G261">
        <v>20.85</v>
      </c>
      <c r="H261">
        <v>20.399999999999999</v>
      </c>
      <c r="I261">
        <v>19837</v>
      </c>
      <c r="J261">
        <v>415997.95</v>
      </c>
      <c r="K261" s="1">
        <v>43777</v>
      </c>
      <c r="L261">
        <v>189</v>
      </c>
      <c r="M261" t="s">
        <v>877</v>
      </c>
    </row>
    <row r="262" spans="1:13" x14ac:dyDescent="0.25">
      <c r="A262" t="s">
        <v>7709</v>
      </c>
      <c r="B262" t="s">
        <v>14</v>
      </c>
      <c r="C262">
        <v>234</v>
      </c>
      <c r="D262">
        <v>238.15</v>
      </c>
      <c r="E262">
        <v>231.5</v>
      </c>
      <c r="F262">
        <v>232.4</v>
      </c>
      <c r="G262">
        <v>232.8</v>
      </c>
      <c r="H262">
        <v>234.9</v>
      </c>
      <c r="I262">
        <v>771808</v>
      </c>
      <c r="J262">
        <v>181469988.90000001</v>
      </c>
      <c r="K262" s="1">
        <v>43777</v>
      </c>
      <c r="L262">
        <v>10249</v>
      </c>
      <c r="M262" t="s">
        <v>5783</v>
      </c>
    </row>
    <row r="263" spans="1:13" x14ac:dyDescent="0.25">
      <c r="A263" t="s">
        <v>6811</v>
      </c>
      <c r="B263" t="s">
        <v>5788</v>
      </c>
      <c r="C263">
        <v>49.25</v>
      </c>
      <c r="D263">
        <v>49.25</v>
      </c>
      <c r="E263">
        <v>49.25</v>
      </c>
      <c r="F263">
        <v>49.25</v>
      </c>
      <c r="G263">
        <v>49.25</v>
      </c>
      <c r="H263">
        <v>49.25</v>
      </c>
      <c r="I263">
        <v>2000</v>
      </c>
      <c r="J263">
        <v>98500</v>
      </c>
      <c r="K263" s="1">
        <v>43777</v>
      </c>
      <c r="L263">
        <v>1</v>
      </c>
      <c r="M263" t="s">
        <v>6810</v>
      </c>
    </row>
    <row r="264" spans="1:13" x14ac:dyDescent="0.25">
      <c r="A264" t="s">
        <v>878</v>
      </c>
      <c r="B264" t="s">
        <v>10</v>
      </c>
      <c r="C264">
        <v>18.149999999999999</v>
      </c>
      <c r="D264">
        <v>18.2</v>
      </c>
      <c r="E264">
        <v>16.5</v>
      </c>
      <c r="F264">
        <v>16.8</v>
      </c>
      <c r="G264">
        <v>16.8</v>
      </c>
      <c r="H264">
        <v>17.350000000000001</v>
      </c>
      <c r="I264">
        <v>11995</v>
      </c>
      <c r="J264">
        <v>207601</v>
      </c>
      <c r="K264" s="1">
        <v>43777</v>
      </c>
      <c r="L264">
        <v>64</v>
      </c>
      <c r="M264" t="s">
        <v>880</v>
      </c>
    </row>
    <row r="265" spans="1:13" x14ac:dyDescent="0.25">
      <c r="A265" t="s">
        <v>881</v>
      </c>
      <c r="B265" t="s">
        <v>14</v>
      </c>
      <c r="C265">
        <v>65.349999999999994</v>
      </c>
      <c r="D265">
        <v>66</v>
      </c>
      <c r="E265">
        <v>64</v>
      </c>
      <c r="F265">
        <v>64.150000000000006</v>
      </c>
      <c r="G265">
        <v>64.8</v>
      </c>
      <c r="H265">
        <v>65.099999999999994</v>
      </c>
      <c r="I265">
        <v>122606</v>
      </c>
      <c r="J265">
        <v>7972332.8499999996</v>
      </c>
      <c r="K265" s="1">
        <v>43777</v>
      </c>
      <c r="L265">
        <v>601</v>
      </c>
      <c r="M265" t="s">
        <v>883</v>
      </c>
    </row>
    <row r="266" spans="1:13" x14ac:dyDescent="0.25">
      <c r="A266" t="s">
        <v>890</v>
      </c>
      <c r="B266" t="s">
        <v>14</v>
      </c>
      <c r="C266">
        <v>208.5</v>
      </c>
      <c r="D266">
        <v>209.25</v>
      </c>
      <c r="E266">
        <v>200.4</v>
      </c>
      <c r="F266">
        <v>201.35</v>
      </c>
      <c r="G266">
        <v>200.7</v>
      </c>
      <c r="H266">
        <v>209.6</v>
      </c>
      <c r="I266">
        <v>7691214</v>
      </c>
      <c r="J266">
        <v>1580643866.8</v>
      </c>
      <c r="K266" s="1">
        <v>43777</v>
      </c>
      <c r="L266">
        <v>36610</v>
      </c>
      <c r="M266" t="s">
        <v>892</v>
      </c>
    </row>
    <row r="267" spans="1:13" x14ac:dyDescent="0.25">
      <c r="A267" t="s">
        <v>7708</v>
      </c>
      <c r="B267" t="s">
        <v>786</v>
      </c>
      <c r="C267">
        <v>2.7</v>
      </c>
      <c r="D267">
        <v>2.7</v>
      </c>
      <c r="E267">
        <v>2.7</v>
      </c>
      <c r="F267">
        <v>2.7</v>
      </c>
      <c r="G267">
        <v>2.7</v>
      </c>
      <c r="H267">
        <v>2.7</v>
      </c>
      <c r="I267">
        <v>1081</v>
      </c>
      <c r="J267">
        <v>2918.7</v>
      </c>
      <c r="K267" s="1">
        <v>43777</v>
      </c>
      <c r="L267">
        <v>5</v>
      </c>
      <c r="M267" t="s">
        <v>7707</v>
      </c>
    </row>
    <row r="268" spans="1:13" x14ac:dyDescent="0.25">
      <c r="A268" t="s">
        <v>893</v>
      </c>
      <c r="B268" t="s">
        <v>14</v>
      </c>
      <c r="C268">
        <v>410</v>
      </c>
      <c r="D268">
        <v>413.75</v>
      </c>
      <c r="E268">
        <v>400.75</v>
      </c>
      <c r="F268">
        <v>401.95</v>
      </c>
      <c r="G268">
        <v>402.95</v>
      </c>
      <c r="H268">
        <v>408.6</v>
      </c>
      <c r="I268">
        <v>292005</v>
      </c>
      <c r="J268">
        <v>119296197.5</v>
      </c>
      <c r="K268" s="1">
        <v>43777</v>
      </c>
      <c r="L268">
        <v>21337</v>
      </c>
      <c r="M268" t="s">
        <v>895</v>
      </c>
    </row>
    <row r="269" spans="1:13" x14ac:dyDescent="0.25">
      <c r="A269" t="s">
        <v>896</v>
      </c>
      <c r="B269" t="s">
        <v>14</v>
      </c>
      <c r="C269">
        <v>210.95</v>
      </c>
      <c r="D269">
        <v>217.9</v>
      </c>
      <c r="E269">
        <v>202</v>
      </c>
      <c r="F269">
        <v>207.7</v>
      </c>
      <c r="G269">
        <v>208</v>
      </c>
      <c r="H269">
        <v>208.7</v>
      </c>
      <c r="I269">
        <v>33561</v>
      </c>
      <c r="J269">
        <v>6927519.0999999996</v>
      </c>
      <c r="K269" s="1">
        <v>43777</v>
      </c>
      <c r="L269">
        <v>462</v>
      </c>
      <c r="M269" t="s">
        <v>7706</v>
      </c>
    </row>
    <row r="270" spans="1:13" x14ac:dyDescent="0.25">
      <c r="A270" t="s">
        <v>899</v>
      </c>
      <c r="B270" t="s">
        <v>14</v>
      </c>
      <c r="C270">
        <v>227.1</v>
      </c>
      <c r="D270">
        <v>229.6</v>
      </c>
      <c r="E270">
        <v>223.25</v>
      </c>
      <c r="F270">
        <v>224.6</v>
      </c>
      <c r="G270">
        <v>224.95</v>
      </c>
      <c r="H270">
        <v>227.75</v>
      </c>
      <c r="I270">
        <v>34759</v>
      </c>
      <c r="J270">
        <v>7836470.1500000004</v>
      </c>
      <c r="K270" s="1">
        <v>43777</v>
      </c>
      <c r="L270">
        <v>1650</v>
      </c>
      <c r="M270" t="s">
        <v>901</v>
      </c>
    </row>
    <row r="271" spans="1:13" x14ac:dyDescent="0.25">
      <c r="A271" t="s">
        <v>902</v>
      </c>
      <c r="B271" t="s">
        <v>14</v>
      </c>
      <c r="C271">
        <v>392.05</v>
      </c>
      <c r="D271">
        <v>394.8</v>
      </c>
      <c r="E271">
        <v>368</v>
      </c>
      <c r="F271">
        <v>375.1</v>
      </c>
      <c r="G271">
        <v>375.05</v>
      </c>
      <c r="H271">
        <v>392.5</v>
      </c>
      <c r="I271">
        <v>169241</v>
      </c>
      <c r="J271">
        <v>63398954</v>
      </c>
      <c r="K271" s="1">
        <v>43777</v>
      </c>
      <c r="L271">
        <v>5734</v>
      </c>
      <c r="M271" t="s">
        <v>904</v>
      </c>
    </row>
    <row r="272" spans="1:13" x14ac:dyDescent="0.25">
      <c r="A272" t="s">
        <v>905</v>
      </c>
      <c r="B272" t="s">
        <v>10</v>
      </c>
      <c r="C272">
        <v>75.05</v>
      </c>
      <c r="D272">
        <v>82.95</v>
      </c>
      <c r="E272">
        <v>75.05</v>
      </c>
      <c r="F272">
        <v>82.95</v>
      </c>
      <c r="G272">
        <v>82.95</v>
      </c>
      <c r="H272">
        <v>79</v>
      </c>
      <c r="I272">
        <v>447</v>
      </c>
      <c r="J272">
        <v>35345.65</v>
      </c>
      <c r="K272" s="1">
        <v>43777</v>
      </c>
      <c r="L272">
        <v>11</v>
      </c>
      <c r="M272" t="s">
        <v>907</v>
      </c>
    </row>
    <row r="273" spans="1:13" x14ac:dyDescent="0.25">
      <c r="A273" t="s">
        <v>908</v>
      </c>
      <c r="B273" t="s">
        <v>14</v>
      </c>
      <c r="C273">
        <v>303</v>
      </c>
      <c r="D273">
        <v>312.39999999999998</v>
      </c>
      <c r="E273">
        <v>303</v>
      </c>
      <c r="F273">
        <v>307.8</v>
      </c>
      <c r="G273">
        <v>308</v>
      </c>
      <c r="H273">
        <v>307.05</v>
      </c>
      <c r="I273">
        <v>27859</v>
      </c>
      <c r="J273">
        <v>8590585.5999999996</v>
      </c>
      <c r="K273" s="1">
        <v>43777</v>
      </c>
      <c r="L273">
        <v>1027</v>
      </c>
      <c r="M273" t="s">
        <v>910</v>
      </c>
    </row>
    <row r="274" spans="1:13" x14ac:dyDescent="0.25">
      <c r="A274" t="s">
        <v>911</v>
      </c>
      <c r="B274" t="s">
        <v>14</v>
      </c>
      <c r="C274">
        <v>128.05000000000001</v>
      </c>
      <c r="D274">
        <v>133</v>
      </c>
      <c r="E274">
        <v>124.95</v>
      </c>
      <c r="F274">
        <v>128.30000000000001</v>
      </c>
      <c r="G274">
        <v>129.80000000000001</v>
      </c>
      <c r="H274">
        <v>128</v>
      </c>
      <c r="I274">
        <v>66372</v>
      </c>
      <c r="J274">
        <v>8643499.5</v>
      </c>
      <c r="K274" s="1">
        <v>43777</v>
      </c>
      <c r="L274">
        <v>862</v>
      </c>
      <c r="M274" t="s">
        <v>913</v>
      </c>
    </row>
    <row r="275" spans="1:13" x14ac:dyDescent="0.25">
      <c r="A275" t="s">
        <v>914</v>
      </c>
      <c r="B275" t="s">
        <v>14</v>
      </c>
      <c r="C275">
        <v>534</v>
      </c>
      <c r="D275">
        <v>536</v>
      </c>
      <c r="E275">
        <v>531.79999999999995</v>
      </c>
      <c r="F275">
        <v>534.35</v>
      </c>
      <c r="G275">
        <v>534.29999999999995</v>
      </c>
      <c r="H275">
        <v>534.9</v>
      </c>
      <c r="I275">
        <v>65510</v>
      </c>
      <c r="J275">
        <v>35031677.350000001</v>
      </c>
      <c r="K275" s="1">
        <v>43777</v>
      </c>
      <c r="L275">
        <v>1705</v>
      </c>
      <c r="M275" t="s">
        <v>916</v>
      </c>
    </row>
    <row r="276" spans="1:13" x14ac:dyDescent="0.25">
      <c r="A276" t="s">
        <v>7705</v>
      </c>
      <c r="B276" t="s">
        <v>10</v>
      </c>
      <c r="C276">
        <v>0.75</v>
      </c>
      <c r="D276">
        <v>0.75</v>
      </c>
      <c r="E276">
        <v>0.65</v>
      </c>
      <c r="F276">
        <v>0.75</v>
      </c>
      <c r="G276">
        <v>0.75</v>
      </c>
      <c r="H276">
        <v>0.7</v>
      </c>
      <c r="I276">
        <v>263634</v>
      </c>
      <c r="J276">
        <v>196264.8</v>
      </c>
      <c r="K276" s="1">
        <v>43777</v>
      </c>
      <c r="L276">
        <v>60</v>
      </c>
      <c r="M276" t="s">
        <v>7704</v>
      </c>
    </row>
    <row r="277" spans="1:13" x14ac:dyDescent="0.25">
      <c r="A277" t="s">
        <v>923</v>
      </c>
      <c r="B277" t="s">
        <v>14</v>
      </c>
      <c r="C277">
        <v>152</v>
      </c>
      <c r="D277">
        <v>152.4</v>
      </c>
      <c r="E277">
        <v>145.75</v>
      </c>
      <c r="F277">
        <v>146.15</v>
      </c>
      <c r="G277">
        <v>146.69999999999999</v>
      </c>
      <c r="H277">
        <v>153</v>
      </c>
      <c r="I277">
        <v>1344378</v>
      </c>
      <c r="J277">
        <v>199590905.5</v>
      </c>
      <c r="K277" s="1">
        <v>43777</v>
      </c>
      <c r="L277">
        <v>11319</v>
      </c>
      <c r="M277" t="s">
        <v>925</v>
      </c>
    </row>
    <row r="278" spans="1:13" x14ac:dyDescent="0.25">
      <c r="A278" t="s">
        <v>926</v>
      </c>
      <c r="B278" t="s">
        <v>14</v>
      </c>
      <c r="C278">
        <v>3.5</v>
      </c>
      <c r="D278">
        <v>3.55</v>
      </c>
      <c r="E278">
        <v>3.4</v>
      </c>
      <c r="F278">
        <v>3.55</v>
      </c>
      <c r="G278">
        <v>3.55</v>
      </c>
      <c r="H278">
        <v>3.4</v>
      </c>
      <c r="I278">
        <v>70937</v>
      </c>
      <c r="J278">
        <v>249962.75</v>
      </c>
      <c r="K278" s="1">
        <v>43777</v>
      </c>
      <c r="L278">
        <v>102</v>
      </c>
      <c r="M278" t="s">
        <v>928</v>
      </c>
    </row>
    <row r="279" spans="1:13" x14ac:dyDescent="0.25">
      <c r="A279" t="s">
        <v>929</v>
      </c>
      <c r="B279" t="s">
        <v>14</v>
      </c>
      <c r="C279">
        <v>205.9</v>
      </c>
      <c r="D279">
        <v>205.9</v>
      </c>
      <c r="E279">
        <v>201.5</v>
      </c>
      <c r="F279">
        <v>203.1</v>
      </c>
      <c r="G279">
        <v>202.25</v>
      </c>
      <c r="H279">
        <v>203.05</v>
      </c>
      <c r="I279">
        <v>40486</v>
      </c>
      <c r="J279">
        <v>8235878.25</v>
      </c>
      <c r="K279" s="1">
        <v>43777</v>
      </c>
      <c r="L279">
        <v>2484</v>
      </c>
      <c r="M279" t="s">
        <v>931</v>
      </c>
    </row>
    <row r="280" spans="1:13" x14ac:dyDescent="0.25">
      <c r="A280" t="s">
        <v>932</v>
      </c>
      <c r="B280" t="s">
        <v>14</v>
      </c>
      <c r="C280">
        <v>235</v>
      </c>
      <c r="D280">
        <v>235</v>
      </c>
      <c r="E280">
        <v>226.2</v>
      </c>
      <c r="F280">
        <v>227.75</v>
      </c>
      <c r="G280">
        <v>228</v>
      </c>
      <c r="H280">
        <v>234.25</v>
      </c>
      <c r="I280">
        <v>424373</v>
      </c>
      <c r="J280">
        <v>97719829.150000006</v>
      </c>
      <c r="K280" s="1">
        <v>43777</v>
      </c>
      <c r="L280">
        <v>8801</v>
      </c>
      <c r="M280" t="s">
        <v>934</v>
      </c>
    </row>
    <row r="281" spans="1:13" x14ac:dyDescent="0.25">
      <c r="A281" t="s">
        <v>935</v>
      </c>
      <c r="B281" t="s">
        <v>14</v>
      </c>
      <c r="C281">
        <v>983.1</v>
      </c>
      <c r="D281">
        <v>994</v>
      </c>
      <c r="E281">
        <v>975.1</v>
      </c>
      <c r="F281">
        <v>979.05</v>
      </c>
      <c r="G281">
        <v>976.9</v>
      </c>
      <c r="H281">
        <v>983.1</v>
      </c>
      <c r="I281">
        <v>74052</v>
      </c>
      <c r="J281">
        <v>72981532</v>
      </c>
      <c r="K281" s="1">
        <v>43777</v>
      </c>
      <c r="L281">
        <v>3647</v>
      </c>
      <c r="M281" t="s">
        <v>937</v>
      </c>
    </row>
    <row r="282" spans="1:13" x14ac:dyDescent="0.25">
      <c r="A282" t="s">
        <v>7703</v>
      </c>
      <c r="B282" t="s">
        <v>14</v>
      </c>
      <c r="C282">
        <v>13.65</v>
      </c>
      <c r="D282">
        <v>13.85</v>
      </c>
      <c r="E282">
        <v>13.4</v>
      </c>
      <c r="F282">
        <v>13.8</v>
      </c>
      <c r="G282">
        <v>13.85</v>
      </c>
      <c r="H282">
        <v>13.65</v>
      </c>
      <c r="I282">
        <v>4114</v>
      </c>
      <c r="J282">
        <v>56396.7</v>
      </c>
      <c r="K282" s="1">
        <v>43777</v>
      </c>
      <c r="L282">
        <v>51</v>
      </c>
      <c r="M282" t="s">
        <v>2634</v>
      </c>
    </row>
    <row r="283" spans="1:13" x14ac:dyDescent="0.25">
      <c r="A283" t="s">
        <v>938</v>
      </c>
      <c r="B283" t="s">
        <v>14</v>
      </c>
      <c r="C283">
        <v>5.9</v>
      </c>
      <c r="D283">
        <v>5.95</v>
      </c>
      <c r="E283">
        <v>5.7</v>
      </c>
      <c r="F283">
        <v>5.85</v>
      </c>
      <c r="G283">
        <v>5.95</v>
      </c>
      <c r="H283">
        <v>5.7</v>
      </c>
      <c r="I283">
        <v>5259</v>
      </c>
      <c r="J283">
        <v>30772.25</v>
      </c>
      <c r="K283" s="1">
        <v>43777</v>
      </c>
      <c r="L283">
        <v>18</v>
      </c>
      <c r="M283" t="s">
        <v>940</v>
      </c>
    </row>
    <row r="284" spans="1:13" x14ac:dyDescent="0.25">
      <c r="A284" t="s">
        <v>7702</v>
      </c>
      <c r="B284" t="s">
        <v>10</v>
      </c>
      <c r="C284">
        <v>3.3</v>
      </c>
      <c r="D284">
        <v>3.5</v>
      </c>
      <c r="E284">
        <v>3.3</v>
      </c>
      <c r="F284">
        <v>3.4</v>
      </c>
      <c r="G284">
        <v>3.45</v>
      </c>
      <c r="H284">
        <v>3.45</v>
      </c>
      <c r="I284">
        <v>6572</v>
      </c>
      <c r="J284">
        <v>22644.15</v>
      </c>
      <c r="K284" s="1">
        <v>43777</v>
      </c>
      <c r="L284">
        <v>27</v>
      </c>
      <c r="M284" t="s">
        <v>7701</v>
      </c>
    </row>
    <row r="285" spans="1:13" x14ac:dyDescent="0.25">
      <c r="A285" t="s">
        <v>944</v>
      </c>
      <c r="B285" t="s">
        <v>14</v>
      </c>
      <c r="C285">
        <v>185.95</v>
      </c>
      <c r="D285">
        <v>189.9</v>
      </c>
      <c r="E285">
        <v>182.5</v>
      </c>
      <c r="F285">
        <v>186.3</v>
      </c>
      <c r="G285">
        <v>185.5</v>
      </c>
      <c r="H285">
        <v>183.95</v>
      </c>
      <c r="I285">
        <v>86034</v>
      </c>
      <c r="J285">
        <v>16099027.949999999</v>
      </c>
      <c r="K285" s="1">
        <v>43777</v>
      </c>
      <c r="L285">
        <v>1713</v>
      </c>
      <c r="M285" t="s">
        <v>946</v>
      </c>
    </row>
    <row r="286" spans="1:13" x14ac:dyDescent="0.25">
      <c r="A286" t="s">
        <v>947</v>
      </c>
      <c r="B286" t="s">
        <v>14</v>
      </c>
      <c r="C286">
        <v>2.85</v>
      </c>
      <c r="D286">
        <v>2.95</v>
      </c>
      <c r="E286">
        <v>2.8</v>
      </c>
      <c r="F286">
        <v>2.85</v>
      </c>
      <c r="G286">
        <v>2.95</v>
      </c>
      <c r="H286">
        <v>2.85</v>
      </c>
      <c r="I286">
        <v>24284</v>
      </c>
      <c r="J286">
        <v>70036.75</v>
      </c>
      <c r="K286" s="1">
        <v>43777</v>
      </c>
      <c r="L286">
        <v>42</v>
      </c>
      <c r="M286" t="s">
        <v>949</v>
      </c>
    </row>
    <row r="287" spans="1:13" x14ac:dyDescent="0.25">
      <c r="A287" t="s">
        <v>950</v>
      </c>
      <c r="B287" t="s">
        <v>14</v>
      </c>
      <c r="C287">
        <v>20.5</v>
      </c>
      <c r="D287">
        <v>20.7</v>
      </c>
      <c r="E287">
        <v>20.2</v>
      </c>
      <c r="F287">
        <v>20.350000000000001</v>
      </c>
      <c r="G287">
        <v>20.350000000000001</v>
      </c>
      <c r="H287">
        <v>20.7</v>
      </c>
      <c r="I287">
        <v>438331</v>
      </c>
      <c r="J287">
        <v>8969895.3499999996</v>
      </c>
      <c r="K287" s="1">
        <v>43777</v>
      </c>
      <c r="L287">
        <v>1876</v>
      </c>
      <c r="M287" t="s">
        <v>952</v>
      </c>
    </row>
    <row r="288" spans="1:13" x14ac:dyDescent="0.25">
      <c r="A288" t="s">
        <v>953</v>
      </c>
      <c r="B288" t="s">
        <v>14</v>
      </c>
      <c r="C288">
        <v>20.3</v>
      </c>
      <c r="D288">
        <v>20.8</v>
      </c>
      <c r="E288">
        <v>20</v>
      </c>
      <c r="F288">
        <v>20.6</v>
      </c>
      <c r="G288">
        <v>20.5</v>
      </c>
      <c r="H288">
        <v>20.100000000000001</v>
      </c>
      <c r="I288">
        <v>97975</v>
      </c>
      <c r="J288">
        <v>1996141.5</v>
      </c>
      <c r="K288" s="1">
        <v>43777</v>
      </c>
      <c r="L288">
        <v>632</v>
      </c>
      <c r="M288" t="s">
        <v>955</v>
      </c>
    </row>
    <row r="289" spans="1:13" x14ac:dyDescent="0.25">
      <c r="A289" t="s">
        <v>956</v>
      </c>
      <c r="B289" t="s">
        <v>14</v>
      </c>
      <c r="C289">
        <v>395</v>
      </c>
      <c r="D289">
        <v>395</v>
      </c>
      <c r="E289">
        <v>367.2</v>
      </c>
      <c r="F289">
        <v>379.1</v>
      </c>
      <c r="G289">
        <v>376</v>
      </c>
      <c r="H289">
        <v>387.85</v>
      </c>
      <c r="I289">
        <v>4648</v>
      </c>
      <c r="J289">
        <v>1762039.8</v>
      </c>
      <c r="K289" s="1">
        <v>43777</v>
      </c>
      <c r="L289">
        <v>322</v>
      </c>
      <c r="M289" t="s">
        <v>958</v>
      </c>
    </row>
    <row r="290" spans="1:13" x14ac:dyDescent="0.25">
      <c r="A290" t="s">
        <v>959</v>
      </c>
      <c r="B290" t="s">
        <v>14</v>
      </c>
      <c r="C290">
        <v>167.85</v>
      </c>
      <c r="D290">
        <v>174.75</v>
      </c>
      <c r="E290">
        <v>158</v>
      </c>
      <c r="F290">
        <v>164.7</v>
      </c>
      <c r="G290">
        <v>164.5</v>
      </c>
      <c r="H290">
        <v>168.05</v>
      </c>
      <c r="I290">
        <v>509777</v>
      </c>
      <c r="J290">
        <v>86635250.700000003</v>
      </c>
      <c r="K290" s="1">
        <v>43777</v>
      </c>
      <c r="L290">
        <v>7539</v>
      </c>
      <c r="M290" t="s">
        <v>961</v>
      </c>
    </row>
    <row r="291" spans="1:13" x14ac:dyDescent="0.25">
      <c r="A291" t="s">
        <v>962</v>
      </c>
      <c r="B291" t="s">
        <v>14</v>
      </c>
      <c r="C291">
        <v>397.35</v>
      </c>
      <c r="D291">
        <v>404.05</v>
      </c>
      <c r="E291">
        <v>383.75</v>
      </c>
      <c r="F291">
        <v>391.45</v>
      </c>
      <c r="G291">
        <v>391</v>
      </c>
      <c r="H291">
        <v>397.4</v>
      </c>
      <c r="I291">
        <v>1428453</v>
      </c>
      <c r="J291">
        <v>563131555.20000005</v>
      </c>
      <c r="K291" s="1">
        <v>43777</v>
      </c>
      <c r="L291">
        <v>29851</v>
      </c>
      <c r="M291" t="s">
        <v>964</v>
      </c>
    </row>
    <row r="292" spans="1:13" x14ac:dyDescent="0.25">
      <c r="A292" t="s">
        <v>965</v>
      </c>
      <c r="B292" t="s">
        <v>14</v>
      </c>
      <c r="C292">
        <v>2639</v>
      </c>
      <c r="D292">
        <v>2639</v>
      </c>
      <c r="E292">
        <v>2553.5</v>
      </c>
      <c r="F292">
        <v>2578.5</v>
      </c>
      <c r="G292">
        <v>2571</v>
      </c>
      <c r="H292">
        <v>2615.9499999999998</v>
      </c>
      <c r="I292">
        <v>1992</v>
      </c>
      <c r="J292">
        <v>5125001.3499999996</v>
      </c>
      <c r="K292" s="1">
        <v>43777</v>
      </c>
      <c r="L292">
        <v>473</v>
      </c>
      <c r="M292" t="s">
        <v>967</v>
      </c>
    </row>
    <row r="293" spans="1:13" x14ac:dyDescent="0.25">
      <c r="A293" t="s">
        <v>968</v>
      </c>
      <c r="B293" t="s">
        <v>14</v>
      </c>
      <c r="C293">
        <v>21</v>
      </c>
      <c r="D293">
        <v>21.75</v>
      </c>
      <c r="E293">
        <v>20.75</v>
      </c>
      <c r="F293">
        <v>21.15</v>
      </c>
      <c r="G293">
        <v>20.95</v>
      </c>
      <c r="H293">
        <v>21.4</v>
      </c>
      <c r="I293">
        <v>664547</v>
      </c>
      <c r="J293">
        <v>14070365.25</v>
      </c>
      <c r="K293" s="1">
        <v>43777</v>
      </c>
      <c r="L293">
        <v>702</v>
      </c>
      <c r="M293" t="s">
        <v>970</v>
      </c>
    </row>
    <row r="294" spans="1:13" x14ac:dyDescent="0.25">
      <c r="A294" t="s">
        <v>971</v>
      </c>
      <c r="B294" t="s">
        <v>14</v>
      </c>
      <c r="C294">
        <v>779</v>
      </c>
      <c r="D294">
        <v>779.5</v>
      </c>
      <c r="E294">
        <v>764.1</v>
      </c>
      <c r="F294">
        <v>766.7</v>
      </c>
      <c r="G294">
        <v>766.15</v>
      </c>
      <c r="H294">
        <v>776.65</v>
      </c>
      <c r="I294">
        <v>224536</v>
      </c>
      <c r="J294">
        <v>173218166.05000001</v>
      </c>
      <c r="K294" s="1">
        <v>43777</v>
      </c>
      <c r="L294">
        <v>7296</v>
      </c>
      <c r="M294" t="s">
        <v>7700</v>
      </c>
    </row>
    <row r="295" spans="1:13" x14ac:dyDescent="0.25">
      <c r="A295" t="s">
        <v>7699</v>
      </c>
      <c r="B295" t="s">
        <v>14</v>
      </c>
      <c r="C295">
        <v>340.15</v>
      </c>
      <c r="D295">
        <v>343.9</v>
      </c>
      <c r="E295">
        <v>333.15</v>
      </c>
      <c r="F295">
        <v>338.2</v>
      </c>
      <c r="G295">
        <v>335.9</v>
      </c>
      <c r="H295">
        <v>342.75</v>
      </c>
      <c r="I295">
        <v>11247</v>
      </c>
      <c r="J295">
        <v>3807797.8</v>
      </c>
      <c r="K295" s="1">
        <v>43777</v>
      </c>
      <c r="L295">
        <v>630</v>
      </c>
      <c r="M295" t="s">
        <v>4293</v>
      </c>
    </row>
    <row r="296" spans="1:13" x14ac:dyDescent="0.25">
      <c r="A296" t="s">
        <v>974</v>
      </c>
      <c r="B296" t="s">
        <v>14</v>
      </c>
      <c r="C296">
        <v>216.9</v>
      </c>
      <c r="D296">
        <v>222</v>
      </c>
      <c r="E296">
        <v>211.1</v>
      </c>
      <c r="F296">
        <v>217.05</v>
      </c>
      <c r="G296">
        <v>215.25</v>
      </c>
      <c r="H296">
        <v>217.75</v>
      </c>
      <c r="I296">
        <v>330750</v>
      </c>
      <c r="J296">
        <v>71001606.799999997</v>
      </c>
      <c r="K296" s="1">
        <v>43777</v>
      </c>
      <c r="L296">
        <v>6402</v>
      </c>
      <c r="M296" t="s">
        <v>976</v>
      </c>
    </row>
    <row r="297" spans="1:13" x14ac:dyDescent="0.25">
      <c r="A297" t="s">
        <v>977</v>
      </c>
      <c r="B297" t="s">
        <v>14</v>
      </c>
      <c r="C297">
        <v>17.600000000000001</v>
      </c>
      <c r="D297">
        <v>17.600000000000001</v>
      </c>
      <c r="E297">
        <v>16</v>
      </c>
      <c r="F297">
        <v>16.3</v>
      </c>
      <c r="G297">
        <v>16.100000000000001</v>
      </c>
      <c r="H297">
        <v>16.8</v>
      </c>
      <c r="I297">
        <v>5574119</v>
      </c>
      <c r="J297">
        <v>93658283.299999997</v>
      </c>
      <c r="K297" s="1">
        <v>43777</v>
      </c>
      <c r="L297">
        <v>9888</v>
      </c>
      <c r="M297" t="s">
        <v>979</v>
      </c>
    </row>
    <row r="298" spans="1:13" x14ac:dyDescent="0.25">
      <c r="A298" t="s">
        <v>980</v>
      </c>
      <c r="B298" t="s">
        <v>14</v>
      </c>
      <c r="C298">
        <v>329.05</v>
      </c>
      <c r="D298">
        <v>329.1</v>
      </c>
      <c r="E298">
        <v>325</v>
      </c>
      <c r="F298">
        <v>325.85000000000002</v>
      </c>
      <c r="G298">
        <v>325</v>
      </c>
      <c r="H298">
        <v>331</v>
      </c>
      <c r="I298">
        <v>2783</v>
      </c>
      <c r="J298">
        <v>908874.5</v>
      </c>
      <c r="K298" s="1">
        <v>43777</v>
      </c>
      <c r="L298">
        <v>350</v>
      </c>
      <c r="M298" t="s">
        <v>982</v>
      </c>
    </row>
    <row r="299" spans="1:13" x14ac:dyDescent="0.25">
      <c r="A299" t="s">
        <v>983</v>
      </c>
      <c r="B299" t="s">
        <v>14</v>
      </c>
      <c r="C299">
        <v>164.9</v>
      </c>
      <c r="D299">
        <v>185</v>
      </c>
      <c r="E299">
        <v>164.2</v>
      </c>
      <c r="F299">
        <v>168.15</v>
      </c>
      <c r="G299">
        <v>167</v>
      </c>
      <c r="H299">
        <v>164.6</v>
      </c>
      <c r="I299">
        <v>2815416</v>
      </c>
      <c r="J299">
        <v>493685420.80000001</v>
      </c>
      <c r="K299" s="1">
        <v>43777</v>
      </c>
      <c r="L299">
        <v>27305</v>
      </c>
      <c r="M299" t="s">
        <v>985</v>
      </c>
    </row>
    <row r="300" spans="1:13" x14ac:dyDescent="0.25">
      <c r="A300" t="s">
        <v>992</v>
      </c>
      <c r="B300" t="s">
        <v>14</v>
      </c>
      <c r="C300">
        <v>167.05</v>
      </c>
      <c r="D300">
        <v>174.85</v>
      </c>
      <c r="E300">
        <v>167.05</v>
      </c>
      <c r="F300">
        <v>171</v>
      </c>
      <c r="G300">
        <v>171</v>
      </c>
      <c r="H300">
        <v>173.3</v>
      </c>
      <c r="I300">
        <v>1362</v>
      </c>
      <c r="J300">
        <v>233685.9</v>
      </c>
      <c r="K300" s="1">
        <v>43777</v>
      </c>
      <c r="L300">
        <v>31</v>
      </c>
      <c r="M300" t="s">
        <v>994</v>
      </c>
    </row>
    <row r="301" spans="1:13" x14ac:dyDescent="0.25">
      <c r="A301" t="s">
        <v>998</v>
      </c>
      <c r="B301" t="s">
        <v>14</v>
      </c>
      <c r="C301">
        <v>156</v>
      </c>
      <c r="D301">
        <v>157</v>
      </c>
      <c r="E301">
        <v>151.1</v>
      </c>
      <c r="F301">
        <v>152.35</v>
      </c>
      <c r="G301">
        <v>152</v>
      </c>
      <c r="H301">
        <v>154.65</v>
      </c>
      <c r="I301">
        <v>115277</v>
      </c>
      <c r="J301">
        <v>17810428.949999999</v>
      </c>
      <c r="K301" s="1">
        <v>43777</v>
      </c>
      <c r="L301">
        <v>1900</v>
      </c>
      <c r="M301" t="s">
        <v>1000</v>
      </c>
    </row>
    <row r="302" spans="1:13" x14ac:dyDescent="0.25">
      <c r="A302" t="s">
        <v>1007</v>
      </c>
      <c r="B302" t="s">
        <v>14</v>
      </c>
      <c r="C302">
        <v>299.8</v>
      </c>
      <c r="D302">
        <v>301</v>
      </c>
      <c r="E302">
        <v>294.7</v>
      </c>
      <c r="F302">
        <v>296.64999999999998</v>
      </c>
      <c r="G302">
        <v>296</v>
      </c>
      <c r="H302">
        <v>297.95</v>
      </c>
      <c r="I302">
        <v>903834</v>
      </c>
      <c r="J302">
        <v>269484839.55000001</v>
      </c>
      <c r="K302" s="1">
        <v>43777</v>
      </c>
      <c r="L302">
        <v>14598</v>
      </c>
      <c r="M302" t="s">
        <v>1009</v>
      </c>
    </row>
    <row r="303" spans="1:13" x14ac:dyDescent="0.25">
      <c r="A303" t="s">
        <v>1010</v>
      </c>
      <c r="B303" t="s">
        <v>14</v>
      </c>
      <c r="C303">
        <v>474.55</v>
      </c>
      <c r="D303">
        <v>484.85</v>
      </c>
      <c r="E303">
        <v>465.1</v>
      </c>
      <c r="F303">
        <v>479.95</v>
      </c>
      <c r="G303">
        <v>480</v>
      </c>
      <c r="H303">
        <v>475.4</v>
      </c>
      <c r="I303">
        <v>25903</v>
      </c>
      <c r="J303">
        <v>12432605.9</v>
      </c>
      <c r="K303" s="1">
        <v>43777</v>
      </c>
      <c r="L303">
        <v>2844</v>
      </c>
      <c r="M303" t="s">
        <v>1012</v>
      </c>
    </row>
    <row r="304" spans="1:13" x14ac:dyDescent="0.25">
      <c r="A304" t="s">
        <v>7698</v>
      </c>
      <c r="B304" t="s">
        <v>14</v>
      </c>
      <c r="C304">
        <v>0.5</v>
      </c>
      <c r="D304">
        <v>0.5</v>
      </c>
      <c r="E304">
        <v>0.45</v>
      </c>
      <c r="F304">
        <v>0.45</v>
      </c>
      <c r="G304">
        <v>0.45</v>
      </c>
      <c r="H304">
        <v>0.45</v>
      </c>
      <c r="I304">
        <v>6201</v>
      </c>
      <c r="J304">
        <v>2790.5</v>
      </c>
      <c r="K304" s="1">
        <v>43777</v>
      </c>
      <c r="L304">
        <v>6</v>
      </c>
      <c r="M304" t="s">
        <v>7697</v>
      </c>
    </row>
    <row r="305" spans="1:13" x14ac:dyDescent="0.25">
      <c r="A305" t="s">
        <v>1016</v>
      </c>
      <c r="B305" t="s">
        <v>14</v>
      </c>
      <c r="C305">
        <v>289.85000000000002</v>
      </c>
      <c r="D305">
        <v>297.5</v>
      </c>
      <c r="E305">
        <v>282.95</v>
      </c>
      <c r="F305">
        <v>293.2</v>
      </c>
      <c r="G305">
        <v>293.60000000000002</v>
      </c>
      <c r="H305">
        <v>284.64999999999998</v>
      </c>
      <c r="I305">
        <v>27035</v>
      </c>
      <c r="J305">
        <v>7864447.5499999998</v>
      </c>
      <c r="K305" s="1">
        <v>43777</v>
      </c>
      <c r="L305">
        <v>1049</v>
      </c>
      <c r="M305" t="s">
        <v>1018</v>
      </c>
    </row>
    <row r="306" spans="1:13" x14ac:dyDescent="0.25">
      <c r="A306" t="s">
        <v>7696</v>
      </c>
      <c r="B306" t="s">
        <v>14</v>
      </c>
      <c r="C306">
        <v>20.149999999999999</v>
      </c>
      <c r="D306">
        <v>20.149999999999999</v>
      </c>
      <c r="E306">
        <v>19.399999999999999</v>
      </c>
      <c r="F306">
        <v>19.600000000000001</v>
      </c>
      <c r="G306">
        <v>20</v>
      </c>
      <c r="H306">
        <v>20.149999999999999</v>
      </c>
      <c r="I306">
        <v>4634</v>
      </c>
      <c r="J306">
        <v>91241.45</v>
      </c>
      <c r="K306" s="1">
        <v>43777</v>
      </c>
      <c r="L306">
        <v>59</v>
      </c>
      <c r="M306" t="s">
        <v>7695</v>
      </c>
    </row>
    <row r="307" spans="1:13" x14ac:dyDescent="0.25">
      <c r="A307" t="s">
        <v>1019</v>
      </c>
      <c r="B307" t="s">
        <v>14</v>
      </c>
      <c r="C307">
        <v>32.799999999999997</v>
      </c>
      <c r="D307">
        <v>33.450000000000003</v>
      </c>
      <c r="E307">
        <v>32.4</v>
      </c>
      <c r="F307">
        <v>32.75</v>
      </c>
      <c r="G307">
        <v>32.85</v>
      </c>
      <c r="H307">
        <v>32.950000000000003</v>
      </c>
      <c r="I307">
        <v>4745</v>
      </c>
      <c r="J307">
        <v>155495.20000000001</v>
      </c>
      <c r="K307" s="1">
        <v>43777</v>
      </c>
      <c r="L307">
        <v>77</v>
      </c>
      <c r="M307" t="s">
        <v>1021</v>
      </c>
    </row>
    <row r="308" spans="1:13" x14ac:dyDescent="0.25">
      <c r="A308" t="s">
        <v>1022</v>
      </c>
      <c r="B308" t="s">
        <v>10</v>
      </c>
      <c r="C308">
        <v>10.95</v>
      </c>
      <c r="D308">
        <v>11.8</v>
      </c>
      <c r="E308">
        <v>10.85</v>
      </c>
      <c r="F308">
        <v>10.85</v>
      </c>
      <c r="G308">
        <v>10.85</v>
      </c>
      <c r="H308">
        <v>11.4</v>
      </c>
      <c r="I308">
        <v>7935</v>
      </c>
      <c r="J308">
        <v>87438.9</v>
      </c>
      <c r="K308" s="1">
        <v>43777</v>
      </c>
      <c r="L308">
        <v>43</v>
      </c>
      <c r="M308" t="s">
        <v>1024</v>
      </c>
    </row>
    <row r="309" spans="1:13" x14ac:dyDescent="0.25">
      <c r="A309" t="s">
        <v>1025</v>
      </c>
      <c r="B309" t="s">
        <v>14</v>
      </c>
      <c r="C309">
        <v>470.1</v>
      </c>
      <c r="D309">
        <v>470.1</v>
      </c>
      <c r="E309">
        <v>461.25</v>
      </c>
      <c r="F309">
        <v>462.5</v>
      </c>
      <c r="G309">
        <v>462.55</v>
      </c>
      <c r="H309">
        <v>471.85</v>
      </c>
      <c r="I309">
        <v>4300075</v>
      </c>
      <c r="J309">
        <v>1994733369</v>
      </c>
      <c r="K309" s="1">
        <v>43777</v>
      </c>
      <c r="L309">
        <v>43985</v>
      </c>
      <c r="M309" t="s">
        <v>1027</v>
      </c>
    </row>
    <row r="310" spans="1:13" x14ac:dyDescent="0.25">
      <c r="A310" t="s">
        <v>7694</v>
      </c>
      <c r="B310" t="s">
        <v>10</v>
      </c>
      <c r="C310">
        <v>0.55000000000000004</v>
      </c>
      <c r="D310">
        <v>0.55000000000000004</v>
      </c>
      <c r="E310">
        <v>0.5</v>
      </c>
      <c r="F310">
        <v>0.55000000000000004</v>
      </c>
      <c r="G310">
        <v>0.55000000000000004</v>
      </c>
      <c r="H310">
        <v>0.5</v>
      </c>
      <c r="I310">
        <v>553671</v>
      </c>
      <c r="J310">
        <v>300777</v>
      </c>
      <c r="K310" s="1">
        <v>43777</v>
      </c>
      <c r="L310">
        <v>164</v>
      </c>
      <c r="M310" t="s">
        <v>7693</v>
      </c>
    </row>
    <row r="311" spans="1:13" x14ac:dyDescent="0.25">
      <c r="A311" t="s">
        <v>7692</v>
      </c>
      <c r="B311" t="s">
        <v>5788</v>
      </c>
      <c r="C311">
        <v>5.25</v>
      </c>
      <c r="D311">
        <v>5.5</v>
      </c>
      <c r="E311">
        <v>5.25</v>
      </c>
      <c r="F311">
        <v>5.35</v>
      </c>
      <c r="G311">
        <v>5.35</v>
      </c>
      <c r="H311">
        <v>5.25</v>
      </c>
      <c r="I311">
        <v>64000</v>
      </c>
      <c r="J311">
        <v>340200</v>
      </c>
      <c r="K311" s="1">
        <v>43777</v>
      </c>
      <c r="L311">
        <v>14</v>
      </c>
      <c r="M311" t="s">
        <v>7691</v>
      </c>
    </row>
    <row r="312" spans="1:13" x14ac:dyDescent="0.25">
      <c r="A312" t="s">
        <v>1031</v>
      </c>
      <c r="B312" t="s">
        <v>14</v>
      </c>
      <c r="C312">
        <v>79.849999999999994</v>
      </c>
      <c r="D312">
        <v>85.05</v>
      </c>
      <c r="E312">
        <v>77.45</v>
      </c>
      <c r="F312">
        <v>79.900000000000006</v>
      </c>
      <c r="G312">
        <v>80</v>
      </c>
      <c r="H312">
        <v>79</v>
      </c>
      <c r="I312">
        <v>36760</v>
      </c>
      <c r="J312">
        <v>3015440.45</v>
      </c>
      <c r="K312" s="1">
        <v>43777</v>
      </c>
      <c r="L312">
        <v>428</v>
      </c>
      <c r="M312" t="s">
        <v>7690</v>
      </c>
    </row>
    <row r="313" spans="1:13" x14ac:dyDescent="0.25">
      <c r="A313" t="s">
        <v>7689</v>
      </c>
      <c r="B313" t="s">
        <v>14</v>
      </c>
      <c r="C313">
        <v>292.8</v>
      </c>
      <c r="D313">
        <v>296</v>
      </c>
      <c r="E313">
        <v>290</v>
      </c>
      <c r="F313">
        <v>292.05</v>
      </c>
      <c r="G313">
        <v>293</v>
      </c>
      <c r="H313">
        <v>293.10000000000002</v>
      </c>
      <c r="I313">
        <v>73012</v>
      </c>
      <c r="J313">
        <v>21428794.850000001</v>
      </c>
      <c r="K313" s="1">
        <v>43777</v>
      </c>
      <c r="L313">
        <v>1473</v>
      </c>
      <c r="M313" t="s">
        <v>2053</v>
      </c>
    </row>
    <row r="314" spans="1:13" x14ac:dyDescent="0.25">
      <c r="A314" t="s">
        <v>7688</v>
      </c>
      <c r="B314" t="s">
        <v>14</v>
      </c>
      <c r="C314">
        <v>71.900000000000006</v>
      </c>
      <c r="D314">
        <v>71.900000000000006</v>
      </c>
      <c r="E314">
        <v>67.849999999999994</v>
      </c>
      <c r="F314">
        <v>68.55</v>
      </c>
      <c r="G314">
        <v>68</v>
      </c>
      <c r="H314">
        <v>71.400000000000006</v>
      </c>
      <c r="I314">
        <v>29307</v>
      </c>
      <c r="J314">
        <v>2005489.95</v>
      </c>
      <c r="K314" s="1">
        <v>43777</v>
      </c>
      <c r="L314">
        <v>367</v>
      </c>
      <c r="M314" t="s">
        <v>7687</v>
      </c>
    </row>
    <row r="315" spans="1:13" x14ac:dyDescent="0.25">
      <c r="A315" t="s">
        <v>7686</v>
      </c>
      <c r="B315" t="s">
        <v>5788</v>
      </c>
      <c r="C315">
        <v>4.25</v>
      </c>
      <c r="D315">
        <v>4.25</v>
      </c>
      <c r="E315">
        <v>4.25</v>
      </c>
      <c r="F315">
        <v>4.25</v>
      </c>
      <c r="G315">
        <v>4.25</v>
      </c>
      <c r="H315">
        <v>4.25</v>
      </c>
      <c r="I315">
        <v>3000</v>
      </c>
      <c r="J315">
        <v>12750</v>
      </c>
      <c r="K315" s="1">
        <v>43777</v>
      </c>
      <c r="L315">
        <v>1</v>
      </c>
      <c r="M315" t="s">
        <v>7685</v>
      </c>
    </row>
    <row r="316" spans="1:13" x14ac:dyDescent="0.25">
      <c r="A316" t="s">
        <v>7684</v>
      </c>
      <c r="B316" t="s">
        <v>14</v>
      </c>
      <c r="C316">
        <v>8.1</v>
      </c>
      <c r="D316">
        <v>8.15</v>
      </c>
      <c r="E316">
        <v>8.1</v>
      </c>
      <c r="F316">
        <v>8.15</v>
      </c>
      <c r="G316">
        <v>8.15</v>
      </c>
      <c r="H316">
        <v>8.8000000000000007</v>
      </c>
      <c r="I316">
        <v>3</v>
      </c>
      <c r="J316">
        <v>24.4</v>
      </c>
      <c r="K316" s="1">
        <v>43777</v>
      </c>
      <c r="L316">
        <v>2</v>
      </c>
      <c r="M316" t="s">
        <v>7683</v>
      </c>
    </row>
    <row r="317" spans="1:13" x14ac:dyDescent="0.25">
      <c r="A317" t="s">
        <v>1040</v>
      </c>
      <c r="B317" t="s">
        <v>14</v>
      </c>
      <c r="C317">
        <v>212.6</v>
      </c>
      <c r="D317">
        <v>216</v>
      </c>
      <c r="E317">
        <v>208.1</v>
      </c>
      <c r="F317">
        <v>209.25</v>
      </c>
      <c r="G317">
        <v>208.95</v>
      </c>
      <c r="H317">
        <v>212.5</v>
      </c>
      <c r="I317">
        <v>6324778</v>
      </c>
      <c r="J317">
        <v>1339265673.2</v>
      </c>
      <c r="K317" s="1">
        <v>43777</v>
      </c>
      <c r="L317">
        <v>45248</v>
      </c>
      <c r="M317" t="s">
        <v>1042</v>
      </c>
    </row>
    <row r="318" spans="1:13" x14ac:dyDescent="0.25">
      <c r="A318" t="s">
        <v>1046</v>
      </c>
      <c r="B318" t="s">
        <v>14</v>
      </c>
      <c r="C318">
        <v>397</v>
      </c>
      <c r="D318">
        <v>410</v>
      </c>
      <c r="E318">
        <v>391.25</v>
      </c>
      <c r="F318">
        <v>395.55</v>
      </c>
      <c r="G318">
        <v>395</v>
      </c>
      <c r="H318">
        <v>398.15</v>
      </c>
      <c r="I318">
        <v>141844</v>
      </c>
      <c r="J318">
        <v>56705687.549999997</v>
      </c>
      <c r="K318" s="1">
        <v>43777</v>
      </c>
      <c r="L318">
        <v>4849</v>
      </c>
      <c r="M318" t="s">
        <v>1048</v>
      </c>
    </row>
    <row r="319" spans="1:13" x14ac:dyDescent="0.25">
      <c r="A319" t="s">
        <v>1049</v>
      </c>
      <c r="B319" t="s">
        <v>14</v>
      </c>
      <c r="C319">
        <v>40.799999999999997</v>
      </c>
      <c r="D319">
        <v>40.799999999999997</v>
      </c>
      <c r="E319">
        <v>38.1</v>
      </c>
      <c r="F319">
        <v>40.799999999999997</v>
      </c>
      <c r="G319">
        <v>40.799999999999997</v>
      </c>
      <c r="H319">
        <v>38.9</v>
      </c>
      <c r="I319">
        <v>1859710</v>
      </c>
      <c r="J319">
        <v>74868017.5</v>
      </c>
      <c r="K319" s="1">
        <v>43777</v>
      </c>
      <c r="L319">
        <v>3386</v>
      </c>
      <c r="M319" t="s">
        <v>1051</v>
      </c>
    </row>
    <row r="320" spans="1:13" x14ac:dyDescent="0.25">
      <c r="A320" t="s">
        <v>1055</v>
      </c>
      <c r="B320" t="s">
        <v>14</v>
      </c>
      <c r="C320">
        <v>1623</v>
      </c>
      <c r="D320">
        <v>1642.6</v>
      </c>
      <c r="E320">
        <v>1562</v>
      </c>
      <c r="F320">
        <v>1579.65</v>
      </c>
      <c r="G320">
        <v>1576</v>
      </c>
      <c r="H320">
        <v>1601.3</v>
      </c>
      <c r="I320">
        <v>2829810</v>
      </c>
      <c r="J320">
        <v>4520152821.6000004</v>
      </c>
      <c r="K320" s="1">
        <v>43777</v>
      </c>
      <c r="L320">
        <v>136869</v>
      </c>
      <c r="M320" t="s">
        <v>1057</v>
      </c>
    </row>
    <row r="321" spans="1:13" x14ac:dyDescent="0.25">
      <c r="A321" t="s">
        <v>1058</v>
      </c>
      <c r="B321" t="s">
        <v>14</v>
      </c>
      <c r="C321">
        <v>9</v>
      </c>
      <c r="D321">
        <v>9.1999999999999993</v>
      </c>
      <c r="E321">
        <v>8.5500000000000007</v>
      </c>
      <c r="F321">
        <v>8.65</v>
      </c>
      <c r="G321">
        <v>8.6999999999999993</v>
      </c>
      <c r="H321">
        <v>8.9</v>
      </c>
      <c r="I321">
        <v>121115</v>
      </c>
      <c r="J321">
        <v>1053220.8</v>
      </c>
      <c r="K321" s="1">
        <v>43777</v>
      </c>
      <c r="L321">
        <v>260</v>
      </c>
      <c r="M321" t="s">
        <v>1060</v>
      </c>
    </row>
    <row r="322" spans="1:13" x14ac:dyDescent="0.25">
      <c r="A322" t="s">
        <v>1061</v>
      </c>
      <c r="B322" t="s">
        <v>14</v>
      </c>
      <c r="C322">
        <v>8.4</v>
      </c>
      <c r="D322">
        <v>8.5500000000000007</v>
      </c>
      <c r="E322">
        <v>7.95</v>
      </c>
      <c r="F322">
        <v>8.1999999999999993</v>
      </c>
      <c r="G322">
        <v>8.1999999999999993</v>
      </c>
      <c r="H322">
        <v>8.15</v>
      </c>
      <c r="I322">
        <v>122223</v>
      </c>
      <c r="J322">
        <v>1025522.3</v>
      </c>
      <c r="K322" s="1">
        <v>43777</v>
      </c>
      <c r="L322">
        <v>203</v>
      </c>
      <c r="M322" t="s">
        <v>1063</v>
      </c>
    </row>
    <row r="323" spans="1:13" x14ac:dyDescent="0.25">
      <c r="A323" t="s">
        <v>1064</v>
      </c>
      <c r="B323" t="s">
        <v>14</v>
      </c>
      <c r="C323">
        <v>579.9</v>
      </c>
      <c r="D323">
        <v>584.15</v>
      </c>
      <c r="E323">
        <v>568.04999999999995</v>
      </c>
      <c r="F323">
        <v>570.9</v>
      </c>
      <c r="G323">
        <v>569</v>
      </c>
      <c r="H323">
        <v>579.6</v>
      </c>
      <c r="I323">
        <v>1215210</v>
      </c>
      <c r="J323">
        <v>700126537.25</v>
      </c>
      <c r="K323" s="1">
        <v>43777</v>
      </c>
      <c r="L323">
        <v>38306</v>
      </c>
      <c r="M323" t="s">
        <v>1066</v>
      </c>
    </row>
    <row r="324" spans="1:13" x14ac:dyDescent="0.25">
      <c r="A324" t="s">
        <v>1070</v>
      </c>
      <c r="B324" t="s">
        <v>14</v>
      </c>
      <c r="C324">
        <v>27.2</v>
      </c>
      <c r="D324">
        <v>27.5</v>
      </c>
      <c r="E324">
        <v>26.8</v>
      </c>
      <c r="F324">
        <v>27</v>
      </c>
      <c r="G324">
        <v>27</v>
      </c>
      <c r="H324">
        <v>27.05</v>
      </c>
      <c r="I324">
        <v>94384</v>
      </c>
      <c r="J324">
        <v>2557631.2000000002</v>
      </c>
      <c r="K324" s="1">
        <v>43777</v>
      </c>
      <c r="L324">
        <v>676</v>
      </c>
      <c r="M324" t="s">
        <v>1072</v>
      </c>
    </row>
    <row r="325" spans="1:13" x14ac:dyDescent="0.25">
      <c r="A325" t="s">
        <v>1073</v>
      </c>
      <c r="B325" t="s">
        <v>14</v>
      </c>
      <c r="C325">
        <v>36</v>
      </c>
      <c r="D325">
        <v>38.950000000000003</v>
      </c>
      <c r="E325">
        <v>36</v>
      </c>
      <c r="F325">
        <v>36.200000000000003</v>
      </c>
      <c r="G325">
        <v>36.200000000000003</v>
      </c>
      <c r="H325">
        <v>36.1</v>
      </c>
      <c r="I325">
        <v>7661</v>
      </c>
      <c r="J325">
        <v>276066.25</v>
      </c>
      <c r="K325" s="1">
        <v>43777</v>
      </c>
      <c r="L325">
        <v>56</v>
      </c>
      <c r="M325" t="s">
        <v>1075</v>
      </c>
    </row>
    <row r="326" spans="1:13" x14ac:dyDescent="0.25">
      <c r="A326" t="s">
        <v>1076</v>
      </c>
      <c r="B326" t="s">
        <v>14</v>
      </c>
      <c r="C326">
        <v>288.45</v>
      </c>
      <c r="D326">
        <v>288.45</v>
      </c>
      <c r="E326">
        <v>267</v>
      </c>
      <c r="F326">
        <v>270.7</v>
      </c>
      <c r="G326">
        <v>272</v>
      </c>
      <c r="H326">
        <v>281.5</v>
      </c>
      <c r="I326">
        <v>8945</v>
      </c>
      <c r="J326">
        <v>2437660.25</v>
      </c>
      <c r="K326" s="1">
        <v>43777</v>
      </c>
      <c r="L326">
        <v>441</v>
      </c>
      <c r="M326" t="s">
        <v>1078</v>
      </c>
    </row>
    <row r="327" spans="1:13" x14ac:dyDescent="0.25">
      <c r="A327" t="s">
        <v>1079</v>
      </c>
      <c r="B327" t="s">
        <v>14</v>
      </c>
      <c r="C327">
        <v>13.75</v>
      </c>
      <c r="D327">
        <v>13.85</v>
      </c>
      <c r="E327">
        <v>12.25</v>
      </c>
      <c r="F327">
        <v>12.9</v>
      </c>
      <c r="G327">
        <v>12.95</v>
      </c>
      <c r="H327">
        <v>13.5</v>
      </c>
      <c r="I327">
        <v>13821</v>
      </c>
      <c r="J327">
        <v>178500.7</v>
      </c>
      <c r="K327" s="1">
        <v>43777</v>
      </c>
      <c r="L327">
        <v>156</v>
      </c>
      <c r="M327" t="s">
        <v>1081</v>
      </c>
    </row>
    <row r="328" spans="1:13" x14ac:dyDescent="0.25">
      <c r="A328" t="s">
        <v>1082</v>
      </c>
      <c r="B328" t="s">
        <v>14</v>
      </c>
      <c r="C328">
        <v>44.65</v>
      </c>
      <c r="D328">
        <v>44.7</v>
      </c>
      <c r="E328">
        <v>42.5</v>
      </c>
      <c r="F328">
        <v>42.55</v>
      </c>
      <c r="G328">
        <v>42.5</v>
      </c>
      <c r="H328">
        <v>43.45</v>
      </c>
      <c r="I328">
        <v>13873</v>
      </c>
      <c r="J328">
        <v>599673.15</v>
      </c>
      <c r="K328" s="1">
        <v>43777</v>
      </c>
      <c r="L328">
        <v>380</v>
      </c>
      <c r="M328" t="s">
        <v>1084</v>
      </c>
    </row>
    <row r="329" spans="1:13" x14ac:dyDescent="0.25">
      <c r="A329" t="s">
        <v>1085</v>
      </c>
      <c r="B329" t="s">
        <v>14</v>
      </c>
      <c r="C329">
        <v>471.4</v>
      </c>
      <c r="D329">
        <v>474</v>
      </c>
      <c r="E329">
        <v>466.75</v>
      </c>
      <c r="F329">
        <v>469.7</v>
      </c>
      <c r="G329">
        <v>468.3</v>
      </c>
      <c r="H329">
        <v>469.25</v>
      </c>
      <c r="I329">
        <v>72309</v>
      </c>
      <c r="J329">
        <v>34027939.700000003</v>
      </c>
      <c r="K329" s="1">
        <v>43777</v>
      </c>
      <c r="L329">
        <v>6805</v>
      </c>
      <c r="M329" t="s">
        <v>1087</v>
      </c>
    </row>
    <row r="330" spans="1:13" x14ac:dyDescent="0.25">
      <c r="A330" t="s">
        <v>7682</v>
      </c>
      <c r="B330" t="s">
        <v>14</v>
      </c>
      <c r="C330">
        <v>17.899999999999999</v>
      </c>
      <c r="D330">
        <v>17.899999999999999</v>
      </c>
      <c r="E330">
        <v>17</v>
      </c>
      <c r="F330">
        <v>17.100000000000001</v>
      </c>
      <c r="G330">
        <v>17.05</v>
      </c>
      <c r="H330">
        <v>17.649999999999999</v>
      </c>
      <c r="I330">
        <v>326216</v>
      </c>
      <c r="J330">
        <v>5628444.75</v>
      </c>
      <c r="K330" s="1">
        <v>43777</v>
      </c>
      <c r="L330">
        <v>1197</v>
      </c>
      <c r="M330" t="s">
        <v>7681</v>
      </c>
    </row>
    <row r="331" spans="1:13" x14ac:dyDescent="0.25">
      <c r="A331" t="s">
        <v>7680</v>
      </c>
      <c r="B331" t="s">
        <v>14</v>
      </c>
      <c r="C331">
        <v>235</v>
      </c>
      <c r="D331">
        <v>235</v>
      </c>
      <c r="E331">
        <v>227</v>
      </c>
      <c r="F331">
        <v>227.75</v>
      </c>
      <c r="G331">
        <v>228.45</v>
      </c>
      <c r="H331">
        <v>234.35</v>
      </c>
      <c r="I331">
        <v>11600</v>
      </c>
      <c r="J331">
        <v>2667821.5499999998</v>
      </c>
      <c r="K331" s="1">
        <v>43777</v>
      </c>
      <c r="L331">
        <v>656</v>
      </c>
      <c r="M331" t="s">
        <v>1090</v>
      </c>
    </row>
    <row r="332" spans="1:13" x14ac:dyDescent="0.25">
      <c r="A332" t="s">
        <v>1091</v>
      </c>
      <c r="B332" t="s">
        <v>14</v>
      </c>
      <c r="C332">
        <v>1.7</v>
      </c>
      <c r="D332">
        <v>1.75</v>
      </c>
      <c r="E332">
        <v>1.7</v>
      </c>
      <c r="F332">
        <v>1.7</v>
      </c>
      <c r="G332">
        <v>1.7</v>
      </c>
      <c r="H332">
        <v>1.7</v>
      </c>
      <c r="I332">
        <v>4004</v>
      </c>
      <c r="J332">
        <v>6901.95</v>
      </c>
      <c r="K332" s="1">
        <v>43777</v>
      </c>
      <c r="L332">
        <v>21</v>
      </c>
      <c r="M332" t="s">
        <v>1093</v>
      </c>
    </row>
    <row r="333" spans="1:13" x14ac:dyDescent="0.25">
      <c r="A333" t="s">
        <v>7679</v>
      </c>
      <c r="B333" t="s">
        <v>14</v>
      </c>
      <c r="C333">
        <v>1.45</v>
      </c>
      <c r="D333">
        <v>1.55</v>
      </c>
      <c r="E333">
        <v>1.45</v>
      </c>
      <c r="F333">
        <v>1.55</v>
      </c>
      <c r="G333">
        <v>1.55</v>
      </c>
      <c r="H333">
        <v>1.5</v>
      </c>
      <c r="I333">
        <v>5847391</v>
      </c>
      <c r="J333">
        <v>8847058.9499999993</v>
      </c>
      <c r="K333" s="1">
        <v>43777</v>
      </c>
      <c r="L333">
        <v>1234</v>
      </c>
      <c r="M333" t="s">
        <v>7678</v>
      </c>
    </row>
    <row r="334" spans="1:13" x14ac:dyDescent="0.25">
      <c r="A334" t="s">
        <v>6780</v>
      </c>
      <c r="B334" t="s">
        <v>14</v>
      </c>
      <c r="C334">
        <v>24.75</v>
      </c>
      <c r="D334">
        <v>24.75</v>
      </c>
      <c r="E334">
        <v>24.2</v>
      </c>
      <c r="F334">
        <v>24.22</v>
      </c>
      <c r="G334">
        <v>24.24</v>
      </c>
      <c r="H334">
        <v>24.52</v>
      </c>
      <c r="I334">
        <v>2057125</v>
      </c>
      <c r="J334">
        <v>50144473.350000001</v>
      </c>
      <c r="K334" s="1">
        <v>43777</v>
      </c>
      <c r="L334">
        <v>48462</v>
      </c>
      <c r="M334" t="s">
        <v>6779</v>
      </c>
    </row>
    <row r="335" spans="1:13" x14ac:dyDescent="0.25">
      <c r="A335" t="s">
        <v>1097</v>
      </c>
      <c r="B335" t="s">
        <v>14</v>
      </c>
      <c r="C335">
        <v>71.599999999999994</v>
      </c>
      <c r="D335">
        <v>71.599999999999994</v>
      </c>
      <c r="E335">
        <v>68</v>
      </c>
      <c r="F335">
        <v>69.55</v>
      </c>
      <c r="G335">
        <v>69.5</v>
      </c>
      <c r="H335">
        <v>69.900000000000006</v>
      </c>
      <c r="I335">
        <v>10375</v>
      </c>
      <c r="J335">
        <v>724265.55</v>
      </c>
      <c r="K335" s="1">
        <v>43777</v>
      </c>
      <c r="L335">
        <v>25</v>
      </c>
      <c r="M335" t="s">
        <v>1099</v>
      </c>
    </row>
    <row r="336" spans="1:13" x14ac:dyDescent="0.25">
      <c r="A336" t="s">
        <v>1103</v>
      </c>
      <c r="B336" t="s">
        <v>14</v>
      </c>
      <c r="C336">
        <v>696.9</v>
      </c>
      <c r="D336">
        <v>709</v>
      </c>
      <c r="E336">
        <v>671.2</v>
      </c>
      <c r="F336">
        <v>682.05</v>
      </c>
      <c r="G336">
        <v>687</v>
      </c>
      <c r="H336">
        <v>693.8</v>
      </c>
      <c r="I336">
        <v>48532</v>
      </c>
      <c r="J336">
        <v>33608945.549999997</v>
      </c>
      <c r="K336" s="1">
        <v>43777</v>
      </c>
      <c r="L336">
        <v>2303</v>
      </c>
      <c r="M336" t="s">
        <v>1105</v>
      </c>
    </row>
    <row r="337" spans="1:13" x14ac:dyDescent="0.25">
      <c r="A337" t="s">
        <v>1106</v>
      </c>
      <c r="B337" t="s">
        <v>14</v>
      </c>
      <c r="C337">
        <v>97.9</v>
      </c>
      <c r="D337">
        <v>101.55</v>
      </c>
      <c r="E337">
        <v>91.05</v>
      </c>
      <c r="F337">
        <v>93.7</v>
      </c>
      <c r="G337">
        <v>94.75</v>
      </c>
      <c r="H337">
        <v>97.65</v>
      </c>
      <c r="I337">
        <v>3146</v>
      </c>
      <c r="J337">
        <v>297140.90000000002</v>
      </c>
      <c r="K337" s="1">
        <v>43777</v>
      </c>
      <c r="L337">
        <v>119</v>
      </c>
      <c r="M337" t="s">
        <v>1108</v>
      </c>
    </row>
    <row r="338" spans="1:13" x14ac:dyDescent="0.25">
      <c r="A338" t="s">
        <v>1109</v>
      </c>
      <c r="B338" t="s">
        <v>14</v>
      </c>
      <c r="C338">
        <v>1481</v>
      </c>
      <c r="D338">
        <v>1492.85</v>
      </c>
      <c r="E338">
        <v>1424.4</v>
      </c>
      <c r="F338">
        <v>1442.3</v>
      </c>
      <c r="G338">
        <v>1440</v>
      </c>
      <c r="H338">
        <v>1495.6</v>
      </c>
      <c r="I338">
        <v>8900</v>
      </c>
      <c r="J338">
        <v>12931364.6</v>
      </c>
      <c r="K338" s="1">
        <v>43777</v>
      </c>
      <c r="L338">
        <v>1730</v>
      </c>
      <c r="M338" t="s">
        <v>1111</v>
      </c>
    </row>
    <row r="339" spans="1:13" x14ac:dyDescent="0.25">
      <c r="A339" t="s">
        <v>1112</v>
      </c>
      <c r="B339" t="s">
        <v>14</v>
      </c>
      <c r="C339">
        <v>255.1</v>
      </c>
      <c r="D339">
        <v>261.35000000000002</v>
      </c>
      <c r="E339">
        <v>254.1</v>
      </c>
      <c r="F339">
        <v>257.55</v>
      </c>
      <c r="G339">
        <v>257</v>
      </c>
      <c r="H339">
        <v>255.1</v>
      </c>
      <c r="I339">
        <v>393290</v>
      </c>
      <c r="J339">
        <v>101650633.15000001</v>
      </c>
      <c r="K339" s="1">
        <v>43777</v>
      </c>
      <c r="L339">
        <v>9774</v>
      </c>
      <c r="M339" t="s">
        <v>1114</v>
      </c>
    </row>
    <row r="340" spans="1:13" x14ac:dyDescent="0.25">
      <c r="A340" t="s">
        <v>1124</v>
      </c>
      <c r="B340" t="s">
        <v>14</v>
      </c>
      <c r="C340">
        <v>29</v>
      </c>
      <c r="D340">
        <v>29.8</v>
      </c>
      <c r="E340">
        <v>28.85</v>
      </c>
      <c r="F340">
        <v>29.45</v>
      </c>
      <c r="G340">
        <v>29.45</v>
      </c>
      <c r="H340">
        <v>28.9</v>
      </c>
      <c r="I340">
        <v>960</v>
      </c>
      <c r="J340">
        <v>27937</v>
      </c>
      <c r="K340" s="1">
        <v>43777</v>
      </c>
      <c r="L340">
        <v>15</v>
      </c>
      <c r="M340" t="s">
        <v>1126</v>
      </c>
    </row>
    <row r="341" spans="1:13" x14ac:dyDescent="0.25">
      <c r="A341" t="s">
        <v>1127</v>
      </c>
      <c r="B341" t="s">
        <v>14</v>
      </c>
      <c r="C341">
        <v>211.55</v>
      </c>
      <c r="D341">
        <v>214.5</v>
      </c>
      <c r="E341">
        <v>210.05</v>
      </c>
      <c r="F341">
        <v>213.35</v>
      </c>
      <c r="G341">
        <v>213.15</v>
      </c>
      <c r="H341">
        <v>211.65</v>
      </c>
      <c r="I341">
        <v>437998</v>
      </c>
      <c r="J341">
        <v>93328530</v>
      </c>
      <c r="K341" s="1">
        <v>43777</v>
      </c>
      <c r="L341">
        <v>4520</v>
      </c>
      <c r="M341" t="s">
        <v>1129</v>
      </c>
    </row>
    <row r="342" spans="1:13" x14ac:dyDescent="0.25">
      <c r="A342" t="s">
        <v>1130</v>
      </c>
      <c r="B342" t="s">
        <v>14</v>
      </c>
      <c r="C342">
        <v>13.85</v>
      </c>
      <c r="D342">
        <v>13.9</v>
      </c>
      <c r="E342">
        <v>12.85</v>
      </c>
      <c r="F342">
        <v>13.35</v>
      </c>
      <c r="G342">
        <v>13.9</v>
      </c>
      <c r="H342">
        <v>13.5</v>
      </c>
      <c r="I342">
        <v>4589</v>
      </c>
      <c r="J342">
        <v>60974.95</v>
      </c>
      <c r="K342" s="1">
        <v>43777</v>
      </c>
      <c r="L342">
        <v>41</v>
      </c>
      <c r="M342" t="s">
        <v>1132</v>
      </c>
    </row>
    <row r="343" spans="1:13" x14ac:dyDescent="0.25">
      <c r="A343" t="s">
        <v>1133</v>
      </c>
      <c r="B343" t="s">
        <v>14</v>
      </c>
      <c r="C343">
        <v>550.70000000000005</v>
      </c>
      <c r="D343">
        <v>562.75</v>
      </c>
      <c r="E343">
        <v>548</v>
      </c>
      <c r="F343">
        <v>556.9</v>
      </c>
      <c r="G343">
        <v>555.1</v>
      </c>
      <c r="H343">
        <v>552.20000000000005</v>
      </c>
      <c r="I343">
        <v>507267</v>
      </c>
      <c r="J343">
        <v>282851738.14999998</v>
      </c>
      <c r="K343" s="1">
        <v>43777</v>
      </c>
      <c r="L343">
        <v>11432</v>
      </c>
      <c r="M343" t="s">
        <v>1135</v>
      </c>
    </row>
    <row r="344" spans="1:13" x14ac:dyDescent="0.25">
      <c r="A344" t="s">
        <v>1136</v>
      </c>
      <c r="B344" t="s">
        <v>14</v>
      </c>
      <c r="C344">
        <v>202.8</v>
      </c>
      <c r="D344">
        <v>228.8</v>
      </c>
      <c r="E344">
        <v>201.7</v>
      </c>
      <c r="F344">
        <v>220.8</v>
      </c>
      <c r="G344">
        <v>221.5</v>
      </c>
      <c r="H344">
        <v>203.85</v>
      </c>
      <c r="I344">
        <v>323456</v>
      </c>
      <c r="J344">
        <v>70694581.5</v>
      </c>
      <c r="K344" s="1">
        <v>43777</v>
      </c>
      <c r="L344">
        <v>6936</v>
      </c>
      <c r="M344" t="s">
        <v>1138</v>
      </c>
    </row>
    <row r="345" spans="1:13" x14ac:dyDescent="0.25">
      <c r="A345" t="s">
        <v>7677</v>
      </c>
      <c r="B345" t="s">
        <v>10</v>
      </c>
      <c r="C345">
        <v>1.55</v>
      </c>
      <c r="D345">
        <v>1.6</v>
      </c>
      <c r="E345">
        <v>1.55</v>
      </c>
      <c r="F345">
        <v>1.6</v>
      </c>
      <c r="G345">
        <v>1.6</v>
      </c>
      <c r="H345">
        <v>1.55</v>
      </c>
      <c r="I345">
        <v>317</v>
      </c>
      <c r="J345">
        <v>506.45</v>
      </c>
      <c r="K345" s="1">
        <v>43777</v>
      </c>
      <c r="L345">
        <v>8</v>
      </c>
      <c r="M345" t="s">
        <v>7676</v>
      </c>
    </row>
    <row r="346" spans="1:13" x14ac:dyDescent="0.25">
      <c r="A346" t="s">
        <v>1142</v>
      </c>
      <c r="B346" t="s">
        <v>14</v>
      </c>
      <c r="C346">
        <v>49.1</v>
      </c>
      <c r="D346">
        <v>49.1</v>
      </c>
      <c r="E346">
        <v>47.45</v>
      </c>
      <c r="F346">
        <v>47.75</v>
      </c>
      <c r="G346">
        <v>48</v>
      </c>
      <c r="H346">
        <v>49.05</v>
      </c>
      <c r="I346">
        <v>12996</v>
      </c>
      <c r="J346">
        <v>623136.05000000005</v>
      </c>
      <c r="K346" s="1">
        <v>43777</v>
      </c>
      <c r="L346">
        <v>171</v>
      </c>
      <c r="M346" t="s">
        <v>1144</v>
      </c>
    </row>
    <row r="347" spans="1:13" x14ac:dyDescent="0.25">
      <c r="A347" t="s">
        <v>1145</v>
      </c>
      <c r="B347" t="s">
        <v>14</v>
      </c>
      <c r="C347">
        <v>388.5</v>
      </c>
      <c r="D347">
        <v>393</v>
      </c>
      <c r="E347">
        <v>388.45</v>
      </c>
      <c r="F347">
        <v>391.55</v>
      </c>
      <c r="G347">
        <v>391.2</v>
      </c>
      <c r="H347">
        <v>385.45</v>
      </c>
      <c r="I347">
        <v>80626</v>
      </c>
      <c r="J347">
        <v>31554391.949999999</v>
      </c>
      <c r="K347" s="1">
        <v>43777</v>
      </c>
      <c r="L347">
        <v>2742</v>
      </c>
      <c r="M347" t="s">
        <v>1147</v>
      </c>
    </row>
    <row r="348" spans="1:13" x14ac:dyDescent="0.25">
      <c r="A348" t="s">
        <v>7675</v>
      </c>
      <c r="B348" t="s">
        <v>14</v>
      </c>
      <c r="C348">
        <v>25.9</v>
      </c>
      <c r="D348">
        <v>26.1</v>
      </c>
      <c r="E348">
        <v>24.9</v>
      </c>
      <c r="F348">
        <v>25.05</v>
      </c>
      <c r="G348">
        <v>25</v>
      </c>
      <c r="H348">
        <v>24.9</v>
      </c>
      <c r="I348">
        <v>1708901</v>
      </c>
      <c r="J348">
        <v>43422434.200000003</v>
      </c>
      <c r="K348" s="1">
        <v>43777</v>
      </c>
      <c r="L348">
        <v>5353</v>
      </c>
      <c r="M348" t="s">
        <v>2997</v>
      </c>
    </row>
    <row r="349" spans="1:13" x14ac:dyDescent="0.25">
      <c r="A349" t="s">
        <v>1151</v>
      </c>
      <c r="B349" t="s">
        <v>14</v>
      </c>
      <c r="C349">
        <v>477.7</v>
      </c>
      <c r="D349">
        <v>484.3</v>
      </c>
      <c r="E349">
        <v>471.6</v>
      </c>
      <c r="F349">
        <v>473.65</v>
      </c>
      <c r="G349">
        <v>474.9</v>
      </c>
      <c r="H349">
        <v>477.7</v>
      </c>
      <c r="I349">
        <v>1561299</v>
      </c>
      <c r="J349">
        <v>746576452.70000005</v>
      </c>
      <c r="K349" s="1">
        <v>43777</v>
      </c>
      <c r="L349">
        <v>26490</v>
      </c>
      <c r="M349" t="s">
        <v>1153</v>
      </c>
    </row>
    <row r="350" spans="1:13" x14ac:dyDescent="0.25">
      <c r="A350" t="s">
        <v>1154</v>
      </c>
      <c r="B350" t="s">
        <v>14</v>
      </c>
      <c r="C350">
        <v>826</v>
      </c>
      <c r="D350">
        <v>837</v>
      </c>
      <c r="E350">
        <v>816.2</v>
      </c>
      <c r="F350">
        <v>820.05</v>
      </c>
      <c r="G350">
        <v>821</v>
      </c>
      <c r="H350">
        <v>825.2</v>
      </c>
      <c r="I350">
        <v>117768</v>
      </c>
      <c r="J350">
        <v>97631887.349999994</v>
      </c>
      <c r="K350" s="1">
        <v>43777</v>
      </c>
      <c r="L350">
        <v>4263</v>
      </c>
      <c r="M350" t="s">
        <v>1156</v>
      </c>
    </row>
    <row r="351" spans="1:13" x14ac:dyDescent="0.25">
      <c r="A351" t="s">
        <v>1157</v>
      </c>
      <c r="B351" t="s">
        <v>14</v>
      </c>
      <c r="C351">
        <v>94.5</v>
      </c>
      <c r="D351">
        <v>95.9</v>
      </c>
      <c r="E351">
        <v>90.1</v>
      </c>
      <c r="F351">
        <v>90.45</v>
      </c>
      <c r="G351">
        <v>90.25</v>
      </c>
      <c r="H351">
        <v>91.1</v>
      </c>
      <c r="I351">
        <v>171094</v>
      </c>
      <c r="J351">
        <v>15788782.9</v>
      </c>
      <c r="K351" s="1">
        <v>43777</v>
      </c>
      <c r="L351">
        <v>1822</v>
      </c>
      <c r="M351" t="s">
        <v>1159</v>
      </c>
    </row>
    <row r="352" spans="1:13" x14ac:dyDescent="0.25">
      <c r="A352" t="s">
        <v>1160</v>
      </c>
      <c r="B352" t="s">
        <v>14</v>
      </c>
      <c r="C352">
        <v>27.6</v>
      </c>
      <c r="D352">
        <v>28.6</v>
      </c>
      <c r="E352">
        <v>26.1</v>
      </c>
      <c r="F352">
        <v>27.65</v>
      </c>
      <c r="G352">
        <v>28.55</v>
      </c>
      <c r="H352">
        <v>27.6</v>
      </c>
      <c r="I352">
        <v>1966</v>
      </c>
      <c r="J352">
        <v>54270.65</v>
      </c>
      <c r="K352" s="1">
        <v>43777</v>
      </c>
      <c r="L352">
        <v>55</v>
      </c>
      <c r="M352" t="s">
        <v>1162</v>
      </c>
    </row>
    <row r="353" spans="1:13" x14ac:dyDescent="0.25">
      <c r="A353" t="s">
        <v>1166</v>
      </c>
      <c r="B353" t="s">
        <v>14</v>
      </c>
      <c r="C353">
        <v>74.25</v>
      </c>
      <c r="D353">
        <v>77.349999999999994</v>
      </c>
      <c r="E353">
        <v>74</v>
      </c>
      <c r="F353">
        <v>74.2</v>
      </c>
      <c r="G353">
        <v>74.05</v>
      </c>
      <c r="H353">
        <v>75.099999999999994</v>
      </c>
      <c r="I353">
        <v>43920</v>
      </c>
      <c r="J353">
        <v>3312260.05</v>
      </c>
      <c r="K353" s="1">
        <v>43777</v>
      </c>
      <c r="L353">
        <v>758</v>
      </c>
      <c r="M353" t="s">
        <v>1168</v>
      </c>
    </row>
    <row r="354" spans="1:13" x14ac:dyDescent="0.25">
      <c r="A354" t="s">
        <v>1172</v>
      </c>
      <c r="B354" t="s">
        <v>14</v>
      </c>
      <c r="C354">
        <v>153</v>
      </c>
      <c r="D354">
        <v>153</v>
      </c>
      <c r="E354">
        <v>145.44999999999999</v>
      </c>
      <c r="F354">
        <v>146.55000000000001</v>
      </c>
      <c r="G354">
        <v>145.69999999999999</v>
      </c>
      <c r="H354">
        <v>148.19999999999999</v>
      </c>
      <c r="I354">
        <v>11878</v>
      </c>
      <c r="J354">
        <v>1755805.45</v>
      </c>
      <c r="K354" s="1">
        <v>43777</v>
      </c>
      <c r="L354">
        <v>427</v>
      </c>
      <c r="M354" t="s">
        <v>1174</v>
      </c>
    </row>
    <row r="355" spans="1:13" x14ac:dyDescent="0.25">
      <c r="A355" t="s">
        <v>1175</v>
      </c>
      <c r="B355" t="s">
        <v>14</v>
      </c>
      <c r="C355">
        <v>416.5</v>
      </c>
      <c r="D355">
        <v>422.7</v>
      </c>
      <c r="E355">
        <v>404</v>
      </c>
      <c r="F355">
        <v>407.25</v>
      </c>
      <c r="G355">
        <v>407.25</v>
      </c>
      <c r="H355">
        <v>417</v>
      </c>
      <c r="I355">
        <v>229343</v>
      </c>
      <c r="J355">
        <v>94667436.599999994</v>
      </c>
      <c r="K355" s="1">
        <v>43777</v>
      </c>
      <c r="L355">
        <v>10693</v>
      </c>
      <c r="M355" t="s">
        <v>1177</v>
      </c>
    </row>
    <row r="356" spans="1:13" x14ac:dyDescent="0.25">
      <c r="A356" t="s">
        <v>1181</v>
      </c>
      <c r="B356" t="s">
        <v>14</v>
      </c>
      <c r="C356">
        <v>8.85</v>
      </c>
      <c r="D356">
        <v>8.85</v>
      </c>
      <c r="E356">
        <v>8.75</v>
      </c>
      <c r="F356">
        <v>8.85</v>
      </c>
      <c r="G356">
        <v>8.85</v>
      </c>
      <c r="H356">
        <v>8.4499999999999993</v>
      </c>
      <c r="I356">
        <v>504260</v>
      </c>
      <c r="J356">
        <v>4461215.1500000004</v>
      </c>
      <c r="K356" s="1">
        <v>43777</v>
      </c>
      <c r="L356">
        <v>451</v>
      </c>
      <c r="M356" t="s">
        <v>1183</v>
      </c>
    </row>
    <row r="357" spans="1:13" x14ac:dyDescent="0.25">
      <c r="A357" t="s">
        <v>1187</v>
      </c>
      <c r="B357" t="s">
        <v>14</v>
      </c>
      <c r="C357">
        <v>124.4</v>
      </c>
      <c r="D357">
        <v>127.3</v>
      </c>
      <c r="E357">
        <v>122.1</v>
      </c>
      <c r="F357">
        <v>122.9</v>
      </c>
      <c r="G357">
        <v>122.65</v>
      </c>
      <c r="H357">
        <v>124.15</v>
      </c>
      <c r="I357">
        <v>268253</v>
      </c>
      <c r="J357">
        <v>33403145.449999999</v>
      </c>
      <c r="K357" s="1">
        <v>43777</v>
      </c>
      <c r="L357">
        <v>5409</v>
      </c>
      <c r="M357" t="s">
        <v>1189</v>
      </c>
    </row>
    <row r="358" spans="1:13" x14ac:dyDescent="0.25">
      <c r="A358" t="s">
        <v>1190</v>
      </c>
      <c r="B358" t="s">
        <v>14</v>
      </c>
      <c r="C358">
        <v>183.9</v>
      </c>
      <c r="D358">
        <v>184.7</v>
      </c>
      <c r="E358">
        <v>182.85</v>
      </c>
      <c r="F358">
        <v>183.85</v>
      </c>
      <c r="G358">
        <v>184</v>
      </c>
      <c r="H358">
        <v>182.85</v>
      </c>
      <c r="I358">
        <v>408078</v>
      </c>
      <c r="J358">
        <v>75054484.400000006</v>
      </c>
      <c r="K358" s="1">
        <v>43777</v>
      </c>
      <c r="L358">
        <v>5306</v>
      </c>
      <c r="M358" t="s">
        <v>1192</v>
      </c>
    </row>
    <row r="359" spans="1:13" x14ac:dyDescent="0.25">
      <c r="A359" t="s">
        <v>1196</v>
      </c>
      <c r="B359" t="s">
        <v>10</v>
      </c>
      <c r="C359">
        <v>20.85</v>
      </c>
      <c r="D359">
        <v>21.3</v>
      </c>
      <c r="E359">
        <v>20.100000000000001</v>
      </c>
      <c r="F359">
        <v>20.2</v>
      </c>
      <c r="G359">
        <v>20.3</v>
      </c>
      <c r="H359">
        <v>20.85</v>
      </c>
      <c r="I359">
        <v>2421</v>
      </c>
      <c r="J359">
        <v>49873.1</v>
      </c>
      <c r="K359" s="1">
        <v>43777</v>
      </c>
      <c r="L359">
        <v>28</v>
      </c>
      <c r="M359" t="s">
        <v>1198</v>
      </c>
    </row>
    <row r="360" spans="1:13" x14ac:dyDescent="0.25">
      <c r="A360" t="s">
        <v>1202</v>
      </c>
      <c r="B360" t="s">
        <v>14</v>
      </c>
      <c r="C360">
        <v>27</v>
      </c>
      <c r="D360">
        <v>29.8</v>
      </c>
      <c r="E360">
        <v>26.6</v>
      </c>
      <c r="F360">
        <v>29.4</v>
      </c>
      <c r="G360">
        <v>29.6</v>
      </c>
      <c r="H360">
        <v>28.3</v>
      </c>
      <c r="I360">
        <v>1944</v>
      </c>
      <c r="J360">
        <v>52998.65</v>
      </c>
      <c r="K360" s="1">
        <v>43777</v>
      </c>
      <c r="L360">
        <v>22</v>
      </c>
      <c r="M360" t="s">
        <v>1204</v>
      </c>
    </row>
    <row r="361" spans="1:13" x14ac:dyDescent="0.25">
      <c r="A361" t="s">
        <v>1205</v>
      </c>
      <c r="B361" t="s">
        <v>14</v>
      </c>
      <c r="C361">
        <v>357</v>
      </c>
      <c r="D361">
        <v>357.75</v>
      </c>
      <c r="E361">
        <v>335</v>
      </c>
      <c r="F361">
        <v>337.45</v>
      </c>
      <c r="G361">
        <v>337.05</v>
      </c>
      <c r="H361">
        <v>356.6</v>
      </c>
      <c r="I361">
        <v>159253</v>
      </c>
      <c r="J361">
        <v>54617014.299999997</v>
      </c>
      <c r="K361" s="1">
        <v>43777</v>
      </c>
      <c r="L361">
        <v>15077</v>
      </c>
      <c r="M361" t="s">
        <v>1207</v>
      </c>
    </row>
    <row r="362" spans="1:13" x14ac:dyDescent="0.25">
      <c r="A362" t="s">
        <v>1211</v>
      </c>
      <c r="B362" t="s">
        <v>14</v>
      </c>
      <c r="C362">
        <v>15.3</v>
      </c>
      <c r="D362">
        <v>15.35</v>
      </c>
      <c r="E362">
        <v>15</v>
      </c>
      <c r="F362">
        <v>15.05</v>
      </c>
      <c r="G362">
        <v>15</v>
      </c>
      <c r="H362">
        <v>15.3</v>
      </c>
      <c r="I362">
        <v>87928</v>
      </c>
      <c r="J362">
        <v>1331786.3500000001</v>
      </c>
      <c r="K362" s="1">
        <v>43777</v>
      </c>
      <c r="L362">
        <v>263</v>
      </c>
      <c r="M362" t="s">
        <v>1213</v>
      </c>
    </row>
    <row r="363" spans="1:13" x14ac:dyDescent="0.25">
      <c r="A363" t="s">
        <v>1217</v>
      </c>
      <c r="B363" t="s">
        <v>14</v>
      </c>
      <c r="C363">
        <v>352</v>
      </c>
      <c r="D363">
        <v>355</v>
      </c>
      <c r="E363">
        <v>342.05</v>
      </c>
      <c r="F363">
        <v>343.5</v>
      </c>
      <c r="G363">
        <v>343.9</v>
      </c>
      <c r="H363">
        <v>349.95</v>
      </c>
      <c r="I363">
        <v>4546</v>
      </c>
      <c r="J363">
        <v>1577915.8</v>
      </c>
      <c r="K363" s="1">
        <v>43777</v>
      </c>
      <c r="L363">
        <v>184</v>
      </c>
      <c r="M363" t="s">
        <v>1219</v>
      </c>
    </row>
    <row r="364" spans="1:13" x14ac:dyDescent="0.25">
      <c r="A364" t="s">
        <v>1220</v>
      </c>
      <c r="B364" t="s">
        <v>14</v>
      </c>
      <c r="C364">
        <v>100.75</v>
      </c>
      <c r="D364">
        <v>105.9</v>
      </c>
      <c r="E364">
        <v>99.2</v>
      </c>
      <c r="F364">
        <v>100.05</v>
      </c>
      <c r="G364">
        <v>99.6</v>
      </c>
      <c r="H364">
        <v>101.1</v>
      </c>
      <c r="I364">
        <v>453504</v>
      </c>
      <c r="J364">
        <v>46381711.149999999</v>
      </c>
      <c r="K364" s="1">
        <v>43777</v>
      </c>
      <c r="L364">
        <v>4564</v>
      </c>
      <c r="M364" t="s">
        <v>1222</v>
      </c>
    </row>
    <row r="365" spans="1:13" x14ac:dyDescent="0.25">
      <c r="A365" t="s">
        <v>1223</v>
      </c>
      <c r="B365" t="s">
        <v>14</v>
      </c>
      <c r="C365">
        <v>354.9</v>
      </c>
      <c r="D365">
        <v>364.9</v>
      </c>
      <c r="E365">
        <v>350</v>
      </c>
      <c r="F365">
        <v>352.45</v>
      </c>
      <c r="G365">
        <v>353.7</v>
      </c>
      <c r="H365">
        <v>356.55</v>
      </c>
      <c r="I365">
        <v>404703</v>
      </c>
      <c r="J365">
        <v>144693801.19999999</v>
      </c>
      <c r="K365" s="1">
        <v>43777</v>
      </c>
      <c r="L365">
        <v>16293</v>
      </c>
      <c r="M365" t="s">
        <v>1225</v>
      </c>
    </row>
    <row r="366" spans="1:13" x14ac:dyDescent="0.25">
      <c r="A366" t="s">
        <v>7674</v>
      </c>
      <c r="B366" t="s">
        <v>14</v>
      </c>
      <c r="C366">
        <v>102.85</v>
      </c>
      <c r="D366">
        <v>104.9</v>
      </c>
      <c r="E366">
        <v>102.2</v>
      </c>
      <c r="F366">
        <v>103.75</v>
      </c>
      <c r="G366">
        <v>103.3</v>
      </c>
      <c r="H366">
        <v>102.95</v>
      </c>
      <c r="I366">
        <v>6695</v>
      </c>
      <c r="J366">
        <v>696071.2</v>
      </c>
      <c r="K366" s="1">
        <v>43777</v>
      </c>
      <c r="L366">
        <v>203</v>
      </c>
      <c r="M366" t="s">
        <v>1228</v>
      </c>
    </row>
    <row r="367" spans="1:13" x14ac:dyDescent="0.25">
      <c r="A367" t="s">
        <v>1238</v>
      </c>
      <c r="B367" t="s">
        <v>14</v>
      </c>
      <c r="C367">
        <v>197</v>
      </c>
      <c r="D367">
        <v>202</v>
      </c>
      <c r="E367">
        <v>194.1</v>
      </c>
      <c r="F367">
        <v>195.25</v>
      </c>
      <c r="G367">
        <v>195</v>
      </c>
      <c r="H367">
        <v>198.7</v>
      </c>
      <c r="I367">
        <v>634732</v>
      </c>
      <c r="J367">
        <v>125324894.7</v>
      </c>
      <c r="K367" s="1">
        <v>43777</v>
      </c>
      <c r="L367">
        <v>9006</v>
      </c>
      <c r="M367" t="s">
        <v>1240</v>
      </c>
    </row>
    <row r="368" spans="1:13" x14ac:dyDescent="0.25">
      <c r="A368" t="s">
        <v>1241</v>
      </c>
      <c r="B368" t="s">
        <v>14</v>
      </c>
      <c r="C368">
        <v>39.65</v>
      </c>
      <c r="D368">
        <v>39.65</v>
      </c>
      <c r="E368">
        <v>36</v>
      </c>
      <c r="F368">
        <v>36.450000000000003</v>
      </c>
      <c r="G368">
        <v>39</v>
      </c>
      <c r="H368">
        <v>37.799999999999997</v>
      </c>
      <c r="I368">
        <v>397</v>
      </c>
      <c r="J368">
        <v>14585</v>
      </c>
      <c r="K368" s="1">
        <v>43777</v>
      </c>
      <c r="L368">
        <v>29</v>
      </c>
      <c r="M368" t="s">
        <v>1243</v>
      </c>
    </row>
    <row r="369" spans="1:13" x14ac:dyDescent="0.25">
      <c r="A369" t="s">
        <v>1244</v>
      </c>
      <c r="B369" t="s">
        <v>10</v>
      </c>
      <c r="C369">
        <v>42</v>
      </c>
      <c r="D369">
        <v>44.5</v>
      </c>
      <c r="E369">
        <v>41.1</v>
      </c>
      <c r="F369">
        <v>44.4</v>
      </c>
      <c r="G369">
        <v>43.8</v>
      </c>
      <c r="H369">
        <v>42.95</v>
      </c>
      <c r="I369">
        <v>71370</v>
      </c>
      <c r="J369">
        <v>3028994.15</v>
      </c>
      <c r="K369" s="1">
        <v>43777</v>
      </c>
      <c r="L369">
        <v>550</v>
      </c>
      <c r="M369" t="s">
        <v>1246</v>
      </c>
    </row>
    <row r="370" spans="1:13" x14ac:dyDescent="0.25">
      <c r="A370" t="s">
        <v>1247</v>
      </c>
      <c r="B370" t="s">
        <v>14</v>
      </c>
      <c r="C370">
        <v>212.55</v>
      </c>
      <c r="D370">
        <v>253.2</v>
      </c>
      <c r="E370">
        <v>211.05</v>
      </c>
      <c r="F370">
        <v>244.2</v>
      </c>
      <c r="G370">
        <v>238.5</v>
      </c>
      <c r="H370">
        <v>211</v>
      </c>
      <c r="I370">
        <v>47349</v>
      </c>
      <c r="J370">
        <v>11532116.800000001</v>
      </c>
      <c r="K370" s="1">
        <v>43777</v>
      </c>
      <c r="L370">
        <v>2544</v>
      </c>
      <c r="M370" t="s">
        <v>1249</v>
      </c>
    </row>
    <row r="371" spans="1:13" x14ac:dyDescent="0.25">
      <c r="A371" t="s">
        <v>1250</v>
      </c>
      <c r="B371" t="s">
        <v>5788</v>
      </c>
      <c r="C371">
        <v>75.25</v>
      </c>
      <c r="D371">
        <v>75.25</v>
      </c>
      <c r="E371">
        <v>75.25</v>
      </c>
      <c r="F371">
        <v>75.25</v>
      </c>
      <c r="G371">
        <v>75.25</v>
      </c>
      <c r="H371">
        <v>77</v>
      </c>
      <c r="I371">
        <v>1500</v>
      </c>
      <c r="J371">
        <v>112875</v>
      </c>
      <c r="K371" s="1">
        <v>43777</v>
      </c>
      <c r="L371">
        <v>1</v>
      </c>
      <c r="M371" t="s">
        <v>7673</v>
      </c>
    </row>
    <row r="372" spans="1:13" x14ac:dyDescent="0.25">
      <c r="A372" t="s">
        <v>7672</v>
      </c>
      <c r="B372" t="s">
        <v>14</v>
      </c>
      <c r="C372">
        <v>247.95</v>
      </c>
      <c r="D372">
        <v>248.8</v>
      </c>
      <c r="E372">
        <v>247</v>
      </c>
      <c r="F372">
        <v>247.55</v>
      </c>
      <c r="G372">
        <v>248</v>
      </c>
      <c r="H372">
        <v>246.7</v>
      </c>
      <c r="I372">
        <v>24063</v>
      </c>
      <c r="J372">
        <v>5962732.4000000004</v>
      </c>
      <c r="K372" s="1">
        <v>43777</v>
      </c>
      <c r="L372">
        <v>206</v>
      </c>
      <c r="M372" t="s">
        <v>7671</v>
      </c>
    </row>
    <row r="373" spans="1:13" x14ac:dyDescent="0.25">
      <c r="A373" t="s">
        <v>1256</v>
      </c>
      <c r="B373" t="s">
        <v>14</v>
      </c>
      <c r="C373">
        <v>4.3</v>
      </c>
      <c r="D373">
        <v>4.5</v>
      </c>
      <c r="E373">
        <v>4.3</v>
      </c>
      <c r="F373">
        <v>4.3</v>
      </c>
      <c r="G373">
        <v>4.3</v>
      </c>
      <c r="H373">
        <v>4.3</v>
      </c>
      <c r="I373">
        <v>2678</v>
      </c>
      <c r="J373">
        <v>11665.4</v>
      </c>
      <c r="K373" s="1">
        <v>43777</v>
      </c>
      <c r="L373">
        <v>34</v>
      </c>
      <c r="M373" t="s">
        <v>1258</v>
      </c>
    </row>
    <row r="374" spans="1:13" x14ac:dyDescent="0.25">
      <c r="A374" t="s">
        <v>1259</v>
      </c>
      <c r="B374" t="s">
        <v>14</v>
      </c>
      <c r="C374">
        <v>207</v>
      </c>
      <c r="D374">
        <v>215.6</v>
      </c>
      <c r="E374">
        <v>206.6</v>
      </c>
      <c r="F374">
        <v>207.9</v>
      </c>
      <c r="G374">
        <v>207.6</v>
      </c>
      <c r="H374">
        <v>206</v>
      </c>
      <c r="I374">
        <v>526290</v>
      </c>
      <c r="J374">
        <v>110518183.34999999</v>
      </c>
      <c r="K374" s="1">
        <v>43777</v>
      </c>
      <c r="L374">
        <v>9853</v>
      </c>
      <c r="M374" t="s">
        <v>1261</v>
      </c>
    </row>
    <row r="375" spans="1:13" x14ac:dyDescent="0.25">
      <c r="A375" t="s">
        <v>1262</v>
      </c>
      <c r="B375" t="s">
        <v>14</v>
      </c>
      <c r="C375">
        <v>14.8</v>
      </c>
      <c r="D375">
        <v>15.15</v>
      </c>
      <c r="E375">
        <v>14.55</v>
      </c>
      <c r="F375">
        <v>15.05</v>
      </c>
      <c r="G375">
        <v>15.15</v>
      </c>
      <c r="H375">
        <v>14.8</v>
      </c>
      <c r="I375">
        <v>579286</v>
      </c>
      <c r="J375">
        <v>8675132.5</v>
      </c>
      <c r="K375" s="1">
        <v>43777</v>
      </c>
      <c r="L375">
        <v>917</v>
      </c>
      <c r="M375" t="s">
        <v>1264</v>
      </c>
    </row>
    <row r="376" spans="1:13" x14ac:dyDescent="0.25">
      <c r="A376" t="s">
        <v>1268</v>
      </c>
      <c r="B376" t="s">
        <v>14</v>
      </c>
      <c r="C376">
        <v>303.89999999999998</v>
      </c>
      <c r="D376">
        <v>309</v>
      </c>
      <c r="E376">
        <v>292.5</v>
      </c>
      <c r="F376">
        <v>300.95</v>
      </c>
      <c r="G376">
        <v>301</v>
      </c>
      <c r="H376">
        <v>301.7</v>
      </c>
      <c r="I376">
        <v>25420</v>
      </c>
      <c r="J376">
        <v>7665830.5999999996</v>
      </c>
      <c r="K376" s="1">
        <v>43777</v>
      </c>
      <c r="L376">
        <v>1660</v>
      </c>
      <c r="M376" t="s">
        <v>1270</v>
      </c>
    </row>
    <row r="377" spans="1:13" x14ac:dyDescent="0.25">
      <c r="A377" t="s">
        <v>7670</v>
      </c>
      <c r="B377" t="s">
        <v>10</v>
      </c>
      <c r="C377">
        <v>7.7</v>
      </c>
      <c r="D377">
        <v>8</v>
      </c>
      <c r="E377">
        <v>7.7</v>
      </c>
      <c r="F377">
        <v>7.95</v>
      </c>
      <c r="G377">
        <v>7.95</v>
      </c>
      <c r="H377">
        <v>7.7</v>
      </c>
      <c r="I377">
        <v>1996</v>
      </c>
      <c r="J377">
        <v>15479.9</v>
      </c>
      <c r="K377" s="1">
        <v>43777</v>
      </c>
      <c r="L377">
        <v>21</v>
      </c>
      <c r="M377" t="s">
        <v>7669</v>
      </c>
    </row>
    <row r="378" spans="1:13" x14ac:dyDescent="0.25">
      <c r="A378" t="s">
        <v>7661</v>
      </c>
      <c r="B378" t="s">
        <v>14</v>
      </c>
      <c r="C378">
        <v>22.35</v>
      </c>
      <c r="D378">
        <v>23.3</v>
      </c>
      <c r="E378">
        <v>21.65</v>
      </c>
      <c r="F378">
        <v>23.3</v>
      </c>
      <c r="G378">
        <v>23.3</v>
      </c>
      <c r="H378">
        <v>22.2</v>
      </c>
      <c r="I378">
        <v>2833541</v>
      </c>
      <c r="J378">
        <v>64377713.399999999</v>
      </c>
      <c r="K378" s="1">
        <v>43777</v>
      </c>
      <c r="L378">
        <v>3601</v>
      </c>
      <c r="M378" t="s">
        <v>7668</v>
      </c>
    </row>
    <row r="379" spans="1:13" x14ac:dyDescent="0.25">
      <c r="A379" t="s">
        <v>7661</v>
      </c>
      <c r="B379" t="s">
        <v>5843</v>
      </c>
      <c r="C379">
        <v>171</v>
      </c>
      <c r="D379">
        <v>171</v>
      </c>
      <c r="E379">
        <v>170</v>
      </c>
      <c r="F379">
        <v>170</v>
      </c>
      <c r="G379">
        <v>170</v>
      </c>
      <c r="H379">
        <v>165.61</v>
      </c>
      <c r="I379">
        <v>25</v>
      </c>
      <c r="J379">
        <v>4252</v>
      </c>
      <c r="K379" s="1">
        <v>43777</v>
      </c>
      <c r="L379">
        <v>3</v>
      </c>
      <c r="M379" t="s">
        <v>7667</v>
      </c>
    </row>
    <row r="380" spans="1:13" x14ac:dyDescent="0.25">
      <c r="A380" t="s">
        <v>7661</v>
      </c>
      <c r="B380" t="s">
        <v>6247</v>
      </c>
      <c r="C380">
        <v>167</v>
      </c>
      <c r="D380">
        <v>167</v>
      </c>
      <c r="E380">
        <v>166.99</v>
      </c>
      <c r="F380">
        <v>166.99</v>
      </c>
      <c r="G380">
        <v>166.99</v>
      </c>
      <c r="H380">
        <v>171.2</v>
      </c>
      <c r="I380">
        <v>100</v>
      </c>
      <c r="J380">
        <v>16699.5</v>
      </c>
      <c r="K380" s="1">
        <v>43777</v>
      </c>
      <c r="L380">
        <v>2</v>
      </c>
      <c r="M380" t="s">
        <v>7666</v>
      </c>
    </row>
    <row r="381" spans="1:13" x14ac:dyDescent="0.25">
      <c r="A381" t="s">
        <v>7661</v>
      </c>
      <c r="B381" t="s">
        <v>6245</v>
      </c>
      <c r="C381">
        <v>185</v>
      </c>
      <c r="D381">
        <v>185</v>
      </c>
      <c r="E381">
        <v>172.01</v>
      </c>
      <c r="F381">
        <v>180</v>
      </c>
      <c r="G381">
        <v>180</v>
      </c>
      <c r="H381">
        <v>190</v>
      </c>
      <c r="I381">
        <v>287</v>
      </c>
      <c r="J381">
        <v>51239.65</v>
      </c>
      <c r="K381" s="1">
        <v>43777</v>
      </c>
      <c r="L381">
        <v>7</v>
      </c>
      <c r="M381" t="s">
        <v>7665</v>
      </c>
    </row>
    <row r="382" spans="1:13" x14ac:dyDescent="0.25">
      <c r="A382" t="s">
        <v>7661</v>
      </c>
      <c r="B382" t="s">
        <v>5865</v>
      </c>
      <c r="C382">
        <v>165.01</v>
      </c>
      <c r="D382">
        <v>178</v>
      </c>
      <c r="E382">
        <v>165.01</v>
      </c>
      <c r="F382">
        <v>171.5</v>
      </c>
      <c r="G382">
        <v>178</v>
      </c>
      <c r="H382">
        <v>178</v>
      </c>
      <c r="I382">
        <v>4</v>
      </c>
      <c r="J382">
        <v>686.02</v>
      </c>
      <c r="K382" s="1">
        <v>43777</v>
      </c>
      <c r="L382">
        <v>2</v>
      </c>
      <c r="M382" t="s">
        <v>7664</v>
      </c>
    </row>
    <row r="383" spans="1:13" x14ac:dyDescent="0.25">
      <c r="A383" t="s">
        <v>7661</v>
      </c>
      <c r="B383" t="s">
        <v>6509</v>
      </c>
      <c r="C383">
        <v>173</v>
      </c>
      <c r="D383">
        <v>174</v>
      </c>
      <c r="E383">
        <v>162.01</v>
      </c>
      <c r="F383">
        <v>165.23</v>
      </c>
      <c r="G383">
        <v>162.35</v>
      </c>
      <c r="H383">
        <v>175.85</v>
      </c>
      <c r="I383">
        <v>996</v>
      </c>
      <c r="J383">
        <v>166990.29</v>
      </c>
      <c r="K383" s="1">
        <v>43777</v>
      </c>
      <c r="L383">
        <v>28</v>
      </c>
      <c r="M383" t="s">
        <v>7663</v>
      </c>
    </row>
    <row r="384" spans="1:13" x14ac:dyDescent="0.25">
      <c r="A384" t="s">
        <v>7661</v>
      </c>
      <c r="B384" t="s">
        <v>6381</v>
      </c>
      <c r="C384">
        <v>175.44</v>
      </c>
      <c r="D384">
        <v>198.8</v>
      </c>
      <c r="E384">
        <v>175.44</v>
      </c>
      <c r="F384">
        <v>175.91</v>
      </c>
      <c r="G384">
        <v>175.91</v>
      </c>
      <c r="H384">
        <v>175.34</v>
      </c>
      <c r="I384">
        <v>106</v>
      </c>
      <c r="J384">
        <v>20114.41</v>
      </c>
      <c r="K384" s="1">
        <v>43777</v>
      </c>
      <c r="L384">
        <v>6</v>
      </c>
      <c r="M384" t="s">
        <v>7662</v>
      </c>
    </row>
    <row r="385" spans="1:13" x14ac:dyDescent="0.25">
      <c r="A385" t="s">
        <v>7661</v>
      </c>
      <c r="B385" t="s">
        <v>7660</v>
      </c>
      <c r="C385">
        <v>210</v>
      </c>
      <c r="D385">
        <v>210</v>
      </c>
      <c r="E385">
        <v>175</v>
      </c>
      <c r="F385">
        <v>190</v>
      </c>
      <c r="G385">
        <v>190</v>
      </c>
      <c r="H385">
        <v>190</v>
      </c>
      <c r="I385">
        <v>208</v>
      </c>
      <c r="J385">
        <v>38025</v>
      </c>
      <c r="K385" s="1">
        <v>43777</v>
      </c>
      <c r="L385">
        <v>7</v>
      </c>
      <c r="M385" t="s">
        <v>7659</v>
      </c>
    </row>
    <row r="386" spans="1:13" x14ac:dyDescent="0.25">
      <c r="A386" t="s">
        <v>1277</v>
      </c>
      <c r="B386" t="s">
        <v>14</v>
      </c>
      <c r="C386">
        <v>210</v>
      </c>
      <c r="D386">
        <v>218.25</v>
      </c>
      <c r="E386">
        <v>210</v>
      </c>
      <c r="F386">
        <v>212.7</v>
      </c>
      <c r="G386">
        <v>212.7</v>
      </c>
      <c r="H386">
        <v>214.5</v>
      </c>
      <c r="I386">
        <v>852</v>
      </c>
      <c r="J386">
        <v>181803.9</v>
      </c>
      <c r="K386" s="1">
        <v>43777</v>
      </c>
      <c r="L386">
        <v>359</v>
      </c>
      <c r="M386" t="s">
        <v>1279</v>
      </c>
    </row>
    <row r="387" spans="1:13" x14ac:dyDescent="0.25">
      <c r="A387" t="s">
        <v>1286</v>
      </c>
      <c r="B387" t="s">
        <v>14</v>
      </c>
      <c r="C387">
        <v>979</v>
      </c>
      <c r="D387">
        <v>980</v>
      </c>
      <c r="E387">
        <v>938</v>
      </c>
      <c r="F387">
        <v>940.5</v>
      </c>
      <c r="G387">
        <v>939.5</v>
      </c>
      <c r="H387">
        <v>967.2</v>
      </c>
      <c r="I387">
        <v>4256</v>
      </c>
      <c r="J387">
        <v>4100721.55</v>
      </c>
      <c r="K387" s="1">
        <v>43777</v>
      </c>
      <c r="L387">
        <v>322</v>
      </c>
      <c r="M387" t="s">
        <v>1288</v>
      </c>
    </row>
    <row r="388" spans="1:13" x14ac:dyDescent="0.25">
      <c r="A388" t="s">
        <v>7658</v>
      </c>
      <c r="B388" t="s">
        <v>786</v>
      </c>
      <c r="C388">
        <v>0.5</v>
      </c>
      <c r="D388">
        <v>0.6</v>
      </c>
      <c r="E388">
        <v>0.5</v>
      </c>
      <c r="F388">
        <v>0.6</v>
      </c>
      <c r="G388">
        <v>0.6</v>
      </c>
      <c r="H388">
        <v>0.55000000000000004</v>
      </c>
      <c r="I388">
        <v>3986</v>
      </c>
      <c r="J388">
        <v>1993.1</v>
      </c>
      <c r="K388" s="1">
        <v>43777</v>
      </c>
      <c r="L388">
        <v>7</v>
      </c>
      <c r="M388" t="s">
        <v>7657</v>
      </c>
    </row>
    <row r="389" spans="1:13" x14ac:dyDescent="0.25">
      <c r="A389" t="s">
        <v>1289</v>
      </c>
      <c r="B389" t="s">
        <v>14</v>
      </c>
      <c r="C389">
        <v>329.95</v>
      </c>
      <c r="D389">
        <v>330</v>
      </c>
      <c r="E389">
        <v>318</v>
      </c>
      <c r="F389">
        <v>322.55</v>
      </c>
      <c r="G389">
        <v>322.5</v>
      </c>
      <c r="H389">
        <v>329.85</v>
      </c>
      <c r="I389">
        <v>632</v>
      </c>
      <c r="J389">
        <v>205885.35</v>
      </c>
      <c r="K389" s="1">
        <v>43777</v>
      </c>
      <c r="L389">
        <v>143</v>
      </c>
      <c r="M389" t="s">
        <v>1291</v>
      </c>
    </row>
    <row r="390" spans="1:13" x14ac:dyDescent="0.25">
      <c r="A390" t="s">
        <v>1292</v>
      </c>
      <c r="B390" t="s">
        <v>14</v>
      </c>
      <c r="C390">
        <v>6.85</v>
      </c>
      <c r="D390">
        <v>7</v>
      </c>
      <c r="E390">
        <v>6.75</v>
      </c>
      <c r="F390">
        <v>6.75</v>
      </c>
      <c r="G390">
        <v>6.75</v>
      </c>
      <c r="H390">
        <v>7.1</v>
      </c>
      <c r="I390">
        <v>8492</v>
      </c>
      <c r="J390">
        <v>57504</v>
      </c>
      <c r="K390" s="1">
        <v>43777</v>
      </c>
      <c r="L390">
        <v>39</v>
      </c>
      <c r="M390" t="s">
        <v>1294</v>
      </c>
    </row>
    <row r="391" spans="1:13" x14ac:dyDescent="0.25">
      <c r="A391" t="s">
        <v>7656</v>
      </c>
      <c r="B391" t="s">
        <v>786</v>
      </c>
      <c r="C391">
        <v>0.9</v>
      </c>
      <c r="D391">
        <v>0.9</v>
      </c>
      <c r="E391">
        <v>0.85</v>
      </c>
      <c r="F391">
        <v>0.9</v>
      </c>
      <c r="G391">
        <v>0.9</v>
      </c>
      <c r="H391">
        <v>0.85</v>
      </c>
      <c r="I391">
        <v>7093</v>
      </c>
      <c r="J391">
        <v>6348.7</v>
      </c>
      <c r="K391" s="1">
        <v>43777</v>
      </c>
      <c r="L391">
        <v>16</v>
      </c>
      <c r="M391" t="s">
        <v>7655</v>
      </c>
    </row>
    <row r="392" spans="1:13" x14ac:dyDescent="0.25">
      <c r="A392" t="s">
        <v>1301</v>
      </c>
      <c r="B392" t="s">
        <v>14</v>
      </c>
      <c r="C392">
        <v>14.2</v>
      </c>
      <c r="D392">
        <v>14.75</v>
      </c>
      <c r="E392">
        <v>13.55</v>
      </c>
      <c r="F392">
        <v>13.7</v>
      </c>
      <c r="G392">
        <v>13.75</v>
      </c>
      <c r="H392">
        <v>14.15</v>
      </c>
      <c r="I392">
        <v>38357137</v>
      </c>
      <c r="J392">
        <v>539410473.20000005</v>
      </c>
      <c r="K392" s="1">
        <v>43777</v>
      </c>
      <c r="L392">
        <v>62024</v>
      </c>
      <c r="M392" t="s">
        <v>1303</v>
      </c>
    </row>
    <row r="393" spans="1:13" x14ac:dyDescent="0.25">
      <c r="A393" t="s">
        <v>1307</v>
      </c>
      <c r="B393" t="s">
        <v>14</v>
      </c>
      <c r="C393">
        <v>1714</v>
      </c>
      <c r="D393">
        <v>1727.8</v>
      </c>
      <c r="E393">
        <v>1695</v>
      </c>
      <c r="F393">
        <v>1699.95</v>
      </c>
      <c r="G393">
        <v>1698.35</v>
      </c>
      <c r="H393">
        <v>1718</v>
      </c>
      <c r="I393">
        <v>469867</v>
      </c>
      <c r="J393">
        <v>803358143.25</v>
      </c>
      <c r="K393" s="1">
        <v>43777</v>
      </c>
      <c r="L393">
        <v>20602</v>
      </c>
      <c r="M393" t="s">
        <v>1309</v>
      </c>
    </row>
    <row r="394" spans="1:13" x14ac:dyDescent="0.25">
      <c r="A394" t="s">
        <v>1310</v>
      </c>
      <c r="B394" t="s">
        <v>14</v>
      </c>
      <c r="C394">
        <v>2710</v>
      </c>
      <c r="D394">
        <v>2788</v>
      </c>
      <c r="E394">
        <v>2701</v>
      </c>
      <c r="F394">
        <v>2729.1</v>
      </c>
      <c r="G394">
        <v>2721.05</v>
      </c>
      <c r="H394">
        <v>2747</v>
      </c>
      <c r="I394">
        <v>9336</v>
      </c>
      <c r="J394">
        <v>25439784.649999999</v>
      </c>
      <c r="K394" s="1">
        <v>43777</v>
      </c>
      <c r="L394">
        <v>1727</v>
      </c>
      <c r="M394" t="s">
        <v>7654</v>
      </c>
    </row>
    <row r="395" spans="1:13" x14ac:dyDescent="0.25">
      <c r="A395" t="s">
        <v>1316</v>
      </c>
      <c r="B395" t="s">
        <v>14</v>
      </c>
      <c r="C395">
        <v>196</v>
      </c>
      <c r="D395">
        <v>209.75</v>
      </c>
      <c r="E395">
        <v>196</v>
      </c>
      <c r="F395">
        <v>203.1</v>
      </c>
      <c r="G395">
        <v>202.85</v>
      </c>
      <c r="H395">
        <v>192.5</v>
      </c>
      <c r="I395">
        <v>45666495</v>
      </c>
      <c r="J395">
        <v>9333085105.7999992</v>
      </c>
      <c r="K395" s="1">
        <v>43777</v>
      </c>
      <c r="L395">
        <v>283978</v>
      </c>
      <c r="M395" t="s">
        <v>1318</v>
      </c>
    </row>
    <row r="396" spans="1:13" x14ac:dyDescent="0.25">
      <c r="A396" t="s">
        <v>1319</v>
      </c>
      <c r="B396" t="s">
        <v>14</v>
      </c>
      <c r="C396">
        <v>99.4</v>
      </c>
      <c r="D396">
        <v>99.7</v>
      </c>
      <c r="E396">
        <v>97</v>
      </c>
      <c r="F396">
        <v>97.05</v>
      </c>
      <c r="G396">
        <v>97</v>
      </c>
      <c r="H396">
        <v>99.4</v>
      </c>
      <c r="I396">
        <v>37985</v>
      </c>
      <c r="J396">
        <v>3709814.25</v>
      </c>
      <c r="K396" s="1">
        <v>43777</v>
      </c>
      <c r="L396">
        <v>372</v>
      </c>
      <c r="M396" t="s">
        <v>1321</v>
      </c>
    </row>
    <row r="397" spans="1:13" x14ac:dyDescent="0.25">
      <c r="A397" t="s">
        <v>1322</v>
      </c>
      <c r="B397" t="s">
        <v>14</v>
      </c>
      <c r="C397">
        <v>1988.95</v>
      </c>
      <c r="D397">
        <v>2010</v>
      </c>
      <c r="E397">
        <v>1960</v>
      </c>
      <c r="F397">
        <v>1968.85</v>
      </c>
      <c r="G397">
        <v>1963.1</v>
      </c>
      <c r="H397">
        <v>1987.85</v>
      </c>
      <c r="I397">
        <v>372365</v>
      </c>
      <c r="J397">
        <v>742078982.20000005</v>
      </c>
      <c r="K397" s="1">
        <v>43777</v>
      </c>
      <c r="L397">
        <v>19576</v>
      </c>
      <c r="M397" t="s">
        <v>1324</v>
      </c>
    </row>
    <row r="398" spans="1:13" x14ac:dyDescent="0.25">
      <c r="A398" t="s">
        <v>1328</v>
      </c>
      <c r="B398" t="s">
        <v>10</v>
      </c>
      <c r="C398">
        <v>0.35</v>
      </c>
      <c r="D398">
        <v>0.4</v>
      </c>
      <c r="E398">
        <v>0.35</v>
      </c>
      <c r="F398">
        <v>0.4</v>
      </c>
      <c r="G398">
        <v>0.4</v>
      </c>
      <c r="H398">
        <v>0.4</v>
      </c>
      <c r="I398">
        <v>26515</v>
      </c>
      <c r="J398">
        <v>10295.799999999999</v>
      </c>
      <c r="K398" s="1">
        <v>43777</v>
      </c>
      <c r="L398">
        <v>34</v>
      </c>
      <c r="M398" t="s">
        <v>1330</v>
      </c>
    </row>
    <row r="399" spans="1:13" x14ac:dyDescent="0.25">
      <c r="A399" t="s">
        <v>7653</v>
      </c>
      <c r="B399" t="s">
        <v>14</v>
      </c>
      <c r="C399">
        <v>77</v>
      </c>
      <c r="D399">
        <v>77.25</v>
      </c>
      <c r="E399">
        <v>74</v>
      </c>
      <c r="F399">
        <v>74.45</v>
      </c>
      <c r="G399">
        <v>74</v>
      </c>
      <c r="H399">
        <v>76.2</v>
      </c>
      <c r="I399">
        <v>123015</v>
      </c>
      <c r="J399">
        <v>9401394</v>
      </c>
      <c r="K399" s="1">
        <v>43777</v>
      </c>
      <c r="L399">
        <v>758</v>
      </c>
      <c r="M399" t="s">
        <v>1336</v>
      </c>
    </row>
    <row r="400" spans="1:13" x14ac:dyDescent="0.25">
      <c r="A400" t="s">
        <v>1337</v>
      </c>
      <c r="B400" t="s">
        <v>14</v>
      </c>
      <c r="C400">
        <v>177.6</v>
      </c>
      <c r="D400">
        <v>181.05</v>
      </c>
      <c r="E400">
        <v>175.95</v>
      </c>
      <c r="F400">
        <v>176.1</v>
      </c>
      <c r="G400">
        <v>176</v>
      </c>
      <c r="H400">
        <v>177.8</v>
      </c>
      <c r="I400">
        <v>1515</v>
      </c>
      <c r="J400">
        <v>268639.65000000002</v>
      </c>
      <c r="K400" s="1">
        <v>43777</v>
      </c>
      <c r="L400">
        <v>144</v>
      </c>
      <c r="M400" t="s">
        <v>1339</v>
      </c>
    </row>
    <row r="401" spans="1:13" x14ac:dyDescent="0.25">
      <c r="A401" t="s">
        <v>1343</v>
      </c>
      <c r="B401" t="s">
        <v>14</v>
      </c>
      <c r="C401">
        <v>30.5</v>
      </c>
      <c r="D401">
        <v>32.35</v>
      </c>
      <c r="E401">
        <v>30.3</v>
      </c>
      <c r="F401">
        <v>31.2</v>
      </c>
      <c r="G401">
        <v>31.5</v>
      </c>
      <c r="H401">
        <v>29.95</v>
      </c>
      <c r="I401">
        <v>15976</v>
      </c>
      <c r="J401">
        <v>498849.95</v>
      </c>
      <c r="K401" s="1">
        <v>43777</v>
      </c>
      <c r="L401">
        <v>249</v>
      </c>
      <c r="M401" t="s">
        <v>1345</v>
      </c>
    </row>
    <row r="402" spans="1:13" x14ac:dyDescent="0.25">
      <c r="A402" t="s">
        <v>1346</v>
      </c>
      <c r="B402" t="s">
        <v>5788</v>
      </c>
      <c r="C402">
        <v>42</v>
      </c>
      <c r="D402">
        <v>42</v>
      </c>
      <c r="E402">
        <v>42</v>
      </c>
      <c r="F402">
        <v>42</v>
      </c>
      <c r="G402">
        <v>42</v>
      </c>
      <c r="H402">
        <v>43.5</v>
      </c>
      <c r="I402">
        <v>8000</v>
      </c>
      <c r="J402">
        <v>336000</v>
      </c>
      <c r="K402" s="1">
        <v>43777</v>
      </c>
      <c r="L402">
        <v>2</v>
      </c>
      <c r="M402" t="s">
        <v>1348</v>
      </c>
    </row>
    <row r="403" spans="1:13" x14ac:dyDescent="0.25">
      <c r="A403" t="s">
        <v>1349</v>
      </c>
      <c r="B403" t="s">
        <v>14</v>
      </c>
      <c r="C403">
        <v>9.8000000000000007</v>
      </c>
      <c r="D403">
        <v>9.8000000000000007</v>
      </c>
      <c r="E403">
        <v>9.25</v>
      </c>
      <c r="F403">
        <v>9.35</v>
      </c>
      <c r="G403">
        <v>9.35</v>
      </c>
      <c r="H403">
        <v>9.5</v>
      </c>
      <c r="I403">
        <v>4542</v>
      </c>
      <c r="J403">
        <v>42849.9</v>
      </c>
      <c r="K403" s="1">
        <v>43777</v>
      </c>
      <c r="L403">
        <v>23</v>
      </c>
      <c r="M403" t="s">
        <v>1351</v>
      </c>
    </row>
    <row r="404" spans="1:13" x14ac:dyDescent="0.25">
      <c r="A404" t="s">
        <v>7652</v>
      </c>
      <c r="B404" t="s">
        <v>10</v>
      </c>
      <c r="C404">
        <v>2.4500000000000002</v>
      </c>
      <c r="D404">
        <v>2.4500000000000002</v>
      </c>
      <c r="E404">
        <v>2.35</v>
      </c>
      <c r="F404">
        <v>2.35</v>
      </c>
      <c r="G404">
        <v>2.35</v>
      </c>
      <c r="H404">
        <v>2.35</v>
      </c>
      <c r="I404">
        <v>3537</v>
      </c>
      <c r="J404">
        <v>8413.4500000000007</v>
      </c>
      <c r="K404" s="1">
        <v>43777</v>
      </c>
      <c r="L404">
        <v>9</v>
      </c>
      <c r="M404" t="s">
        <v>7651</v>
      </c>
    </row>
    <row r="405" spans="1:13" x14ac:dyDescent="0.25">
      <c r="A405" t="s">
        <v>1361</v>
      </c>
      <c r="B405" t="s">
        <v>14</v>
      </c>
      <c r="C405">
        <v>338.8</v>
      </c>
      <c r="D405">
        <v>346.25</v>
      </c>
      <c r="E405">
        <v>335.5</v>
      </c>
      <c r="F405">
        <v>337.35</v>
      </c>
      <c r="G405">
        <v>338</v>
      </c>
      <c r="H405">
        <v>339.85</v>
      </c>
      <c r="I405">
        <v>137497</v>
      </c>
      <c r="J405">
        <v>46864317</v>
      </c>
      <c r="K405" s="1">
        <v>43777</v>
      </c>
      <c r="L405">
        <v>5256</v>
      </c>
      <c r="M405" t="s">
        <v>1363</v>
      </c>
    </row>
    <row r="406" spans="1:13" x14ac:dyDescent="0.25">
      <c r="A406" t="s">
        <v>1364</v>
      </c>
      <c r="B406" t="s">
        <v>14</v>
      </c>
      <c r="C406">
        <v>2860</v>
      </c>
      <c r="D406">
        <v>2860</v>
      </c>
      <c r="E406">
        <v>2812.3</v>
      </c>
      <c r="F406">
        <v>2822.1</v>
      </c>
      <c r="G406">
        <v>2812.35</v>
      </c>
      <c r="H406">
        <v>2871.05</v>
      </c>
      <c r="I406">
        <v>318986</v>
      </c>
      <c r="J406">
        <v>906745290.35000002</v>
      </c>
      <c r="K406" s="1">
        <v>43777</v>
      </c>
      <c r="L406">
        <v>19013</v>
      </c>
      <c r="M406" t="s">
        <v>1366</v>
      </c>
    </row>
    <row r="407" spans="1:13" x14ac:dyDescent="0.25">
      <c r="A407" t="s">
        <v>7650</v>
      </c>
      <c r="B407" t="s">
        <v>5788</v>
      </c>
      <c r="C407">
        <v>75.05</v>
      </c>
      <c r="D407">
        <v>75.099999999999994</v>
      </c>
      <c r="E407">
        <v>75</v>
      </c>
      <c r="F407">
        <v>75.05</v>
      </c>
      <c r="G407">
        <v>75</v>
      </c>
      <c r="H407">
        <v>75.05</v>
      </c>
      <c r="I407">
        <v>12800</v>
      </c>
      <c r="J407">
        <v>960640</v>
      </c>
      <c r="K407" s="1">
        <v>43777</v>
      </c>
      <c r="L407">
        <v>8</v>
      </c>
      <c r="M407" t="s">
        <v>7649</v>
      </c>
    </row>
    <row r="408" spans="1:13" x14ac:dyDescent="0.25">
      <c r="A408" t="s">
        <v>1367</v>
      </c>
      <c r="B408" t="s">
        <v>14</v>
      </c>
      <c r="C408">
        <v>25</v>
      </c>
      <c r="D408">
        <v>26.35</v>
      </c>
      <c r="E408">
        <v>24.45</v>
      </c>
      <c r="F408">
        <v>24.8</v>
      </c>
      <c r="G408">
        <v>25</v>
      </c>
      <c r="H408">
        <v>25.35</v>
      </c>
      <c r="I408">
        <v>2091</v>
      </c>
      <c r="J408">
        <v>52048.75</v>
      </c>
      <c r="K408" s="1">
        <v>43777</v>
      </c>
      <c r="L408">
        <v>81</v>
      </c>
      <c r="M408" t="s">
        <v>1369</v>
      </c>
    </row>
    <row r="409" spans="1:13" x14ac:dyDescent="0.25">
      <c r="A409" t="s">
        <v>1370</v>
      </c>
      <c r="B409" t="s">
        <v>14</v>
      </c>
      <c r="C409">
        <v>160.30000000000001</v>
      </c>
      <c r="D409">
        <v>168.7</v>
      </c>
      <c r="E409">
        <v>160.30000000000001</v>
      </c>
      <c r="F409">
        <v>166.8</v>
      </c>
      <c r="G409">
        <v>166.85</v>
      </c>
      <c r="H409">
        <v>164.25</v>
      </c>
      <c r="I409">
        <v>5572</v>
      </c>
      <c r="J409">
        <v>915683.65</v>
      </c>
      <c r="K409" s="1">
        <v>43777</v>
      </c>
      <c r="L409">
        <v>120</v>
      </c>
      <c r="M409" t="s">
        <v>1372</v>
      </c>
    </row>
    <row r="410" spans="1:13" x14ac:dyDescent="0.25">
      <c r="A410" t="s">
        <v>1373</v>
      </c>
      <c r="B410" t="s">
        <v>14</v>
      </c>
      <c r="C410">
        <v>6.75</v>
      </c>
      <c r="D410">
        <v>6.75</v>
      </c>
      <c r="E410">
        <v>6.15</v>
      </c>
      <c r="F410">
        <v>6.15</v>
      </c>
      <c r="G410">
        <v>6.15</v>
      </c>
      <c r="H410">
        <v>6.45</v>
      </c>
      <c r="I410">
        <v>118186</v>
      </c>
      <c r="J410">
        <v>749277.5</v>
      </c>
      <c r="K410" s="1">
        <v>43777</v>
      </c>
      <c r="L410">
        <v>133</v>
      </c>
      <c r="M410" t="s">
        <v>1375</v>
      </c>
    </row>
    <row r="411" spans="1:13" x14ac:dyDescent="0.25">
      <c r="A411" t="s">
        <v>1376</v>
      </c>
      <c r="B411" t="s">
        <v>14</v>
      </c>
      <c r="C411">
        <v>71.3</v>
      </c>
      <c r="D411">
        <v>76.7</v>
      </c>
      <c r="E411">
        <v>71.099999999999994</v>
      </c>
      <c r="F411">
        <v>73.150000000000006</v>
      </c>
      <c r="G411">
        <v>73.599999999999994</v>
      </c>
      <c r="H411">
        <v>72.349999999999994</v>
      </c>
      <c r="I411">
        <v>16567</v>
      </c>
      <c r="J411">
        <v>1224175.1499999999</v>
      </c>
      <c r="K411" s="1">
        <v>43777</v>
      </c>
      <c r="L411">
        <v>440</v>
      </c>
      <c r="M411" t="s">
        <v>1378</v>
      </c>
    </row>
    <row r="412" spans="1:13" x14ac:dyDescent="0.25">
      <c r="A412" t="s">
        <v>1379</v>
      </c>
      <c r="B412" t="s">
        <v>14</v>
      </c>
      <c r="C412">
        <v>25.4</v>
      </c>
      <c r="D412">
        <v>25.8</v>
      </c>
      <c r="E412">
        <v>24.95</v>
      </c>
      <c r="F412">
        <v>25.25</v>
      </c>
      <c r="G412">
        <v>25.4</v>
      </c>
      <c r="H412">
        <v>25.7</v>
      </c>
      <c r="I412">
        <v>385550</v>
      </c>
      <c r="J412">
        <v>9798125.0500000007</v>
      </c>
      <c r="K412" s="1">
        <v>43777</v>
      </c>
      <c r="L412">
        <v>1281</v>
      </c>
      <c r="M412" t="s">
        <v>1381</v>
      </c>
    </row>
    <row r="413" spans="1:13" x14ac:dyDescent="0.25">
      <c r="A413" t="s">
        <v>1385</v>
      </c>
      <c r="B413" t="s">
        <v>14</v>
      </c>
      <c r="C413">
        <v>1155</v>
      </c>
      <c r="D413">
        <v>1196</v>
      </c>
      <c r="E413">
        <v>1145</v>
      </c>
      <c r="F413">
        <v>1168.8499999999999</v>
      </c>
      <c r="G413">
        <v>1165</v>
      </c>
      <c r="H413">
        <v>1155.4000000000001</v>
      </c>
      <c r="I413">
        <v>945</v>
      </c>
      <c r="J413">
        <v>1105221.2</v>
      </c>
      <c r="K413" s="1">
        <v>43777</v>
      </c>
      <c r="L413">
        <v>185</v>
      </c>
      <c r="M413" t="s">
        <v>1387</v>
      </c>
    </row>
    <row r="414" spans="1:13" x14ac:dyDescent="0.25">
      <c r="A414" t="s">
        <v>1388</v>
      </c>
      <c r="B414" t="s">
        <v>14</v>
      </c>
      <c r="C414">
        <v>140.5</v>
      </c>
      <c r="D414">
        <v>140.5</v>
      </c>
      <c r="E414">
        <v>135.55000000000001</v>
      </c>
      <c r="F414">
        <v>136.55000000000001</v>
      </c>
      <c r="G414">
        <v>136.4</v>
      </c>
      <c r="H414">
        <v>139.69999999999999</v>
      </c>
      <c r="I414">
        <v>10570</v>
      </c>
      <c r="J414">
        <v>1452493.2</v>
      </c>
      <c r="K414" s="1">
        <v>43777</v>
      </c>
      <c r="L414">
        <v>308</v>
      </c>
      <c r="M414" t="s">
        <v>1390</v>
      </c>
    </row>
    <row r="415" spans="1:13" x14ac:dyDescent="0.25">
      <c r="A415" t="s">
        <v>1397</v>
      </c>
      <c r="B415" t="s">
        <v>10</v>
      </c>
      <c r="C415">
        <v>0.55000000000000004</v>
      </c>
      <c r="D415">
        <v>0.55000000000000004</v>
      </c>
      <c r="E415">
        <v>0.55000000000000004</v>
      </c>
      <c r="F415">
        <v>0.55000000000000004</v>
      </c>
      <c r="G415">
        <v>0.55000000000000004</v>
      </c>
      <c r="H415">
        <v>0.55000000000000004</v>
      </c>
      <c r="I415">
        <v>245</v>
      </c>
      <c r="J415">
        <v>134.75</v>
      </c>
      <c r="K415" s="1">
        <v>43777</v>
      </c>
      <c r="L415">
        <v>2</v>
      </c>
      <c r="M415" t="s">
        <v>1399</v>
      </c>
    </row>
    <row r="416" spans="1:13" x14ac:dyDescent="0.25">
      <c r="A416" t="s">
        <v>7648</v>
      </c>
      <c r="B416" t="s">
        <v>786</v>
      </c>
      <c r="C416">
        <v>2.75</v>
      </c>
      <c r="D416">
        <v>2.95</v>
      </c>
      <c r="E416">
        <v>2.75</v>
      </c>
      <c r="F416">
        <v>2.75</v>
      </c>
      <c r="G416">
        <v>2.75</v>
      </c>
      <c r="H416">
        <v>2.85</v>
      </c>
      <c r="I416">
        <v>7705</v>
      </c>
      <c r="J416">
        <v>21193.35</v>
      </c>
      <c r="K416" s="1">
        <v>43777</v>
      </c>
      <c r="L416">
        <v>15</v>
      </c>
      <c r="M416" t="s">
        <v>7647</v>
      </c>
    </row>
    <row r="417" spans="1:13" x14ac:dyDescent="0.25">
      <c r="A417" t="s">
        <v>7646</v>
      </c>
      <c r="B417" t="s">
        <v>14</v>
      </c>
      <c r="C417">
        <v>3698.99</v>
      </c>
      <c r="D417">
        <v>3698.99</v>
      </c>
      <c r="E417">
        <v>3698.99</v>
      </c>
      <c r="F417">
        <v>3698.99</v>
      </c>
      <c r="G417">
        <v>3698.99</v>
      </c>
      <c r="H417">
        <v>3201</v>
      </c>
      <c r="I417">
        <v>3</v>
      </c>
      <c r="J417">
        <v>11096.97</v>
      </c>
      <c r="K417" s="1">
        <v>43777</v>
      </c>
      <c r="L417">
        <v>2</v>
      </c>
      <c r="M417" t="s">
        <v>7645</v>
      </c>
    </row>
    <row r="418" spans="1:13" x14ac:dyDescent="0.25">
      <c r="A418" t="s">
        <v>1400</v>
      </c>
      <c r="B418" t="s">
        <v>14</v>
      </c>
      <c r="C418">
        <v>433</v>
      </c>
      <c r="D418">
        <v>447.95</v>
      </c>
      <c r="E418">
        <v>432</v>
      </c>
      <c r="F418">
        <v>434.4</v>
      </c>
      <c r="G418">
        <v>435.85</v>
      </c>
      <c r="H418">
        <v>431.85</v>
      </c>
      <c r="I418">
        <v>15289</v>
      </c>
      <c r="J418">
        <v>6713793.6500000004</v>
      </c>
      <c r="K418" s="1">
        <v>43777</v>
      </c>
      <c r="L418">
        <v>1530</v>
      </c>
      <c r="M418" t="s">
        <v>1402</v>
      </c>
    </row>
    <row r="419" spans="1:13" x14ac:dyDescent="0.25">
      <c r="A419" t="s">
        <v>6711</v>
      </c>
      <c r="B419" t="s">
        <v>6174</v>
      </c>
      <c r="C419">
        <v>983.9</v>
      </c>
      <c r="D419">
        <v>990</v>
      </c>
      <c r="E419">
        <v>983</v>
      </c>
      <c r="F419">
        <v>983.63</v>
      </c>
      <c r="G419">
        <v>983</v>
      </c>
      <c r="H419">
        <v>990.44</v>
      </c>
      <c r="I419">
        <v>461</v>
      </c>
      <c r="J419">
        <v>453846.24</v>
      </c>
      <c r="K419" s="1">
        <v>43777</v>
      </c>
      <c r="L419">
        <v>19</v>
      </c>
      <c r="M419" t="s">
        <v>7644</v>
      </c>
    </row>
    <row r="420" spans="1:13" x14ac:dyDescent="0.25">
      <c r="A420" t="s">
        <v>6711</v>
      </c>
      <c r="B420" t="s">
        <v>6611</v>
      </c>
      <c r="C420">
        <v>986.5</v>
      </c>
      <c r="D420">
        <v>986.5</v>
      </c>
      <c r="E420">
        <v>986.5</v>
      </c>
      <c r="F420">
        <v>986.5</v>
      </c>
      <c r="G420">
        <v>986.5</v>
      </c>
      <c r="H420">
        <v>978</v>
      </c>
      <c r="I420">
        <v>10</v>
      </c>
      <c r="J420">
        <v>9865</v>
      </c>
      <c r="K420" s="1">
        <v>43777</v>
      </c>
      <c r="L420">
        <v>1</v>
      </c>
      <c r="M420" t="s">
        <v>7643</v>
      </c>
    </row>
    <row r="421" spans="1:13" x14ac:dyDescent="0.25">
      <c r="A421" t="s">
        <v>6711</v>
      </c>
      <c r="B421" t="s">
        <v>6240</v>
      </c>
      <c r="C421">
        <v>995.01</v>
      </c>
      <c r="D421">
        <v>995.01</v>
      </c>
      <c r="E421">
        <v>970</v>
      </c>
      <c r="F421">
        <v>970</v>
      </c>
      <c r="G421">
        <v>970</v>
      </c>
      <c r="H421">
        <v>995</v>
      </c>
      <c r="I421">
        <v>140</v>
      </c>
      <c r="J421">
        <v>139010.20000000001</v>
      </c>
      <c r="K421" s="1">
        <v>43777</v>
      </c>
      <c r="L421">
        <v>6</v>
      </c>
      <c r="M421" t="s">
        <v>7642</v>
      </c>
    </row>
    <row r="422" spans="1:13" x14ac:dyDescent="0.25">
      <c r="A422" t="s">
        <v>6711</v>
      </c>
      <c r="B422" t="s">
        <v>5872</v>
      </c>
      <c r="C422">
        <v>925</v>
      </c>
      <c r="D422">
        <v>930</v>
      </c>
      <c r="E422">
        <v>925</v>
      </c>
      <c r="F422">
        <v>926.25</v>
      </c>
      <c r="G422">
        <v>930</v>
      </c>
      <c r="H422">
        <v>920</v>
      </c>
      <c r="I422">
        <v>160</v>
      </c>
      <c r="J422">
        <v>148225</v>
      </c>
      <c r="K422" s="1">
        <v>43777</v>
      </c>
      <c r="L422">
        <v>7</v>
      </c>
      <c r="M422" t="s">
        <v>7641</v>
      </c>
    </row>
    <row r="423" spans="1:13" x14ac:dyDescent="0.25">
      <c r="A423" t="s">
        <v>6711</v>
      </c>
      <c r="B423" t="s">
        <v>6385</v>
      </c>
      <c r="C423">
        <v>870</v>
      </c>
      <c r="D423">
        <v>895</v>
      </c>
      <c r="E423">
        <v>870</v>
      </c>
      <c r="F423">
        <v>895</v>
      </c>
      <c r="G423">
        <v>895</v>
      </c>
      <c r="H423">
        <v>895</v>
      </c>
      <c r="I423">
        <v>15</v>
      </c>
      <c r="J423">
        <v>13175</v>
      </c>
      <c r="K423" s="1">
        <v>43777</v>
      </c>
      <c r="L423">
        <v>2</v>
      </c>
      <c r="M423" t="s">
        <v>7640</v>
      </c>
    </row>
    <row r="424" spans="1:13" x14ac:dyDescent="0.25">
      <c r="A424" t="s">
        <v>6711</v>
      </c>
      <c r="B424" t="s">
        <v>5870</v>
      </c>
      <c r="C424">
        <v>849.8</v>
      </c>
      <c r="D424">
        <v>849.9</v>
      </c>
      <c r="E424">
        <v>849.8</v>
      </c>
      <c r="F424">
        <v>849.9</v>
      </c>
      <c r="G424">
        <v>849.9</v>
      </c>
      <c r="H424">
        <v>815</v>
      </c>
      <c r="I424">
        <v>2</v>
      </c>
      <c r="J424">
        <v>1699.7</v>
      </c>
      <c r="K424" s="1">
        <v>43777</v>
      </c>
      <c r="L424">
        <v>2</v>
      </c>
      <c r="M424" t="s">
        <v>6718</v>
      </c>
    </row>
    <row r="425" spans="1:13" x14ac:dyDescent="0.25">
      <c r="A425" t="s">
        <v>6711</v>
      </c>
      <c r="B425" t="s">
        <v>6522</v>
      </c>
      <c r="C425">
        <v>1003</v>
      </c>
      <c r="D425">
        <v>1055</v>
      </c>
      <c r="E425">
        <v>955.35</v>
      </c>
      <c r="F425">
        <v>1013.44</v>
      </c>
      <c r="G425">
        <v>1035</v>
      </c>
      <c r="H425">
        <v>1004</v>
      </c>
      <c r="I425">
        <v>895</v>
      </c>
      <c r="J425">
        <v>900393.75</v>
      </c>
      <c r="K425" s="1">
        <v>43777</v>
      </c>
      <c r="L425">
        <v>42</v>
      </c>
      <c r="M425" t="s">
        <v>7639</v>
      </c>
    </row>
    <row r="426" spans="1:13" x14ac:dyDescent="0.25">
      <c r="A426" t="s">
        <v>6711</v>
      </c>
      <c r="B426" t="s">
        <v>6459</v>
      </c>
      <c r="C426">
        <v>940</v>
      </c>
      <c r="D426">
        <v>940</v>
      </c>
      <c r="E426">
        <v>925</v>
      </c>
      <c r="F426">
        <v>940</v>
      </c>
      <c r="G426">
        <v>940</v>
      </c>
      <c r="H426">
        <v>902.54</v>
      </c>
      <c r="I426">
        <v>816</v>
      </c>
      <c r="J426">
        <v>760339.43</v>
      </c>
      <c r="K426" s="1">
        <v>43777</v>
      </c>
      <c r="L426">
        <v>18</v>
      </c>
      <c r="M426" t="s">
        <v>6716</v>
      </c>
    </row>
    <row r="427" spans="1:13" x14ac:dyDescent="0.25">
      <c r="A427" t="s">
        <v>6711</v>
      </c>
      <c r="B427" t="s">
        <v>6509</v>
      </c>
      <c r="C427">
        <v>1040</v>
      </c>
      <c r="D427">
        <v>1040</v>
      </c>
      <c r="E427">
        <v>999.5</v>
      </c>
      <c r="F427">
        <v>999.5</v>
      </c>
      <c r="G427">
        <v>999.5</v>
      </c>
      <c r="H427">
        <v>999.81</v>
      </c>
      <c r="I427">
        <v>20</v>
      </c>
      <c r="J427">
        <v>20192.5</v>
      </c>
      <c r="K427" s="1">
        <v>43777</v>
      </c>
      <c r="L427">
        <v>3</v>
      </c>
      <c r="M427" t="s">
        <v>6715</v>
      </c>
    </row>
    <row r="428" spans="1:13" x14ac:dyDescent="0.25">
      <c r="A428" t="s">
        <v>6711</v>
      </c>
      <c r="B428" t="s">
        <v>6381</v>
      </c>
      <c r="C428">
        <v>980</v>
      </c>
      <c r="D428">
        <v>980</v>
      </c>
      <c r="E428">
        <v>974.4</v>
      </c>
      <c r="F428">
        <v>974.4</v>
      </c>
      <c r="G428">
        <v>974.4</v>
      </c>
      <c r="H428">
        <v>964.99</v>
      </c>
      <c r="I428">
        <v>42</v>
      </c>
      <c r="J428">
        <v>40936</v>
      </c>
      <c r="K428" s="1">
        <v>43777</v>
      </c>
      <c r="L428">
        <v>3</v>
      </c>
      <c r="M428" t="s">
        <v>6714</v>
      </c>
    </row>
    <row r="429" spans="1:13" x14ac:dyDescent="0.25">
      <c r="A429" t="s">
        <v>6711</v>
      </c>
      <c r="B429" t="s">
        <v>6713</v>
      </c>
      <c r="C429">
        <v>970</v>
      </c>
      <c r="D429">
        <v>970</v>
      </c>
      <c r="E429">
        <v>963</v>
      </c>
      <c r="F429">
        <v>964.57</v>
      </c>
      <c r="G429">
        <v>965</v>
      </c>
      <c r="H429">
        <v>970</v>
      </c>
      <c r="I429">
        <v>8943</v>
      </c>
      <c r="J429">
        <v>8667978.4800000004</v>
      </c>
      <c r="K429" s="1">
        <v>43777</v>
      </c>
      <c r="L429">
        <v>35</v>
      </c>
      <c r="M429" t="s">
        <v>6712</v>
      </c>
    </row>
    <row r="430" spans="1:13" x14ac:dyDescent="0.25">
      <c r="A430" t="s">
        <v>1403</v>
      </c>
      <c r="B430" t="s">
        <v>14</v>
      </c>
      <c r="C430">
        <v>110.85</v>
      </c>
      <c r="D430">
        <v>110.85</v>
      </c>
      <c r="E430">
        <v>110.85</v>
      </c>
      <c r="F430">
        <v>110.85</v>
      </c>
      <c r="G430">
        <v>110.85</v>
      </c>
      <c r="H430">
        <v>105.6</v>
      </c>
      <c r="I430">
        <v>196976</v>
      </c>
      <c r="J430">
        <v>21834789.600000001</v>
      </c>
      <c r="K430" s="1">
        <v>43777</v>
      </c>
      <c r="L430">
        <v>865</v>
      </c>
      <c r="M430" t="s">
        <v>1405</v>
      </c>
    </row>
    <row r="431" spans="1:13" x14ac:dyDescent="0.25">
      <c r="A431" t="s">
        <v>7638</v>
      </c>
      <c r="B431" t="s">
        <v>786</v>
      </c>
      <c r="C431">
        <v>4.05</v>
      </c>
      <c r="D431">
        <v>4.45</v>
      </c>
      <c r="E431">
        <v>4.05</v>
      </c>
      <c r="F431">
        <v>4.45</v>
      </c>
      <c r="G431">
        <v>4.4000000000000004</v>
      </c>
      <c r="H431">
        <v>4.25</v>
      </c>
      <c r="I431">
        <v>652</v>
      </c>
      <c r="J431">
        <v>2878.9</v>
      </c>
      <c r="K431" s="1">
        <v>43777</v>
      </c>
      <c r="L431">
        <v>5</v>
      </c>
      <c r="M431" t="s">
        <v>7637</v>
      </c>
    </row>
    <row r="432" spans="1:13" x14ac:dyDescent="0.25">
      <c r="A432" t="s">
        <v>1406</v>
      </c>
      <c r="B432" t="s">
        <v>786</v>
      </c>
      <c r="C432">
        <v>1.25</v>
      </c>
      <c r="D432">
        <v>1.25</v>
      </c>
      <c r="E432">
        <v>1.1499999999999999</v>
      </c>
      <c r="F432">
        <v>1.2</v>
      </c>
      <c r="G432">
        <v>1.2</v>
      </c>
      <c r="H432">
        <v>1.2</v>
      </c>
      <c r="I432">
        <v>19484</v>
      </c>
      <c r="J432">
        <v>23660.95</v>
      </c>
      <c r="K432" s="1">
        <v>43777</v>
      </c>
      <c r="L432">
        <v>26</v>
      </c>
      <c r="M432" t="s">
        <v>1408</v>
      </c>
    </row>
    <row r="433" spans="1:13" x14ac:dyDescent="0.25">
      <c r="A433" t="s">
        <v>7635</v>
      </c>
      <c r="B433" t="s">
        <v>5843</v>
      </c>
      <c r="C433">
        <v>834.99</v>
      </c>
      <c r="D433">
        <v>834.99</v>
      </c>
      <c r="E433">
        <v>834.99</v>
      </c>
      <c r="F433">
        <v>834.99</v>
      </c>
      <c r="G433">
        <v>834.99</v>
      </c>
      <c r="H433">
        <v>810</v>
      </c>
      <c r="I433">
        <v>158</v>
      </c>
      <c r="J433">
        <v>131928.42000000001</v>
      </c>
      <c r="K433" s="1">
        <v>43777</v>
      </c>
      <c r="L433">
        <v>2</v>
      </c>
      <c r="M433" t="s">
        <v>7636</v>
      </c>
    </row>
    <row r="434" spans="1:13" x14ac:dyDescent="0.25">
      <c r="A434" t="s">
        <v>7635</v>
      </c>
      <c r="B434" t="s">
        <v>6207</v>
      </c>
      <c r="C434">
        <v>1069</v>
      </c>
      <c r="D434">
        <v>1069</v>
      </c>
      <c r="E434">
        <v>1069</v>
      </c>
      <c r="F434">
        <v>1069</v>
      </c>
      <c r="G434">
        <v>1069</v>
      </c>
      <c r="H434">
        <v>1066</v>
      </c>
      <c r="I434">
        <v>53</v>
      </c>
      <c r="J434">
        <v>56657</v>
      </c>
      <c r="K434" s="1">
        <v>43777</v>
      </c>
      <c r="L434">
        <v>1</v>
      </c>
      <c r="M434" t="s">
        <v>7634</v>
      </c>
    </row>
    <row r="435" spans="1:13" x14ac:dyDescent="0.25">
      <c r="A435" t="s">
        <v>1409</v>
      </c>
      <c r="B435" t="s">
        <v>14</v>
      </c>
      <c r="C435">
        <v>21250</v>
      </c>
      <c r="D435">
        <v>22055.7</v>
      </c>
      <c r="E435">
        <v>21200</v>
      </c>
      <c r="F435">
        <v>21689.65</v>
      </c>
      <c r="G435">
        <v>21640</v>
      </c>
      <c r="H435">
        <v>21423.95</v>
      </c>
      <c r="I435">
        <v>187411</v>
      </c>
      <c r="J435">
        <v>4068860636.3499999</v>
      </c>
      <c r="K435" s="1">
        <v>43777</v>
      </c>
      <c r="L435">
        <v>50646</v>
      </c>
      <c r="M435" t="s">
        <v>7633</v>
      </c>
    </row>
    <row r="436" spans="1:13" x14ac:dyDescent="0.25">
      <c r="A436" t="s">
        <v>1412</v>
      </c>
      <c r="B436" t="s">
        <v>14</v>
      </c>
      <c r="C436">
        <v>169.5</v>
      </c>
      <c r="D436">
        <v>169.9</v>
      </c>
      <c r="E436">
        <v>164.35</v>
      </c>
      <c r="F436">
        <v>165.1</v>
      </c>
      <c r="G436">
        <v>165.1</v>
      </c>
      <c r="H436">
        <v>168.8</v>
      </c>
      <c r="I436">
        <v>172677</v>
      </c>
      <c r="J436">
        <v>28686684.350000001</v>
      </c>
      <c r="K436" s="1">
        <v>43777</v>
      </c>
      <c r="L436">
        <v>1131</v>
      </c>
      <c r="M436" t="s">
        <v>1414</v>
      </c>
    </row>
    <row r="437" spans="1:13" x14ac:dyDescent="0.25">
      <c r="A437" t="s">
        <v>1415</v>
      </c>
      <c r="B437" t="s">
        <v>5788</v>
      </c>
      <c r="C437">
        <v>114.8</v>
      </c>
      <c r="D437">
        <v>117</v>
      </c>
      <c r="E437">
        <v>114.8</v>
      </c>
      <c r="F437">
        <v>117</v>
      </c>
      <c r="G437">
        <v>117</v>
      </c>
      <c r="H437">
        <v>115.8</v>
      </c>
      <c r="I437">
        <v>6400</v>
      </c>
      <c r="J437">
        <v>741280</v>
      </c>
      <c r="K437" s="1">
        <v>43777</v>
      </c>
      <c r="L437">
        <v>7</v>
      </c>
      <c r="M437" t="s">
        <v>1417</v>
      </c>
    </row>
    <row r="438" spans="1:13" x14ac:dyDescent="0.25">
      <c r="A438" t="s">
        <v>1418</v>
      </c>
      <c r="B438" t="s">
        <v>14</v>
      </c>
      <c r="C438">
        <v>313.10000000000002</v>
      </c>
      <c r="D438">
        <v>319.7</v>
      </c>
      <c r="E438">
        <v>311.10000000000002</v>
      </c>
      <c r="F438">
        <v>311.60000000000002</v>
      </c>
      <c r="G438">
        <v>311.10000000000002</v>
      </c>
      <c r="H438">
        <v>317.5</v>
      </c>
      <c r="I438">
        <v>3180</v>
      </c>
      <c r="J438">
        <v>998062.9</v>
      </c>
      <c r="K438" s="1">
        <v>43777</v>
      </c>
      <c r="L438">
        <v>136</v>
      </c>
      <c r="M438" t="s">
        <v>1420</v>
      </c>
    </row>
    <row r="439" spans="1:13" x14ac:dyDescent="0.25">
      <c r="A439" t="s">
        <v>1421</v>
      </c>
      <c r="B439" t="s">
        <v>14</v>
      </c>
      <c r="C439">
        <v>158.80000000000001</v>
      </c>
      <c r="D439">
        <v>159</v>
      </c>
      <c r="E439">
        <v>156.1</v>
      </c>
      <c r="F439">
        <v>157.05000000000001</v>
      </c>
      <c r="G439">
        <v>156.5</v>
      </c>
      <c r="H439">
        <v>158</v>
      </c>
      <c r="I439">
        <v>52214</v>
      </c>
      <c r="J439">
        <v>8212189.3499999996</v>
      </c>
      <c r="K439" s="1">
        <v>43777</v>
      </c>
      <c r="L439">
        <v>1674</v>
      </c>
      <c r="M439" t="s">
        <v>1423</v>
      </c>
    </row>
    <row r="440" spans="1:13" x14ac:dyDescent="0.25">
      <c r="A440" t="s">
        <v>1424</v>
      </c>
      <c r="B440" t="s">
        <v>14</v>
      </c>
      <c r="C440">
        <v>293.7</v>
      </c>
      <c r="D440">
        <v>308</v>
      </c>
      <c r="E440">
        <v>293.64999999999998</v>
      </c>
      <c r="F440">
        <v>302.3</v>
      </c>
      <c r="G440">
        <v>307.7</v>
      </c>
      <c r="H440">
        <v>295.8</v>
      </c>
      <c r="I440">
        <v>367</v>
      </c>
      <c r="J440">
        <v>109792.9</v>
      </c>
      <c r="K440" s="1">
        <v>43777</v>
      </c>
      <c r="L440">
        <v>34</v>
      </c>
      <c r="M440" t="s">
        <v>1426</v>
      </c>
    </row>
    <row r="441" spans="1:13" x14ac:dyDescent="0.25">
      <c r="A441" t="s">
        <v>1427</v>
      </c>
      <c r="B441" t="s">
        <v>14</v>
      </c>
      <c r="C441">
        <v>26.2</v>
      </c>
      <c r="D441">
        <v>26.85</v>
      </c>
      <c r="E441">
        <v>26</v>
      </c>
      <c r="F441">
        <v>26.15</v>
      </c>
      <c r="G441">
        <v>26.05</v>
      </c>
      <c r="H441">
        <v>26.15</v>
      </c>
      <c r="I441">
        <v>45893</v>
      </c>
      <c r="J441">
        <v>1212930.25</v>
      </c>
      <c r="K441" s="1">
        <v>43777</v>
      </c>
      <c r="L441">
        <v>525</v>
      </c>
      <c r="M441" t="s">
        <v>1429</v>
      </c>
    </row>
    <row r="442" spans="1:13" x14ac:dyDescent="0.25">
      <c r="A442" t="s">
        <v>1433</v>
      </c>
      <c r="B442" t="s">
        <v>14</v>
      </c>
      <c r="C442">
        <v>38.15</v>
      </c>
      <c r="D442">
        <v>39.450000000000003</v>
      </c>
      <c r="E442">
        <v>36.5</v>
      </c>
      <c r="F442">
        <v>36.75</v>
      </c>
      <c r="G442">
        <v>36.65</v>
      </c>
      <c r="H442">
        <v>38.450000000000003</v>
      </c>
      <c r="I442">
        <v>44413</v>
      </c>
      <c r="J442">
        <v>1667165.75</v>
      </c>
      <c r="K442" s="1">
        <v>43777</v>
      </c>
      <c r="L442">
        <v>882</v>
      </c>
      <c r="M442" t="s">
        <v>1435</v>
      </c>
    </row>
    <row r="443" spans="1:13" x14ac:dyDescent="0.25">
      <c r="A443" t="s">
        <v>1436</v>
      </c>
      <c r="B443" t="s">
        <v>14</v>
      </c>
      <c r="C443">
        <v>13.7</v>
      </c>
      <c r="D443">
        <v>13.7</v>
      </c>
      <c r="E443">
        <v>13.2</v>
      </c>
      <c r="F443">
        <v>13.35</v>
      </c>
      <c r="G443">
        <v>13.4</v>
      </c>
      <c r="H443">
        <v>13.4</v>
      </c>
      <c r="I443">
        <v>103645</v>
      </c>
      <c r="J443">
        <v>1386596.1</v>
      </c>
      <c r="K443" s="1">
        <v>43777</v>
      </c>
      <c r="L443">
        <v>169</v>
      </c>
      <c r="M443" t="s">
        <v>1438</v>
      </c>
    </row>
    <row r="444" spans="1:13" x14ac:dyDescent="0.25">
      <c r="A444" t="s">
        <v>1439</v>
      </c>
      <c r="B444" t="s">
        <v>14</v>
      </c>
      <c r="C444">
        <v>141.44999999999999</v>
      </c>
      <c r="D444">
        <v>142.9</v>
      </c>
      <c r="E444">
        <v>136.35</v>
      </c>
      <c r="F444">
        <v>140.30000000000001</v>
      </c>
      <c r="G444">
        <v>136.4</v>
      </c>
      <c r="H444">
        <v>140.1</v>
      </c>
      <c r="I444">
        <v>18245</v>
      </c>
      <c r="J444">
        <v>2580480.75</v>
      </c>
      <c r="K444" s="1">
        <v>43777</v>
      </c>
      <c r="L444">
        <v>241</v>
      </c>
      <c r="M444" t="s">
        <v>1441</v>
      </c>
    </row>
    <row r="445" spans="1:13" x14ac:dyDescent="0.25">
      <c r="A445" t="s">
        <v>1442</v>
      </c>
      <c r="B445" t="s">
        <v>14</v>
      </c>
      <c r="C445">
        <v>282</v>
      </c>
      <c r="D445">
        <v>284</v>
      </c>
      <c r="E445">
        <v>276</v>
      </c>
      <c r="F445">
        <v>280.85000000000002</v>
      </c>
      <c r="G445">
        <v>281</v>
      </c>
      <c r="H445">
        <v>279.95</v>
      </c>
      <c r="I445">
        <v>11309</v>
      </c>
      <c r="J445">
        <v>3184567.65</v>
      </c>
      <c r="K445" s="1">
        <v>43777</v>
      </c>
      <c r="L445">
        <v>429</v>
      </c>
      <c r="M445" t="s">
        <v>1444</v>
      </c>
    </row>
    <row r="446" spans="1:13" x14ac:dyDescent="0.25">
      <c r="A446" t="s">
        <v>1445</v>
      </c>
      <c r="B446" t="s">
        <v>14</v>
      </c>
      <c r="C446">
        <v>19.2</v>
      </c>
      <c r="D446">
        <v>20.75</v>
      </c>
      <c r="E446">
        <v>16.25</v>
      </c>
      <c r="F446">
        <v>17.5</v>
      </c>
      <c r="G446">
        <v>17.600000000000001</v>
      </c>
      <c r="H446">
        <v>17.3</v>
      </c>
      <c r="I446">
        <v>7773</v>
      </c>
      <c r="J446">
        <v>132869.85</v>
      </c>
      <c r="K446" s="1">
        <v>43777</v>
      </c>
      <c r="L446">
        <v>142</v>
      </c>
      <c r="M446" t="s">
        <v>1447</v>
      </c>
    </row>
    <row r="447" spans="1:13" x14ac:dyDescent="0.25">
      <c r="A447" t="s">
        <v>1451</v>
      </c>
      <c r="B447" t="s">
        <v>14</v>
      </c>
      <c r="C447">
        <v>327.35000000000002</v>
      </c>
      <c r="D447">
        <v>327.8</v>
      </c>
      <c r="E447">
        <v>321.25</v>
      </c>
      <c r="F447">
        <v>324.5</v>
      </c>
      <c r="G447">
        <v>322.39999999999998</v>
      </c>
      <c r="H447">
        <v>325.75</v>
      </c>
      <c r="I447">
        <v>180342</v>
      </c>
      <c r="J447">
        <v>58541721.049999997</v>
      </c>
      <c r="K447" s="1">
        <v>43777</v>
      </c>
      <c r="L447">
        <v>4507</v>
      </c>
      <c r="M447" t="s">
        <v>1453</v>
      </c>
    </row>
    <row r="448" spans="1:13" x14ac:dyDescent="0.25">
      <c r="A448" t="s">
        <v>1454</v>
      </c>
      <c r="B448" t="s">
        <v>14</v>
      </c>
      <c r="C448">
        <v>76.900000000000006</v>
      </c>
      <c r="D448">
        <v>76.900000000000006</v>
      </c>
      <c r="E448">
        <v>74.55</v>
      </c>
      <c r="F448">
        <v>75.05</v>
      </c>
      <c r="G448">
        <v>75.95</v>
      </c>
      <c r="H448">
        <v>76</v>
      </c>
      <c r="I448">
        <v>866</v>
      </c>
      <c r="J448">
        <v>65308.6</v>
      </c>
      <c r="K448" s="1">
        <v>43777</v>
      </c>
      <c r="L448">
        <v>30</v>
      </c>
      <c r="M448" t="s">
        <v>1456</v>
      </c>
    </row>
    <row r="449" spans="1:13" x14ac:dyDescent="0.25">
      <c r="A449" t="s">
        <v>1457</v>
      </c>
      <c r="B449" t="s">
        <v>10</v>
      </c>
      <c r="C449">
        <v>48.75</v>
      </c>
      <c r="D449">
        <v>49</v>
      </c>
      <c r="E449">
        <v>48.2</v>
      </c>
      <c r="F449">
        <v>48.65</v>
      </c>
      <c r="G449">
        <v>48.25</v>
      </c>
      <c r="H449">
        <v>46.7</v>
      </c>
      <c r="I449">
        <v>13017</v>
      </c>
      <c r="J449">
        <v>635739.30000000005</v>
      </c>
      <c r="K449" s="1">
        <v>43777</v>
      </c>
      <c r="L449">
        <v>121</v>
      </c>
      <c r="M449" t="s">
        <v>1459</v>
      </c>
    </row>
    <row r="450" spans="1:13" x14ac:dyDescent="0.25">
      <c r="A450" t="s">
        <v>6705</v>
      </c>
      <c r="B450" t="s">
        <v>6202</v>
      </c>
      <c r="C450">
        <v>401</v>
      </c>
      <c r="D450">
        <v>403.17</v>
      </c>
      <c r="E450">
        <v>390.12</v>
      </c>
      <c r="F450">
        <v>392.39</v>
      </c>
      <c r="G450">
        <v>391.95</v>
      </c>
      <c r="H450">
        <v>403.93</v>
      </c>
      <c r="I450">
        <v>122800</v>
      </c>
      <c r="J450">
        <v>48810470</v>
      </c>
      <c r="K450" s="1">
        <v>43777</v>
      </c>
      <c r="L450">
        <v>570</v>
      </c>
      <c r="M450" t="s">
        <v>6704</v>
      </c>
    </row>
    <row r="451" spans="1:13" x14ac:dyDescent="0.25">
      <c r="A451" t="s">
        <v>7632</v>
      </c>
      <c r="B451" t="s">
        <v>10</v>
      </c>
      <c r="C451">
        <v>0.8</v>
      </c>
      <c r="D451">
        <v>0.8</v>
      </c>
      <c r="E451">
        <v>0.7</v>
      </c>
      <c r="F451">
        <v>0.7</v>
      </c>
      <c r="G451">
        <v>0.7</v>
      </c>
      <c r="H451">
        <v>0.75</v>
      </c>
      <c r="I451">
        <v>4331</v>
      </c>
      <c r="J451">
        <v>3227.2</v>
      </c>
      <c r="K451" s="1">
        <v>43777</v>
      </c>
      <c r="L451">
        <v>11</v>
      </c>
      <c r="M451" t="s">
        <v>7631</v>
      </c>
    </row>
    <row r="452" spans="1:13" x14ac:dyDescent="0.25">
      <c r="A452" t="s">
        <v>1463</v>
      </c>
      <c r="B452" t="s">
        <v>14</v>
      </c>
      <c r="C452">
        <v>77.5</v>
      </c>
      <c r="D452">
        <v>78</v>
      </c>
      <c r="E452">
        <v>75.25</v>
      </c>
      <c r="F452">
        <v>76</v>
      </c>
      <c r="G452">
        <v>76.5</v>
      </c>
      <c r="H452">
        <v>77.150000000000006</v>
      </c>
      <c r="I452">
        <v>5662</v>
      </c>
      <c r="J452">
        <v>433375.7</v>
      </c>
      <c r="K452" s="1">
        <v>43777</v>
      </c>
      <c r="L452">
        <v>117</v>
      </c>
      <c r="M452" t="s">
        <v>1465</v>
      </c>
    </row>
    <row r="453" spans="1:13" x14ac:dyDescent="0.25">
      <c r="A453" t="s">
        <v>1466</v>
      </c>
      <c r="B453" t="s">
        <v>14</v>
      </c>
      <c r="C453">
        <v>108.95</v>
      </c>
      <c r="D453">
        <v>109.85</v>
      </c>
      <c r="E453">
        <v>103</v>
      </c>
      <c r="F453">
        <v>106.15</v>
      </c>
      <c r="G453">
        <v>107</v>
      </c>
      <c r="H453">
        <v>109.5</v>
      </c>
      <c r="I453">
        <v>26062</v>
      </c>
      <c r="J453">
        <v>2758544.45</v>
      </c>
      <c r="K453" s="1">
        <v>43777</v>
      </c>
      <c r="L453">
        <v>591</v>
      </c>
      <c r="M453" t="s">
        <v>1468</v>
      </c>
    </row>
    <row r="454" spans="1:13" x14ac:dyDescent="0.25">
      <c r="A454" t="s">
        <v>7630</v>
      </c>
      <c r="B454" t="s">
        <v>7076</v>
      </c>
      <c r="C454">
        <v>8.3000000000000007</v>
      </c>
      <c r="D454">
        <v>8.33</v>
      </c>
      <c r="E454">
        <v>8.3000000000000007</v>
      </c>
      <c r="F454">
        <v>8.32</v>
      </c>
      <c r="G454">
        <v>8.32</v>
      </c>
      <c r="H454">
        <v>8.5</v>
      </c>
      <c r="I454">
        <v>3985</v>
      </c>
      <c r="J454">
        <v>33160.5</v>
      </c>
      <c r="K454" s="1">
        <v>43777</v>
      </c>
      <c r="L454">
        <v>3</v>
      </c>
      <c r="M454" t="s">
        <v>7629</v>
      </c>
    </row>
    <row r="455" spans="1:13" x14ac:dyDescent="0.25">
      <c r="A455" t="s">
        <v>7628</v>
      </c>
      <c r="B455" t="s">
        <v>7076</v>
      </c>
      <c r="C455">
        <v>8.43</v>
      </c>
      <c r="D455">
        <v>8.4600000000000009</v>
      </c>
      <c r="E455">
        <v>8.33</v>
      </c>
      <c r="F455">
        <v>8.35</v>
      </c>
      <c r="G455">
        <v>8.35</v>
      </c>
      <c r="H455">
        <v>8.42</v>
      </c>
      <c r="I455">
        <v>18200</v>
      </c>
      <c r="J455">
        <v>152793.10999999999</v>
      </c>
      <c r="K455" s="1">
        <v>43777</v>
      </c>
      <c r="L455">
        <v>19</v>
      </c>
      <c r="M455" t="s">
        <v>7627</v>
      </c>
    </row>
    <row r="456" spans="1:13" x14ac:dyDescent="0.25">
      <c r="A456" t="s">
        <v>1475</v>
      </c>
      <c r="B456" t="s">
        <v>14</v>
      </c>
      <c r="C456">
        <v>1122</v>
      </c>
      <c r="D456">
        <v>1125.2</v>
      </c>
      <c r="E456">
        <v>1090</v>
      </c>
      <c r="F456">
        <v>1095.9000000000001</v>
      </c>
      <c r="G456">
        <v>1098</v>
      </c>
      <c r="H456">
        <v>1122.2</v>
      </c>
      <c r="I456">
        <v>13055</v>
      </c>
      <c r="J456">
        <v>14342581.550000001</v>
      </c>
      <c r="K456" s="1">
        <v>43777</v>
      </c>
      <c r="L456">
        <v>1126</v>
      </c>
      <c r="M456" t="s">
        <v>1477</v>
      </c>
    </row>
    <row r="457" spans="1:13" x14ac:dyDescent="0.25">
      <c r="A457" t="s">
        <v>1478</v>
      </c>
      <c r="B457" t="s">
        <v>10</v>
      </c>
      <c r="C457">
        <v>5.2</v>
      </c>
      <c r="D457">
        <v>5.2</v>
      </c>
      <c r="E457">
        <v>4.95</v>
      </c>
      <c r="F457">
        <v>5.05</v>
      </c>
      <c r="G457">
        <v>5.15</v>
      </c>
      <c r="H457">
        <v>5.05</v>
      </c>
      <c r="I457">
        <v>31601</v>
      </c>
      <c r="J457">
        <v>159329.20000000001</v>
      </c>
      <c r="K457" s="1">
        <v>43777</v>
      </c>
      <c r="L457">
        <v>50</v>
      </c>
      <c r="M457" t="s">
        <v>1480</v>
      </c>
    </row>
    <row r="458" spans="1:13" x14ac:dyDescent="0.25">
      <c r="A458" t="s">
        <v>1481</v>
      </c>
      <c r="B458" t="s">
        <v>14</v>
      </c>
      <c r="C458">
        <v>110.95</v>
      </c>
      <c r="D458">
        <v>113.5</v>
      </c>
      <c r="E458">
        <v>104.85</v>
      </c>
      <c r="F458">
        <v>105.55</v>
      </c>
      <c r="G458">
        <v>105</v>
      </c>
      <c r="H458">
        <v>110.85</v>
      </c>
      <c r="I458">
        <v>1624492</v>
      </c>
      <c r="J458">
        <v>176910613.69999999</v>
      </c>
      <c r="K458" s="1">
        <v>43777</v>
      </c>
      <c r="L458">
        <v>14925</v>
      </c>
      <c r="M458" t="s">
        <v>1483</v>
      </c>
    </row>
    <row r="459" spans="1:13" x14ac:dyDescent="0.25">
      <c r="A459" t="s">
        <v>1484</v>
      </c>
      <c r="B459" t="s">
        <v>14</v>
      </c>
      <c r="C459">
        <v>253.3</v>
      </c>
      <c r="D459">
        <v>253.3</v>
      </c>
      <c r="E459">
        <v>248.1</v>
      </c>
      <c r="F459">
        <v>249.75</v>
      </c>
      <c r="G459">
        <v>250</v>
      </c>
      <c r="H459">
        <v>248.7</v>
      </c>
      <c r="I459">
        <v>5977</v>
      </c>
      <c r="J459">
        <v>1494452.05</v>
      </c>
      <c r="K459" s="1">
        <v>43777</v>
      </c>
      <c r="L459">
        <v>136</v>
      </c>
      <c r="M459" t="s">
        <v>1486</v>
      </c>
    </row>
    <row r="460" spans="1:13" x14ac:dyDescent="0.25">
      <c r="A460" t="s">
        <v>7626</v>
      </c>
      <c r="B460" t="s">
        <v>14</v>
      </c>
      <c r="C460">
        <v>20.6</v>
      </c>
      <c r="D460">
        <v>20.6</v>
      </c>
      <c r="E460">
        <v>20.05</v>
      </c>
      <c r="F460">
        <v>20.6</v>
      </c>
      <c r="G460">
        <v>20.6</v>
      </c>
      <c r="H460">
        <v>19.649999999999999</v>
      </c>
      <c r="I460">
        <v>24709</v>
      </c>
      <c r="J460">
        <v>508520.5</v>
      </c>
      <c r="K460" s="1">
        <v>43777</v>
      </c>
      <c r="L460">
        <v>264</v>
      </c>
      <c r="M460" t="s">
        <v>7625</v>
      </c>
    </row>
    <row r="461" spans="1:13" x14ac:dyDescent="0.25">
      <c r="A461" t="s">
        <v>7624</v>
      </c>
      <c r="B461" t="s">
        <v>14</v>
      </c>
      <c r="C461">
        <v>350</v>
      </c>
      <c r="D461">
        <v>350</v>
      </c>
      <c r="E461">
        <v>350</v>
      </c>
      <c r="F461">
        <v>350</v>
      </c>
      <c r="G461">
        <v>350</v>
      </c>
      <c r="H461">
        <v>350</v>
      </c>
      <c r="I461">
        <v>9</v>
      </c>
      <c r="J461">
        <v>3150</v>
      </c>
      <c r="K461" s="1">
        <v>43777</v>
      </c>
      <c r="L461">
        <v>3</v>
      </c>
      <c r="M461" t="s">
        <v>7623</v>
      </c>
    </row>
    <row r="462" spans="1:13" x14ac:dyDescent="0.25">
      <c r="A462" t="s">
        <v>7622</v>
      </c>
      <c r="B462" t="s">
        <v>14</v>
      </c>
      <c r="C462">
        <v>99.5</v>
      </c>
      <c r="D462">
        <v>99.7</v>
      </c>
      <c r="E462">
        <v>96</v>
      </c>
      <c r="F462">
        <v>97.35</v>
      </c>
      <c r="G462">
        <v>96.25</v>
      </c>
      <c r="H462">
        <v>99.35</v>
      </c>
      <c r="I462">
        <v>1534083</v>
      </c>
      <c r="J462">
        <v>150982044.94999999</v>
      </c>
      <c r="K462" s="1">
        <v>43777</v>
      </c>
      <c r="L462">
        <v>7789</v>
      </c>
      <c r="M462" t="s">
        <v>7621</v>
      </c>
    </row>
    <row r="463" spans="1:13" x14ac:dyDescent="0.25">
      <c r="A463" t="s">
        <v>7617</v>
      </c>
      <c r="B463" t="s">
        <v>6176</v>
      </c>
      <c r="C463">
        <v>930</v>
      </c>
      <c r="D463">
        <v>930</v>
      </c>
      <c r="E463">
        <v>930</v>
      </c>
      <c r="F463">
        <v>930</v>
      </c>
      <c r="G463">
        <v>930</v>
      </c>
      <c r="H463">
        <v>920</v>
      </c>
      <c r="I463">
        <v>100</v>
      </c>
      <c r="J463">
        <v>93000</v>
      </c>
      <c r="K463" s="1">
        <v>43777</v>
      </c>
      <c r="L463">
        <v>2</v>
      </c>
      <c r="M463" t="s">
        <v>7620</v>
      </c>
    </row>
    <row r="464" spans="1:13" x14ac:dyDescent="0.25">
      <c r="A464" t="s">
        <v>7617</v>
      </c>
      <c r="B464" t="s">
        <v>6182</v>
      </c>
      <c r="C464">
        <v>990</v>
      </c>
      <c r="D464">
        <v>992</v>
      </c>
      <c r="E464">
        <v>990</v>
      </c>
      <c r="F464">
        <v>992</v>
      </c>
      <c r="G464">
        <v>992</v>
      </c>
      <c r="H464">
        <v>995</v>
      </c>
      <c r="I464">
        <v>2</v>
      </c>
      <c r="J464">
        <v>1982</v>
      </c>
      <c r="K464" s="1">
        <v>43777</v>
      </c>
      <c r="L464">
        <v>2</v>
      </c>
      <c r="M464" t="s">
        <v>7619</v>
      </c>
    </row>
    <row r="465" spans="1:13" x14ac:dyDescent="0.25">
      <c r="A465" t="s">
        <v>7617</v>
      </c>
      <c r="B465" t="s">
        <v>6174</v>
      </c>
      <c r="C465">
        <v>741</v>
      </c>
      <c r="D465">
        <v>753</v>
      </c>
      <c r="E465">
        <v>741</v>
      </c>
      <c r="F465">
        <v>742.3</v>
      </c>
      <c r="G465">
        <v>742.3</v>
      </c>
      <c r="H465">
        <v>755</v>
      </c>
      <c r="I465">
        <v>493</v>
      </c>
      <c r="J465">
        <v>365943.36</v>
      </c>
      <c r="K465" s="1">
        <v>43777</v>
      </c>
      <c r="L465">
        <v>16</v>
      </c>
      <c r="M465" t="s">
        <v>7618</v>
      </c>
    </row>
    <row r="466" spans="1:13" x14ac:dyDescent="0.25">
      <c r="A466" t="s">
        <v>7617</v>
      </c>
      <c r="B466" t="s">
        <v>5843</v>
      </c>
      <c r="C466">
        <v>829</v>
      </c>
      <c r="D466">
        <v>829</v>
      </c>
      <c r="E466">
        <v>829</v>
      </c>
      <c r="F466">
        <v>829</v>
      </c>
      <c r="G466">
        <v>829</v>
      </c>
      <c r="H466">
        <v>828.45</v>
      </c>
      <c r="I466">
        <v>10</v>
      </c>
      <c r="J466">
        <v>8290</v>
      </c>
      <c r="K466" s="1">
        <v>43777</v>
      </c>
      <c r="L466">
        <v>1</v>
      </c>
      <c r="M466" t="s">
        <v>7616</v>
      </c>
    </row>
    <row r="467" spans="1:13" x14ac:dyDescent="0.25">
      <c r="A467" t="s">
        <v>1499</v>
      </c>
      <c r="B467" t="s">
        <v>14</v>
      </c>
      <c r="C467">
        <v>426.7</v>
      </c>
      <c r="D467">
        <v>428.75</v>
      </c>
      <c r="E467">
        <v>413.25</v>
      </c>
      <c r="F467">
        <v>416.5</v>
      </c>
      <c r="G467">
        <v>416.75</v>
      </c>
      <c r="H467">
        <v>425.55</v>
      </c>
      <c r="I467">
        <v>69674</v>
      </c>
      <c r="J467">
        <v>29261333.25</v>
      </c>
      <c r="K467" s="1">
        <v>43777</v>
      </c>
      <c r="L467">
        <v>3766</v>
      </c>
      <c r="M467" t="s">
        <v>1501</v>
      </c>
    </row>
    <row r="468" spans="1:13" x14ac:dyDescent="0.25">
      <c r="A468" t="s">
        <v>1502</v>
      </c>
      <c r="B468" t="s">
        <v>10</v>
      </c>
      <c r="C468">
        <v>15.6</v>
      </c>
      <c r="D468">
        <v>15.75</v>
      </c>
      <c r="E468">
        <v>14.9</v>
      </c>
      <c r="F468">
        <v>15.25</v>
      </c>
      <c r="G468">
        <v>15.3</v>
      </c>
      <c r="H468">
        <v>15.1</v>
      </c>
      <c r="I468">
        <v>93382</v>
      </c>
      <c r="J468">
        <v>1433220.85</v>
      </c>
      <c r="K468" s="1">
        <v>43777</v>
      </c>
      <c r="L468">
        <v>398</v>
      </c>
      <c r="M468" t="s">
        <v>1504</v>
      </c>
    </row>
    <row r="469" spans="1:13" x14ac:dyDescent="0.25">
      <c r="A469" t="s">
        <v>1505</v>
      </c>
      <c r="B469" t="s">
        <v>14</v>
      </c>
      <c r="C469">
        <v>1318.9</v>
      </c>
      <c r="D469">
        <v>1318.9</v>
      </c>
      <c r="E469">
        <v>1266</v>
      </c>
      <c r="F469">
        <v>1276.0999999999999</v>
      </c>
      <c r="G469">
        <v>1266</v>
      </c>
      <c r="H469">
        <v>1283.95</v>
      </c>
      <c r="I469">
        <v>2736</v>
      </c>
      <c r="J469">
        <v>3534796.3</v>
      </c>
      <c r="K469" s="1">
        <v>43777</v>
      </c>
      <c r="L469">
        <v>377</v>
      </c>
      <c r="M469" t="s">
        <v>1507</v>
      </c>
    </row>
    <row r="470" spans="1:13" x14ac:dyDescent="0.25">
      <c r="A470" t="s">
        <v>1511</v>
      </c>
      <c r="B470" t="s">
        <v>14</v>
      </c>
      <c r="C470">
        <v>646</v>
      </c>
      <c r="D470">
        <v>665.95</v>
      </c>
      <c r="E470">
        <v>642.04999999999995</v>
      </c>
      <c r="F470">
        <v>653.75</v>
      </c>
      <c r="G470">
        <v>653.85</v>
      </c>
      <c r="H470">
        <v>647.9</v>
      </c>
      <c r="I470">
        <v>2272682</v>
      </c>
      <c r="J470">
        <v>1495886097.75</v>
      </c>
      <c r="K470" s="1">
        <v>43777</v>
      </c>
      <c r="L470">
        <v>36810</v>
      </c>
      <c r="M470" t="s">
        <v>1513</v>
      </c>
    </row>
    <row r="471" spans="1:13" x14ac:dyDescent="0.25">
      <c r="A471" t="s">
        <v>1514</v>
      </c>
      <c r="B471" t="s">
        <v>10</v>
      </c>
      <c r="C471">
        <v>7.35</v>
      </c>
      <c r="D471">
        <v>7.5</v>
      </c>
      <c r="E471">
        <v>7</v>
      </c>
      <c r="F471">
        <v>7.5</v>
      </c>
      <c r="G471">
        <v>7.5</v>
      </c>
      <c r="H471">
        <v>7.3</v>
      </c>
      <c r="I471">
        <v>2224</v>
      </c>
      <c r="J471">
        <v>16287.75</v>
      </c>
      <c r="K471" s="1">
        <v>43777</v>
      </c>
      <c r="L471">
        <v>26</v>
      </c>
      <c r="M471" t="s">
        <v>1516</v>
      </c>
    </row>
    <row r="472" spans="1:13" x14ac:dyDescent="0.25">
      <c r="A472" t="s">
        <v>7615</v>
      </c>
      <c r="B472" t="s">
        <v>14</v>
      </c>
      <c r="C472">
        <v>119</v>
      </c>
      <c r="D472">
        <v>119.45</v>
      </c>
      <c r="E472">
        <v>116</v>
      </c>
      <c r="F472">
        <v>117.9</v>
      </c>
      <c r="G472">
        <v>116.9</v>
      </c>
      <c r="H472">
        <v>118.65</v>
      </c>
      <c r="I472">
        <v>64004</v>
      </c>
      <c r="J472">
        <v>7564744.6500000004</v>
      </c>
      <c r="K472" s="1">
        <v>43777</v>
      </c>
      <c r="L472">
        <v>1260</v>
      </c>
      <c r="M472" t="s">
        <v>1492</v>
      </c>
    </row>
    <row r="473" spans="1:13" x14ac:dyDescent="0.25">
      <c r="A473" t="s">
        <v>1520</v>
      </c>
      <c r="B473" t="s">
        <v>10</v>
      </c>
      <c r="C473">
        <v>36.25</v>
      </c>
      <c r="D473">
        <v>36.25</v>
      </c>
      <c r="E473">
        <v>34.5</v>
      </c>
      <c r="F473">
        <v>34.75</v>
      </c>
      <c r="G473">
        <v>35.5</v>
      </c>
      <c r="H473">
        <v>36.1</v>
      </c>
      <c r="I473">
        <v>22779</v>
      </c>
      <c r="J473">
        <v>808889.8</v>
      </c>
      <c r="K473" s="1">
        <v>43777</v>
      </c>
      <c r="L473">
        <v>101</v>
      </c>
      <c r="M473" t="s">
        <v>1522</v>
      </c>
    </row>
    <row r="474" spans="1:13" x14ac:dyDescent="0.25">
      <c r="A474" t="s">
        <v>7614</v>
      </c>
      <c r="B474" t="s">
        <v>786</v>
      </c>
      <c r="C474">
        <v>0.5</v>
      </c>
      <c r="D474">
        <v>0.55000000000000004</v>
      </c>
      <c r="E474">
        <v>0.5</v>
      </c>
      <c r="F474">
        <v>0.55000000000000004</v>
      </c>
      <c r="G474">
        <v>0.55000000000000004</v>
      </c>
      <c r="H474">
        <v>0.55000000000000004</v>
      </c>
      <c r="I474">
        <v>2100</v>
      </c>
      <c r="J474">
        <v>1105</v>
      </c>
      <c r="K474" s="1">
        <v>43777</v>
      </c>
      <c r="L474">
        <v>9</v>
      </c>
      <c r="M474" t="s">
        <v>7613</v>
      </c>
    </row>
    <row r="475" spans="1:13" x14ac:dyDescent="0.25">
      <c r="A475" t="s">
        <v>7612</v>
      </c>
      <c r="B475" t="s">
        <v>10</v>
      </c>
      <c r="C475">
        <v>0.45</v>
      </c>
      <c r="D475">
        <v>0.45</v>
      </c>
      <c r="E475">
        <v>0.35</v>
      </c>
      <c r="F475">
        <v>0.4</v>
      </c>
      <c r="G475">
        <v>0.4</v>
      </c>
      <c r="H475">
        <v>0.4</v>
      </c>
      <c r="I475">
        <v>5477</v>
      </c>
      <c r="J475">
        <v>2128.6999999999998</v>
      </c>
      <c r="K475" s="1">
        <v>43777</v>
      </c>
      <c r="L475">
        <v>12</v>
      </c>
      <c r="M475" t="s">
        <v>7611</v>
      </c>
    </row>
    <row r="476" spans="1:13" x14ac:dyDescent="0.25">
      <c r="A476" t="s">
        <v>1526</v>
      </c>
      <c r="B476" t="s">
        <v>14</v>
      </c>
      <c r="C476">
        <v>12.1</v>
      </c>
      <c r="D476">
        <v>13.05</v>
      </c>
      <c r="E476">
        <v>12.1</v>
      </c>
      <c r="F476">
        <v>12.1</v>
      </c>
      <c r="G476">
        <v>12.1</v>
      </c>
      <c r="H476">
        <v>12.45</v>
      </c>
      <c r="I476">
        <v>431</v>
      </c>
      <c r="J476">
        <v>5308.2</v>
      </c>
      <c r="K476" s="1">
        <v>43777</v>
      </c>
      <c r="L476">
        <v>7</v>
      </c>
      <c r="M476" t="s">
        <v>1528</v>
      </c>
    </row>
    <row r="477" spans="1:13" x14ac:dyDescent="0.25">
      <c r="A477" t="s">
        <v>1529</v>
      </c>
      <c r="B477" t="s">
        <v>14</v>
      </c>
      <c r="C477">
        <v>53.5</v>
      </c>
      <c r="D477">
        <v>55.85</v>
      </c>
      <c r="E477">
        <v>53.1</v>
      </c>
      <c r="F477">
        <v>54.5</v>
      </c>
      <c r="G477">
        <v>54.05</v>
      </c>
      <c r="H477">
        <v>53.2</v>
      </c>
      <c r="I477">
        <v>241486</v>
      </c>
      <c r="J477">
        <v>13311996.85</v>
      </c>
      <c r="K477" s="1">
        <v>43777</v>
      </c>
      <c r="L477">
        <v>1214</v>
      </c>
      <c r="M477" t="s">
        <v>1531</v>
      </c>
    </row>
    <row r="478" spans="1:13" x14ac:dyDescent="0.25">
      <c r="A478" t="s">
        <v>1532</v>
      </c>
      <c r="B478" t="s">
        <v>14</v>
      </c>
      <c r="C478">
        <v>288.35000000000002</v>
      </c>
      <c r="D478">
        <v>291</v>
      </c>
      <c r="E478">
        <v>286.05</v>
      </c>
      <c r="F478">
        <v>287.85000000000002</v>
      </c>
      <c r="G478">
        <v>288.64999999999998</v>
      </c>
      <c r="H478">
        <v>288.3</v>
      </c>
      <c r="I478">
        <v>9371</v>
      </c>
      <c r="J478">
        <v>2704917.05</v>
      </c>
      <c r="K478" s="1">
        <v>43777</v>
      </c>
      <c r="L478">
        <v>435</v>
      </c>
      <c r="M478" t="s">
        <v>1534</v>
      </c>
    </row>
    <row r="479" spans="1:13" x14ac:dyDescent="0.25">
      <c r="A479" t="s">
        <v>1535</v>
      </c>
      <c r="B479" t="s">
        <v>10</v>
      </c>
      <c r="C479">
        <v>1.05</v>
      </c>
      <c r="D479">
        <v>1.1499999999999999</v>
      </c>
      <c r="E479">
        <v>1.05</v>
      </c>
      <c r="F479">
        <v>1.1000000000000001</v>
      </c>
      <c r="G479">
        <v>1.1000000000000001</v>
      </c>
      <c r="H479">
        <v>1.1000000000000001</v>
      </c>
      <c r="I479">
        <v>1191</v>
      </c>
      <c r="J479">
        <v>1255.1500000000001</v>
      </c>
      <c r="K479" s="1">
        <v>43777</v>
      </c>
      <c r="L479">
        <v>5</v>
      </c>
      <c r="M479" t="s">
        <v>7610</v>
      </c>
    </row>
    <row r="480" spans="1:13" x14ac:dyDescent="0.25">
      <c r="A480" t="s">
        <v>1538</v>
      </c>
      <c r="B480" t="s">
        <v>14</v>
      </c>
      <c r="C480">
        <v>965</v>
      </c>
      <c r="D480">
        <v>985</v>
      </c>
      <c r="E480">
        <v>948</v>
      </c>
      <c r="F480">
        <v>971.85</v>
      </c>
      <c r="G480">
        <v>965</v>
      </c>
      <c r="H480">
        <v>956.05</v>
      </c>
      <c r="I480">
        <v>21352</v>
      </c>
      <c r="J480">
        <v>20808605.449999999</v>
      </c>
      <c r="K480" s="1">
        <v>43777</v>
      </c>
      <c r="L480">
        <v>1179</v>
      </c>
      <c r="M480" t="s">
        <v>1540</v>
      </c>
    </row>
    <row r="481" spans="1:13" x14ac:dyDescent="0.25">
      <c r="A481" t="s">
        <v>1541</v>
      </c>
      <c r="B481" t="s">
        <v>14</v>
      </c>
      <c r="C481">
        <v>189</v>
      </c>
      <c r="D481">
        <v>191.25</v>
      </c>
      <c r="E481">
        <v>186</v>
      </c>
      <c r="F481">
        <v>186.55</v>
      </c>
      <c r="G481">
        <v>186.6</v>
      </c>
      <c r="H481">
        <v>188.7</v>
      </c>
      <c r="I481">
        <v>1856594</v>
      </c>
      <c r="J481">
        <v>350532179.75</v>
      </c>
      <c r="K481" s="1">
        <v>43777</v>
      </c>
      <c r="L481">
        <v>15837</v>
      </c>
      <c r="M481" t="s">
        <v>1543</v>
      </c>
    </row>
    <row r="482" spans="1:13" x14ac:dyDescent="0.25">
      <c r="A482" t="s">
        <v>1544</v>
      </c>
      <c r="B482" t="s">
        <v>14</v>
      </c>
      <c r="C482">
        <v>280</v>
      </c>
      <c r="D482">
        <v>280</v>
      </c>
      <c r="E482">
        <v>271</v>
      </c>
      <c r="F482">
        <v>271.3</v>
      </c>
      <c r="G482">
        <v>271</v>
      </c>
      <c r="H482">
        <v>272.8</v>
      </c>
      <c r="I482">
        <v>7282</v>
      </c>
      <c r="J482">
        <v>1981766.95</v>
      </c>
      <c r="K482" s="1">
        <v>43777</v>
      </c>
      <c r="L482">
        <v>237</v>
      </c>
      <c r="M482" t="s">
        <v>1546</v>
      </c>
    </row>
    <row r="483" spans="1:13" x14ac:dyDescent="0.25">
      <c r="A483" t="s">
        <v>1550</v>
      </c>
      <c r="B483" t="s">
        <v>14</v>
      </c>
      <c r="C483">
        <v>39.5</v>
      </c>
      <c r="D483">
        <v>40.4</v>
      </c>
      <c r="E483">
        <v>38.700000000000003</v>
      </c>
      <c r="F483">
        <v>38.9</v>
      </c>
      <c r="G483">
        <v>38.9</v>
      </c>
      <c r="H483">
        <v>39.75</v>
      </c>
      <c r="I483">
        <v>107850</v>
      </c>
      <c r="J483">
        <v>4258351.75</v>
      </c>
      <c r="K483" s="1">
        <v>43777</v>
      </c>
      <c r="L483">
        <v>897</v>
      </c>
      <c r="M483" t="s">
        <v>1552</v>
      </c>
    </row>
    <row r="484" spans="1:13" x14ac:dyDescent="0.25">
      <c r="A484" t="s">
        <v>7609</v>
      </c>
      <c r="B484" t="s">
        <v>14</v>
      </c>
      <c r="C484">
        <v>499.85</v>
      </c>
      <c r="D484">
        <v>499.9</v>
      </c>
      <c r="E484">
        <v>485.05</v>
      </c>
      <c r="F484">
        <v>486.35</v>
      </c>
      <c r="G484">
        <v>486</v>
      </c>
      <c r="H484">
        <v>493.9</v>
      </c>
      <c r="I484">
        <v>9541</v>
      </c>
      <c r="J484">
        <v>4672569.5</v>
      </c>
      <c r="K484" s="1">
        <v>43777</v>
      </c>
      <c r="L484">
        <v>477</v>
      </c>
      <c r="M484" t="s">
        <v>4011</v>
      </c>
    </row>
    <row r="485" spans="1:13" x14ac:dyDescent="0.25">
      <c r="A485" t="s">
        <v>1559</v>
      </c>
      <c r="B485" t="s">
        <v>14</v>
      </c>
      <c r="C485">
        <v>26.5</v>
      </c>
      <c r="D485">
        <v>31.9</v>
      </c>
      <c r="E485">
        <v>26.5</v>
      </c>
      <c r="F485">
        <v>28.9</v>
      </c>
      <c r="G485">
        <v>29.2</v>
      </c>
      <c r="H485">
        <v>27.15</v>
      </c>
      <c r="I485">
        <v>579056</v>
      </c>
      <c r="J485">
        <v>16966650.75</v>
      </c>
      <c r="K485" s="1">
        <v>43777</v>
      </c>
      <c r="L485">
        <v>3512</v>
      </c>
      <c r="M485" t="s">
        <v>1561</v>
      </c>
    </row>
    <row r="486" spans="1:13" x14ac:dyDescent="0.25">
      <c r="A486" t="s">
        <v>1562</v>
      </c>
      <c r="B486" t="s">
        <v>14</v>
      </c>
      <c r="C486">
        <v>25.5</v>
      </c>
      <c r="D486">
        <v>25.95</v>
      </c>
      <c r="E486">
        <v>25.05</v>
      </c>
      <c r="F486">
        <v>25.2</v>
      </c>
      <c r="G486">
        <v>25.1</v>
      </c>
      <c r="H486">
        <v>25.65</v>
      </c>
      <c r="I486">
        <v>771339</v>
      </c>
      <c r="J486">
        <v>19557732.949999999</v>
      </c>
      <c r="K486" s="1">
        <v>43777</v>
      </c>
      <c r="L486">
        <v>3066</v>
      </c>
      <c r="M486" t="s">
        <v>1564</v>
      </c>
    </row>
    <row r="487" spans="1:13" x14ac:dyDescent="0.25">
      <c r="A487" t="s">
        <v>1565</v>
      </c>
      <c r="B487" t="s">
        <v>14</v>
      </c>
      <c r="C487">
        <v>0.2</v>
      </c>
      <c r="D487">
        <v>0.25</v>
      </c>
      <c r="E487">
        <v>0.2</v>
      </c>
      <c r="F487">
        <v>0.25</v>
      </c>
      <c r="G487">
        <v>0.25</v>
      </c>
      <c r="H487">
        <v>0.25</v>
      </c>
      <c r="I487">
        <v>793949</v>
      </c>
      <c r="J487">
        <v>186037.2</v>
      </c>
      <c r="K487" s="1">
        <v>43777</v>
      </c>
      <c r="L487">
        <v>995</v>
      </c>
      <c r="M487" t="s">
        <v>1567</v>
      </c>
    </row>
    <row r="488" spans="1:13" x14ac:dyDescent="0.25">
      <c r="A488" t="s">
        <v>1568</v>
      </c>
      <c r="B488" t="s">
        <v>14</v>
      </c>
      <c r="C488">
        <v>180</v>
      </c>
      <c r="D488">
        <v>187</v>
      </c>
      <c r="E488">
        <v>177.25</v>
      </c>
      <c r="F488">
        <v>177.95</v>
      </c>
      <c r="G488">
        <v>178.5</v>
      </c>
      <c r="H488">
        <v>177.65</v>
      </c>
      <c r="I488">
        <v>62464</v>
      </c>
      <c r="J488">
        <v>11200259.199999999</v>
      </c>
      <c r="K488" s="1">
        <v>43777</v>
      </c>
      <c r="L488">
        <v>1662</v>
      </c>
      <c r="M488" t="s">
        <v>1570</v>
      </c>
    </row>
    <row r="489" spans="1:13" x14ac:dyDescent="0.25">
      <c r="A489" t="s">
        <v>1571</v>
      </c>
      <c r="B489" t="s">
        <v>14</v>
      </c>
      <c r="C489">
        <v>83.95</v>
      </c>
      <c r="D489">
        <v>83.95</v>
      </c>
      <c r="E489">
        <v>81.900000000000006</v>
      </c>
      <c r="F489">
        <v>82.15</v>
      </c>
      <c r="G489">
        <v>82.25</v>
      </c>
      <c r="H489">
        <v>83.95</v>
      </c>
      <c r="I489">
        <v>9558248</v>
      </c>
      <c r="J489">
        <v>793471503.75</v>
      </c>
      <c r="K489" s="1">
        <v>43777</v>
      </c>
      <c r="L489">
        <v>37273</v>
      </c>
      <c r="M489" t="s">
        <v>1573</v>
      </c>
    </row>
    <row r="490" spans="1:13" x14ac:dyDescent="0.25">
      <c r="A490" t="s">
        <v>1574</v>
      </c>
      <c r="B490" t="s">
        <v>14</v>
      </c>
      <c r="C490">
        <v>24.75</v>
      </c>
      <c r="D490">
        <v>25.3</v>
      </c>
      <c r="E490">
        <v>24.5</v>
      </c>
      <c r="F490">
        <v>24.9</v>
      </c>
      <c r="G490">
        <v>24.75</v>
      </c>
      <c r="H490">
        <v>25.05</v>
      </c>
      <c r="I490">
        <v>635003</v>
      </c>
      <c r="J490">
        <v>15852281.35</v>
      </c>
      <c r="K490" s="1">
        <v>43777</v>
      </c>
      <c r="L490">
        <v>1771</v>
      </c>
      <c r="M490" t="s">
        <v>1576</v>
      </c>
    </row>
    <row r="491" spans="1:13" x14ac:dyDescent="0.25">
      <c r="A491" t="s">
        <v>6695</v>
      </c>
      <c r="B491" t="s">
        <v>14</v>
      </c>
      <c r="C491">
        <v>24.05</v>
      </c>
      <c r="D491">
        <v>24.75</v>
      </c>
      <c r="E491">
        <v>22.8</v>
      </c>
      <c r="F491">
        <v>23.55</v>
      </c>
      <c r="G491">
        <v>23.75</v>
      </c>
      <c r="H491">
        <v>24.5</v>
      </c>
      <c r="I491">
        <v>62217</v>
      </c>
      <c r="J491">
        <v>1486566.45</v>
      </c>
      <c r="K491" s="1">
        <v>43777</v>
      </c>
      <c r="L491">
        <v>282</v>
      </c>
      <c r="M491" t="s">
        <v>6694</v>
      </c>
    </row>
    <row r="492" spans="1:13" x14ac:dyDescent="0.25">
      <c r="A492" t="s">
        <v>1580</v>
      </c>
      <c r="B492" t="s">
        <v>14</v>
      </c>
      <c r="C492">
        <v>378.8</v>
      </c>
      <c r="D492">
        <v>383.95</v>
      </c>
      <c r="E492">
        <v>368.35</v>
      </c>
      <c r="F492">
        <v>370.15</v>
      </c>
      <c r="G492">
        <v>373.3</v>
      </c>
      <c r="H492">
        <v>375</v>
      </c>
      <c r="I492">
        <v>6578</v>
      </c>
      <c r="J492">
        <v>2462877.5</v>
      </c>
      <c r="K492" s="1">
        <v>43777</v>
      </c>
      <c r="L492">
        <v>314</v>
      </c>
      <c r="M492" t="s">
        <v>1582</v>
      </c>
    </row>
    <row r="493" spans="1:13" x14ac:dyDescent="0.25">
      <c r="A493" t="s">
        <v>1583</v>
      </c>
      <c r="B493" t="s">
        <v>14</v>
      </c>
      <c r="C493">
        <v>37.4</v>
      </c>
      <c r="D493">
        <v>39.799999999999997</v>
      </c>
      <c r="E493">
        <v>37.4</v>
      </c>
      <c r="F493">
        <v>39.15</v>
      </c>
      <c r="G493">
        <v>39.299999999999997</v>
      </c>
      <c r="H493">
        <v>38.049999999999997</v>
      </c>
      <c r="I493">
        <v>211735</v>
      </c>
      <c r="J493">
        <v>8311747</v>
      </c>
      <c r="K493" s="1">
        <v>43777</v>
      </c>
      <c r="L493">
        <v>962</v>
      </c>
      <c r="M493" t="s">
        <v>7608</v>
      </c>
    </row>
    <row r="494" spans="1:13" x14ac:dyDescent="0.25">
      <c r="A494" t="s">
        <v>1586</v>
      </c>
      <c r="B494" t="s">
        <v>14</v>
      </c>
      <c r="C494">
        <v>375.1</v>
      </c>
      <c r="D494">
        <v>377.15</v>
      </c>
      <c r="E494">
        <v>370</v>
      </c>
      <c r="F494">
        <v>371.05</v>
      </c>
      <c r="G494">
        <v>371</v>
      </c>
      <c r="H494">
        <v>375.95</v>
      </c>
      <c r="I494">
        <v>43451</v>
      </c>
      <c r="J494">
        <v>16133231.199999999</v>
      </c>
      <c r="K494" s="1">
        <v>43777</v>
      </c>
      <c r="L494">
        <v>2625</v>
      </c>
      <c r="M494" t="s">
        <v>1588</v>
      </c>
    </row>
    <row r="495" spans="1:13" x14ac:dyDescent="0.25">
      <c r="A495" t="s">
        <v>1589</v>
      </c>
      <c r="B495" t="s">
        <v>14</v>
      </c>
      <c r="C495">
        <v>1938.7</v>
      </c>
      <c r="D495">
        <v>1938.7</v>
      </c>
      <c r="E495">
        <v>1885</v>
      </c>
      <c r="F495">
        <v>1893.85</v>
      </c>
      <c r="G495">
        <v>1885</v>
      </c>
      <c r="H495">
        <v>1932.5</v>
      </c>
      <c r="I495">
        <v>7568</v>
      </c>
      <c r="J495">
        <v>14374438.050000001</v>
      </c>
      <c r="K495" s="1">
        <v>43777</v>
      </c>
      <c r="L495">
        <v>2403</v>
      </c>
      <c r="M495" t="s">
        <v>1591</v>
      </c>
    </row>
    <row r="496" spans="1:13" x14ac:dyDescent="0.25">
      <c r="A496" t="s">
        <v>1595</v>
      </c>
      <c r="B496" t="s">
        <v>14</v>
      </c>
      <c r="C496">
        <v>611.35</v>
      </c>
      <c r="D496">
        <v>616.75</v>
      </c>
      <c r="E496">
        <v>590.04999999999995</v>
      </c>
      <c r="F496">
        <v>592.15</v>
      </c>
      <c r="G496">
        <v>591.25</v>
      </c>
      <c r="H496">
        <v>608.15</v>
      </c>
      <c r="I496">
        <v>28140</v>
      </c>
      <c r="J496">
        <v>16934996.949999999</v>
      </c>
      <c r="K496" s="1">
        <v>43777</v>
      </c>
      <c r="L496">
        <v>4152</v>
      </c>
      <c r="M496" t="s">
        <v>7607</v>
      </c>
    </row>
    <row r="497" spans="1:13" x14ac:dyDescent="0.25">
      <c r="A497" t="s">
        <v>1601</v>
      </c>
      <c r="B497" t="s">
        <v>14</v>
      </c>
      <c r="C497">
        <v>3.9</v>
      </c>
      <c r="D497">
        <v>4.0999999999999996</v>
      </c>
      <c r="E497">
        <v>3.9</v>
      </c>
      <c r="F497">
        <v>4.0999999999999996</v>
      </c>
      <c r="G497">
        <v>3.95</v>
      </c>
      <c r="H497">
        <v>4.0999999999999996</v>
      </c>
      <c r="I497">
        <v>6605</v>
      </c>
      <c r="J497">
        <v>26808.05</v>
      </c>
      <c r="K497" s="1">
        <v>43777</v>
      </c>
      <c r="L497">
        <v>42</v>
      </c>
      <c r="M497" t="s">
        <v>1603</v>
      </c>
    </row>
    <row r="498" spans="1:13" x14ac:dyDescent="0.25">
      <c r="A498" t="s">
        <v>1604</v>
      </c>
      <c r="B498" t="s">
        <v>14</v>
      </c>
      <c r="C498">
        <v>397.4</v>
      </c>
      <c r="D498">
        <v>414.95</v>
      </c>
      <c r="E498">
        <v>387.95</v>
      </c>
      <c r="F498">
        <v>396</v>
      </c>
      <c r="G498">
        <v>400</v>
      </c>
      <c r="H498">
        <v>398.05</v>
      </c>
      <c r="I498">
        <v>62886</v>
      </c>
      <c r="J498">
        <v>24906472.949999999</v>
      </c>
      <c r="K498" s="1">
        <v>43777</v>
      </c>
      <c r="L498">
        <v>2558</v>
      </c>
      <c r="M498" t="s">
        <v>1606</v>
      </c>
    </row>
    <row r="499" spans="1:13" x14ac:dyDescent="0.25">
      <c r="A499" t="s">
        <v>1607</v>
      </c>
      <c r="B499" t="s">
        <v>14</v>
      </c>
      <c r="C499">
        <v>602</v>
      </c>
      <c r="D499">
        <v>634</v>
      </c>
      <c r="E499">
        <v>595</v>
      </c>
      <c r="F499">
        <v>616.9</v>
      </c>
      <c r="G499">
        <v>621.04999999999995</v>
      </c>
      <c r="H499">
        <v>608.4</v>
      </c>
      <c r="I499">
        <v>21249</v>
      </c>
      <c r="J499">
        <v>13000573.449999999</v>
      </c>
      <c r="K499" s="1">
        <v>43777</v>
      </c>
      <c r="L499">
        <v>3502</v>
      </c>
      <c r="M499" t="s">
        <v>1609</v>
      </c>
    </row>
    <row r="500" spans="1:13" x14ac:dyDescent="0.25">
      <c r="A500" t="s">
        <v>1610</v>
      </c>
      <c r="B500" t="s">
        <v>14</v>
      </c>
      <c r="C500">
        <v>624.54999999999995</v>
      </c>
      <c r="D500">
        <v>638.79999999999995</v>
      </c>
      <c r="E500">
        <v>589.5</v>
      </c>
      <c r="F500">
        <v>594.1</v>
      </c>
      <c r="G500">
        <v>593.4</v>
      </c>
      <c r="H500">
        <v>630.65</v>
      </c>
      <c r="I500">
        <v>61562</v>
      </c>
      <c r="J500">
        <v>37188316.850000001</v>
      </c>
      <c r="K500" s="1">
        <v>43777</v>
      </c>
      <c r="L500">
        <v>2401</v>
      </c>
      <c r="M500" t="s">
        <v>1612</v>
      </c>
    </row>
    <row r="501" spans="1:13" x14ac:dyDescent="0.25">
      <c r="A501" t="s">
        <v>1613</v>
      </c>
      <c r="B501" t="s">
        <v>14</v>
      </c>
      <c r="C501">
        <v>34</v>
      </c>
      <c r="D501">
        <v>34</v>
      </c>
      <c r="E501">
        <v>32.200000000000003</v>
      </c>
      <c r="F501">
        <v>32.549999999999997</v>
      </c>
      <c r="G501">
        <v>32.200000000000003</v>
      </c>
      <c r="H501">
        <v>33.15</v>
      </c>
      <c r="I501">
        <v>14472</v>
      </c>
      <c r="J501">
        <v>476047.15</v>
      </c>
      <c r="K501" s="1">
        <v>43777</v>
      </c>
      <c r="L501">
        <v>127</v>
      </c>
      <c r="M501" t="s">
        <v>1615</v>
      </c>
    </row>
    <row r="502" spans="1:13" x14ac:dyDescent="0.25">
      <c r="A502" t="s">
        <v>7606</v>
      </c>
      <c r="B502" t="s">
        <v>14</v>
      </c>
      <c r="C502">
        <v>1108.95</v>
      </c>
      <c r="D502">
        <v>1124</v>
      </c>
      <c r="E502">
        <v>1080.3499999999999</v>
      </c>
      <c r="F502">
        <v>1083.05</v>
      </c>
      <c r="G502">
        <v>1082</v>
      </c>
      <c r="H502">
        <v>1105</v>
      </c>
      <c r="I502">
        <v>20507</v>
      </c>
      <c r="J502">
        <v>22558519.5</v>
      </c>
      <c r="K502" s="1">
        <v>43777</v>
      </c>
      <c r="L502">
        <v>2470</v>
      </c>
      <c r="M502" t="s">
        <v>7605</v>
      </c>
    </row>
    <row r="503" spans="1:13" x14ac:dyDescent="0.25">
      <c r="A503" t="s">
        <v>1622</v>
      </c>
      <c r="B503" t="s">
        <v>14</v>
      </c>
      <c r="C503">
        <v>150.80000000000001</v>
      </c>
      <c r="D503">
        <v>153.5</v>
      </c>
      <c r="E503">
        <v>149.80000000000001</v>
      </c>
      <c r="F503">
        <v>152.05000000000001</v>
      </c>
      <c r="G503">
        <v>152.15</v>
      </c>
      <c r="H503">
        <v>150.80000000000001</v>
      </c>
      <c r="I503">
        <v>3404637</v>
      </c>
      <c r="J503">
        <v>518319130.94999999</v>
      </c>
      <c r="K503" s="1">
        <v>43777</v>
      </c>
      <c r="L503">
        <v>19765</v>
      </c>
      <c r="M503" t="s">
        <v>1624</v>
      </c>
    </row>
    <row r="504" spans="1:13" x14ac:dyDescent="0.25">
      <c r="A504" t="s">
        <v>1625</v>
      </c>
      <c r="B504" t="s">
        <v>14</v>
      </c>
      <c r="C504">
        <v>1352.65</v>
      </c>
      <c r="D504">
        <v>1399</v>
      </c>
      <c r="E504">
        <v>1340.4</v>
      </c>
      <c r="F504">
        <v>1369.45</v>
      </c>
      <c r="G504">
        <v>1370</v>
      </c>
      <c r="H504">
        <v>1352.65</v>
      </c>
      <c r="I504">
        <v>594</v>
      </c>
      <c r="J504">
        <v>814752.45</v>
      </c>
      <c r="K504" s="1">
        <v>43777</v>
      </c>
      <c r="L504">
        <v>319</v>
      </c>
      <c r="M504" t="s">
        <v>1627</v>
      </c>
    </row>
    <row r="505" spans="1:13" x14ac:dyDescent="0.25">
      <c r="A505" t="s">
        <v>7604</v>
      </c>
      <c r="B505" t="s">
        <v>5788</v>
      </c>
      <c r="C505">
        <v>14</v>
      </c>
      <c r="D505">
        <v>14</v>
      </c>
      <c r="E505">
        <v>14</v>
      </c>
      <c r="F505">
        <v>14</v>
      </c>
      <c r="G505">
        <v>14</v>
      </c>
      <c r="H505">
        <v>14.7</v>
      </c>
      <c r="I505">
        <v>31000</v>
      </c>
      <c r="J505">
        <v>434000</v>
      </c>
      <c r="K505" s="1">
        <v>43777</v>
      </c>
      <c r="L505">
        <v>2</v>
      </c>
      <c r="M505" t="s">
        <v>7603</v>
      </c>
    </row>
    <row r="506" spans="1:13" x14ac:dyDescent="0.25">
      <c r="A506" t="s">
        <v>1628</v>
      </c>
      <c r="B506" t="s">
        <v>14</v>
      </c>
      <c r="C506">
        <v>360.4</v>
      </c>
      <c r="D506">
        <v>364</v>
      </c>
      <c r="E506">
        <v>351.65</v>
      </c>
      <c r="F506">
        <v>359.5</v>
      </c>
      <c r="G506">
        <v>360</v>
      </c>
      <c r="H506">
        <v>360.35</v>
      </c>
      <c r="I506">
        <v>243337</v>
      </c>
      <c r="J506">
        <v>87559978.299999997</v>
      </c>
      <c r="K506" s="1">
        <v>43777</v>
      </c>
      <c r="L506">
        <v>3851</v>
      </c>
      <c r="M506" t="s">
        <v>1630</v>
      </c>
    </row>
    <row r="507" spans="1:13" x14ac:dyDescent="0.25">
      <c r="A507" t="s">
        <v>1631</v>
      </c>
      <c r="B507" t="s">
        <v>14</v>
      </c>
      <c r="C507">
        <v>484.95</v>
      </c>
      <c r="D507">
        <v>490.05</v>
      </c>
      <c r="E507">
        <v>469.85</v>
      </c>
      <c r="F507">
        <v>480.35</v>
      </c>
      <c r="G507">
        <v>483</v>
      </c>
      <c r="H507">
        <v>485.25</v>
      </c>
      <c r="I507">
        <v>43044</v>
      </c>
      <c r="J507">
        <v>20577849.949999999</v>
      </c>
      <c r="K507" s="1">
        <v>43777</v>
      </c>
      <c r="L507">
        <v>1028</v>
      </c>
      <c r="M507" t="s">
        <v>1633</v>
      </c>
    </row>
    <row r="508" spans="1:13" x14ac:dyDescent="0.25">
      <c r="A508" t="s">
        <v>1634</v>
      </c>
      <c r="B508" t="s">
        <v>14</v>
      </c>
      <c r="C508">
        <v>45.9</v>
      </c>
      <c r="D508">
        <v>46.3</v>
      </c>
      <c r="E508">
        <v>45</v>
      </c>
      <c r="F508">
        <v>45.1</v>
      </c>
      <c r="G508">
        <v>45.05</v>
      </c>
      <c r="H508">
        <v>46.3</v>
      </c>
      <c r="I508">
        <v>1505963</v>
      </c>
      <c r="J508">
        <v>68335145.349999994</v>
      </c>
      <c r="K508" s="1">
        <v>43777</v>
      </c>
      <c r="L508">
        <v>7291</v>
      </c>
      <c r="M508" t="s">
        <v>1636</v>
      </c>
    </row>
    <row r="509" spans="1:13" x14ac:dyDescent="0.25">
      <c r="A509" t="s">
        <v>1640</v>
      </c>
      <c r="B509" t="s">
        <v>14</v>
      </c>
      <c r="C509">
        <v>121.5</v>
      </c>
      <c r="D509">
        <v>121.5</v>
      </c>
      <c r="E509">
        <v>116.6</v>
      </c>
      <c r="F509">
        <v>117.5</v>
      </c>
      <c r="G509">
        <v>117.1</v>
      </c>
      <c r="H509">
        <v>121.7</v>
      </c>
      <c r="I509">
        <v>88640</v>
      </c>
      <c r="J509">
        <v>10509267.85</v>
      </c>
      <c r="K509" s="1">
        <v>43777</v>
      </c>
      <c r="L509">
        <v>2089</v>
      </c>
      <c r="M509" t="s">
        <v>1642</v>
      </c>
    </row>
    <row r="510" spans="1:13" x14ac:dyDescent="0.25">
      <c r="A510" t="s">
        <v>1643</v>
      </c>
      <c r="B510" t="s">
        <v>14</v>
      </c>
      <c r="C510">
        <v>133</v>
      </c>
      <c r="D510">
        <v>133.94999999999999</v>
      </c>
      <c r="E510">
        <v>129.9</v>
      </c>
      <c r="F510">
        <v>130.35</v>
      </c>
      <c r="G510">
        <v>130.9</v>
      </c>
      <c r="H510">
        <v>132.85</v>
      </c>
      <c r="I510">
        <v>41053</v>
      </c>
      <c r="J510">
        <v>5400366.9000000004</v>
      </c>
      <c r="K510" s="1">
        <v>43777</v>
      </c>
      <c r="L510">
        <v>747</v>
      </c>
      <c r="M510" t="s">
        <v>7602</v>
      </c>
    </row>
    <row r="511" spans="1:13" x14ac:dyDescent="0.25">
      <c r="A511" t="s">
        <v>1646</v>
      </c>
      <c r="B511" t="s">
        <v>14</v>
      </c>
      <c r="C511">
        <v>131.80000000000001</v>
      </c>
      <c r="D511">
        <v>131.94999999999999</v>
      </c>
      <c r="E511">
        <v>125.9</v>
      </c>
      <c r="F511">
        <v>127.05</v>
      </c>
      <c r="G511">
        <v>126.95</v>
      </c>
      <c r="H511">
        <v>132.1</v>
      </c>
      <c r="I511">
        <v>21300806</v>
      </c>
      <c r="J511">
        <v>2729651689.4000001</v>
      </c>
      <c r="K511" s="1">
        <v>43777</v>
      </c>
      <c r="L511">
        <v>113804</v>
      </c>
      <c r="M511" t="s">
        <v>1648</v>
      </c>
    </row>
    <row r="512" spans="1:13" x14ac:dyDescent="0.25">
      <c r="A512" t="s">
        <v>7601</v>
      </c>
      <c r="B512" t="s">
        <v>14</v>
      </c>
      <c r="C512">
        <v>1.85</v>
      </c>
      <c r="D512">
        <v>1.9</v>
      </c>
      <c r="E512">
        <v>1.8</v>
      </c>
      <c r="F512">
        <v>1.9</v>
      </c>
      <c r="G512">
        <v>1.9</v>
      </c>
      <c r="H512">
        <v>1.85</v>
      </c>
      <c r="I512">
        <v>36879</v>
      </c>
      <c r="J512">
        <v>69465.05</v>
      </c>
      <c r="K512" s="1">
        <v>43777</v>
      </c>
      <c r="L512">
        <v>42</v>
      </c>
      <c r="M512" t="s">
        <v>4557</v>
      </c>
    </row>
    <row r="513" spans="1:13" x14ac:dyDescent="0.25">
      <c r="A513" t="s">
        <v>1649</v>
      </c>
      <c r="B513" t="s">
        <v>14</v>
      </c>
      <c r="C513">
        <v>1480</v>
      </c>
      <c r="D513">
        <v>1648.45</v>
      </c>
      <c r="E513">
        <v>1479.95</v>
      </c>
      <c r="F513">
        <v>1567.75</v>
      </c>
      <c r="G513">
        <v>1568</v>
      </c>
      <c r="H513">
        <v>1480.6</v>
      </c>
      <c r="I513">
        <v>95378</v>
      </c>
      <c r="J513">
        <v>150949737.19999999</v>
      </c>
      <c r="K513" s="1">
        <v>43777</v>
      </c>
      <c r="L513">
        <v>21182</v>
      </c>
      <c r="M513" t="s">
        <v>1651</v>
      </c>
    </row>
    <row r="514" spans="1:13" x14ac:dyDescent="0.25">
      <c r="A514" t="s">
        <v>1652</v>
      </c>
      <c r="B514" t="s">
        <v>14</v>
      </c>
      <c r="C514">
        <v>27.2</v>
      </c>
      <c r="D514">
        <v>27.25</v>
      </c>
      <c r="E514">
        <v>25.8</v>
      </c>
      <c r="F514">
        <v>26.1</v>
      </c>
      <c r="G514">
        <v>26.05</v>
      </c>
      <c r="H514">
        <v>26.4</v>
      </c>
      <c r="I514">
        <v>4819</v>
      </c>
      <c r="J514">
        <v>126573.4</v>
      </c>
      <c r="K514" s="1">
        <v>43777</v>
      </c>
      <c r="L514">
        <v>100</v>
      </c>
      <c r="M514" t="s">
        <v>1654</v>
      </c>
    </row>
    <row r="515" spans="1:13" x14ac:dyDescent="0.25">
      <c r="A515" t="s">
        <v>7600</v>
      </c>
      <c r="B515" t="s">
        <v>14</v>
      </c>
      <c r="C515">
        <v>19.25</v>
      </c>
      <c r="D515">
        <v>19.3</v>
      </c>
      <c r="E515">
        <v>19.05</v>
      </c>
      <c r="F515">
        <v>19.149999999999999</v>
      </c>
      <c r="G515">
        <v>19.149999999999999</v>
      </c>
      <c r="H515">
        <v>19.25</v>
      </c>
      <c r="I515">
        <v>2061</v>
      </c>
      <c r="J515">
        <v>39434.85</v>
      </c>
      <c r="K515" s="1">
        <v>43777</v>
      </c>
      <c r="L515">
        <v>33</v>
      </c>
      <c r="M515" t="s">
        <v>7599</v>
      </c>
    </row>
    <row r="516" spans="1:13" x14ac:dyDescent="0.25">
      <c r="A516" t="s">
        <v>7598</v>
      </c>
      <c r="B516" t="s">
        <v>14</v>
      </c>
      <c r="C516">
        <v>0.3</v>
      </c>
      <c r="D516">
        <v>0.3</v>
      </c>
      <c r="E516">
        <v>0.25</v>
      </c>
      <c r="F516">
        <v>0.3</v>
      </c>
      <c r="G516">
        <v>0.3</v>
      </c>
      <c r="H516">
        <v>0.3</v>
      </c>
      <c r="I516">
        <v>676013</v>
      </c>
      <c r="J516">
        <v>180450.85</v>
      </c>
      <c r="K516" s="1">
        <v>43777</v>
      </c>
      <c r="L516">
        <v>145</v>
      </c>
      <c r="M516" t="s">
        <v>7597</v>
      </c>
    </row>
    <row r="517" spans="1:13" x14ac:dyDescent="0.25">
      <c r="A517" t="s">
        <v>1655</v>
      </c>
      <c r="B517" t="s">
        <v>14</v>
      </c>
      <c r="C517">
        <v>296.3</v>
      </c>
      <c r="D517">
        <v>297.95</v>
      </c>
      <c r="E517">
        <v>295</v>
      </c>
      <c r="F517">
        <v>295.14999999999998</v>
      </c>
      <c r="G517">
        <v>295</v>
      </c>
      <c r="H517">
        <v>299.5</v>
      </c>
      <c r="I517">
        <v>603</v>
      </c>
      <c r="J517">
        <v>178282.6</v>
      </c>
      <c r="K517" s="1">
        <v>43777</v>
      </c>
      <c r="L517">
        <v>55</v>
      </c>
      <c r="M517" t="s">
        <v>1657</v>
      </c>
    </row>
    <row r="518" spans="1:13" x14ac:dyDescent="0.25">
      <c r="A518" t="s">
        <v>1658</v>
      </c>
      <c r="B518" t="s">
        <v>14</v>
      </c>
      <c r="C518">
        <v>274.75</v>
      </c>
      <c r="D518">
        <v>276.89999999999998</v>
      </c>
      <c r="E518">
        <v>265.14999999999998</v>
      </c>
      <c r="F518">
        <v>267.25</v>
      </c>
      <c r="G518">
        <v>269</v>
      </c>
      <c r="H518">
        <v>269.60000000000002</v>
      </c>
      <c r="I518">
        <v>1910</v>
      </c>
      <c r="J518">
        <v>514941.15</v>
      </c>
      <c r="K518" s="1">
        <v>43777</v>
      </c>
      <c r="L518">
        <v>139</v>
      </c>
      <c r="M518" t="s">
        <v>1660</v>
      </c>
    </row>
    <row r="519" spans="1:13" x14ac:dyDescent="0.25">
      <c r="A519" t="s">
        <v>1664</v>
      </c>
      <c r="B519" t="s">
        <v>14</v>
      </c>
      <c r="C519">
        <v>36</v>
      </c>
      <c r="D519">
        <v>36.65</v>
      </c>
      <c r="E519">
        <v>35</v>
      </c>
      <c r="F519">
        <v>35.049999999999997</v>
      </c>
      <c r="G519">
        <v>35.200000000000003</v>
      </c>
      <c r="H519">
        <v>36</v>
      </c>
      <c r="I519">
        <v>29891</v>
      </c>
      <c r="J519">
        <v>1060976.8500000001</v>
      </c>
      <c r="K519" s="1">
        <v>43777</v>
      </c>
      <c r="L519">
        <v>666</v>
      </c>
      <c r="M519" t="s">
        <v>1666</v>
      </c>
    </row>
    <row r="520" spans="1:13" x14ac:dyDescent="0.25">
      <c r="A520" t="s">
        <v>1670</v>
      </c>
      <c r="B520" t="s">
        <v>14</v>
      </c>
      <c r="C520">
        <v>39.700000000000003</v>
      </c>
      <c r="D520">
        <v>40.299999999999997</v>
      </c>
      <c r="E520">
        <v>39.700000000000003</v>
      </c>
      <c r="F520">
        <v>40.15</v>
      </c>
      <c r="G520">
        <v>40.299999999999997</v>
      </c>
      <c r="H520">
        <v>40.1</v>
      </c>
      <c r="I520">
        <v>567</v>
      </c>
      <c r="J520">
        <v>22708</v>
      </c>
      <c r="K520" s="1">
        <v>43777</v>
      </c>
      <c r="L520">
        <v>9</v>
      </c>
      <c r="M520" t="s">
        <v>1672</v>
      </c>
    </row>
    <row r="521" spans="1:13" x14ac:dyDescent="0.25">
      <c r="A521" t="s">
        <v>7596</v>
      </c>
      <c r="B521" t="s">
        <v>786</v>
      </c>
      <c r="C521">
        <v>0.6</v>
      </c>
      <c r="D521">
        <v>0.6</v>
      </c>
      <c r="E521">
        <v>0.55000000000000004</v>
      </c>
      <c r="F521">
        <v>0.55000000000000004</v>
      </c>
      <c r="G521">
        <v>0.55000000000000004</v>
      </c>
      <c r="H521">
        <v>0.6</v>
      </c>
      <c r="I521">
        <v>11569</v>
      </c>
      <c r="J521">
        <v>6518.45</v>
      </c>
      <c r="K521" s="1">
        <v>43777</v>
      </c>
      <c r="L521">
        <v>30</v>
      </c>
      <c r="M521" t="s">
        <v>7595</v>
      </c>
    </row>
    <row r="522" spans="1:13" x14ac:dyDescent="0.25">
      <c r="A522" t="s">
        <v>7594</v>
      </c>
      <c r="B522" t="s">
        <v>14</v>
      </c>
      <c r="C522">
        <v>11</v>
      </c>
      <c r="D522">
        <v>11.5</v>
      </c>
      <c r="E522">
        <v>10.85</v>
      </c>
      <c r="F522">
        <v>11.25</v>
      </c>
      <c r="G522">
        <v>11.3</v>
      </c>
      <c r="H522">
        <v>11.05</v>
      </c>
      <c r="I522">
        <v>26258</v>
      </c>
      <c r="J522">
        <v>296818.40000000002</v>
      </c>
      <c r="K522" s="1">
        <v>43777</v>
      </c>
      <c r="L522">
        <v>167</v>
      </c>
      <c r="M522" t="s">
        <v>7593</v>
      </c>
    </row>
    <row r="523" spans="1:13" x14ac:dyDescent="0.25">
      <c r="A523" t="s">
        <v>1673</v>
      </c>
      <c r="B523" t="s">
        <v>14</v>
      </c>
      <c r="C523">
        <v>1203.5999999999999</v>
      </c>
      <c r="D523">
        <v>1215</v>
      </c>
      <c r="E523">
        <v>1199.95</v>
      </c>
      <c r="F523">
        <v>1200.75</v>
      </c>
      <c r="G523">
        <v>1201.25</v>
      </c>
      <c r="H523">
        <v>1203.55</v>
      </c>
      <c r="I523">
        <v>4887</v>
      </c>
      <c r="J523">
        <v>5875947</v>
      </c>
      <c r="K523" s="1">
        <v>43777</v>
      </c>
      <c r="L523">
        <v>219</v>
      </c>
      <c r="M523" t="s">
        <v>1675</v>
      </c>
    </row>
    <row r="524" spans="1:13" x14ac:dyDescent="0.25">
      <c r="A524" t="s">
        <v>1682</v>
      </c>
      <c r="B524" t="s">
        <v>14</v>
      </c>
      <c r="C524">
        <v>62.15</v>
      </c>
      <c r="D524">
        <v>65.8</v>
      </c>
      <c r="E524">
        <v>62</v>
      </c>
      <c r="F524">
        <v>63.65</v>
      </c>
      <c r="G524">
        <v>63.5</v>
      </c>
      <c r="H524">
        <v>63.95</v>
      </c>
      <c r="I524">
        <v>741622</v>
      </c>
      <c r="J524">
        <v>47029695.25</v>
      </c>
      <c r="K524" s="1">
        <v>43777</v>
      </c>
      <c r="L524">
        <v>4039</v>
      </c>
      <c r="M524" t="s">
        <v>1684</v>
      </c>
    </row>
    <row r="525" spans="1:13" x14ac:dyDescent="0.25">
      <c r="A525" t="s">
        <v>1685</v>
      </c>
      <c r="B525" t="s">
        <v>10</v>
      </c>
      <c r="C525">
        <v>0.25</v>
      </c>
      <c r="D525">
        <v>0.25</v>
      </c>
      <c r="E525">
        <v>0.2</v>
      </c>
      <c r="F525">
        <v>0.25</v>
      </c>
      <c r="G525">
        <v>0.25</v>
      </c>
      <c r="H525">
        <v>0.2</v>
      </c>
      <c r="I525">
        <v>190425</v>
      </c>
      <c r="J525">
        <v>47131.5</v>
      </c>
      <c r="K525" s="1">
        <v>43777</v>
      </c>
      <c r="L525">
        <v>87</v>
      </c>
      <c r="M525" t="s">
        <v>1687</v>
      </c>
    </row>
    <row r="526" spans="1:13" x14ac:dyDescent="0.25">
      <c r="A526" t="s">
        <v>1688</v>
      </c>
      <c r="B526" t="s">
        <v>14</v>
      </c>
      <c r="C526">
        <v>113.9</v>
      </c>
      <c r="D526">
        <v>113.9</v>
      </c>
      <c r="E526">
        <v>106.95</v>
      </c>
      <c r="F526">
        <v>108.5</v>
      </c>
      <c r="G526">
        <v>107</v>
      </c>
      <c r="H526">
        <v>112.45</v>
      </c>
      <c r="I526">
        <v>23199</v>
      </c>
      <c r="J526">
        <v>2538123.25</v>
      </c>
      <c r="K526" s="1">
        <v>43777</v>
      </c>
      <c r="L526">
        <v>992</v>
      </c>
      <c r="M526" t="s">
        <v>1690</v>
      </c>
    </row>
    <row r="527" spans="1:13" x14ac:dyDescent="0.25">
      <c r="A527" t="s">
        <v>7592</v>
      </c>
      <c r="B527" t="s">
        <v>14</v>
      </c>
      <c r="C527">
        <v>89.8</v>
      </c>
      <c r="D527">
        <v>90.1</v>
      </c>
      <c r="E527">
        <v>88.4</v>
      </c>
      <c r="F527">
        <v>88.7</v>
      </c>
      <c r="G527">
        <v>88.5</v>
      </c>
      <c r="H527">
        <v>89.8</v>
      </c>
      <c r="I527">
        <v>73677</v>
      </c>
      <c r="J527">
        <v>6553493.9500000002</v>
      </c>
      <c r="K527" s="1">
        <v>43777</v>
      </c>
      <c r="L527">
        <v>2214</v>
      </c>
      <c r="M527" t="s">
        <v>7591</v>
      </c>
    </row>
    <row r="528" spans="1:13" x14ac:dyDescent="0.25">
      <c r="A528" t="s">
        <v>1691</v>
      </c>
      <c r="B528" t="s">
        <v>14</v>
      </c>
      <c r="C528">
        <v>94</v>
      </c>
      <c r="D528">
        <v>95</v>
      </c>
      <c r="E528">
        <v>90.2</v>
      </c>
      <c r="F528">
        <v>92.4</v>
      </c>
      <c r="G528">
        <v>92</v>
      </c>
      <c r="H528">
        <v>95.45</v>
      </c>
      <c r="I528">
        <v>4959</v>
      </c>
      <c r="J528">
        <v>457594.35</v>
      </c>
      <c r="K528" s="1">
        <v>43777</v>
      </c>
      <c r="L528">
        <v>426</v>
      </c>
      <c r="M528" t="s">
        <v>1693</v>
      </c>
    </row>
    <row r="529" spans="1:13" x14ac:dyDescent="0.25">
      <c r="A529" t="s">
        <v>1694</v>
      </c>
      <c r="B529" t="s">
        <v>5788</v>
      </c>
      <c r="C529">
        <v>33</v>
      </c>
      <c r="D529">
        <v>33</v>
      </c>
      <c r="E529">
        <v>33</v>
      </c>
      <c r="F529">
        <v>33</v>
      </c>
      <c r="G529">
        <v>33</v>
      </c>
      <c r="H529">
        <v>34</v>
      </c>
      <c r="I529">
        <v>4000</v>
      </c>
      <c r="J529">
        <v>132000</v>
      </c>
      <c r="K529" s="1">
        <v>43777</v>
      </c>
      <c r="L529">
        <v>1</v>
      </c>
      <c r="M529" t="s">
        <v>7590</v>
      </c>
    </row>
    <row r="530" spans="1:13" x14ac:dyDescent="0.25">
      <c r="A530" t="s">
        <v>1700</v>
      </c>
      <c r="B530" t="s">
        <v>14</v>
      </c>
      <c r="C530">
        <v>79</v>
      </c>
      <c r="D530">
        <v>83.5</v>
      </c>
      <c r="E530">
        <v>77.599999999999994</v>
      </c>
      <c r="F530">
        <v>80.8</v>
      </c>
      <c r="G530">
        <v>80.3</v>
      </c>
      <c r="H530">
        <v>77.849999999999994</v>
      </c>
      <c r="I530">
        <v>16891</v>
      </c>
      <c r="J530">
        <v>1378325.2</v>
      </c>
      <c r="K530" s="1">
        <v>43777</v>
      </c>
      <c r="L530">
        <v>425</v>
      </c>
      <c r="M530" t="s">
        <v>1702</v>
      </c>
    </row>
    <row r="531" spans="1:13" x14ac:dyDescent="0.25">
      <c r="A531" t="s">
        <v>1706</v>
      </c>
      <c r="B531" t="s">
        <v>14</v>
      </c>
      <c r="C531">
        <v>5.0999999999999996</v>
      </c>
      <c r="D531">
        <v>5.0999999999999996</v>
      </c>
      <c r="E531">
        <v>4.95</v>
      </c>
      <c r="F531">
        <v>5</v>
      </c>
      <c r="G531">
        <v>5.05</v>
      </c>
      <c r="H531">
        <v>4.95</v>
      </c>
      <c r="I531">
        <v>17716</v>
      </c>
      <c r="J531">
        <v>89179.45</v>
      </c>
      <c r="K531" s="1">
        <v>43777</v>
      </c>
      <c r="L531">
        <v>62</v>
      </c>
      <c r="M531" t="s">
        <v>1708</v>
      </c>
    </row>
    <row r="532" spans="1:13" x14ac:dyDescent="0.25">
      <c r="A532" t="s">
        <v>1709</v>
      </c>
      <c r="B532" t="s">
        <v>14</v>
      </c>
      <c r="C532">
        <v>24.2</v>
      </c>
      <c r="D532">
        <v>25.5</v>
      </c>
      <c r="E532">
        <v>24.2</v>
      </c>
      <c r="F532">
        <v>24.6</v>
      </c>
      <c r="G532">
        <v>25</v>
      </c>
      <c r="H532">
        <v>24.8</v>
      </c>
      <c r="I532">
        <v>135104</v>
      </c>
      <c r="J532">
        <v>3369778.2</v>
      </c>
      <c r="K532" s="1">
        <v>43777</v>
      </c>
      <c r="L532">
        <v>395</v>
      </c>
      <c r="M532" t="s">
        <v>1711</v>
      </c>
    </row>
    <row r="533" spans="1:13" x14ac:dyDescent="0.25">
      <c r="A533" t="s">
        <v>1712</v>
      </c>
      <c r="B533" t="s">
        <v>14</v>
      </c>
      <c r="C533">
        <v>29.2</v>
      </c>
      <c r="D533">
        <v>29.2</v>
      </c>
      <c r="E533">
        <v>28.65</v>
      </c>
      <c r="F533">
        <v>28.85</v>
      </c>
      <c r="G533">
        <v>29.1</v>
      </c>
      <c r="H533">
        <v>28.85</v>
      </c>
      <c r="I533">
        <v>69807</v>
      </c>
      <c r="J533">
        <v>2013308.75</v>
      </c>
      <c r="K533" s="1">
        <v>43777</v>
      </c>
      <c r="L533">
        <v>465</v>
      </c>
      <c r="M533" t="s">
        <v>1714</v>
      </c>
    </row>
    <row r="534" spans="1:13" x14ac:dyDescent="0.25">
      <c r="A534" t="s">
        <v>1715</v>
      </c>
      <c r="B534" t="s">
        <v>14</v>
      </c>
      <c r="C534">
        <v>690</v>
      </c>
      <c r="D534">
        <v>700</v>
      </c>
      <c r="E534">
        <v>681.1</v>
      </c>
      <c r="F534">
        <v>688.05</v>
      </c>
      <c r="G534">
        <v>685.05</v>
      </c>
      <c r="H534">
        <v>683.85</v>
      </c>
      <c r="I534">
        <v>13131</v>
      </c>
      <c r="J534">
        <v>9042048.8000000007</v>
      </c>
      <c r="K534" s="1">
        <v>43777</v>
      </c>
      <c r="L534">
        <v>2654</v>
      </c>
      <c r="M534" t="s">
        <v>1717</v>
      </c>
    </row>
    <row r="535" spans="1:13" x14ac:dyDescent="0.25">
      <c r="A535" t="s">
        <v>1718</v>
      </c>
      <c r="B535" t="s">
        <v>14</v>
      </c>
      <c r="C535">
        <v>293.60000000000002</v>
      </c>
      <c r="D535">
        <v>307.7</v>
      </c>
      <c r="E535">
        <v>291.89999999999998</v>
      </c>
      <c r="F535">
        <v>299.25</v>
      </c>
      <c r="G535">
        <v>297.89999999999998</v>
      </c>
      <c r="H535">
        <v>292.45</v>
      </c>
      <c r="I535">
        <v>200308</v>
      </c>
      <c r="J535">
        <v>60352080.600000001</v>
      </c>
      <c r="K535" s="1">
        <v>43777</v>
      </c>
      <c r="L535">
        <v>8019</v>
      </c>
      <c r="M535" t="s">
        <v>1720</v>
      </c>
    </row>
    <row r="536" spans="1:13" x14ac:dyDescent="0.25">
      <c r="A536" t="s">
        <v>1721</v>
      </c>
      <c r="B536" t="s">
        <v>14</v>
      </c>
      <c r="C536">
        <v>167</v>
      </c>
      <c r="D536">
        <v>171.95</v>
      </c>
      <c r="E536">
        <v>165.7</v>
      </c>
      <c r="F536">
        <v>167.1</v>
      </c>
      <c r="G536">
        <v>167.05</v>
      </c>
      <c r="H536">
        <v>168.6</v>
      </c>
      <c r="I536">
        <v>21447</v>
      </c>
      <c r="J536">
        <v>3616455.8</v>
      </c>
      <c r="K536" s="1">
        <v>43777</v>
      </c>
      <c r="L536">
        <v>827</v>
      </c>
      <c r="M536" t="s">
        <v>1723</v>
      </c>
    </row>
    <row r="537" spans="1:13" x14ac:dyDescent="0.25">
      <c r="A537" t="s">
        <v>1724</v>
      </c>
      <c r="B537" t="s">
        <v>14</v>
      </c>
      <c r="C537">
        <v>82.85</v>
      </c>
      <c r="D537">
        <v>82.85</v>
      </c>
      <c r="E537">
        <v>80.05</v>
      </c>
      <c r="F537">
        <v>80.5</v>
      </c>
      <c r="G537">
        <v>81.25</v>
      </c>
      <c r="H537">
        <v>81.25</v>
      </c>
      <c r="I537">
        <v>40186</v>
      </c>
      <c r="J537">
        <v>3256163.9</v>
      </c>
      <c r="K537" s="1">
        <v>43777</v>
      </c>
      <c r="L537">
        <v>677</v>
      </c>
      <c r="M537" t="s">
        <v>1726</v>
      </c>
    </row>
    <row r="538" spans="1:13" x14ac:dyDescent="0.25">
      <c r="A538" t="s">
        <v>1727</v>
      </c>
      <c r="B538" t="s">
        <v>14</v>
      </c>
      <c r="C538">
        <v>211.7</v>
      </c>
      <c r="D538">
        <v>213.2</v>
      </c>
      <c r="E538">
        <v>206.25</v>
      </c>
      <c r="F538">
        <v>207.6</v>
      </c>
      <c r="G538">
        <v>207.95</v>
      </c>
      <c r="H538">
        <v>210.3</v>
      </c>
      <c r="I538">
        <v>115832</v>
      </c>
      <c r="J538">
        <v>24141841.699999999</v>
      </c>
      <c r="K538" s="1">
        <v>43777</v>
      </c>
      <c r="L538">
        <v>1812</v>
      </c>
      <c r="M538" t="s">
        <v>1729</v>
      </c>
    </row>
    <row r="539" spans="1:13" x14ac:dyDescent="0.25">
      <c r="A539" t="s">
        <v>1733</v>
      </c>
      <c r="B539" t="s">
        <v>14</v>
      </c>
      <c r="C539">
        <v>163.9</v>
      </c>
      <c r="D539">
        <v>165.6</v>
      </c>
      <c r="E539">
        <v>159</v>
      </c>
      <c r="F539">
        <v>161.05000000000001</v>
      </c>
      <c r="G539">
        <v>160.69999999999999</v>
      </c>
      <c r="H539">
        <v>163</v>
      </c>
      <c r="I539">
        <v>91616</v>
      </c>
      <c r="J539">
        <v>14875731.15</v>
      </c>
      <c r="K539" s="1">
        <v>43777</v>
      </c>
      <c r="L539">
        <v>1883</v>
      </c>
      <c r="M539" t="s">
        <v>1735</v>
      </c>
    </row>
    <row r="540" spans="1:13" x14ac:dyDescent="0.25">
      <c r="A540" t="s">
        <v>1736</v>
      </c>
      <c r="B540" t="s">
        <v>14</v>
      </c>
      <c r="C540">
        <v>281.10000000000002</v>
      </c>
      <c r="D540">
        <v>287.5</v>
      </c>
      <c r="E540">
        <v>271.2</v>
      </c>
      <c r="F540">
        <v>273.64999999999998</v>
      </c>
      <c r="G540">
        <v>274.7</v>
      </c>
      <c r="H540">
        <v>281.10000000000002</v>
      </c>
      <c r="I540">
        <v>241131</v>
      </c>
      <c r="J540">
        <v>67429135.700000003</v>
      </c>
      <c r="K540" s="1">
        <v>43777</v>
      </c>
      <c r="L540">
        <v>6792</v>
      </c>
      <c r="M540" t="s">
        <v>1738</v>
      </c>
    </row>
    <row r="541" spans="1:13" x14ac:dyDescent="0.25">
      <c r="A541" t="s">
        <v>1739</v>
      </c>
      <c r="B541" t="s">
        <v>14</v>
      </c>
      <c r="C541">
        <v>30.2</v>
      </c>
      <c r="D541">
        <v>30.2</v>
      </c>
      <c r="E541">
        <v>30.2</v>
      </c>
      <c r="F541">
        <v>30.2</v>
      </c>
      <c r="G541">
        <v>30.2</v>
      </c>
      <c r="H541">
        <v>29.55</v>
      </c>
      <c r="I541">
        <v>180</v>
      </c>
      <c r="J541">
        <v>5436</v>
      </c>
      <c r="K541" s="1">
        <v>43777</v>
      </c>
      <c r="L541">
        <v>3</v>
      </c>
      <c r="M541" t="s">
        <v>1741</v>
      </c>
    </row>
    <row r="542" spans="1:13" x14ac:dyDescent="0.25">
      <c r="A542" t="s">
        <v>1742</v>
      </c>
      <c r="B542" t="s">
        <v>14</v>
      </c>
      <c r="C542">
        <v>7515</v>
      </c>
      <c r="D542">
        <v>7593.45</v>
      </c>
      <c r="E542">
        <v>7261</v>
      </c>
      <c r="F542">
        <v>7287.95</v>
      </c>
      <c r="G542">
        <v>7290</v>
      </c>
      <c r="H542">
        <v>7511.85</v>
      </c>
      <c r="I542">
        <v>6517</v>
      </c>
      <c r="J542">
        <v>48214672.450000003</v>
      </c>
      <c r="K542" s="1">
        <v>43777</v>
      </c>
      <c r="L542">
        <v>2411</v>
      </c>
      <c r="M542" t="s">
        <v>1744</v>
      </c>
    </row>
    <row r="543" spans="1:13" x14ac:dyDescent="0.25">
      <c r="A543" t="s">
        <v>1745</v>
      </c>
      <c r="B543" t="s">
        <v>14</v>
      </c>
      <c r="C543">
        <v>9.9</v>
      </c>
      <c r="D543">
        <v>9.9</v>
      </c>
      <c r="E543">
        <v>9.15</v>
      </c>
      <c r="F543">
        <v>9.3000000000000007</v>
      </c>
      <c r="G543">
        <v>9.4499999999999993</v>
      </c>
      <c r="H543">
        <v>9.6</v>
      </c>
      <c r="I543">
        <v>10221</v>
      </c>
      <c r="J543">
        <v>95505.600000000006</v>
      </c>
      <c r="K543" s="1">
        <v>43777</v>
      </c>
      <c r="L543">
        <v>56</v>
      </c>
      <c r="M543" t="s">
        <v>1747</v>
      </c>
    </row>
    <row r="544" spans="1:13" x14ac:dyDescent="0.25">
      <c r="A544" t="s">
        <v>1748</v>
      </c>
      <c r="B544" t="s">
        <v>14</v>
      </c>
      <c r="C544">
        <v>71.8</v>
      </c>
      <c r="D544">
        <v>72.05</v>
      </c>
      <c r="E544">
        <v>71</v>
      </c>
      <c r="F544">
        <v>71.3</v>
      </c>
      <c r="G544">
        <v>71.3</v>
      </c>
      <c r="H544">
        <v>71.5</v>
      </c>
      <c r="I544">
        <v>53372</v>
      </c>
      <c r="J544">
        <v>3823998.15</v>
      </c>
      <c r="K544" s="1">
        <v>43777</v>
      </c>
      <c r="L544">
        <v>432</v>
      </c>
      <c r="M544" t="s">
        <v>1750</v>
      </c>
    </row>
    <row r="545" spans="1:13" x14ac:dyDescent="0.25">
      <c r="A545" t="s">
        <v>1751</v>
      </c>
      <c r="B545" t="s">
        <v>14</v>
      </c>
      <c r="C545">
        <v>722.1</v>
      </c>
      <c r="D545">
        <v>730.15</v>
      </c>
      <c r="E545">
        <v>712.5</v>
      </c>
      <c r="F545">
        <v>729.85</v>
      </c>
      <c r="G545">
        <v>727</v>
      </c>
      <c r="H545">
        <v>758.4</v>
      </c>
      <c r="I545">
        <v>99</v>
      </c>
      <c r="J545">
        <v>71483.05</v>
      </c>
      <c r="K545" s="1">
        <v>43777</v>
      </c>
      <c r="L545">
        <v>11</v>
      </c>
      <c r="M545" t="s">
        <v>1753</v>
      </c>
    </row>
    <row r="546" spans="1:13" x14ac:dyDescent="0.25">
      <c r="A546" t="s">
        <v>1757</v>
      </c>
      <c r="B546" t="s">
        <v>14</v>
      </c>
      <c r="C546">
        <v>1622.6</v>
      </c>
      <c r="D546">
        <v>1644</v>
      </c>
      <c r="E546">
        <v>1592.05</v>
      </c>
      <c r="F546">
        <v>1612.1</v>
      </c>
      <c r="G546">
        <v>1640</v>
      </c>
      <c r="H546">
        <v>1620.65</v>
      </c>
      <c r="I546">
        <v>55396</v>
      </c>
      <c r="J546">
        <v>89152800.450000003</v>
      </c>
      <c r="K546" s="1">
        <v>43777</v>
      </c>
      <c r="L546">
        <v>3897</v>
      </c>
      <c r="M546" t="s">
        <v>1759</v>
      </c>
    </row>
    <row r="547" spans="1:13" x14ac:dyDescent="0.25">
      <c r="A547" t="s">
        <v>1760</v>
      </c>
      <c r="B547" t="s">
        <v>14</v>
      </c>
      <c r="C547">
        <v>291.5</v>
      </c>
      <c r="D547">
        <v>296.35000000000002</v>
      </c>
      <c r="E547">
        <v>284.75</v>
      </c>
      <c r="F547">
        <v>286.45</v>
      </c>
      <c r="G547">
        <v>285</v>
      </c>
      <c r="H547">
        <v>293.85000000000002</v>
      </c>
      <c r="I547">
        <v>2244016</v>
      </c>
      <c r="J547">
        <v>649979640</v>
      </c>
      <c r="K547" s="1">
        <v>43777</v>
      </c>
      <c r="L547">
        <v>31075</v>
      </c>
      <c r="M547" t="s">
        <v>1762</v>
      </c>
    </row>
    <row r="548" spans="1:13" x14ac:dyDescent="0.25">
      <c r="A548" t="s">
        <v>1769</v>
      </c>
      <c r="B548" t="s">
        <v>14</v>
      </c>
      <c r="C548">
        <v>57.85</v>
      </c>
      <c r="D548">
        <v>57.85</v>
      </c>
      <c r="E548">
        <v>54.65</v>
      </c>
      <c r="F548">
        <v>55.4</v>
      </c>
      <c r="G548">
        <v>56.35</v>
      </c>
      <c r="H548">
        <v>56.5</v>
      </c>
      <c r="I548">
        <v>4914</v>
      </c>
      <c r="J548">
        <v>273603.05</v>
      </c>
      <c r="K548" s="1">
        <v>43777</v>
      </c>
      <c r="L548">
        <v>101</v>
      </c>
      <c r="M548" t="s">
        <v>1771</v>
      </c>
    </row>
    <row r="549" spans="1:13" x14ac:dyDescent="0.25">
      <c r="A549" t="s">
        <v>7589</v>
      </c>
      <c r="B549" t="s">
        <v>10</v>
      </c>
      <c r="C549">
        <v>5.9</v>
      </c>
      <c r="D549">
        <v>6.1</v>
      </c>
      <c r="E549">
        <v>5.9</v>
      </c>
      <c r="F549">
        <v>6</v>
      </c>
      <c r="G549">
        <v>6</v>
      </c>
      <c r="H549">
        <v>6</v>
      </c>
      <c r="I549">
        <v>4615</v>
      </c>
      <c r="J549">
        <v>27844.7</v>
      </c>
      <c r="K549" s="1">
        <v>43777</v>
      </c>
      <c r="L549">
        <v>15</v>
      </c>
      <c r="M549" t="s">
        <v>7588</v>
      </c>
    </row>
    <row r="550" spans="1:13" x14ac:dyDescent="0.25">
      <c r="A550" t="s">
        <v>1775</v>
      </c>
      <c r="B550" t="s">
        <v>14</v>
      </c>
      <c r="C550">
        <v>149.80000000000001</v>
      </c>
      <c r="D550">
        <v>150.1</v>
      </c>
      <c r="E550">
        <v>139.05000000000001</v>
      </c>
      <c r="F550">
        <v>142.44999999999999</v>
      </c>
      <c r="G550">
        <v>143</v>
      </c>
      <c r="H550">
        <v>149.6</v>
      </c>
      <c r="I550">
        <v>176882</v>
      </c>
      <c r="J550">
        <v>25574077.5</v>
      </c>
      <c r="K550" s="1">
        <v>43777</v>
      </c>
      <c r="L550">
        <v>3094</v>
      </c>
      <c r="M550" t="s">
        <v>1777</v>
      </c>
    </row>
    <row r="551" spans="1:13" x14ac:dyDescent="0.25">
      <c r="A551" t="s">
        <v>1781</v>
      </c>
      <c r="B551" t="s">
        <v>14</v>
      </c>
      <c r="C551">
        <v>422.95</v>
      </c>
      <c r="D551">
        <v>436</v>
      </c>
      <c r="E551">
        <v>411</v>
      </c>
      <c r="F551">
        <v>415.5</v>
      </c>
      <c r="G551">
        <v>415</v>
      </c>
      <c r="H551">
        <v>425.1</v>
      </c>
      <c r="I551">
        <v>65197</v>
      </c>
      <c r="J551">
        <v>27793390.800000001</v>
      </c>
      <c r="K551" s="1">
        <v>43777</v>
      </c>
      <c r="L551">
        <v>3600</v>
      </c>
      <c r="M551" t="s">
        <v>1783</v>
      </c>
    </row>
    <row r="552" spans="1:13" x14ac:dyDescent="0.25">
      <c r="A552" t="s">
        <v>1784</v>
      </c>
      <c r="B552" t="s">
        <v>14</v>
      </c>
      <c r="C552">
        <v>63.25</v>
      </c>
      <c r="D552">
        <v>63.25</v>
      </c>
      <c r="E552">
        <v>62.1</v>
      </c>
      <c r="F552">
        <v>62.65</v>
      </c>
      <c r="G552">
        <v>62.5</v>
      </c>
      <c r="H552">
        <v>63.15</v>
      </c>
      <c r="I552">
        <v>77035</v>
      </c>
      <c r="J552">
        <v>4830584.55</v>
      </c>
      <c r="K552" s="1">
        <v>43777</v>
      </c>
      <c r="L552">
        <v>858</v>
      </c>
      <c r="M552" t="s">
        <v>1786</v>
      </c>
    </row>
    <row r="553" spans="1:13" x14ac:dyDescent="0.25">
      <c r="A553" t="s">
        <v>1787</v>
      </c>
      <c r="B553" t="s">
        <v>14</v>
      </c>
      <c r="C553">
        <v>1475.6</v>
      </c>
      <c r="D553">
        <v>1515.95</v>
      </c>
      <c r="E553">
        <v>1445.4</v>
      </c>
      <c r="F553">
        <v>1450.6</v>
      </c>
      <c r="G553">
        <v>1446.5</v>
      </c>
      <c r="H553">
        <v>1460.25</v>
      </c>
      <c r="I553">
        <v>29530</v>
      </c>
      <c r="J553">
        <v>43718810.799999997</v>
      </c>
      <c r="K553" s="1">
        <v>43777</v>
      </c>
      <c r="L553">
        <v>2122</v>
      </c>
      <c r="M553" t="s">
        <v>1789</v>
      </c>
    </row>
    <row r="554" spans="1:13" x14ac:dyDescent="0.25">
      <c r="A554" t="s">
        <v>1790</v>
      </c>
      <c r="B554" t="s">
        <v>14</v>
      </c>
      <c r="C554">
        <v>22.2</v>
      </c>
      <c r="D554">
        <v>22.55</v>
      </c>
      <c r="E554">
        <v>21.5</v>
      </c>
      <c r="F554">
        <v>21.65</v>
      </c>
      <c r="G554">
        <v>21.6</v>
      </c>
      <c r="H554">
        <v>22.3</v>
      </c>
      <c r="I554">
        <v>16925349</v>
      </c>
      <c r="J554">
        <v>374073162.44999999</v>
      </c>
      <c r="K554" s="1">
        <v>43777</v>
      </c>
      <c r="L554">
        <v>17843</v>
      </c>
      <c r="M554" t="s">
        <v>1792</v>
      </c>
    </row>
    <row r="555" spans="1:13" x14ac:dyDescent="0.25">
      <c r="A555" t="s">
        <v>1796</v>
      </c>
      <c r="B555" t="s">
        <v>14</v>
      </c>
      <c r="C555">
        <v>270.7</v>
      </c>
      <c r="D555">
        <v>289</v>
      </c>
      <c r="E555">
        <v>267.95</v>
      </c>
      <c r="F555">
        <v>271.55</v>
      </c>
      <c r="G555">
        <v>270.2</v>
      </c>
      <c r="H555">
        <v>270.95</v>
      </c>
      <c r="I555">
        <v>211016</v>
      </c>
      <c r="J555">
        <v>59026318.5</v>
      </c>
      <c r="K555" s="1">
        <v>43777</v>
      </c>
      <c r="L555">
        <v>7684</v>
      </c>
      <c r="M555" t="s">
        <v>1798</v>
      </c>
    </row>
    <row r="556" spans="1:13" x14ac:dyDescent="0.25">
      <c r="A556" t="s">
        <v>1799</v>
      </c>
      <c r="B556" t="s">
        <v>14</v>
      </c>
      <c r="C556">
        <v>203.65</v>
      </c>
      <c r="D556">
        <v>211</v>
      </c>
      <c r="E556">
        <v>201.3</v>
      </c>
      <c r="F556">
        <v>202.85</v>
      </c>
      <c r="G556">
        <v>202.5</v>
      </c>
      <c r="H556">
        <v>206</v>
      </c>
      <c r="I556">
        <v>419821</v>
      </c>
      <c r="J556">
        <v>86380372.799999997</v>
      </c>
      <c r="K556" s="1">
        <v>43777</v>
      </c>
      <c r="L556">
        <v>8614</v>
      </c>
      <c r="M556" t="s">
        <v>1801</v>
      </c>
    </row>
    <row r="557" spans="1:13" x14ac:dyDescent="0.25">
      <c r="A557" t="s">
        <v>1802</v>
      </c>
      <c r="B557" t="s">
        <v>10</v>
      </c>
      <c r="C557">
        <v>220.25</v>
      </c>
      <c r="D557">
        <v>229</v>
      </c>
      <c r="E557">
        <v>220.25</v>
      </c>
      <c r="F557">
        <v>222.2</v>
      </c>
      <c r="G557">
        <v>223</v>
      </c>
      <c r="H557">
        <v>227.75</v>
      </c>
      <c r="I557">
        <v>9649</v>
      </c>
      <c r="J557">
        <v>2158629.1</v>
      </c>
      <c r="K557" s="1">
        <v>43777</v>
      </c>
      <c r="L557">
        <v>262</v>
      </c>
      <c r="M557" t="s">
        <v>1804</v>
      </c>
    </row>
    <row r="558" spans="1:13" x14ac:dyDescent="0.25">
      <c r="A558" t="s">
        <v>1805</v>
      </c>
      <c r="B558" t="s">
        <v>14</v>
      </c>
      <c r="C558">
        <v>290</v>
      </c>
      <c r="D558">
        <v>297.60000000000002</v>
      </c>
      <c r="E558">
        <v>285.45</v>
      </c>
      <c r="F558">
        <v>292.89999999999998</v>
      </c>
      <c r="G558">
        <v>291</v>
      </c>
      <c r="H558">
        <v>291.3</v>
      </c>
      <c r="I558">
        <v>4543</v>
      </c>
      <c r="J558">
        <v>1318446.8500000001</v>
      </c>
      <c r="K558" s="1">
        <v>43777</v>
      </c>
      <c r="L558">
        <v>213</v>
      </c>
      <c r="M558" t="s">
        <v>1807</v>
      </c>
    </row>
    <row r="559" spans="1:13" x14ac:dyDescent="0.25">
      <c r="A559" t="s">
        <v>1811</v>
      </c>
      <c r="B559" t="s">
        <v>14</v>
      </c>
      <c r="C559">
        <v>1143</v>
      </c>
      <c r="D559">
        <v>1193</v>
      </c>
      <c r="E559">
        <v>1134.5</v>
      </c>
      <c r="F559">
        <v>1146.0999999999999</v>
      </c>
      <c r="G559">
        <v>1147</v>
      </c>
      <c r="H559">
        <v>1135.2</v>
      </c>
      <c r="I559">
        <v>189655</v>
      </c>
      <c r="J559">
        <v>221637590.75</v>
      </c>
      <c r="K559" s="1">
        <v>43777</v>
      </c>
      <c r="L559">
        <v>9977</v>
      </c>
      <c r="M559" t="s">
        <v>1813</v>
      </c>
    </row>
    <row r="560" spans="1:13" x14ac:dyDescent="0.25">
      <c r="A560" t="s">
        <v>1817</v>
      </c>
      <c r="B560" t="s">
        <v>14</v>
      </c>
      <c r="C560">
        <v>492.35</v>
      </c>
      <c r="D560">
        <v>506.45</v>
      </c>
      <c r="E560">
        <v>487.95</v>
      </c>
      <c r="F560">
        <v>493.85</v>
      </c>
      <c r="G560">
        <v>492</v>
      </c>
      <c r="H560">
        <v>491.95</v>
      </c>
      <c r="I560">
        <v>88573</v>
      </c>
      <c r="J560">
        <v>43932793.149999999</v>
      </c>
      <c r="K560" s="1">
        <v>43777</v>
      </c>
      <c r="L560">
        <v>4121</v>
      </c>
      <c r="M560" t="s">
        <v>1819</v>
      </c>
    </row>
    <row r="561" spans="1:13" x14ac:dyDescent="0.25">
      <c r="A561" t="s">
        <v>1820</v>
      </c>
      <c r="B561" t="s">
        <v>14</v>
      </c>
      <c r="C561">
        <v>750.3</v>
      </c>
      <c r="D561">
        <v>751.85</v>
      </c>
      <c r="E561">
        <v>730.05</v>
      </c>
      <c r="F561">
        <v>734.5</v>
      </c>
      <c r="G561">
        <v>736.35</v>
      </c>
      <c r="H561">
        <v>752.65</v>
      </c>
      <c r="I561">
        <v>436629</v>
      </c>
      <c r="J561">
        <v>322633604.55000001</v>
      </c>
      <c r="K561" s="1">
        <v>43777</v>
      </c>
      <c r="L561">
        <v>16611</v>
      </c>
      <c r="M561" t="s">
        <v>1822</v>
      </c>
    </row>
    <row r="562" spans="1:13" x14ac:dyDescent="0.25">
      <c r="A562" t="s">
        <v>1823</v>
      </c>
      <c r="B562" t="s">
        <v>14</v>
      </c>
      <c r="C562">
        <v>421.4</v>
      </c>
      <c r="D562">
        <v>431</v>
      </c>
      <c r="E562">
        <v>421.4</v>
      </c>
      <c r="F562">
        <v>425.25</v>
      </c>
      <c r="G562">
        <v>428</v>
      </c>
      <c r="H562">
        <v>425</v>
      </c>
      <c r="I562">
        <v>83691</v>
      </c>
      <c r="J562">
        <v>35670522.299999997</v>
      </c>
      <c r="K562" s="1">
        <v>43777</v>
      </c>
      <c r="L562">
        <v>4037</v>
      </c>
      <c r="M562" t="s">
        <v>1825</v>
      </c>
    </row>
    <row r="563" spans="1:13" x14ac:dyDescent="0.25">
      <c r="A563" t="s">
        <v>1826</v>
      </c>
      <c r="B563" t="s">
        <v>14</v>
      </c>
      <c r="C563">
        <v>990</v>
      </c>
      <c r="D563">
        <v>1000</v>
      </c>
      <c r="E563">
        <v>956</v>
      </c>
      <c r="F563">
        <v>961.25</v>
      </c>
      <c r="G563">
        <v>961</v>
      </c>
      <c r="H563">
        <v>989.8</v>
      </c>
      <c r="I563">
        <v>335133</v>
      </c>
      <c r="J563">
        <v>325642418.75</v>
      </c>
      <c r="K563" s="1">
        <v>43777</v>
      </c>
      <c r="L563">
        <v>27510</v>
      </c>
      <c r="M563" t="s">
        <v>1828</v>
      </c>
    </row>
    <row r="564" spans="1:13" x14ac:dyDescent="0.25">
      <c r="A564" t="s">
        <v>7587</v>
      </c>
      <c r="B564" t="s">
        <v>786</v>
      </c>
      <c r="C564">
        <v>0.3</v>
      </c>
      <c r="D564">
        <v>0.3</v>
      </c>
      <c r="E564">
        <v>0.2</v>
      </c>
      <c r="F564">
        <v>0.25</v>
      </c>
      <c r="G564">
        <v>0.25</v>
      </c>
      <c r="H564">
        <v>0.25</v>
      </c>
      <c r="I564">
        <v>97134</v>
      </c>
      <c r="J564">
        <v>25257.3</v>
      </c>
      <c r="K564" s="1">
        <v>43777</v>
      </c>
      <c r="L564">
        <v>44</v>
      </c>
      <c r="M564" t="s">
        <v>7586</v>
      </c>
    </row>
    <row r="565" spans="1:13" x14ac:dyDescent="0.25">
      <c r="A565" t="s">
        <v>1829</v>
      </c>
      <c r="B565" t="s">
        <v>14</v>
      </c>
      <c r="C565">
        <v>87.55</v>
      </c>
      <c r="D565">
        <v>87.55</v>
      </c>
      <c r="E565">
        <v>84.1</v>
      </c>
      <c r="F565">
        <v>85.15</v>
      </c>
      <c r="G565">
        <v>84.95</v>
      </c>
      <c r="H565">
        <v>85.8</v>
      </c>
      <c r="I565">
        <v>50985</v>
      </c>
      <c r="J565">
        <v>4377433.9000000004</v>
      </c>
      <c r="K565" s="1">
        <v>43777</v>
      </c>
      <c r="L565">
        <v>789</v>
      </c>
      <c r="M565" t="s">
        <v>1831</v>
      </c>
    </row>
    <row r="566" spans="1:13" x14ac:dyDescent="0.25">
      <c r="A566" t="s">
        <v>1832</v>
      </c>
      <c r="B566" t="s">
        <v>14</v>
      </c>
      <c r="C566">
        <v>11.9</v>
      </c>
      <c r="D566">
        <v>11.9</v>
      </c>
      <c r="E566">
        <v>11</v>
      </c>
      <c r="F566">
        <v>11.9</v>
      </c>
      <c r="G566">
        <v>11.9</v>
      </c>
      <c r="H566">
        <v>11.35</v>
      </c>
      <c r="I566">
        <v>7040</v>
      </c>
      <c r="J566">
        <v>82098.399999999994</v>
      </c>
      <c r="K566" s="1">
        <v>43777</v>
      </c>
      <c r="L566">
        <v>54</v>
      </c>
      <c r="M566" t="s">
        <v>1834</v>
      </c>
    </row>
    <row r="567" spans="1:13" x14ac:dyDescent="0.25">
      <c r="A567" t="s">
        <v>1835</v>
      </c>
      <c r="B567" t="s">
        <v>14</v>
      </c>
      <c r="C567">
        <v>12.7</v>
      </c>
      <c r="D567">
        <v>13.45</v>
      </c>
      <c r="E567">
        <v>12.25</v>
      </c>
      <c r="F567">
        <v>13.35</v>
      </c>
      <c r="G567">
        <v>13.45</v>
      </c>
      <c r="H567">
        <v>12.85</v>
      </c>
      <c r="I567">
        <v>10267</v>
      </c>
      <c r="J567">
        <v>134850.85</v>
      </c>
      <c r="K567" s="1">
        <v>43777</v>
      </c>
      <c r="L567">
        <v>46</v>
      </c>
      <c r="M567" t="s">
        <v>1837</v>
      </c>
    </row>
    <row r="568" spans="1:13" x14ac:dyDescent="0.25">
      <c r="A568" t="s">
        <v>6677</v>
      </c>
      <c r="B568" t="s">
        <v>14</v>
      </c>
      <c r="C568">
        <v>3350.55</v>
      </c>
      <c r="D568">
        <v>3371.4</v>
      </c>
      <c r="E568">
        <v>3347.55</v>
      </c>
      <c r="F568">
        <v>3350.45</v>
      </c>
      <c r="G568">
        <v>3357.7</v>
      </c>
      <c r="H568">
        <v>3378.7</v>
      </c>
      <c r="I568">
        <v>21031</v>
      </c>
      <c r="J568">
        <v>70706655.299999997</v>
      </c>
      <c r="K568" s="1">
        <v>43777</v>
      </c>
      <c r="L568">
        <v>2035</v>
      </c>
      <c r="M568" t="s">
        <v>7585</v>
      </c>
    </row>
    <row r="569" spans="1:13" x14ac:dyDescent="0.25">
      <c r="A569" t="s">
        <v>1838</v>
      </c>
      <c r="B569" t="s">
        <v>14</v>
      </c>
      <c r="C569">
        <v>31</v>
      </c>
      <c r="D569">
        <v>32</v>
      </c>
      <c r="E569">
        <v>30.5</v>
      </c>
      <c r="F569">
        <v>31.15</v>
      </c>
      <c r="G569">
        <v>30.55</v>
      </c>
      <c r="H569">
        <v>31</v>
      </c>
      <c r="I569">
        <v>1310</v>
      </c>
      <c r="J569">
        <v>40904.949999999997</v>
      </c>
      <c r="K569" s="1">
        <v>43777</v>
      </c>
      <c r="L569">
        <v>55</v>
      </c>
      <c r="M569" t="s">
        <v>1840</v>
      </c>
    </row>
    <row r="570" spans="1:13" x14ac:dyDescent="0.25">
      <c r="A570" t="s">
        <v>1841</v>
      </c>
      <c r="B570" t="s">
        <v>14</v>
      </c>
      <c r="C570">
        <v>139.55000000000001</v>
      </c>
      <c r="D570">
        <v>151</v>
      </c>
      <c r="E570">
        <v>139.55000000000001</v>
      </c>
      <c r="F570">
        <v>146.80000000000001</v>
      </c>
      <c r="G570">
        <v>147.4</v>
      </c>
      <c r="H570">
        <v>140.4</v>
      </c>
      <c r="I570">
        <v>161168</v>
      </c>
      <c r="J570">
        <v>23813977.800000001</v>
      </c>
      <c r="K570" s="1">
        <v>43777</v>
      </c>
      <c r="L570">
        <v>2550</v>
      </c>
      <c r="M570" t="s">
        <v>7584</v>
      </c>
    </row>
    <row r="571" spans="1:13" x14ac:dyDescent="0.25">
      <c r="A571" t="s">
        <v>6673</v>
      </c>
      <c r="B571" t="s">
        <v>14</v>
      </c>
      <c r="C571">
        <v>3395</v>
      </c>
      <c r="D571">
        <v>3396.35</v>
      </c>
      <c r="E571">
        <v>3383</v>
      </c>
      <c r="F571">
        <v>3387.65</v>
      </c>
      <c r="G571">
        <v>3385</v>
      </c>
      <c r="H571">
        <v>3403.85</v>
      </c>
      <c r="I571">
        <v>396</v>
      </c>
      <c r="J571">
        <v>1341891.8</v>
      </c>
      <c r="K571" s="1">
        <v>43777</v>
      </c>
      <c r="L571">
        <v>114</v>
      </c>
      <c r="M571" t="s">
        <v>7583</v>
      </c>
    </row>
    <row r="572" spans="1:13" x14ac:dyDescent="0.25">
      <c r="A572" t="s">
        <v>1844</v>
      </c>
      <c r="B572" t="s">
        <v>14</v>
      </c>
      <c r="C572">
        <v>9.6999999999999993</v>
      </c>
      <c r="D572">
        <v>9.85</v>
      </c>
      <c r="E572">
        <v>9.6</v>
      </c>
      <c r="F572">
        <v>9.6</v>
      </c>
      <c r="G572">
        <v>9.85</v>
      </c>
      <c r="H572">
        <v>9.6999999999999993</v>
      </c>
      <c r="I572">
        <v>5731</v>
      </c>
      <c r="J572">
        <v>55449.25</v>
      </c>
      <c r="K572" s="1">
        <v>43777</v>
      </c>
      <c r="L572">
        <v>56</v>
      </c>
      <c r="M572" t="s">
        <v>1846</v>
      </c>
    </row>
    <row r="573" spans="1:13" x14ac:dyDescent="0.25">
      <c r="A573" t="s">
        <v>1847</v>
      </c>
      <c r="B573" t="s">
        <v>14</v>
      </c>
      <c r="C573">
        <v>55</v>
      </c>
      <c r="D573">
        <v>57</v>
      </c>
      <c r="E573">
        <v>53.2</v>
      </c>
      <c r="F573">
        <v>54.7</v>
      </c>
      <c r="G573">
        <v>54.7</v>
      </c>
      <c r="H573">
        <v>54.85</v>
      </c>
      <c r="I573">
        <v>8379</v>
      </c>
      <c r="J573">
        <v>464411.25</v>
      </c>
      <c r="K573" s="1">
        <v>43777</v>
      </c>
      <c r="L573">
        <v>115</v>
      </c>
      <c r="M573" t="s">
        <v>1849</v>
      </c>
    </row>
    <row r="574" spans="1:13" x14ac:dyDescent="0.25">
      <c r="A574" t="s">
        <v>1853</v>
      </c>
      <c r="B574" t="s">
        <v>14</v>
      </c>
      <c r="C574">
        <v>154</v>
      </c>
      <c r="D574">
        <v>155.30000000000001</v>
      </c>
      <c r="E574">
        <v>144</v>
      </c>
      <c r="F574">
        <v>147.5</v>
      </c>
      <c r="G574">
        <v>146.80000000000001</v>
      </c>
      <c r="H574">
        <v>153.15</v>
      </c>
      <c r="I574">
        <v>35643</v>
      </c>
      <c r="J574">
        <v>5363791.0999999996</v>
      </c>
      <c r="K574" s="1">
        <v>43777</v>
      </c>
      <c r="L574">
        <v>931</v>
      </c>
      <c r="M574" t="s">
        <v>7582</v>
      </c>
    </row>
    <row r="575" spans="1:13" x14ac:dyDescent="0.25">
      <c r="A575" t="s">
        <v>1856</v>
      </c>
      <c r="B575" t="s">
        <v>14</v>
      </c>
      <c r="C575">
        <v>85.2</v>
      </c>
      <c r="D575">
        <v>86.1</v>
      </c>
      <c r="E575">
        <v>83.8</v>
      </c>
      <c r="F575">
        <v>84.1</v>
      </c>
      <c r="G575">
        <v>83.9</v>
      </c>
      <c r="H575">
        <v>86.3</v>
      </c>
      <c r="I575">
        <v>99043</v>
      </c>
      <c r="J575">
        <v>8406717.3499999996</v>
      </c>
      <c r="K575" s="1">
        <v>43777</v>
      </c>
      <c r="L575">
        <v>1695</v>
      </c>
      <c r="M575" t="s">
        <v>1858</v>
      </c>
    </row>
    <row r="576" spans="1:13" x14ac:dyDescent="0.25">
      <c r="A576" t="s">
        <v>1859</v>
      </c>
      <c r="B576" t="s">
        <v>14</v>
      </c>
      <c r="C576">
        <v>40</v>
      </c>
      <c r="D576">
        <v>42.2</v>
      </c>
      <c r="E576">
        <v>40</v>
      </c>
      <c r="F576">
        <v>41.8</v>
      </c>
      <c r="G576">
        <v>40.6</v>
      </c>
      <c r="H576">
        <v>39.799999999999997</v>
      </c>
      <c r="I576">
        <v>2401</v>
      </c>
      <c r="J576">
        <v>99931.199999999997</v>
      </c>
      <c r="K576" s="1">
        <v>43777</v>
      </c>
      <c r="L576">
        <v>115</v>
      </c>
      <c r="M576" t="s">
        <v>1861</v>
      </c>
    </row>
    <row r="577" spans="1:13" x14ac:dyDescent="0.25">
      <c r="A577" t="s">
        <v>1862</v>
      </c>
      <c r="B577" t="s">
        <v>14</v>
      </c>
      <c r="C577">
        <v>120.55</v>
      </c>
      <c r="D577">
        <v>128.19999999999999</v>
      </c>
      <c r="E577">
        <v>119</v>
      </c>
      <c r="F577">
        <v>120.1</v>
      </c>
      <c r="G577">
        <v>120</v>
      </c>
      <c r="H577">
        <v>119.9</v>
      </c>
      <c r="I577">
        <v>2750197</v>
      </c>
      <c r="J577">
        <v>339106825.55000001</v>
      </c>
      <c r="K577" s="1">
        <v>43777</v>
      </c>
      <c r="L577">
        <v>19971</v>
      </c>
      <c r="M577" t="s">
        <v>1864</v>
      </c>
    </row>
    <row r="578" spans="1:13" x14ac:dyDescent="0.25">
      <c r="A578" t="s">
        <v>1865</v>
      </c>
      <c r="B578" t="s">
        <v>14</v>
      </c>
      <c r="C578">
        <v>308</v>
      </c>
      <c r="D578">
        <v>314.45</v>
      </c>
      <c r="E578">
        <v>300.25</v>
      </c>
      <c r="F578">
        <v>302.45</v>
      </c>
      <c r="G578">
        <v>302.75</v>
      </c>
      <c r="H578">
        <v>307</v>
      </c>
      <c r="I578">
        <v>2336788</v>
      </c>
      <c r="J578">
        <v>719749126.35000002</v>
      </c>
      <c r="K578" s="1">
        <v>43777</v>
      </c>
      <c r="L578">
        <v>36413</v>
      </c>
      <c r="M578" t="s">
        <v>1867</v>
      </c>
    </row>
    <row r="579" spans="1:13" x14ac:dyDescent="0.25">
      <c r="A579" t="s">
        <v>1868</v>
      </c>
      <c r="B579" t="s">
        <v>14</v>
      </c>
      <c r="C579">
        <v>775.4</v>
      </c>
      <c r="D579">
        <v>785.9</v>
      </c>
      <c r="E579">
        <v>770</v>
      </c>
      <c r="F579">
        <v>774</v>
      </c>
      <c r="G579">
        <v>773.75</v>
      </c>
      <c r="H579">
        <v>777.85</v>
      </c>
      <c r="I579">
        <v>1346108</v>
      </c>
      <c r="J579">
        <v>1046041510.1</v>
      </c>
      <c r="K579" s="1">
        <v>43777</v>
      </c>
      <c r="L579">
        <v>27389</v>
      </c>
      <c r="M579" t="s">
        <v>1870</v>
      </c>
    </row>
    <row r="580" spans="1:13" x14ac:dyDescent="0.25">
      <c r="A580" t="s">
        <v>1871</v>
      </c>
      <c r="B580" t="s">
        <v>14</v>
      </c>
      <c r="C580">
        <v>41.6</v>
      </c>
      <c r="D580">
        <v>44.4</v>
      </c>
      <c r="E580">
        <v>41.6</v>
      </c>
      <c r="F580">
        <v>42.5</v>
      </c>
      <c r="G580">
        <v>42.65</v>
      </c>
      <c r="H580">
        <v>41.9</v>
      </c>
      <c r="I580">
        <v>97103</v>
      </c>
      <c r="J580">
        <v>4202604.4000000004</v>
      </c>
      <c r="K580" s="1">
        <v>43777</v>
      </c>
      <c r="L580">
        <v>1191</v>
      </c>
      <c r="M580" t="s">
        <v>1873</v>
      </c>
    </row>
    <row r="581" spans="1:13" x14ac:dyDescent="0.25">
      <c r="A581" t="s">
        <v>1874</v>
      </c>
      <c r="B581" t="s">
        <v>14</v>
      </c>
      <c r="C581">
        <v>131.65</v>
      </c>
      <c r="D581">
        <v>134.4</v>
      </c>
      <c r="E581">
        <v>130.1</v>
      </c>
      <c r="F581">
        <v>133.75</v>
      </c>
      <c r="G581">
        <v>133.80000000000001</v>
      </c>
      <c r="H581">
        <v>131.69999999999999</v>
      </c>
      <c r="I581">
        <v>118974</v>
      </c>
      <c r="J581">
        <v>15820195.300000001</v>
      </c>
      <c r="K581" s="1">
        <v>43777</v>
      </c>
      <c r="L581">
        <v>3132</v>
      </c>
      <c r="M581" t="s">
        <v>1876</v>
      </c>
    </row>
    <row r="582" spans="1:13" x14ac:dyDescent="0.25">
      <c r="A582" t="s">
        <v>1877</v>
      </c>
      <c r="B582" t="s">
        <v>14</v>
      </c>
      <c r="C582">
        <v>950.05</v>
      </c>
      <c r="D582">
        <v>977.5</v>
      </c>
      <c r="E582">
        <v>935.45</v>
      </c>
      <c r="F582">
        <v>961.8</v>
      </c>
      <c r="G582">
        <v>977.5</v>
      </c>
      <c r="H582">
        <v>952.75</v>
      </c>
      <c r="I582">
        <v>3577</v>
      </c>
      <c r="J582">
        <v>3399162.55</v>
      </c>
      <c r="K582" s="1">
        <v>43777</v>
      </c>
      <c r="L582">
        <v>379</v>
      </c>
      <c r="M582" t="s">
        <v>7581</v>
      </c>
    </row>
    <row r="583" spans="1:13" x14ac:dyDescent="0.25">
      <c r="A583" t="s">
        <v>1880</v>
      </c>
      <c r="B583" t="s">
        <v>14</v>
      </c>
      <c r="C583">
        <v>35.85</v>
      </c>
      <c r="D583">
        <v>42</v>
      </c>
      <c r="E583">
        <v>35.85</v>
      </c>
      <c r="F583">
        <v>40.35</v>
      </c>
      <c r="G583">
        <v>40.6</v>
      </c>
      <c r="H583">
        <v>35</v>
      </c>
      <c r="I583">
        <v>999702</v>
      </c>
      <c r="J583">
        <v>40959887.649999999</v>
      </c>
      <c r="K583" s="1">
        <v>43777</v>
      </c>
      <c r="L583">
        <v>2400</v>
      </c>
      <c r="M583" t="s">
        <v>1882</v>
      </c>
    </row>
    <row r="584" spans="1:13" x14ac:dyDescent="0.25">
      <c r="A584" t="s">
        <v>1883</v>
      </c>
      <c r="B584" t="s">
        <v>14</v>
      </c>
      <c r="C584">
        <v>157.80000000000001</v>
      </c>
      <c r="D584">
        <v>166</v>
      </c>
      <c r="E584">
        <v>157.80000000000001</v>
      </c>
      <c r="F584">
        <v>161.30000000000001</v>
      </c>
      <c r="G584">
        <v>160</v>
      </c>
      <c r="H584">
        <v>160.25</v>
      </c>
      <c r="I584">
        <v>93696</v>
      </c>
      <c r="J584">
        <v>15208105.4</v>
      </c>
      <c r="K584" s="1">
        <v>43777</v>
      </c>
      <c r="L584">
        <v>3231</v>
      </c>
      <c r="M584" t="s">
        <v>1885</v>
      </c>
    </row>
    <row r="585" spans="1:13" x14ac:dyDescent="0.25">
      <c r="A585" t="s">
        <v>1886</v>
      </c>
      <c r="B585" t="s">
        <v>14</v>
      </c>
      <c r="C585">
        <v>1.6</v>
      </c>
      <c r="D585">
        <v>1.6</v>
      </c>
      <c r="E585">
        <v>1.6</v>
      </c>
      <c r="F585">
        <v>1.6</v>
      </c>
      <c r="G585">
        <v>1.6</v>
      </c>
      <c r="H585">
        <v>1.55</v>
      </c>
      <c r="I585">
        <v>19703</v>
      </c>
      <c r="J585">
        <v>31524.799999999999</v>
      </c>
      <c r="K585" s="1">
        <v>43777</v>
      </c>
      <c r="L585">
        <v>17</v>
      </c>
      <c r="M585" t="s">
        <v>1888</v>
      </c>
    </row>
    <row r="586" spans="1:13" x14ac:dyDescent="0.25">
      <c r="A586" t="s">
        <v>1889</v>
      </c>
      <c r="B586" t="s">
        <v>14</v>
      </c>
      <c r="C586">
        <v>596.29999999999995</v>
      </c>
      <c r="D586">
        <v>603.29999999999995</v>
      </c>
      <c r="E586">
        <v>586</v>
      </c>
      <c r="F586">
        <v>590.45000000000005</v>
      </c>
      <c r="G586">
        <v>589</v>
      </c>
      <c r="H586">
        <v>598.20000000000005</v>
      </c>
      <c r="I586">
        <v>9230</v>
      </c>
      <c r="J586">
        <v>5508906.9500000002</v>
      </c>
      <c r="K586" s="1">
        <v>43777</v>
      </c>
      <c r="L586">
        <v>476</v>
      </c>
      <c r="M586" t="s">
        <v>1891</v>
      </c>
    </row>
    <row r="587" spans="1:13" x14ac:dyDescent="0.25">
      <c r="A587" t="s">
        <v>1901</v>
      </c>
      <c r="B587" t="s">
        <v>14</v>
      </c>
      <c r="C587">
        <v>880.2</v>
      </c>
      <c r="D587">
        <v>900</v>
      </c>
      <c r="E587">
        <v>871.05</v>
      </c>
      <c r="F587">
        <v>881.6</v>
      </c>
      <c r="G587">
        <v>872</v>
      </c>
      <c r="H587">
        <v>879.95</v>
      </c>
      <c r="I587">
        <v>37</v>
      </c>
      <c r="J587">
        <v>32435.8</v>
      </c>
      <c r="K587" s="1">
        <v>43777</v>
      </c>
      <c r="L587">
        <v>13</v>
      </c>
      <c r="M587" t="s">
        <v>1903</v>
      </c>
    </row>
    <row r="588" spans="1:13" x14ac:dyDescent="0.25">
      <c r="A588" t="s">
        <v>1904</v>
      </c>
      <c r="B588" t="s">
        <v>14</v>
      </c>
      <c r="C588">
        <v>227.4</v>
      </c>
      <c r="D588">
        <v>231.4</v>
      </c>
      <c r="E588">
        <v>225</v>
      </c>
      <c r="F588">
        <v>226.35</v>
      </c>
      <c r="G588">
        <v>226</v>
      </c>
      <c r="H588">
        <v>228.65</v>
      </c>
      <c r="I588">
        <v>248457</v>
      </c>
      <c r="J588">
        <v>56682256.200000003</v>
      </c>
      <c r="K588" s="1">
        <v>43777</v>
      </c>
      <c r="L588">
        <v>4295</v>
      </c>
      <c r="M588" t="s">
        <v>1906</v>
      </c>
    </row>
    <row r="589" spans="1:13" x14ac:dyDescent="0.25">
      <c r="A589" t="s">
        <v>7580</v>
      </c>
      <c r="B589" t="s">
        <v>14</v>
      </c>
      <c r="C589">
        <v>20.55</v>
      </c>
      <c r="D589">
        <v>21.1</v>
      </c>
      <c r="E589">
        <v>20.149999999999999</v>
      </c>
      <c r="F589">
        <v>20.3</v>
      </c>
      <c r="G589">
        <v>20.149999999999999</v>
      </c>
      <c r="H589">
        <v>20.55</v>
      </c>
      <c r="I589">
        <v>48048</v>
      </c>
      <c r="J589">
        <v>993697.3</v>
      </c>
      <c r="K589" s="1">
        <v>43777</v>
      </c>
      <c r="L589">
        <v>293</v>
      </c>
      <c r="M589" t="s">
        <v>7579</v>
      </c>
    </row>
    <row r="590" spans="1:13" x14ac:dyDescent="0.25">
      <c r="A590" t="s">
        <v>1910</v>
      </c>
      <c r="B590" t="s">
        <v>14</v>
      </c>
      <c r="C590">
        <v>78.8</v>
      </c>
      <c r="D590">
        <v>79.7</v>
      </c>
      <c r="E590">
        <v>77.150000000000006</v>
      </c>
      <c r="F590">
        <v>77.75</v>
      </c>
      <c r="G590">
        <v>77.95</v>
      </c>
      <c r="H590">
        <v>77.849999999999994</v>
      </c>
      <c r="I590">
        <v>245749</v>
      </c>
      <c r="J590">
        <v>19228265.100000001</v>
      </c>
      <c r="K590" s="1">
        <v>43777</v>
      </c>
      <c r="L590">
        <v>4116</v>
      </c>
      <c r="M590" t="s">
        <v>1912</v>
      </c>
    </row>
    <row r="591" spans="1:13" x14ac:dyDescent="0.25">
      <c r="A591" t="s">
        <v>7578</v>
      </c>
      <c r="B591" t="s">
        <v>14</v>
      </c>
      <c r="C591">
        <v>9285</v>
      </c>
      <c r="D591">
        <v>9348.9500000000007</v>
      </c>
      <c r="E591">
        <v>8951</v>
      </c>
      <c r="F591">
        <v>8969.9</v>
      </c>
      <c r="G591">
        <v>8960</v>
      </c>
      <c r="H591">
        <v>9241.85</v>
      </c>
      <c r="I591">
        <v>28304</v>
      </c>
      <c r="J591">
        <v>256485595.90000001</v>
      </c>
      <c r="K591" s="1">
        <v>43777</v>
      </c>
      <c r="L591">
        <v>8238</v>
      </c>
      <c r="M591" t="s">
        <v>7577</v>
      </c>
    </row>
    <row r="592" spans="1:13" x14ac:dyDescent="0.25">
      <c r="A592" t="s">
        <v>1916</v>
      </c>
      <c r="B592" t="s">
        <v>14</v>
      </c>
      <c r="C592">
        <v>214</v>
      </c>
      <c r="D592">
        <v>217.85</v>
      </c>
      <c r="E592">
        <v>209.65</v>
      </c>
      <c r="F592">
        <v>213.7</v>
      </c>
      <c r="G592">
        <v>211.7</v>
      </c>
      <c r="H592">
        <v>214.85</v>
      </c>
      <c r="I592">
        <v>249319</v>
      </c>
      <c r="J592">
        <v>53269404.899999999</v>
      </c>
      <c r="K592" s="1">
        <v>43777</v>
      </c>
      <c r="L592">
        <v>6972</v>
      </c>
      <c r="M592" t="s">
        <v>1918</v>
      </c>
    </row>
    <row r="593" spans="1:13" x14ac:dyDescent="0.25">
      <c r="A593" t="s">
        <v>1919</v>
      </c>
      <c r="B593" t="s">
        <v>14</v>
      </c>
      <c r="C593">
        <v>33.5</v>
      </c>
      <c r="D593">
        <v>34.4</v>
      </c>
      <c r="E593">
        <v>32.1</v>
      </c>
      <c r="F593">
        <v>34.4</v>
      </c>
      <c r="G593">
        <v>34.4</v>
      </c>
      <c r="H593">
        <v>32.799999999999997</v>
      </c>
      <c r="I593">
        <v>28986</v>
      </c>
      <c r="J593">
        <v>989627.35</v>
      </c>
      <c r="K593" s="1">
        <v>43777</v>
      </c>
      <c r="L593">
        <v>213</v>
      </c>
      <c r="M593" t="s">
        <v>1921</v>
      </c>
    </row>
    <row r="594" spans="1:13" x14ac:dyDescent="0.25">
      <c r="A594" t="s">
        <v>1925</v>
      </c>
      <c r="B594" t="s">
        <v>14</v>
      </c>
      <c r="C594">
        <v>1.3</v>
      </c>
      <c r="D594">
        <v>1.4</v>
      </c>
      <c r="E594">
        <v>1.3</v>
      </c>
      <c r="F594">
        <v>1.4</v>
      </c>
      <c r="G594">
        <v>1.4</v>
      </c>
      <c r="H594">
        <v>1.35</v>
      </c>
      <c r="I594">
        <v>40766</v>
      </c>
      <c r="J594">
        <v>57003.1</v>
      </c>
      <c r="K594" s="1">
        <v>43777</v>
      </c>
      <c r="L594">
        <v>38</v>
      </c>
      <c r="M594" t="s">
        <v>1927</v>
      </c>
    </row>
    <row r="595" spans="1:13" x14ac:dyDescent="0.25">
      <c r="A595" t="s">
        <v>1928</v>
      </c>
      <c r="B595" t="s">
        <v>14</v>
      </c>
      <c r="C595">
        <v>0.4</v>
      </c>
      <c r="D595">
        <v>0.45</v>
      </c>
      <c r="E595">
        <v>0.4</v>
      </c>
      <c r="F595">
        <v>0.45</v>
      </c>
      <c r="G595">
        <v>0.45</v>
      </c>
      <c r="H595">
        <v>0.45</v>
      </c>
      <c r="I595">
        <v>1710339</v>
      </c>
      <c r="J595">
        <v>707542.15</v>
      </c>
      <c r="K595" s="1">
        <v>43777</v>
      </c>
      <c r="L595">
        <v>199</v>
      </c>
      <c r="M595" t="s">
        <v>1930</v>
      </c>
    </row>
    <row r="596" spans="1:13" x14ac:dyDescent="0.25">
      <c r="A596" t="s">
        <v>7576</v>
      </c>
      <c r="B596" t="s">
        <v>14</v>
      </c>
      <c r="C596">
        <v>6.2</v>
      </c>
      <c r="D596">
        <v>6.2</v>
      </c>
      <c r="E596">
        <v>5.65</v>
      </c>
      <c r="F596">
        <v>5.8</v>
      </c>
      <c r="G596">
        <v>5.8</v>
      </c>
      <c r="H596">
        <v>5.7</v>
      </c>
      <c r="I596">
        <v>656</v>
      </c>
      <c r="J596">
        <v>3838.6</v>
      </c>
      <c r="K596" s="1">
        <v>43777</v>
      </c>
      <c r="L596">
        <v>7</v>
      </c>
      <c r="M596" t="s">
        <v>7575</v>
      </c>
    </row>
    <row r="597" spans="1:13" x14ac:dyDescent="0.25">
      <c r="A597" t="s">
        <v>7574</v>
      </c>
      <c r="B597" t="s">
        <v>14</v>
      </c>
      <c r="C597">
        <v>7.25</v>
      </c>
      <c r="D597">
        <v>7.25</v>
      </c>
      <c r="E597">
        <v>6.65</v>
      </c>
      <c r="F597">
        <v>6.65</v>
      </c>
      <c r="G597">
        <v>6.65</v>
      </c>
      <c r="H597">
        <v>6.95</v>
      </c>
      <c r="I597">
        <v>2014</v>
      </c>
      <c r="J597">
        <v>14593.1</v>
      </c>
      <c r="K597" s="1">
        <v>43777</v>
      </c>
      <c r="L597">
        <v>4</v>
      </c>
      <c r="M597" t="s">
        <v>7573</v>
      </c>
    </row>
    <row r="598" spans="1:13" x14ac:dyDescent="0.25">
      <c r="A598" t="s">
        <v>1931</v>
      </c>
      <c r="B598" t="s">
        <v>14</v>
      </c>
      <c r="C598">
        <v>71</v>
      </c>
      <c r="D598">
        <v>73</v>
      </c>
      <c r="E598">
        <v>70.099999999999994</v>
      </c>
      <c r="F598">
        <v>70.8</v>
      </c>
      <c r="G598">
        <v>70.650000000000006</v>
      </c>
      <c r="H598">
        <v>70.3</v>
      </c>
      <c r="I598">
        <v>20553</v>
      </c>
      <c r="J598">
        <v>1456839.25</v>
      </c>
      <c r="K598" s="1">
        <v>43777</v>
      </c>
      <c r="L598">
        <v>683</v>
      </c>
      <c r="M598" t="s">
        <v>1933</v>
      </c>
    </row>
    <row r="599" spans="1:13" x14ac:dyDescent="0.25">
      <c r="A599" t="s">
        <v>1934</v>
      </c>
      <c r="B599" t="s">
        <v>14</v>
      </c>
      <c r="C599">
        <v>69.900000000000006</v>
      </c>
      <c r="D599">
        <v>72.8</v>
      </c>
      <c r="E599">
        <v>69.2</v>
      </c>
      <c r="F599">
        <v>70.2</v>
      </c>
      <c r="G599">
        <v>69.900000000000006</v>
      </c>
      <c r="H599">
        <v>69.95</v>
      </c>
      <c r="I599">
        <v>38499</v>
      </c>
      <c r="J599">
        <v>2721413.85</v>
      </c>
      <c r="K599" s="1">
        <v>43777</v>
      </c>
      <c r="L599">
        <v>794</v>
      </c>
      <c r="M599" t="s">
        <v>1936</v>
      </c>
    </row>
    <row r="600" spans="1:13" x14ac:dyDescent="0.25">
      <c r="A600" t="s">
        <v>1937</v>
      </c>
      <c r="B600" t="s">
        <v>14</v>
      </c>
      <c r="C600">
        <v>410</v>
      </c>
      <c r="D600">
        <v>423</v>
      </c>
      <c r="E600">
        <v>402.1</v>
      </c>
      <c r="F600">
        <v>415.3</v>
      </c>
      <c r="G600">
        <v>418</v>
      </c>
      <c r="H600">
        <v>415.05</v>
      </c>
      <c r="I600">
        <v>135606</v>
      </c>
      <c r="J600">
        <v>56405207.350000001</v>
      </c>
      <c r="K600" s="1">
        <v>43777</v>
      </c>
      <c r="L600">
        <v>4927</v>
      </c>
      <c r="M600" t="s">
        <v>1939</v>
      </c>
    </row>
    <row r="601" spans="1:13" x14ac:dyDescent="0.25">
      <c r="A601" t="s">
        <v>1940</v>
      </c>
      <c r="B601" t="s">
        <v>14</v>
      </c>
      <c r="C601">
        <v>143</v>
      </c>
      <c r="D601">
        <v>143</v>
      </c>
      <c r="E601">
        <v>127.2</v>
      </c>
      <c r="F601">
        <v>129.55000000000001</v>
      </c>
      <c r="G601">
        <v>131.80000000000001</v>
      </c>
      <c r="H601">
        <v>139.85</v>
      </c>
      <c r="I601">
        <v>2736</v>
      </c>
      <c r="J601">
        <v>359919.1</v>
      </c>
      <c r="K601" s="1">
        <v>43777</v>
      </c>
      <c r="L601">
        <v>254</v>
      </c>
      <c r="M601" t="s">
        <v>1942</v>
      </c>
    </row>
    <row r="602" spans="1:13" x14ac:dyDescent="0.25">
      <c r="A602" t="s">
        <v>1943</v>
      </c>
      <c r="B602" t="s">
        <v>14</v>
      </c>
      <c r="C602">
        <v>193.15</v>
      </c>
      <c r="D602">
        <v>201.8</v>
      </c>
      <c r="E602">
        <v>190</v>
      </c>
      <c r="F602">
        <v>196.35</v>
      </c>
      <c r="G602">
        <v>196</v>
      </c>
      <c r="H602">
        <v>194.15</v>
      </c>
      <c r="I602">
        <v>1472105</v>
      </c>
      <c r="J602">
        <v>288223930.14999998</v>
      </c>
      <c r="K602" s="1">
        <v>43777</v>
      </c>
      <c r="L602">
        <v>29969</v>
      </c>
      <c r="M602" t="s">
        <v>1945</v>
      </c>
    </row>
    <row r="603" spans="1:13" x14ac:dyDescent="0.25">
      <c r="A603" t="s">
        <v>1949</v>
      </c>
      <c r="B603" t="s">
        <v>14</v>
      </c>
      <c r="C603">
        <v>841</v>
      </c>
      <c r="D603">
        <v>859.95</v>
      </c>
      <c r="E603">
        <v>835</v>
      </c>
      <c r="F603">
        <v>858.3</v>
      </c>
      <c r="G603">
        <v>858</v>
      </c>
      <c r="H603">
        <v>852.5</v>
      </c>
      <c r="I603">
        <v>3895</v>
      </c>
      <c r="J603">
        <v>3333230.8</v>
      </c>
      <c r="K603" s="1">
        <v>43777</v>
      </c>
      <c r="L603">
        <v>549</v>
      </c>
      <c r="M603" t="s">
        <v>1951</v>
      </c>
    </row>
    <row r="604" spans="1:13" x14ac:dyDescent="0.25">
      <c r="A604" t="s">
        <v>1952</v>
      </c>
      <c r="B604" t="s">
        <v>14</v>
      </c>
      <c r="C604">
        <v>40.200000000000003</v>
      </c>
      <c r="D604">
        <v>40.950000000000003</v>
      </c>
      <c r="E604">
        <v>38.700000000000003</v>
      </c>
      <c r="F604">
        <v>39</v>
      </c>
      <c r="G604">
        <v>39.5</v>
      </c>
      <c r="H604">
        <v>39.1</v>
      </c>
      <c r="I604">
        <v>6949</v>
      </c>
      <c r="J604">
        <v>273717.09999999998</v>
      </c>
      <c r="K604" s="1">
        <v>43777</v>
      </c>
      <c r="L604">
        <v>144</v>
      </c>
      <c r="M604" t="s">
        <v>1954</v>
      </c>
    </row>
    <row r="605" spans="1:13" x14ac:dyDescent="0.25">
      <c r="A605" t="s">
        <v>1955</v>
      </c>
      <c r="B605" t="s">
        <v>10</v>
      </c>
      <c r="C605">
        <v>41.05</v>
      </c>
      <c r="D605">
        <v>43.95</v>
      </c>
      <c r="E605">
        <v>41.05</v>
      </c>
      <c r="F605">
        <v>42.4</v>
      </c>
      <c r="G605">
        <v>42.25</v>
      </c>
      <c r="H605">
        <v>42.1</v>
      </c>
      <c r="I605">
        <v>2018</v>
      </c>
      <c r="J605">
        <v>85997.65</v>
      </c>
      <c r="K605" s="1">
        <v>43777</v>
      </c>
      <c r="L605">
        <v>27</v>
      </c>
      <c r="M605" t="s">
        <v>1957</v>
      </c>
    </row>
    <row r="606" spans="1:13" x14ac:dyDescent="0.25">
      <c r="A606" t="s">
        <v>1958</v>
      </c>
      <c r="B606" t="s">
        <v>14</v>
      </c>
      <c r="C606">
        <v>5</v>
      </c>
      <c r="D606">
        <v>5</v>
      </c>
      <c r="E606">
        <v>4.8</v>
      </c>
      <c r="F606">
        <v>4.8499999999999996</v>
      </c>
      <c r="G606">
        <v>4.8499999999999996</v>
      </c>
      <c r="H606">
        <v>5.05</v>
      </c>
      <c r="I606">
        <v>2330960</v>
      </c>
      <c r="J606">
        <v>11298407.699999999</v>
      </c>
      <c r="K606" s="1">
        <v>43777</v>
      </c>
      <c r="L606">
        <v>1472</v>
      </c>
      <c r="M606" t="s">
        <v>1960</v>
      </c>
    </row>
    <row r="607" spans="1:13" x14ac:dyDescent="0.25">
      <c r="A607" t="s">
        <v>1964</v>
      </c>
      <c r="B607" t="s">
        <v>14</v>
      </c>
      <c r="C607">
        <v>751</v>
      </c>
      <c r="D607">
        <v>763.65</v>
      </c>
      <c r="E607">
        <v>750.65</v>
      </c>
      <c r="F607">
        <v>759.05</v>
      </c>
      <c r="G607">
        <v>760</v>
      </c>
      <c r="H607">
        <v>755.4</v>
      </c>
      <c r="I607">
        <v>12018</v>
      </c>
      <c r="J607">
        <v>9115184.0500000007</v>
      </c>
      <c r="K607" s="1">
        <v>43777</v>
      </c>
      <c r="L607">
        <v>1562</v>
      </c>
      <c r="M607" t="s">
        <v>7572</v>
      </c>
    </row>
    <row r="608" spans="1:13" x14ac:dyDescent="0.25">
      <c r="A608" t="s">
        <v>7571</v>
      </c>
      <c r="B608" t="s">
        <v>14</v>
      </c>
      <c r="C608">
        <v>467.05</v>
      </c>
      <c r="D608">
        <v>467.25</v>
      </c>
      <c r="E608">
        <v>450</v>
      </c>
      <c r="F608">
        <v>453.5</v>
      </c>
      <c r="G608">
        <v>450.4</v>
      </c>
      <c r="H608">
        <v>462.55</v>
      </c>
      <c r="I608">
        <v>1206</v>
      </c>
      <c r="J608">
        <v>552352.94999999995</v>
      </c>
      <c r="K608" s="1">
        <v>43777</v>
      </c>
      <c r="L608">
        <v>200</v>
      </c>
      <c r="M608" t="s">
        <v>7570</v>
      </c>
    </row>
    <row r="609" spans="1:13" x14ac:dyDescent="0.25">
      <c r="A609" t="s">
        <v>1976</v>
      </c>
      <c r="B609" t="s">
        <v>14</v>
      </c>
      <c r="C609">
        <v>47.9</v>
      </c>
      <c r="D609">
        <v>50.4</v>
      </c>
      <c r="E609">
        <v>47.65</v>
      </c>
      <c r="F609">
        <v>48.2</v>
      </c>
      <c r="G609">
        <v>48.25</v>
      </c>
      <c r="H609">
        <v>48.05</v>
      </c>
      <c r="I609">
        <v>54938</v>
      </c>
      <c r="J609">
        <v>2691963.2</v>
      </c>
      <c r="K609" s="1">
        <v>43777</v>
      </c>
      <c r="L609">
        <v>751</v>
      </c>
      <c r="M609" t="s">
        <v>1978</v>
      </c>
    </row>
    <row r="610" spans="1:13" x14ac:dyDescent="0.25">
      <c r="A610" t="s">
        <v>1982</v>
      </c>
      <c r="B610" t="s">
        <v>14</v>
      </c>
      <c r="C610">
        <v>21.2</v>
      </c>
      <c r="D610">
        <v>21.4</v>
      </c>
      <c r="E610">
        <v>20.7</v>
      </c>
      <c r="F610">
        <v>20.9</v>
      </c>
      <c r="G610">
        <v>20.9</v>
      </c>
      <c r="H610">
        <v>21.2</v>
      </c>
      <c r="I610">
        <v>118744</v>
      </c>
      <c r="J610">
        <v>2499453.2999999998</v>
      </c>
      <c r="K610" s="1">
        <v>43777</v>
      </c>
      <c r="L610">
        <v>673</v>
      </c>
      <c r="M610" t="s">
        <v>1984</v>
      </c>
    </row>
    <row r="611" spans="1:13" x14ac:dyDescent="0.25">
      <c r="A611" t="s">
        <v>1985</v>
      </c>
      <c r="B611" t="s">
        <v>14</v>
      </c>
      <c r="C611">
        <v>604.15</v>
      </c>
      <c r="D611">
        <v>604.15</v>
      </c>
      <c r="E611">
        <v>590</v>
      </c>
      <c r="F611">
        <v>590.75</v>
      </c>
      <c r="G611">
        <v>590</v>
      </c>
      <c r="H611">
        <v>597.15</v>
      </c>
      <c r="I611">
        <v>2899</v>
      </c>
      <c r="J611">
        <v>1721644.55</v>
      </c>
      <c r="K611" s="1">
        <v>43777</v>
      </c>
      <c r="L611">
        <v>254</v>
      </c>
      <c r="M611" t="s">
        <v>1987</v>
      </c>
    </row>
    <row r="612" spans="1:13" x14ac:dyDescent="0.25">
      <c r="A612" t="s">
        <v>1988</v>
      </c>
      <c r="B612" t="s">
        <v>14</v>
      </c>
      <c r="C612">
        <v>714.35</v>
      </c>
      <c r="D612">
        <v>717.25</v>
      </c>
      <c r="E612">
        <v>702.8</v>
      </c>
      <c r="F612">
        <v>707.5</v>
      </c>
      <c r="G612">
        <v>703.75</v>
      </c>
      <c r="H612">
        <v>710</v>
      </c>
      <c r="I612">
        <v>1129079</v>
      </c>
      <c r="J612">
        <v>804283534</v>
      </c>
      <c r="K612" s="1">
        <v>43777</v>
      </c>
      <c r="L612">
        <v>25415</v>
      </c>
      <c r="M612" t="s">
        <v>1990</v>
      </c>
    </row>
    <row r="613" spans="1:13" x14ac:dyDescent="0.25">
      <c r="A613" t="s">
        <v>1991</v>
      </c>
      <c r="B613" t="s">
        <v>10</v>
      </c>
      <c r="C613">
        <v>0.6</v>
      </c>
      <c r="D613">
        <v>0.6</v>
      </c>
      <c r="E613">
        <v>0.55000000000000004</v>
      </c>
      <c r="F613">
        <v>0.55000000000000004</v>
      </c>
      <c r="G613">
        <v>0.55000000000000004</v>
      </c>
      <c r="H613">
        <v>0.6</v>
      </c>
      <c r="I613">
        <v>9600</v>
      </c>
      <c r="J613">
        <v>5355.5</v>
      </c>
      <c r="K613" s="1">
        <v>43777</v>
      </c>
      <c r="L613">
        <v>9</v>
      </c>
      <c r="M613" t="s">
        <v>1993</v>
      </c>
    </row>
    <row r="614" spans="1:13" x14ac:dyDescent="0.25">
      <c r="A614" t="s">
        <v>1994</v>
      </c>
      <c r="B614" t="s">
        <v>14</v>
      </c>
      <c r="C614">
        <v>17.5</v>
      </c>
      <c r="D614">
        <v>17.5</v>
      </c>
      <c r="E614">
        <v>16.649999999999999</v>
      </c>
      <c r="F614">
        <v>16.95</v>
      </c>
      <c r="G614">
        <v>17.2</v>
      </c>
      <c r="H614">
        <v>17.5</v>
      </c>
      <c r="I614">
        <v>67789</v>
      </c>
      <c r="J614">
        <v>1160412.95</v>
      </c>
      <c r="K614" s="1">
        <v>43777</v>
      </c>
      <c r="L614">
        <v>388</v>
      </c>
      <c r="M614" t="s">
        <v>1996</v>
      </c>
    </row>
    <row r="615" spans="1:13" x14ac:dyDescent="0.25">
      <c r="A615" t="s">
        <v>2000</v>
      </c>
      <c r="B615" t="s">
        <v>14</v>
      </c>
      <c r="C615">
        <v>8.5</v>
      </c>
      <c r="D615">
        <v>8.65</v>
      </c>
      <c r="E615">
        <v>8.15</v>
      </c>
      <c r="F615">
        <v>8.25</v>
      </c>
      <c r="G615">
        <v>8.4</v>
      </c>
      <c r="H615">
        <v>8.5500000000000007</v>
      </c>
      <c r="I615">
        <v>1613355</v>
      </c>
      <c r="J615">
        <v>13592355.75</v>
      </c>
      <c r="K615" s="1">
        <v>43777</v>
      </c>
      <c r="L615">
        <v>3025</v>
      </c>
      <c r="M615" t="s">
        <v>2002</v>
      </c>
    </row>
    <row r="616" spans="1:13" x14ac:dyDescent="0.25">
      <c r="A616" t="s">
        <v>2003</v>
      </c>
      <c r="B616" t="s">
        <v>14</v>
      </c>
      <c r="C616">
        <v>115</v>
      </c>
      <c r="D616">
        <v>124</v>
      </c>
      <c r="E616">
        <v>112</v>
      </c>
      <c r="F616">
        <v>114.05</v>
      </c>
      <c r="G616">
        <v>112</v>
      </c>
      <c r="H616">
        <v>114.9</v>
      </c>
      <c r="I616">
        <v>45471</v>
      </c>
      <c r="J616">
        <v>5268618.95</v>
      </c>
      <c r="K616" s="1">
        <v>43777</v>
      </c>
      <c r="L616">
        <v>1590</v>
      </c>
      <c r="M616" t="s">
        <v>2005</v>
      </c>
    </row>
    <row r="617" spans="1:13" x14ac:dyDescent="0.25">
      <c r="A617" t="s">
        <v>2006</v>
      </c>
      <c r="B617" t="s">
        <v>14</v>
      </c>
      <c r="C617">
        <v>7.95</v>
      </c>
      <c r="D617">
        <v>8</v>
      </c>
      <c r="E617">
        <v>7.35</v>
      </c>
      <c r="F617">
        <v>7.75</v>
      </c>
      <c r="G617">
        <v>7.75</v>
      </c>
      <c r="H617">
        <v>7.85</v>
      </c>
      <c r="I617">
        <v>368266</v>
      </c>
      <c r="J617">
        <v>2844973.4</v>
      </c>
      <c r="K617" s="1">
        <v>43777</v>
      </c>
      <c r="L617">
        <v>1049</v>
      </c>
      <c r="M617" t="s">
        <v>2008</v>
      </c>
    </row>
    <row r="618" spans="1:13" x14ac:dyDescent="0.25">
      <c r="A618" t="s">
        <v>2009</v>
      </c>
      <c r="B618" t="s">
        <v>14</v>
      </c>
      <c r="C618">
        <v>1148.3499999999999</v>
      </c>
      <c r="D618">
        <v>1164.4000000000001</v>
      </c>
      <c r="E618">
        <v>1146.0999999999999</v>
      </c>
      <c r="F618">
        <v>1150.0999999999999</v>
      </c>
      <c r="G618">
        <v>1148.8</v>
      </c>
      <c r="H618">
        <v>1148.45</v>
      </c>
      <c r="I618">
        <v>2013290</v>
      </c>
      <c r="J618">
        <v>2322086091.5500002</v>
      </c>
      <c r="K618" s="1">
        <v>43777</v>
      </c>
      <c r="L618">
        <v>40596</v>
      </c>
      <c r="M618" t="s">
        <v>2011</v>
      </c>
    </row>
    <row r="619" spans="1:13" x14ac:dyDescent="0.25">
      <c r="A619" t="s">
        <v>7569</v>
      </c>
      <c r="B619" t="s">
        <v>14</v>
      </c>
      <c r="C619">
        <v>2242.9499999999998</v>
      </c>
      <c r="D619">
        <v>2252.5</v>
      </c>
      <c r="E619">
        <v>2211</v>
      </c>
      <c r="F619">
        <v>2233.1999999999998</v>
      </c>
      <c r="G619">
        <v>2230</v>
      </c>
      <c r="H619">
        <v>2251</v>
      </c>
      <c r="I619">
        <v>3315622</v>
      </c>
      <c r="J619">
        <v>7422512991.1499996</v>
      </c>
      <c r="K619" s="1">
        <v>43777</v>
      </c>
      <c r="L619">
        <v>145352</v>
      </c>
      <c r="M619" t="s">
        <v>7568</v>
      </c>
    </row>
    <row r="620" spans="1:13" x14ac:dyDescent="0.25">
      <c r="A620" t="s">
        <v>2012</v>
      </c>
      <c r="B620" t="s">
        <v>14</v>
      </c>
      <c r="C620">
        <v>3035</v>
      </c>
      <c r="D620">
        <v>3248.9</v>
      </c>
      <c r="E620">
        <v>3018</v>
      </c>
      <c r="F620">
        <v>3191.55</v>
      </c>
      <c r="G620">
        <v>3198</v>
      </c>
      <c r="H620">
        <v>3016.75</v>
      </c>
      <c r="I620">
        <v>2262911</v>
      </c>
      <c r="J620">
        <v>7174385396.8999996</v>
      </c>
      <c r="K620" s="1">
        <v>43777</v>
      </c>
      <c r="L620">
        <v>164882</v>
      </c>
      <c r="M620" t="s">
        <v>2014</v>
      </c>
    </row>
    <row r="621" spans="1:13" x14ac:dyDescent="0.25">
      <c r="A621" t="s">
        <v>2015</v>
      </c>
      <c r="B621" t="s">
        <v>14</v>
      </c>
      <c r="C621">
        <v>1259</v>
      </c>
      <c r="D621">
        <v>1267</v>
      </c>
      <c r="E621">
        <v>1251.45</v>
      </c>
      <c r="F621">
        <v>1255.5999999999999</v>
      </c>
      <c r="G621">
        <v>1254.8499999999999</v>
      </c>
      <c r="H621">
        <v>1263.7</v>
      </c>
      <c r="I621">
        <v>6625748</v>
      </c>
      <c r="J621">
        <v>8337070329.8999996</v>
      </c>
      <c r="K621" s="1">
        <v>43777</v>
      </c>
      <c r="L621">
        <v>123060</v>
      </c>
      <c r="M621" t="s">
        <v>2017</v>
      </c>
    </row>
    <row r="622" spans="1:13" x14ac:dyDescent="0.25">
      <c r="A622" t="s">
        <v>2018</v>
      </c>
      <c r="B622" t="s">
        <v>14</v>
      </c>
      <c r="C622">
        <v>580</v>
      </c>
      <c r="D622">
        <v>585.20000000000005</v>
      </c>
      <c r="E622">
        <v>566.5</v>
      </c>
      <c r="F622">
        <v>567.9</v>
      </c>
      <c r="G622">
        <v>568</v>
      </c>
      <c r="H622">
        <v>580.15</v>
      </c>
      <c r="I622">
        <v>3630548</v>
      </c>
      <c r="J622">
        <v>2086871301.3</v>
      </c>
      <c r="K622" s="1">
        <v>43777</v>
      </c>
      <c r="L622">
        <v>128849</v>
      </c>
      <c r="M622" t="s">
        <v>2020</v>
      </c>
    </row>
    <row r="623" spans="1:13" x14ac:dyDescent="0.25">
      <c r="A623" t="s">
        <v>7567</v>
      </c>
      <c r="B623" t="s">
        <v>14</v>
      </c>
      <c r="C623">
        <v>3448.5</v>
      </c>
      <c r="D623">
        <v>3455</v>
      </c>
      <c r="E623">
        <v>3425</v>
      </c>
      <c r="F623">
        <v>3428.25</v>
      </c>
      <c r="G623">
        <v>3437.75</v>
      </c>
      <c r="H623">
        <v>3464.8</v>
      </c>
      <c r="I623">
        <v>2702</v>
      </c>
      <c r="J623">
        <v>9291092.0500000007</v>
      </c>
      <c r="K623" s="1">
        <v>43777</v>
      </c>
      <c r="L623">
        <v>318</v>
      </c>
      <c r="M623" t="s">
        <v>7566</v>
      </c>
    </row>
    <row r="624" spans="1:13" x14ac:dyDescent="0.25">
      <c r="A624" t="s">
        <v>7565</v>
      </c>
      <c r="B624" t="s">
        <v>14</v>
      </c>
      <c r="C624">
        <v>1254.3900000000001</v>
      </c>
      <c r="D624">
        <v>1260.8499999999999</v>
      </c>
      <c r="E624">
        <v>1246.79</v>
      </c>
      <c r="F624">
        <v>1247.6199999999999</v>
      </c>
      <c r="G624">
        <v>1251.19</v>
      </c>
      <c r="H624">
        <v>1256.03</v>
      </c>
      <c r="I624">
        <v>1037</v>
      </c>
      <c r="J624">
        <v>1300229.82</v>
      </c>
      <c r="K624" s="1">
        <v>43777</v>
      </c>
      <c r="L624">
        <v>63</v>
      </c>
      <c r="M624" t="s">
        <v>7564</v>
      </c>
    </row>
    <row r="625" spans="1:13" x14ac:dyDescent="0.25">
      <c r="A625" t="s">
        <v>7563</v>
      </c>
      <c r="B625" t="s">
        <v>14</v>
      </c>
      <c r="C625">
        <v>4280</v>
      </c>
      <c r="D625">
        <v>4280</v>
      </c>
      <c r="E625">
        <v>4280</v>
      </c>
      <c r="F625">
        <v>4280</v>
      </c>
      <c r="G625">
        <v>4280</v>
      </c>
      <c r="H625">
        <v>4292.13</v>
      </c>
      <c r="I625">
        <v>5</v>
      </c>
      <c r="J625">
        <v>21400</v>
      </c>
      <c r="K625" s="1">
        <v>43777</v>
      </c>
      <c r="L625">
        <v>1</v>
      </c>
      <c r="M625" t="s">
        <v>7562</v>
      </c>
    </row>
    <row r="626" spans="1:13" x14ac:dyDescent="0.25">
      <c r="A626" t="s">
        <v>7561</v>
      </c>
      <c r="B626" t="s">
        <v>14</v>
      </c>
      <c r="C626">
        <v>1.95</v>
      </c>
      <c r="D626">
        <v>1.95</v>
      </c>
      <c r="E626">
        <v>1.95</v>
      </c>
      <c r="F626">
        <v>1.95</v>
      </c>
      <c r="G626">
        <v>1.95</v>
      </c>
      <c r="H626">
        <v>1.9</v>
      </c>
      <c r="I626">
        <v>356514</v>
      </c>
      <c r="J626">
        <v>695202.3</v>
      </c>
      <c r="K626" s="1">
        <v>43777</v>
      </c>
      <c r="L626">
        <v>212</v>
      </c>
      <c r="M626" t="s">
        <v>7560</v>
      </c>
    </row>
    <row r="627" spans="1:13" x14ac:dyDescent="0.25">
      <c r="A627" t="s">
        <v>2027</v>
      </c>
      <c r="B627" t="s">
        <v>14</v>
      </c>
      <c r="C627">
        <v>1026.7</v>
      </c>
      <c r="D627">
        <v>1047.9000000000001</v>
      </c>
      <c r="E627">
        <v>1015</v>
      </c>
      <c r="F627">
        <v>1021</v>
      </c>
      <c r="G627">
        <v>1021.1</v>
      </c>
      <c r="H627">
        <v>1025.45</v>
      </c>
      <c r="I627">
        <v>546373</v>
      </c>
      <c r="J627">
        <v>563159356.89999998</v>
      </c>
      <c r="K627" s="1">
        <v>43777</v>
      </c>
      <c r="L627">
        <v>27865</v>
      </c>
      <c r="M627" t="s">
        <v>2029</v>
      </c>
    </row>
    <row r="628" spans="1:13" x14ac:dyDescent="0.25">
      <c r="A628" t="s">
        <v>2030</v>
      </c>
      <c r="B628" t="s">
        <v>14</v>
      </c>
      <c r="C628">
        <v>195.7</v>
      </c>
      <c r="D628">
        <v>195.7</v>
      </c>
      <c r="E628">
        <v>186.5</v>
      </c>
      <c r="F628">
        <v>191.2</v>
      </c>
      <c r="G628">
        <v>189.65</v>
      </c>
      <c r="H628">
        <v>196.85</v>
      </c>
      <c r="I628">
        <v>545829</v>
      </c>
      <c r="J628">
        <v>104111925.25</v>
      </c>
      <c r="K628" s="1">
        <v>43777</v>
      </c>
      <c r="L628">
        <v>11888</v>
      </c>
      <c r="M628" t="s">
        <v>2032</v>
      </c>
    </row>
    <row r="629" spans="1:13" x14ac:dyDescent="0.25">
      <c r="A629" t="s">
        <v>7559</v>
      </c>
      <c r="B629" t="s">
        <v>7076</v>
      </c>
      <c r="C629">
        <v>9.35</v>
      </c>
      <c r="D629">
        <v>9.3800000000000008</v>
      </c>
      <c r="E629">
        <v>9.35</v>
      </c>
      <c r="F629">
        <v>9.3800000000000008</v>
      </c>
      <c r="G629">
        <v>9.3800000000000008</v>
      </c>
      <c r="H629">
        <v>9.5</v>
      </c>
      <c r="I629">
        <v>5000</v>
      </c>
      <c r="J629">
        <v>46873</v>
      </c>
      <c r="K629" s="1">
        <v>43777</v>
      </c>
      <c r="L629">
        <v>2</v>
      </c>
      <c r="M629" t="s">
        <v>7558</v>
      </c>
    </row>
    <row r="630" spans="1:13" x14ac:dyDescent="0.25">
      <c r="A630" t="s">
        <v>7557</v>
      </c>
      <c r="B630" t="s">
        <v>7076</v>
      </c>
      <c r="C630">
        <v>9.8000000000000007</v>
      </c>
      <c r="D630">
        <v>9.8000000000000007</v>
      </c>
      <c r="E630">
        <v>9.8000000000000007</v>
      </c>
      <c r="F630">
        <v>9.8000000000000007</v>
      </c>
      <c r="G630">
        <v>9.8000000000000007</v>
      </c>
      <c r="H630">
        <v>9.8000000000000007</v>
      </c>
      <c r="I630">
        <v>641</v>
      </c>
      <c r="J630">
        <v>6281.8</v>
      </c>
      <c r="K630" s="1">
        <v>43777</v>
      </c>
      <c r="L630">
        <v>1</v>
      </c>
      <c r="M630" t="s">
        <v>7556</v>
      </c>
    </row>
    <row r="631" spans="1:13" x14ac:dyDescent="0.25">
      <c r="A631" t="s">
        <v>2039</v>
      </c>
      <c r="B631" t="s">
        <v>14</v>
      </c>
      <c r="C631">
        <v>95.75</v>
      </c>
      <c r="D631">
        <v>96.4</v>
      </c>
      <c r="E631">
        <v>93.5</v>
      </c>
      <c r="F631">
        <v>93.95</v>
      </c>
      <c r="G631">
        <v>93.9</v>
      </c>
      <c r="H631">
        <v>95.55</v>
      </c>
      <c r="I631">
        <v>11632</v>
      </c>
      <c r="J631">
        <v>1104535.8999999999</v>
      </c>
      <c r="K631" s="1">
        <v>43777</v>
      </c>
      <c r="L631">
        <v>215</v>
      </c>
      <c r="M631" t="s">
        <v>2041</v>
      </c>
    </row>
    <row r="632" spans="1:13" x14ac:dyDescent="0.25">
      <c r="A632" t="s">
        <v>2042</v>
      </c>
      <c r="B632" t="s">
        <v>14</v>
      </c>
      <c r="C632">
        <v>343.95</v>
      </c>
      <c r="D632">
        <v>354.3</v>
      </c>
      <c r="E632">
        <v>327.60000000000002</v>
      </c>
      <c r="F632">
        <v>337.9</v>
      </c>
      <c r="G632">
        <v>338</v>
      </c>
      <c r="H632">
        <v>340.2</v>
      </c>
      <c r="I632">
        <v>22607</v>
      </c>
      <c r="J632">
        <v>7605820.4000000004</v>
      </c>
      <c r="K632" s="1">
        <v>43777</v>
      </c>
      <c r="L632">
        <v>1150</v>
      </c>
      <c r="M632" t="s">
        <v>2044</v>
      </c>
    </row>
    <row r="633" spans="1:13" x14ac:dyDescent="0.25">
      <c r="A633" t="s">
        <v>2045</v>
      </c>
      <c r="B633" t="s">
        <v>14</v>
      </c>
      <c r="C633">
        <v>2660.8</v>
      </c>
      <c r="D633">
        <v>2692</v>
      </c>
      <c r="E633">
        <v>2640.65</v>
      </c>
      <c r="F633">
        <v>2646.95</v>
      </c>
      <c r="G633">
        <v>2641.05</v>
      </c>
      <c r="H633">
        <v>2660.85</v>
      </c>
      <c r="I633">
        <v>444717</v>
      </c>
      <c r="J633">
        <v>1187288172.3499999</v>
      </c>
      <c r="K633" s="1">
        <v>43777</v>
      </c>
      <c r="L633">
        <v>32673</v>
      </c>
      <c r="M633" t="s">
        <v>2047</v>
      </c>
    </row>
    <row r="634" spans="1:13" x14ac:dyDescent="0.25">
      <c r="A634" t="s">
        <v>2048</v>
      </c>
      <c r="B634" t="s">
        <v>14</v>
      </c>
      <c r="C634">
        <v>1645</v>
      </c>
      <c r="D634">
        <v>1645</v>
      </c>
      <c r="E634">
        <v>1572.8</v>
      </c>
      <c r="F634">
        <v>1631.95</v>
      </c>
      <c r="G634">
        <v>1642.25</v>
      </c>
      <c r="H634">
        <v>1642.25</v>
      </c>
      <c r="I634">
        <v>5079</v>
      </c>
      <c r="J634">
        <v>8236024.7999999998</v>
      </c>
      <c r="K634" s="1">
        <v>43777</v>
      </c>
      <c r="L634">
        <v>596</v>
      </c>
      <c r="M634" t="s">
        <v>2050</v>
      </c>
    </row>
    <row r="635" spans="1:13" x14ac:dyDescent="0.25">
      <c r="A635" t="s">
        <v>2054</v>
      </c>
      <c r="B635" t="s">
        <v>10</v>
      </c>
      <c r="C635">
        <v>10.75</v>
      </c>
      <c r="D635">
        <v>11.85</v>
      </c>
      <c r="E635">
        <v>10.75</v>
      </c>
      <c r="F635">
        <v>11.85</v>
      </c>
      <c r="G635">
        <v>11.85</v>
      </c>
      <c r="H635">
        <v>11.3</v>
      </c>
      <c r="I635">
        <v>80927</v>
      </c>
      <c r="J635">
        <v>886610.7</v>
      </c>
      <c r="K635" s="1">
        <v>43777</v>
      </c>
      <c r="L635">
        <v>106</v>
      </c>
      <c r="M635" t="s">
        <v>2056</v>
      </c>
    </row>
    <row r="636" spans="1:13" x14ac:dyDescent="0.25">
      <c r="A636" t="s">
        <v>7555</v>
      </c>
      <c r="B636" t="s">
        <v>14</v>
      </c>
      <c r="C636">
        <v>344.8</v>
      </c>
      <c r="D636">
        <v>349.35</v>
      </c>
      <c r="E636">
        <v>337.6</v>
      </c>
      <c r="F636">
        <v>338.8</v>
      </c>
      <c r="G636">
        <v>339</v>
      </c>
      <c r="H636">
        <v>345.1</v>
      </c>
      <c r="I636">
        <v>489057</v>
      </c>
      <c r="J636">
        <v>167545161.55000001</v>
      </c>
      <c r="K636" s="1">
        <v>43777</v>
      </c>
      <c r="L636">
        <v>10152</v>
      </c>
      <c r="M636" t="s">
        <v>7554</v>
      </c>
    </row>
    <row r="637" spans="1:13" x14ac:dyDescent="0.25">
      <c r="A637" t="s">
        <v>2057</v>
      </c>
      <c r="B637" t="s">
        <v>14</v>
      </c>
      <c r="C637">
        <v>17.100000000000001</v>
      </c>
      <c r="D637">
        <v>17.149999999999999</v>
      </c>
      <c r="E637">
        <v>16.95</v>
      </c>
      <c r="F637">
        <v>17</v>
      </c>
      <c r="G637">
        <v>17</v>
      </c>
      <c r="H637">
        <v>17.100000000000001</v>
      </c>
      <c r="I637">
        <v>1232679</v>
      </c>
      <c r="J637">
        <v>21015260.449999999</v>
      </c>
      <c r="K637" s="1">
        <v>43777</v>
      </c>
      <c r="L637">
        <v>1432</v>
      </c>
      <c r="M637" t="s">
        <v>2059</v>
      </c>
    </row>
    <row r="638" spans="1:13" x14ac:dyDescent="0.25">
      <c r="A638" t="s">
        <v>2060</v>
      </c>
      <c r="B638" t="s">
        <v>14</v>
      </c>
      <c r="C638">
        <v>187.95</v>
      </c>
      <c r="D638">
        <v>189</v>
      </c>
      <c r="E638">
        <v>180</v>
      </c>
      <c r="F638">
        <v>183.75</v>
      </c>
      <c r="G638">
        <v>183.05</v>
      </c>
      <c r="H638">
        <v>184.9</v>
      </c>
      <c r="I638">
        <v>34673</v>
      </c>
      <c r="J638">
        <v>6424173.9000000004</v>
      </c>
      <c r="K638" s="1">
        <v>43777</v>
      </c>
      <c r="L638">
        <v>942</v>
      </c>
      <c r="M638" t="s">
        <v>2062</v>
      </c>
    </row>
    <row r="639" spans="1:13" x14ac:dyDescent="0.25">
      <c r="A639" t="s">
        <v>2063</v>
      </c>
      <c r="B639" t="s">
        <v>14</v>
      </c>
      <c r="C639">
        <v>588.29999999999995</v>
      </c>
      <c r="D639">
        <v>605.95000000000005</v>
      </c>
      <c r="E639">
        <v>588</v>
      </c>
      <c r="F639">
        <v>590.25</v>
      </c>
      <c r="G639">
        <v>590.15</v>
      </c>
      <c r="H639">
        <v>596.04999999999995</v>
      </c>
      <c r="I639">
        <v>1093</v>
      </c>
      <c r="J639">
        <v>646571.55000000005</v>
      </c>
      <c r="K639" s="1">
        <v>43777</v>
      </c>
      <c r="L639">
        <v>324</v>
      </c>
      <c r="M639" t="s">
        <v>2065</v>
      </c>
    </row>
    <row r="640" spans="1:13" x14ac:dyDescent="0.25">
      <c r="A640" t="s">
        <v>7553</v>
      </c>
      <c r="B640" t="s">
        <v>7076</v>
      </c>
      <c r="C640">
        <v>8.4600000000000009</v>
      </c>
      <c r="D640">
        <v>8.5</v>
      </c>
      <c r="E640">
        <v>8.4600000000000009</v>
      </c>
      <c r="F640">
        <v>8.5</v>
      </c>
      <c r="G640">
        <v>8.5</v>
      </c>
      <c r="H640">
        <v>8.4600000000000009</v>
      </c>
      <c r="I640">
        <v>3640</v>
      </c>
      <c r="J640">
        <v>30905.88</v>
      </c>
      <c r="K640" s="1">
        <v>43777</v>
      </c>
      <c r="L640">
        <v>6</v>
      </c>
      <c r="M640" t="s">
        <v>7552</v>
      </c>
    </row>
    <row r="641" spans="1:13" x14ac:dyDescent="0.25">
      <c r="A641" t="s">
        <v>2066</v>
      </c>
      <c r="B641" t="s">
        <v>14</v>
      </c>
      <c r="C641">
        <v>115.8</v>
      </c>
      <c r="D641">
        <v>115.8</v>
      </c>
      <c r="E641">
        <v>110.5</v>
      </c>
      <c r="F641">
        <v>111.65</v>
      </c>
      <c r="G641">
        <v>112</v>
      </c>
      <c r="H641">
        <v>115.3</v>
      </c>
      <c r="I641">
        <v>259132</v>
      </c>
      <c r="J641">
        <v>29068411.949999999</v>
      </c>
      <c r="K641" s="1">
        <v>43777</v>
      </c>
      <c r="L641">
        <v>6616</v>
      </c>
      <c r="M641" t="s">
        <v>2068</v>
      </c>
    </row>
    <row r="642" spans="1:13" x14ac:dyDescent="0.25">
      <c r="A642" t="s">
        <v>2069</v>
      </c>
      <c r="B642" t="s">
        <v>14</v>
      </c>
      <c r="C642">
        <v>1110.05</v>
      </c>
      <c r="D642">
        <v>1121</v>
      </c>
      <c r="E642">
        <v>1100</v>
      </c>
      <c r="F642">
        <v>1105.2</v>
      </c>
      <c r="G642">
        <v>1110</v>
      </c>
      <c r="H642">
        <v>1105</v>
      </c>
      <c r="I642">
        <v>8176</v>
      </c>
      <c r="J642">
        <v>9083625.25</v>
      </c>
      <c r="K642" s="1">
        <v>43777</v>
      </c>
      <c r="L642">
        <v>973</v>
      </c>
      <c r="M642" t="s">
        <v>2071</v>
      </c>
    </row>
    <row r="643" spans="1:13" x14ac:dyDescent="0.25">
      <c r="A643" t="s">
        <v>2072</v>
      </c>
      <c r="B643" t="s">
        <v>14</v>
      </c>
      <c r="C643">
        <v>13.4</v>
      </c>
      <c r="D643">
        <v>13.5</v>
      </c>
      <c r="E643">
        <v>13.1</v>
      </c>
      <c r="F643">
        <v>13.5</v>
      </c>
      <c r="G643">
        <v>13.5</v>
      </c>
      <c r="H643">
        <v>12.3</v>
      </c>
      <c r="I643">
        <v>24010</v>
      </c>
      <c r="J643">
        <v>320939</v>
      </c>
      <c r="K643" s="1">
        <v>43777</v>
      </c>
      <c r="L643">
        <v>69</v>
      </c>
      <c r="M643" t="s">
        <v>2074</v>
      </c>
    </row>
    <row r="644" spans="1:13" x14ac:dyDescent="0.25">
      <c r="A644" t="s">
        <v>2075</v>
      </c>
      <c r="B644" t="s">
        <v>14</v>
      </c>
      <c r="C644">
        <v>144.69999999999999</v>
      </c>
      <c r="D644">
        <v>147.94999999999999</v>
      </c>
      <c r="E644">
        <v>141.05000000000001</v>
      </c>
      <c r="F644">
        <v>143.19999999999999</v>
      </c>
      <c r="G644">
        <v>143.6</v>
      </c>
      <c r="H644">
        <v>144.69999999999999</v>
      </c>
      <c r="I644">
        <v>204650</v>
      </c>
      <c r="J644">
        <v>29485392.399999999</v>
      </c>
      <c r="K644" s="1">
        <v>43777</v>
      </c>
      <c r="L644">
        <v>3075</v>
      </c>
      <c r="M644" t="s">
        <v>2077</v>
      </c>
    </row>
    <row r="645" spans="1:13" x14ac:dyDescent="0.25">
      <c r="A645" t="s">
        <v>2078</v>
      </c>
      <c r="B645" t="s">
        <v>14</v>
      </c>
      <c r="C645">
        <v>205.05</v>
      </c>
      <c r="D645">
        <v>207</v>
      </c>
      <c r="E645">
        <v>203.1</v>
      </c>
      <c r="F645">
        <v>203.85</v>
      </c>
      <c r="G645">
        <v>204.15</v>
      </c>
      <c r="H645">
        <v>205.2</v>
      </c>
      <c r="I645">
        <v>10082727</v>
      </c>
      <c r="J645">
        <v>2070568362.55</v>
      </c>
      <c r="K645" s="1">
        <v>43777</v>
      </c>
      <c r="L645">
        <v>76336</v>
      </c>
      <c r="M645" t="s">
        <v>2080</v>
      </c>
    </row>
    <row r="646" spans="1:13" x14ac:dyDescent="0.25">
      <c r="A646" t="s">
        <v>2081</v>
      </c>
      <c r="B646" t="s">
        <v>14</v>
      </c>
      <c r="C646">
        <v>178.4</v>
      </c>
      <c r="D646">
        <v>180.05</v>
      </c>
      <c r="E646">
        <v>176</v>
      </c>
      <c r="F646">
        <v>176.7</v>
      </c>
      <c r="G646">
        <v>177.75</v>
      </c>
      <c r="H646">
        <v>178.4</v>
      </c>
      <c r="I646">
        <v>2758</v>
      </c>
      <c r="J646">
        <v>492339.25</v>
      </c>
      <c r="K646" s="1">
        <v>43777</v>
      </c>
      <c r="L646">
        <v>416</v>
      </c>
      <c r="M646" t="s">
        <v>2083</v>
      </c>
    </row>
    <row r="647" spans="1:13" x14ac:dyDescent="0.25">
      <c r="A647" t="s">
        <v>2087</v>
      </c>
      <c r="B647" t="s">
        <v>14</v>
      </c>
      <c r="C647">
        <v>41.1</v>
      </c>
      <c r="D647">
        <v>41.4</v>
      </c>
      <c r="E647">
        <v>40</v>
      </c>
      <c r="F647">
        <v>40.200000000000003</v>
      </c>
      <c r="G647">
        <v>40.4</v>
      </c>
      <c r="H647">
        <v>41.45</v>
      </c>
      <c r="I647">
        <v>630719</v>
      </c>
      <c r="J647">
        <v>25687584.050000001</v>
      </c>
      <c r="K647" s="1">
        <v>43777</v>
      </c>
      <c r="L647">
        <v>2652</v>
      </c>
      <c r="M647" t="s">
        <v>2089</v>
      </c>
    </row>
    <row r="648" spans="1:13" x14ac:dyDescent="0.25">
      <c r="A648" t="s">
        <v>2090</v>
      </c>
      <c r="B648" t="s">
        <v>14</v>
      </c>
      <c r="C648">
        <v>5.5</v>
      </c>
      <c r="D648">
        <v>5.8</v>
      </c>
      <c r="E648">
        <v>5.35</v>
      </c>
      <c r="F648">
        <v>5.6</v>
      </c>
      <c r="G648">
        <v>5.55</v>
      </c>
      <c r="H648">
        <v>5.5</v>
      </c>
      <c r="I648">
        <v>119726</v>
      </c>
      <c r="J648">
        <v>666989.44999999995</v>
      </c>
      <c r="K648" s="1">
        <v>43777</v>
      </c>
      <c r="L648">
        <v>263</v>
      </c>
      <c r="M648" t="s">
        <v>2092</v>
      </c>
    </row>
    <row r="649" spans="1:13" x14ac:dyDescent="0.25">
      <c r="A649" t="s">
        <v>7551</v>
      </c>
      <c r="B649" t="s">
        <v>14</v>
      </c>
      <c r="C649">
        <v>33.65</v>
      </c>
      <c r="D649">
        <v>36.6</v>
      </c>
      <c r="E649">
        <v>33.65</v>
      </c>
      <c r="F649">
        <v>35.4</v>
      </c>
      <c r="G649">
        <v>36.6</v>
      </c>
      <c r="H649">
        <v>35.1</v>
      </c>
      <c r="I649">
        <v>6641</v>
      </c>
      <c r="J649">
        <v>234025.4</v>
      </c>
      <c r="K649" s="1">
        <v>43777</v>
      </c>
      <c r="L649">
        <v>33</v>
      </c>
      <c r="M649" t="s">
        <v>7550</v>
      </c>
    </row>
    <row r="650" spans="1:13" x14ac:dyDescent="0.25">
      <c r="A650" t="s">
        <v>2093</v>
      </c>
      <c r="B650" t="s">
        <v>14</v>
      </c>
      <c r="C650">
        <v>98.5</v>
      </c>
      <c r="D650">
        <v>100.35</v>
      </c>
      <c r="E650">
        <v>97.5</v>
      </c>
      <c r="F650">
        <v>98.2</v>
      </c>
      <c r="G650">
        <v>97.75</v>
      </c>
      <c r="H650">
        <v>98.8</v>
      </c>
      <c r="I650">
        <v>266788</v>
      </c>
      <c r="J650">
        <v>26400373.5</v>
      </c>
      <c r="K650" s="1">
        <v>43777</v>
      </c>
      <c r="L650">
        <v>2716</v>
      </c>
      <c r="M650" t="s">
        <v>2095</v>
      </c>
    </row>
    <row r="651" spans="1:13" x14ac:dyDescent="0.25">
      <c r="A651" t="s">
        <v>2096</v>
      </c>
      <c r="B651" t="s">
        <v>14</v>
      </c>
      <c r="C651">
        <v>310</v>
      </c>
      <c r="D651">
        <v>311.39999999999998</v>
      </c>
      <c r="E651">
        <v>291.89999999999998</v>
      </c>
      <c r="F651">
        <v>293.95</v>
      </c>
      <c r="G651">
        <v>293.55</v>
      </c>
      <c r="H651">
        <v>310.45</v>
      </c>
      <c r="I651">
        <v>8482305</v>
      </c>
      <c r="J651">
        <v>2548554213.4000001</v>
      </c>
      <c r="K651" s="1">
        <v>43777</v>
      </c>
      <c r="L651">
        <v>85731</v>
      </c>
      <c r="M651" t="s">
        <v>2098</v>
      </c>
    </row>
    <row r="652" spans="1:13" x14ac:dyDescent="0.25">
      <c r="A652" t="s">
        <v>7549</v>
      </c>
      <c r="B652" t="s">
        <v>10</v>
      </c>
      <c r="C652">
        <v>2.9</v>
      </c>
      <c r="D652">
        <v>2.9</v>
      </c>
      <c r="E652">
        <v>2.9</v>
      </c>
      <c r="F652">
        <v>2.9</v>
      </c>
      <c r="G652">
        <v>2.9</v>
      </c>
      <c r="H652">
        <v>3</v>
      </c>
      <c r="I652">
        <v>1</v>
      </c>
      <c r="J652">
        <v>2.9</v>
      </c>
      <c r="K652" s="1">
        <v>43777</v>
      </c>
      <c r="L652">
        <v>1</v>
      </c>
      <c r="M652" t="s">
        <v>7548</v>
      </c>
    </row>
    <row r="653" spans="1:13" x14ac:dyDescent="0.25">
      <c r="A653" t="s">
        <v>7547</v>
      </c>
      <c r="B653" t="s">
        <v>14</v>
      </c>
      <c r="C653">
        <v>327.10000000000002</v>
      </c>
      <c r="D653">
        <v>335.1</v>
      </c>
      <c r="E653">
        <v>327.10000000000002</v>
      </c>
      <c r="F653">
        <v>331.6</v>
      </c>
      <c r="G653">
        <v>334.95</v>
      </c>
      <c r="H653">
        <v>334.15</v>
      </c>
      <c r="I653">
        <v>726</v>
      </c>
      <c r="J653">
        <v>240947.75</v>
      </c>
      <c r="K653" s="1">
        <v>43777</v>
      </c>
      <c r="L653">
        <v>75</v>
      </c>
      <c r="M653" t="s">
        <v>3483</v>
      </c>
    </row>
    <row r="654" spans="1:13" x14ac:dyDescent="0.25">
      <c r="A654" t="s">
        <v>2099</v>
      </c>
      <c r="B654" t="s">
        <v>14</v>
      </c>
      <c r="C654">
        <v>2135</v>
      </c>
      <c r="D654">
        <v>2145.15</v>
      </c>
      <c r="E654">
        <v>2083</v>
      </c>
      <c r="F654">
        <v>2086.4</v>
      </c>
      <c r="G654">
        <v>2085</v>
      </c>
      <c r="H654">
        <v>2138.25</v>
      </c>
      <c r="I654">
        <v>1537851</v>
      </c>
      <c r="J654">
        <v>3226907744.4000001</v>
      </c>
      <c r="K654" s="1">
        <v>43777</v>
      </c>
      <c r="L654">
        <v>85573</v>
      </c>
      <c r="M654" t="s">
        <v>2101</v>
      </c>
    </row>
    <row r="655" spans="1:13" x14ac:dyDescent="0.25">
      <c r="A655" t="s">
        <v>2105</v>
      </c>
      <c r="B655" t="s">
        <v>14</v>
      </c>
      <c r="C655">
        <v>212</v>
      </c>
      <c r="D655">
        <v>214.35</v>
      </c>
      <c r="E655">
        <v>209.2</v>
      </c>
      <c r="F655">
        <v>210.8</v>
      </c>
      <c r="G655">
        <v>210.95</v>
      </c>
      <c r="H655">
        <v>213.2</v>
      </c>
      <c r="I655">
        <v>583212</v>
      </c>
      <c r="J655">
        <v>123583600.95</v>
      </c>
      <c r="K655" s="1">
        <v>43777</v>
      </c>
      <c r="L655">
        <v>9427</v>
      </c>
      <c r="M655" t="s">
        <v>2107</v>
      </c>
    </row>
    <row r="656" spans="1:13" x14ac:dyDescent="0.25">
      <c r="A656" t="s">
        <v>2108</v>
      </c>
      <c r="B656" t="s">
        <v>14</v>
      </c>
      <c r="C656">
        <v>188</v>
      </c>
      <c r="D656">
        <v>189.25</v>
      </c>
      <c r="E656">
        <v>182.15</v>
      </c>
      <c r="F656">
        <v>184.75</v>
      </c>
      <c r="G656">
        <v>183.25</v>
      </c>
      <c r="H656">
        <v>186.5</v>
      </c>
      <c r="I656">
        <v>7192</v>
      </c>
      <c r="J656">
        <v>1340236.8999999999</v>
      </c>
      <c r="K656" s="1">
        <v>43777</v>
      </c>
      <c r="L656">
        <v>306</v>
      </c>
      <c r="M656" t="s">
        <v>2110</v>
      </c>
    </row>
    <row r="657" spans="1:13" x14ac:dyDescent="0.25">
      <c r="A657" t="s">
        <v>2111</v>
      </c>
      <c r="B657" t="s">
        <v>14</v>
      </c>
      <c r="C657">
        <v>55.6</v>
      </c>
      <c r="D657">
        <v>57.75</v>
      </c>
      <c r="E657">
        <v>55</v>
      </c>
      <c r="F657">
        <v>56.1</v>
      </c>
      <c r="G657">
        <v>56</v>
      </c>
      <c r="H657">
        <v>56.2</v>
      </c>
      <c r="I657">
        <v>3321</v>
      </c>
      <c r="J657">
        <v>187279.6</v>
      </c>
      <c r="K657" s="1">
        <v>43777</v>
      </c>
      <c r="L657">
        <v>44</v>
      </c>
      <c r="M657" t="s">
        <v>2113</v>
      </c>
    </row>
    <row r="658" spans="1:13" x14ac:dyDescent="0.25">
      <c r="A658" t="s">
        <v>2114</v>
      </c>
      <c r="B658" t="s">
        <v>14</v>
      </c>
      <c r="C658">
        <v>160.05000000000001</v>
      </c>
      <c r="D658">
        <v>165</v>
      </c>
      <c r="E658">
        <v>155.35</v>
      </c>
      <c r="F658">
        <v>158.15</v>
      </c>
      <c r="G658">
        <v>159.69999999999999</v>
      </c>
      <c r="H658">
        <v>158.75</v>
      </c>
      <c r="I658">
        <v>25547</v>
      </c>
      <c r="J658">
        <v>4065060.85</v>
      </c>
      <c r="K658" s="1">
        <v>43777</v>
      </c>
      <c r="L658">
        <v>519</v>
      </c>
      <c r="M658" t="s">
        <v>7546</v>
      </c>
    </row>
    <row r="659" spans="1:13" x14ac:dyDescent="0.25">
      <c r="A659" t="s">
        <v>2117</v>
      </c>
      <c r="B659" t="s">
        <v>14</v>
      </c>
      <c r="C659">
        <v>100</v>
      </c>
      <c r="D659">
        <v>100</v>
      </c>
      <c r="E659">
        <v>89.1</v>
      </c>
      <c r="F659">
        <v>92.65</v>
      </c>
      <c r="G659">
        <v>92.15</v>
      </c>
      <c r="H659">
        <v>97.3</v>
      </c>
      <c r="I659">
        <v>2481</v>
      </c>
      <c r="J659">
        <v>230857.55</v>
      </c>
      <c r="K659" s="1">
        <v>43777</v>
      </c>
      <c r="L659">
        <v>125</v>
      </c>
      <c r="M659" t="s">
        <v>2119</v>
      </c>
    </row>
    <row r="660" spans="1:13" x14ac:dyDescent="0.25">
      <c r="A660" t="s">
        <v>2120</v>
      </c>
      <c r="B660" t="s">
        <v>14</v>
      </c>
      <c r="C660">
        <v>186.95</v>
      </c>
      <c r="D660">
        <v>188.95</v>
      </c>
      <c r="E660">
        <v>182</v>
      </c>
      <c r="F660">
        <v>183</v>
      </c>
      <c r="G660">
        <v>185.75</v>
      </c>
      <c r="H660">
        <v>187.8</v>
      </c>
      <c r="I660">
        <v>3286</v>
      </c>
      <c r="J660">
        <v>605498.1</v>
      </c>
      <c r="K660" s="1">
        <v>43777</v>
      </c>
      <c r="L660">
        <v>195</v>
      </c>
      <c r="M660" t="s">
        <v>2122</v>
      </c>
    </row>
    <row r="661" spans="1:13" x14ac:dyDescent="0.25">
      <c r="A661" t="s">
        <v>2132</v>
      </c>
      <c r="B661" t="s">
        <v>786</v>
      </c>
      <c r="C661">
        <v>16</v>
      </c>
      <c r="D661">
        <v>16.399999999999999</v>
      </c>
      <c r="E661">
        <v>15.2</v>
      </c>
      <c r="F661">
        <v>16.399999999999999</v>
      </c>
      <c r="G661">
        <v>16.399999999999999</v>
      </c>
      <c r="H661">
        <v>15.95</v>
      </c>
      <c r="I661">
        <v>902</v>
      </c>
      <c r="J661">
        <v>13954.9</v>
      </c>
      <c r="K661" s="1">
        <v>43777</v>
      </c>
      <c r="L661">
        <v>22</v>
      </c>
      <c r="M661" t="s">
        <v>2134</v>
      </c>
    </row>
    <row r="662" spans="1:13" x14ac:dyDescent="0.25">
      <c r="A662" t="s">
        <v>2135</v>
      </c>
      <c r="B662" t="s">
        <v>14</v>
      </c>
      <c r="C662">
        <v>76.8</v>
      </c>
      <c r="D662">
        <v>82</v>
      </c>
      <c r="E662">
        <v>76.8</v>
      </c>
      <c r="F662">
        <v>80.650000000000006</v>
      </c>
      <c r="G662">
        <v>80.2</v>
      </c>
      <c r="H662">
        <v>76.8</v>
      </c>
      <c r="I662">
        <v>23771</v>
      </c>
      <c r="J662">
        <v>1878762.1</v>
      </c>
      <c r="K662" s="1">
        <v>43777</v>
      </c>
      <c r="L662">
        <v>634</v>
      </c>
      <c r="M662" t="s">
        <v>2137</v>
      </c>
    </row>
    <row r="663" spans="1:13" x14ac:dyDescent="0.25">
      <c r="A663" t="s">
        <v>2138</v>
      </c>
      <c r="B663" t="s">
        <v>10</v>
      </c>
      <c r="C663">
        <v>623</v>
      </c>
      <c r="D663">
        <v>640</v>
      </c>
      <c r="E663">
        <v>615.04999999999995</v>
      </c>
      <c r="F663">
        <v>624.20000000000005</v>
      </c>
      <c r="G663">
        <v>634.95000000000005</v>
      </c>
      <c r="H663">
        <v>626.65</v>
      </c>
      <c r="I663">
        <v>1849</v>
      </c>
      <c r="J663">
        <v>1160465.05</v>
      </c>
      <c r="K663" s="1">
        <v>43777</v>
      </c>
      <c r="L663">
        <v>150</v>
      </c>
      <c r="M663" t="s">
        <v>7545</v>
      </c>
    </row>
    <row r="664" spans="1:13" x14ac:dyDescent="0.25">
      <c r="A664" t="s">
        <v>6619</v>
      </c>
      <c r="B664" t="s">
        <v>14</v>
      </c>
      <c r="C664">
        <v>3446</v>
      </c>
      <c r="D664">
        <v>3558</v>
      </c>
      <c r="E664">
        <v>3446</v>
      </c>
      <c r="F664">
        <v>3551.14</v>
      </c>
      <c r="G664">
        <v>3558</v>
      </c>
      <c r="H664">
        <v>3450</v>
      </c>
      <c r="I664">
        <v>33</v>
      </c>
      <c r="J664">
        <v>116733.99</v>
      </c>
      <c r="K664" s="1">
        <v>43777</v>
      </c>
      <c r="L664">
        <v>15</v>
      </c>
      <c r="M664" t="s">
        <v>7544</v>
      </c>
    </row>
    <row r="665" spans="1:13" x14ac:dyDescent="0.25">
      <c r="A665" t="s">
        <v>2147</v>
      </c>
      <c r="B665" t="s">
        <v>14</v>
      </c>
      <c r="C665">
        <v>28499.95</v>
      </c>
      <c r="D665">
        <v>28499.95</v>
      </c>
      <c r="E665">
        <v>27305.5</v>
      </c>
      <c r="F665">
        <v>27873.85</v>
      </c>
      <c r="G665">
        <v>27921.9</v>
      </c>
      <c r="H665">
        <v>28324.05</v>
      </c>
      <c r="I665">
        <v>965</v>
      </c>
      <c r="J665">
        <v>26951834.399999999</v>
      </c>
      <c r="K665" s="1">
        <v>43777</v>
      </c>
      <c r="L665">
        <v>568</v>
      </c>
      <c r="M665" t="s">
        <v>2149</v>
      </c>
    </row>
    <row r="666" spans="1:13" x14ac:dyDescent="0.25">
      <c r="A666" t="s">
        <v>2150</v>
      </c>
      <c r="B666" t="s">
        <v>14</v>
      </c>
      <c r="C666">
        <v>1270</v>
      </c>
      <c r="D666">
        <v>1358.9</v>
      </c>
      <c r="E666">
        <v>1242.8</v>
      </c>
      <c r="F666">
        <v>1310.4000000000001</v>
      </c>
      <c r="G666">
        <v>1310</v>
      </c>
      <c r="H666">
        <v>1272.7</v>
      </c>
      <c r="I666">
        <v>32898</v>
      </c>
      <c r="J666">
        <v>43125531.950000003</v>
      </c>
      <c r="K666" s="1">
        <v>43777</v>
      </c>
      <c r="L666">
        <v>4138</v>
      </c>
      <c r="M666" t="s">
        <v>2152</v>
      </c>
    </row>
    <row r="667" spans="1:13" x14ac:dyDescent="0.25">
      <c r="A667" t="s">
        <v>7543</v>
      </c>
      <c r="B667" t="s">
        <v>14</v>
      </c>
      <c r="C667">
        <v>7.75</v>
      </c>
      <c r="D667">
        <v>7.8</v>
      </c>
      <c r="E667">
        <v>7.5</v>
      </c>
      <c r="F667">
        <v>7.65</v>
      </c>
      <c r="G667">
        <v>7.55</v>
      </c>
      <c r="H667">
        <v>7.65</v>
      </c>
      <c r="I667">
        <v>149453</v>
      </c>
      <c r="J667">
        <v>1138610.2</v>
      </c>
      <c r="K667" s="1">
        <v>43777</v>
      </c>
      <c r="L667">
        <v>349</v>
      </c>
      <c r="M667" t="s">
        <v>2128</v>
      </c>
    </row>
    <row r="668" spans="1:13" x14ac:dyDescent="0.25">
      <c r="A668" t="s">
        <v>7542</v>
      </c>
      <c r="B668" t="s">
        <v>10</v>
      </c>
      <c r="C668">
        <v>1.1499999999999999</v>
      </c>
      <c r="D668">
        <v>1.1499999999999999</v>
      </c>
      <c r="E668">
        <v>1.1499999999999999</v>
      </c>
      <c r="F668">
        <v>1.1499999999999999</v>
      </c>
      <c r="G668">
        <v>1.1499999999999999</v>
      </c>
      <c r="H668">
        <v>1.1499999999999999</v>
      </c>
      <c r="I668">
        <v>63</v>
      </c>
      <c r="J668">
        <v>72.45</v>
      </c>
      <c r="K668" s="1">
        <v>43777</v>
      </c>
      <c r="L668">
        <v>4</v>
      </c>
      <c r="M668" t="s">
        <v>5420</v>
      </c>
    </row>
    <row r="669" spans="1:13" x14ac:dyDescent="0.25">
      <c r="A669" t="s">
        <v>2153</v>
      </c>
      <c r="B669" t="s">
        <v>14</v>
      </c>
      <c r="C669">
        <v>59.05</v>
      </c>
      <c r="D669">
        <v>63.85</v>
      </c>
      <c r="E669">
        <v>57.95</v>
      </c>
      <c r="F669">
        <v>61.35</v>
      </c>
      <c r="G669">
        <v>62.5</v>
      </c>
      <c r="H669">
        <v>61</v>
      </c>
      <c r="I669">
        <v>9803</v>
      </c>
      <c r="J669">
        <v>602276.65</v>
      </c>
      <c r="K669" s="1">
        <v>43777</v>
      </c>
      <c r="L669">
        <v>199</v>
      </c>
      <c r="M669" t="s">
        <v>2155</v>
      </c>
    </row>
    <row r="670" spans="1:13" x14ac:dyDescent="0.25">
      <c r="A670" t="s">
        <v>2162</v>
      </c>
      <c r="B670" t="s">
        <v>14</v>
      </c>
      <c r="C670">
        <v>44</v>
      </c>
      <c r="D670">
        <v>46.45</v>
      </c>
      <c r="E670">
        <v>41.7</v>
      </c>
      <c r="F670">
        <v>46</v>
      </c>
      <c r="G670">
        <v>46.3</v>
      </c>
      <c r="H670">
        <v>42.6</v>
      </c>
      <c r="I670">
        <v>104933</v>
      </c>
      <c r="J670">
        <v>4736384.2</v>
      </c>
      <c r="K670" s="1">
        <v>43777</v>
      </c>
      <c r="L670">
        <v>1603</v>
      </c>
      <c r="M670" t="s">
        <v>2164</v>
      </c>
    </row>
    <row r="671" spans="1:13" x14ac:dyDescent="0.25">
      <c r="A671" t="s">
        <v>2165</v>
      </c>
      <c r="B671" t="s">
        <v>14</v>
      </c>
      <c r="C671">
        <v>73.7</v>
      </c>
      <c r="D671">
        <v>74.7</v>
      </c>
      <c r="E671">
        <v>71.75</v>
      </c>
      <c r="F671">
        <v>72.099999999999994</v>
      </c>
      <c r="G671">
        <v>72.3</v>
      </c>
      <c r="H671">
        <v>73.75</v>
      </c>
      <c r="I671">
        <v>364495</v>
      </c>
      <c r="J671">
        <v>26627052.800000001</v>
      </c>
      <c r="K671" s="1">
        <v>43777</v>
      </c>
      <c r="L671">
        <v>3964</v>
      </c>
      <c r="M671" t="s">
        <v>2167</v>
      </c>
    </row>
    <row r="672" spans="1:13" x14ac:dyDescent="0.25">
      <c r="A672" t="s">
        <v>7541</v>
      </c>
      <c r="B672" t="s">
        <v>14</v>
      </c>
      <c r="C672">
        <v>50.7</v>
      </c>
      <c r="D672">
        <v>50.95</v>
      </c>
      <c r="E672">
        <v>50</v>
      </c>
      <c r="F672">
        <v>50.05</v>
      </c>
      <c r="G672">
        <v>50</v>
      </c>
      <c r="H672">
        <v>50.65</v>
      </c>
      <c r="I672">
        <v>122762</v>
      </c>
      <c r="J672">
        <v>6166064.75</v>
      </c>
      <c r="K672" s="1">
        <v>43777</v>
      </c>
      <c r="L672">
        <v>1030</v>
      </c>
      <c r="M672" t="s">
        <v>168</v>
      </c>
    </row>
    <row r="673" spans="1:13" x14ac:dyDescent="0.25">
      <c r="A673" t="s">
        <v>2168</v>
      </c>
      <c r="B673" t="s">
        <v>14</v>
      </c>
      <c r="C673">
        <v>16.100000000000001</v>
      </c>
      <c r="D673">
        <v>16.5</v>
      </c>
      <c r="E673">
        <v>15.7</v>
      </c>
      <c r="F673">
        <v>15.9</v>
      </c>
      <c r="G673">
        <v>15.9</v>
      </c>
      <c r="H673">
        <v>16.100000000000001</v>
      </c>
      <c r="I673">
        <v>246172</v>
      </c>
      <c r="J673">
        <v>3951643.5</v>
      </c>
      <c r="K673" s="1">
        <v>43777</v>
      </c>
      <c r="L673">
        <v>1114</v>
      </c>
      <c r="M673" t="s">
        <v>2170</v>
      </c>
    </row>
    <row r="674" spans="1:13" x14ac:dyDescent="0.25">
      <c r="A674" t="s">
        <v>2171</v>
      </c>
      <c r="B674" t="s">
        <v>14</v>
      </c>
      <c r="C674">
        <v>15.65</v>
      </c>
      <c r="D674">
        <v>15.9</v>
      </c>
      <c r="E674">
        <v>14.55</v>
      </c>
      <c r="F674">
        <v>14.9</v>
      </c>
      <c r="G674">
        <v>14.95</v>
      </c>
      <c r="H674">
        <v>15.35</v>
      </c>
      <c r="I674">
        <v>52569</v>
      </c>
      <c r="J674">
        <v>798037.75</v>
      </c>
      <c r="K674" s="1">
        <v>43777</v>
      </c>
      <c r="L674">
        <v>386</v>
      </c>
      <c r="M674" t="s">
        <v>2173</v>
      </c>
    </row>
    <row r="675" spans="1:13" x14ac:dyDescent="0.25">
      <c r="A675" t="s">
        <v>2174</v>
      </c>
      <c r="B675" t="s">
        <v>14</v>
      </c>
      <c r="C675">
        <v>41.7</v>
      </c>
      <c r="D675">
        <v>42.25</v>
      </c>
      <c r="E675">
        <v>40.4</v>
      </c>
      <c r="F675">
        <v>40.65</v>
      </c>
      <c r="G675">
        <v>40.65</v>
      </c>
      <c r="H675">
        <v>42.3</v>
      </c>
      <c r="I675">
        <v>1291897</v>
      </c>
      <c r="J675">
        <v>53498084.5</v>
      </c>
      <c r="K675" s="1">
        <v>43777</v>
      </c>
      <c r="L675">
        <v>6052</v>
      </c>
      <c r="M675" t="s">
        <v>2176</v>
      </c>
    </row>
    <row r="676" spans="1:13" x14ac:dyDescent="0.25">
      <c r="A676" t="s">
        <v>2174</v>
      </c>
      <c r="B676" t="s">
        <v>6176</v>
      </c>
      <c r="C676">
        <v>1198</v>
      </c>
      <c r="D676">
        <v>1200.0999999999999</v>
      </c>
      <c r="E676">
        <v>1198</v>
      </c>
      <c r="F676">
        <v>1200.0999999999999</v>
      </c>
      <c r="G676">
        <v>1200.0999999999999</v>
      </c>
      <c r="H676">
        <v>1201</v>
      </c>
      <c r="I676">
        <v>720</v>
      </c>
      <c r="J676">
        <v>863022</v>
      </c>
      <c r="K676" s="1">
        <v>43777</v>
      </c>
      <c r="L676">
        <v>13</v>
      </c>
      <c r="M676" t="s">
        <v>6613</v>
      </c>
    </row>
    <row r="677" spans="1:13" x14ac:dyDescent="0.25">
      <c r="A677" t="s">
        <v>2174</v>
      </c>
      <c r="B677" t="s">
        <v>6182</v>
      </c>
      <c r="C677">
        <v>1115</v>
      </c>
      <c r="D677">
        <v>1115</v>
      </c>
      <c r="E677">
        <v>1112.25</v>
      </c>
      <c r="F677">
        <v>1112.25</v>
      </c>
      <c r="G677">
        <v>1112.25</v>
      </c>
      <c r="H677">
        <v>1115</v>
      </c>
      <c r="I677">
        <v>50</v>
      </c>
      <c r="J677">
        <v>55664.75</v>
      </c>
      <c r="K677" s="1">
        <v>43777</v>
      </c>
      <c r="L677">
        <v>3</v>
      </c>
      <c r="M677" t="s">
        <v>7540</v>
      </c>
    </row>
    <row r="678" spans="1:13" x14ac:dyDescent="0.25">
      <c r="A678" t="s">
        <v>2174</v>
      </c>
      <c r="B678" t="s">
        <v>6210</v>
      </c>
      <c r="C678">
        <v>1113.99</v>
      </c>
      <c r="D678">
        <v>1113.99</v>
      </c>
      <c r="E678">
        <v>1113.99</v>
      </c>
      <c r="F678">
        <v>1113.99</v>
      </c>
      <c r="G678">
        <v>1113.99</v>
      </c>
      <c r="H678">
        <v>1085.01</v>
      </c>
      <c r="I678">
        <v>10</v>
      </c>
      <c r="J678">
        <v>11139.9</v>
      </c>
      <c r="K678" s="1">
        <v>43777</v>
      </c>
      <c r="L678">
        <v>1</v>
      </c>
      <c r="M678" t="s">
        <v>7539</v>
      </c>
    </row>
    <row r="679" spans="1:13" x14ac:dyDescent="0.25">
      <c r="A679" t="s">
        <v>2174</v>
      </c>
      <c r="B679" t="s">
        <v>6174</v>
      </c>
      <c r="C679">
        <v>1159</v>
      </c>
      <c r="D679">
        <v>1159</v>
      </c>
      <c r="E679">
        <v>1159</v>
      </c>
      <c r="F679">
        <v>1159</v>
      </c>
      <c r="G679">
        <v>1159</v>
      </c>
      <c r="H679">
        <v>1156.8</v>
      </c>
      <c r="I679">
        <v>128</v>
      </c>
      <c r="J679">
        <v>148352</v>
      </c>
      <c r="K679" s="1">
        <v>43777</v>
      </c>
      <c r="L679">
        <v>3</v>
      </c>
      <c r="M679" t="s">
        <v>7538</v>
      </c>
    </row>
    <row r="680" spans="1:13" x14ac:dyDescent="0.25">
      <c r="A680" t="s">
        <v>2174</v>
      </c>
      <c r="B680" t="s">
        <v>6130</v>
      </c>
      <c r="C680">
        <v>1225.5</v>
      </c>
      <c r="D680">
        <v>1225.5</v>
      </c>
      <c r="E680">
        <v>1225.5</v>
      </c>
      <c r="F680">
        <v>1225.5</v>
      </c>
      <c r="G680">
        <v>1225.5</v>
      </c>
      <c r="H680">
        <v>1230</v>
      </c>
      <c r="I680">
        <v>100</v>
      </c>
      <c r="J680">
        <v>122550</v>
      </c>
      <c r="K680" s="1">
        <v>43777</v>
      </c>
      <c r="L680">
        <v>4</v>
      </c>
      <c r="M680" t="s">
        <v>7537</v>
      </c>
    </row>
    <row r="681" spans="1:13" x14ac:dyDescent="0.25">
      <c r="A681" t="s">
        <v>2174</v>
      </c>
      <c r="B681" t="s">
        <v>6243</v>
      </c>
      <c r="C681">
        <v>1207</v>
      </c>
      <c r="D681">
        <v>1209</v>
      </c>
      <c r="E681">
        <v>1204</v>
      </c>
      <c r="F681">
        <v>1206.8499999999999</v>
      </c>
      <c r="G681">
        <v>1206</v>
      </c>
      <c r="H681">
        <v>1206.02</v>
      </c>
      <c r="I681">
        <v>611</v>
      </c>
      <c r="J681">
        <v>737855</v>
      </c>
      <c r="K681" s="1">
        <v>43777</v>
      </c>
      <c r="L681">
        <v>17</v>
      </c>
      <c r="M681" t="s">
        <v>7536</v>
      </c>
    </row>
    <row r="682" spans="1:13" x14ac:dyDescent="0.25">
      <c r="A682" t="s">
        <v>2174</v>
      </c>
      <c r="B682" t="s">
        <v>6240</v>
      </c>
      <c r="C682">
        <v>1400</v>
      </c>
      <c r="D682">
        <v>1429</v>
      </c>
      <c r="E682">
        <v>1390</v>
      </c>
      <c r="F682">
        <v>1393.78</v>
      </c>
      <c r="G682">
        <v>1395</v>
      </c>
      <c r="H682">
        <v>1389.9</v>
      </c>
      <c r="I682">
        <v>614</v>
      </c>
      <c r="J682">
        <v>860951.15</v>
      </c>
      <c r="K682" s="1">
        <v>43777</v>
      </c>
      <c r="L682">
        <v>46</v>
      </c>
      <c r="M682" t="s">
        <v>6609</v>
      </c>
    </row>
    <row r="683" spans="1:13" x14ac:dyDescent="0.25">
      <c r="A683" t="s">
        <v>7535</v>
      </c>
      <c r="B683" t="s">
        <v>14</v>
      </c>
      <c r="C683">
        <v>119.5</v>
      </c>
      <c r="D683">
        <v>119.5</v>
      </c>
      <c r="E683">
        <v>116.95</v>
      </c>
      <c r="F683">
        <v>117.25</v>
      </c>
      <c r="G683">
        <v>117.25</v>
      </c>
      <c r="H683">
        <v>119</v>
      </c>
      <c r="I683">
        <v>750</v>
      </c>
      <c r="J683">
        <v>89032.02</v>
      </c>
      <c r="K683" s="1">
        <v>43777</v>
      </c>
      <c r="L683">
        <v>34</v>
      </c>
      <c r="M683" t="s">
        <v>7534</v>
      </c>
    </row>
    <row r="684" spans="1:13" x14ac:dyDescent="0.25">
      <c r="A684" t="s">
        <v>2183</v>
      </c>
      <c r="B684" t="s">
        <v>14</v>
      </c>
      <c r="C684">
        <v>71.2</v>
      </c>
      <c r="D684">
        <v>73.7</v>
      </c>
      <c r="E684">
        <v>70.2</v>
      </c>
      <c r="F684">
        <v>73</v>
      </c>
      <c r="G684">
        <v>73.3</v>
      </c>
      <c r="H684">
        <v>70.2</v>
      </c>
      <c r="I684">
        <v>7578474</v>
      </c>
      <c r="J684">
        <v>555172260.79999995</v>
      </c>
      <c r="K684" s="1">
        <v>43777</v>
      </c>
      <c r="L684">
        <v>27482</v>
      </c>
      <c r="M684" t="s">
        <v>2185</v>
      </c>
    </row>
    <row r="685" spans="1:13" x14ac:dyDescent="0.25">
      <c r="A685" t="s">
        <v>6608</v>
      </c>
      <c r="B685" t="s">
        <v>6210</v>
      </c>
      <c r="C685">
        <v>848</v>
      </c>
      <c r="D685">
        <v>848</v>
      </c>
      <c r="E685">
        <v>840</v>
      </c>
      <c r="F685">
        <v>840</v>
      </c>
      <c r="G685">
        <v>840</v>
      </c>
      <c r="H685">
        <v>890</v>
      </c>
      <c r="I685">
        <v>175</v>
      </c>
      <c r="J685">
        <v>147400</v>
      </c>
      <c r="K685" s="1">
        <v>43777</v>
      </c>
      <c r="L685">
        <v>4</v>
      </c>
      <c r="M685" t="s">
        <v>7533</v>
      </c>
    </row>
    <row r="686" spans="1:13" x14ac:dyDescent="0.25">
      <c r="A686" t="s">
        <v>6608</v>
      </c>
      <c r="B686" t="s">
        <v>6130</v>
      </c>
      <c r="C686">
        <v>760</v>
      </c>
      <c r="D686">
        <v>760</v>
      </c>
      <c r="E686">
        <v>750.1</v>
      </c>
      <c r="F686">
        <v>750.1</v>
      </c>
      <c r="G686">
        <v>750.1</v>
      </c>
      <c r="H686">
        <v>750.1</v>
      </c>
      <c r="I686">
        <v>10</v>
      </c>
      <c r="J686">
        <v>7570.3</v>
      </c>
      <c r="K686" s="1">
        <v>43777</v>
      </c>
      <c r="L686">
        <v>2</v>
      </c>
      <c r="M686" t="s">
        <v>7532</v>
      </c>
    </row>
    <row r="687" spans="1:13" x14ac:dyDescent="0.25">
      <c r="A687" t="s">
        <v>2186</v>
      </c>
      <c r="B687" t="s">
        <v>14</v>
      </c>
      <c r="C687">
        <v>237</v>
      </c>
      <c r="D687">
        <v>260</v>
      </c>
      <c r="E687">
        <v>228.35</v>
      </c>
      <c r="F687">
        <v>241.65</v>
      </c>
      <c r="G687">
        <v>242.1</v>
      </c>
      <c r="H687">
        <v>238.35</v>
      </c>
      <c r="I687">
        <v>77850817</v>
      </c>
      <c r="J687">
        <v>19071329566.450001</v>
      </c>
      <c r="K687" s="1">
        <v>43777</v>
      </c>
      <c r="L687">
        <v>632880</v>
      </c>
      <c r="M687" t="s">
        <v>2188</v>
      </c>
    </row>
    <row r="688" spans="1:13" x14ac:dyDescent="0.25">
      <c r="A688" t="s">
        <v>2186</v>
      </c>
      <c r="B688" t="s">
        <v>5843</v>
      </c>
      <c r="C688">
        <v>836</v>
      </c>
      <c r="D688">
        <v>840</v>
      </c>
      <c r="E688">
        <v>820</v>
      </c>
      <c r="F688">
        <v>840</v>
      </c>
      <c r="G688">
        <v>840</v>
      </c>
      <c r="H688">
        <v>835.34</v>
      </c>
      <c r="I688">
        <v>220</v>
      </c>
      <c r="J688">
        <v>184171</v>
      </c>
      <c r="K688" s="1">
        <v>43777</v>
      </c>
      <c r="L688">
        <v>16</v>
      </c>
      <c r="M688" t="s">
        <v>7531</v>
      </c>
    </row>
    <row r="689" spans="1:13" x14ac:dyDescent="0.25">
      <c r="A689" t="s">
        <v>2186</v>
      </c>
      <c r="B689" t="s">
        <v>6207</v>
      </c>
      <c r="C689">
        <v>949</v>
      </c>
      <c r="D689">
        <v>949</v>
      </c>
      <c r="E689">
        <v>949</v>
      </c>
      <c r="F689">
        <v>949</v>
      </c>
      <c r="G689">
        <v>949</v>
      </c>
      <c r="H689">
        <v>899</v>
      </c>
      <c r="I689">
        <v>50</v>
      </c>
      <c r="J689">
        <v>47450</v>
      </c>
      <c r="K689" s="1">
        <v>43777</v>
      </c>
      <c r="L689">
        <v>1</v>
      </c>
      <c r="M689" t="s">
        <v>7530</v>
      </c>
    </row>
    <row r="690" spans="1:13" x14ac:dyDescent="0.25">
      <c r="A690" t="s">
        <v>2186</v>
      </c>
      <c r="B690" t="s">
        <v>6247</v>
      </c>
      <c r="C690">
        <v>798.99</v>
      </c>
      <c r="D690">
        <v>798.99</v>
      </c>
      <c r="E690">
        <v>798.99</v>
      </c>
      <c r="F690">
        <v>798.99</v>
      </c>
      <c r="G690">
        <v>798.99</v>
      </c>
      <c r="H690">
        <v>713.56</v>
      </c>
      <c r="I690">
        <v>1</v>
      </c>
      <c r="J690">
        <v>798.99</v>
      </c>
      <c r="K690" s="1">
        <v>43777</v>
      </c>
      <c r="L690">
        <v>1</v>
      </c>
      <c r="M690" t="s">
        <v>6596</v>
      </c>
    </row>
    <row r="691" spans="1:13" x14ac:dyDescent="0.25">
      <c r="A691" t="s">
        <v>2186</v>
      </c>
      <c r="B691" t="s">
        <v>6240</v>
      </c>
      <c r="C691">
        <v>650</v>
      </c>
      <c r="D691">
        <v>660</v>
      </c>
      <c r="E691">
        <v>650</v>
      </c>
      <c r="F691">
        <v>650</v>
      </c>
      <c r="G691">
        <v>650</v>
      </c>
      <c r="H691">
        <v>632.5</v>
      </c>
      <c r="I691">
        <v>55</v>
      </c>
      <c r="J691">
        <v>35790</v>
      </c>
      <c r="K691" s="1">
        <v>43777</v>
      </c>
      <c r="L691">
        <v>3</v>
      </c>
      <c r="M691" t="s">
        <v>7529</v>
      </c>
    </row>
    <row r="692" spans="1:13" x14ac:dyDescent="0.25">
      <c r="A692" t="s">
        <v>7528</v>
      </c>
      <c r="B692" t="s">
        <v>14</v>
      </c>
      <c r="C692">
        <v>84.85</v>
      </c>
      <c r="D692">
        <v>84.85</v>
      </c>
      <c r="E692">
        <v>77.349999999999994</v>
      </c>
      <c r="F692">
        <v>84.85</v>
      </c>
      <c r="G692">
        <v>84.85</v>
      </c>
      <c r="H692">
        <v>80.849999999999994</v>
      </c>
      <c r="I692">
        <v>102352</v>
      </c>
      <c r="J692">
        <v>8630790.6999999993</v>
      </c>
      <c r="K692" s="1">
        <v>43777</v>
      </c>
      <c r="L692">
        <v>688</v>
      </c>
      <c r="M692" t="s">
        <v>5717</v>
      </c>
    </row>
    <row r="693" spans="1:13" x14ac:dyDescent="0.25">
      <c r="A693" t="s">
        <v>7525</v>
      </c>
      <c r="B693" t="s">
        <v>7527</v>
      </c>
      <c r="C693">
        <v>64.8</v>
      </c>
      <c r="D693">
        <v>65.2</v>
      </c>
      <c r="E693">
        <v>47.1</v>
      </c>
      <c r="F693">
        <v>64.099999999999994</v>
      </c>
      <c r="G693">
        <v>65.2</v>
      </c>
      <c r="H693">
        <v>54.35</v>
      </c>
      <c r="I693">
        <v>602357</v>
      </c>
      <c r="J693">
        <v>38134976.299999997</v>
      </c>
      <c r="K693" s="1">
        <v>43777</v>
      </c>
      <c r="L693">
        <v>1795</v>
      </c>
      <c r="M693" t="s">
        <v>7526</v>
      </c>
    </row>
    <row r="694" spans="1:13" x14ac:dyDescent="0.25">
      <c r="A694" t="s">
        <v>7525</v>
      </c>
      <c r="B694" t="s">
        <v>14</v>
      </c>
      <c r="C694">
        <v>134.94999999999999</v>
      </c>
      <c r="D694">
        <v>134.94999999999999</v>
      </c>
      <c r="E694">
        <v>124</v>
      </c>
      <c r="F694">
        <v>134.94999999999999</v>
      </c>
      <c r="G694">
        <v>134.94999999999999</v>
      </c>
      <c r="H694">
        <v>128.55000000000001</v>
      </c>
      <c r="I694">
        <v>1437967</v>
      </c>
      <c r="J694">
        <v>191243724.84999999</v>
      </c>
      <c r="K694" s="1">
        <v>43777</v>
      </c>
      <c r="L694">
        <v>5421</v>
      </c>
      <c r="M694" t="s">
        <v>1267</v>
      </c>
    </row>
    <row r="695" spans="1:13" x14ac:dyDescent="0.25">
      <c r="A695" t="s">
        <v>7520</v>
      </c>
      <c r="B695" t="s">
        <v>5845</v>
      </c>
      <c r="C695">
        <v>870.2</v>
      </c>
      <c r="D695">
        <v>920</v>
      </c>
      <c r="E695">
        <v>870.2</v>
      </c>
      <c r="F695">
        <v>919</v>
      </c>
      <c r="G695">
        <v>919</v>
      </c>
      <c r="H695">
        <v>920</v>
      </c>
      <c r="I695">
        <v>31</v>
      </c>
      <c r="J695">
        <v>27494</v>
      </c>
      <c r="K695" s="1">
        <v>43777</v>
      </c>
      <c r="L695">
        <v>5</v>
      </c>
      <c r="M695" t="s">
        <v>7524</v>
      </c>
    </row>
    <row r="696" spans="1:13" x14ac:dyDescent="0.25">
      <c r="A696" t="s">
        <v>7520</v>
      </c>
      <c r="B696" t="s">
        <v>6176</v>
      </c>
      <c r="C696">
        <v>815.5</v>
      </c>
      <c r="D696">
        <v>880</v>
      </c>
      <c r="E696">
        <v>815.5</v>
      </c>
      <c r="F696">
        <v>880</v>
      </c>
      <c r="G696">
        <v>880</v>
      </c>
      <c r="H696">
        <v>850</v>
      </c>
      <c r="I696">
        <v>100</v>
      </c>
      <c r="J696">
        <v>85009</v>
      </c>
      <c r="K696" s="1">
        <v>43777</v>
      </c>
      <c r="L696">
        <v>6</v>
      </c>
      <c r="M696" t="s">
        <v>7523</v>
      </c>
    </row>
    <row r="697" spans="1:13" x14ac:dyDescent="0.25">
      <c r="A697" t="s">
        <v>7520</v>
      </c>
      <c r="B697" t="s">
        <v>6182</v>
      </c>
      <c r="C697">
        <v>920</v>
      </c>
      <c r="D697">
        <v>940</v>
      </c>
      <c r="E697">
        <v>920</v>
      </c>
      <c r="F697">
        <v>925</v>
      </c>
      <c r="G697">
        <v>925</v>
      </c>
      <c r="H697">
        <v>920</v>
      </c>
      <c r="I697">
        <v>120</v>
      </c>
      <c r="J697">
        <v>110850</v>
      </c>
      <c r="K697" s="1">
        <v>43777</v>
      </c>
      <c r="L697">
        <v>4</v>
      </c>
      <c r="M697" t="s">
        <v>7522</v>
      </c>
    </row>
    <row r="698" spans="1:13" x14ac:dyDescent="0.25">
      <c r="A698" t="s">
        <v>7520</v>
      </c>
      <c r="B698" t="s">
        <v>5843</v>
      </c>
      <c r="C698">
        <v>920</v>
      </c>
      <c r="D698">
        <v>920</v>
      </c>
      <c r="E698">
        <v>920</v>
      </c>
      <c r="F698">
        <v>920</v>
      </c>
      <c r="G698">
        <v>920</v>
      </c>
      <c r="H698">
        <v>940</v>
      </c>
      <c r="I698">
        <v>20</v>
      </c>
      <c r="J698">
        <v>18400</v>
      </c>
      <c r="K698" s="1">
        <v>43777</v>
      </c>
      <c r="L698">
        <v>1</v>
      </c>
      <c r="M698" t="s">
        <v>7521</v>
      </c>
    </row>
    <row r="699" spans="1:13" x14ac:dyDescent="0.25">
      <c r="A699" t="s">
        <v>7520</v>
      </c>
      <c r="B699" t="s">
        <v>5874</v>
      </c>
      <c r="C699">
        <v>729.9</v>
      </c>
      <c r="D699">
        <v>730</v>
      </c>
      <c r="E699">
        <v>729.9</v>
      </c>
      <c r="F699">
        <v>730</v>
      </c>
      <c r="G699">
        <v>730</v>
      </c>
      <c r="H699">
        <v>681</v>
      </c>
      <c r="I699">
        <v>65</v>
      </c>
      <c r="J699">
        <v>47449</v>
      </c>
      <c r="K699" s="1">
        <v>43777</v>
      </c>
      <c r="L699">
        <v>7</v>
      </c>
      <c r="M699" t="s">
        <v>6766</v>
      </c>
    </row>
    <row r="700" spans="1:13" x14ac:dyDescent="0.25">
      <c r="A700" t="s">
        <v>7520</v>
      </c>
      <c r="B700" t="s">
        <v>6130</v>
      </c>
      <c r="C700">
        <v>826</v>
      </c>
      <c r="D700">
        <v>915</v>
      </c>
      <c r="E700">
        <v>826</v>
      </c>
      <c r="F700">
        <v>910.6</v>
      </c>
      <c r="G700">
        <v>910.6</v>
      </c>
      <c r="H700">
        <v>910.6</v>
      </c>
      <c r="I700">
        <v>145</v>
      </c>
      <c r="J700">
        <v>131636</v>
      </c>
      <c r="K700" s="1">
        <v>43777</v>
      </c>
      <c r="L700">
        <v>5</v>
      </c>
      <c r="M700" t="s">
        <v>7519</v>
      </c>
    </row>
    <row r="701" spans="1:13" x14ac:dyDescent="0.25">
      <c r="A701" t="s">
        <v>6579</v>
      </c>
      <c r="B701" t="s">
        <v>14</v>
      </c>
      <c r="C701">
        <v>157.44999999999999</v>
      </c>
      <c r="D701">
        <v>159.22999999999999</v>
      </c>
      <c r="E701">
        <v>157</v>
      </c>
      <c r="F701">
        <v>157.08000000000001</v>
      </c>
      <c r="G701">
        <v>157</v>
      </c>
      <c r="H701">
        <v>158.16</v>
      </c>
      <c r="I701">
        <v>102414</v>
      </c>
      <c r="J701">
        <v>16164660.82</v>
      </c>
      <c r="K701" s="1">
        <v>43777</v>
      </c>
      <c r="L701">
        <v>86</v>
      </c>
      <c r="M701" t="s">
        <v>7518</v>
      </c>
    </row>
    <row r="702" spans="1:13" x14ac:dyDescent="0.25">
      <c r="A702" t="s">
        <v>6571</v>
      </c>
      <c r="B702" t="s">
        <v>14</v>
      </c>
      <c r="C702">
        <v>36.42</v>
      </c>
      <c r="D702">
        <v>36.42</v>
      </c>
      <c r="E702">
        <v>35.51</v>
      </c>
      <c r="F702">
        <v>35.630000000000003</v>
      </c>
      <c r="G702">
        <v>35.69</v>
      </c>
      <c r="H702">
        <v>36.11</v>
      </c>
      <c r="I702">
        <v>385558</v>
      </c>
      <c r="J702">
        <v>13828437.98</v>
      </c>
      <c r="K702" s="1">
        <v>43777</v>
      </c>
      <c r="L702">
        <v>3673</v>
      </c>
      <c r="M702" t="s">
        <v>6570</v>
      </c>
    </row>
    <row r="703" spans="1:13" x14ac:dyDescent="0.25">
      <c r="A703" t="s">
        <v>2195</v>
      </c>
      <c r="B703" t="s">
        <v>14</v>
      </c>
      <c r="C703">
        <v>480.75</v>
      </c>
      <c r="D703">
        <v>496</v>
      </c>
      <c r="E703">
        <v>480.3</v>
      </c>
      <c r="F703">
        <v>489.45</v>
      </c>
      <c r="G703">
        <v>490</v>
      </c>
      <c r="H703">
        <v>478.55</v>
      </c>
      <c r="I703">
        <v>52207121</v>
      </c>
      <c r="J703">
        <v>25558194807.450001</v>
      </c>
      <c r="K703" s="1">
        <v>43777</v>
      </c>
      <c r="L703">
        <v>371240</v>
      </c>
      <c r="M703" t="s">
        <v>2197</v>
      </c>
    </row>
    <row r="704" spans="1:13" x14ac:dyDescent="0.25">
      <c r="A704" t="s">
        <v>6569</v>
      </c>
      <c r="B704" t="s">
        <v>14</v>
      </c>
      <c r="C704">
        <v>304.7</v>
      </c>
      <c r="D704">
        <v>310.89999999999998</v>
      </c>
      <c r="E704">
        <v>304.02</v>
      </c>
      <c r="F704">
        <v>308.66000000000003</v>
      </c>
      <c r="G704">
        <v>307.72000000000003</v>
      </c>
      <c r="H704">
        <v>306.99</v>
      </c>
      <c r="I704">
        <v>12581</v>
      </c>
      <c r="J704">
        <v>3884537.05</v>
      </c>
      <c r="K704" s="1">
        <v>43777</v>
      </c>
      <c r="L704">
        <v>259</v>
      </c>
      <c r="M704" t="s">
        <v>7517</v>
      </c>
    </row>
    <row r="705" spans="1:13" x14ac:dyDescent="0.25">
      <c r="A705" t="s">
        <v>6567</v>
      </c>
      <c r="B705" t="s">
        <v>14</v>
      </c>
      <c r="C705">
        <v>169.8</v>
      </c>
      <c r="D705">
        <v>172.72</v>
      </c>
      <c r="E705">
        <v>169.33</v>
      </c>
      <c r="F705">
        <v>170.93</v>
      </c>
      <c r="G705">
        <v>170.96</v>
      </c>
      <c r="H705">
        <v>169.37</v>
      </c>
      <c r="I705">
        <v>1603</v>
      </c>
      <c r="J705">
        <v>273798.08</v>
      </c>
      <c r="K705" s="1">
        <v>43777</v>
      </c>
      <c r="L705">
        <v>44</v>
      </c>
      <c r="M705" t="s">
        <v>6566</v>
      </c>
    </row>
    <row r="706" spans="1:13" x14ac:dyDescent="0.25">
      <c r="A706" t="s">
        <v>2198</v>
      </c>
      <c r="B706" t="s">
        <v>14</v>
      </c>
      <c r="C706">
        <v>1320.5</v>
      </c>
      <c r="D706">
        <v>1334</v>
      </c>
      <c r="E706">
        <v>1310</v>
      </c>
      <c r="F706">
        <v>1320.45</v>
      </c>
      <c r="G706">
        <v>1319</v>
      </c>
      <c r="H706">
        <v>1319.6</v>
      </c>
      <c r="I706">
        <v>627350</v>
      </c>
      <c r="J706">
        <v>831543297.45000005</v>
      </c>
      <c r="K706" s="1">
        <v>43777</v>
      </c>
      <c r="L706">
        <v>64223</v>
      </c>
      <c r="M706" t="s">
        <v>2200</v>
      </c>
    </row>
    <row r="707" spans="1:13" x14ac:dyDescent="0.25">
      <c r="A707" t="s">
        <v>6557</v>
      </c>
      <c r="B707" t="s">
        <v>14</v>
      </c>
      <c r="C707">
        <v>34.549999999999997</v>
      </c>
      <c r="D707">
        <v>34.549999999999997</v>
      </c>
      <c r="E707">
        <v>34.299999999999997</v>
      </c>
      <c r="F707">
        <v>34.450000000000003</v>
      </c>
      <c r="G707">
        <v>34.549999999999997</v>
      </c>
      <c r="H707">
        <v>34.700000000000003</v>
      </c>
      <c r="I707">
        <v>23415</v>
      </c>
      <c r="J707">
        <v>807564.55</v>
      </c>
      <c r="K707" s="1">
        <v>43777</v>
      </c>
      <c r="L707">
        <v>380</v>
      </c>
      <c r="M707" t="s">
        <v>6556</v>
      </c>
    </row>
    <row r="708" spans="1:13" x14ac:dyDescent="0.25">
      <c r="A708" t="s">
        <v>6553</v>
      </c>
      <c r="B708" t="s">
        <v>14</v>
      </c>
      <c r="C708">
        <v>1000</v>
      </c>
      <c r="D708">
        <v>1000</v>
      </c>
      <c r="E708">
        <v>999.99</v>
      </c>
      <c r="F708">
        <v>999.99</v>
      </c>
      <c r="G708">
        <v>1000</v>
      </c>
      <c r="H708">
        <v>1000</v>
      </c>
      <c r="I708">
        <v>87387</v>
      </c>
      <c r="J708">
        <v>87386750.019999996</v>
      </c>
      <c r="K708" s="1">
        <v>43777</v>
      </c>
      <c r="L708">
        <v>67</v>
      </c>
      <c r="M708" t="s">
        <v>6552</v>
      </c>
    </row>
    <row r="709" spans="1:13" x14ac:dyDescent="0.25">
      <c r="A709" t="s">
        <v>6551</v>
      </c>
      <c r="B709" t="s">
        <v>14</v>
      </c>
      <c r="C709">
        <v>96</v>
      </c>
      <c r="D709">
        <v>96</v>
      </c>
      <c r="E709">
        <v>89</v>
      </c>
      <c r="F709">
        <v>93.27</v>
      </c>
      <c r="G709">
        <v>93.27</v>
      </c>
      <c r="H709">
        <v>94.31</v>
      </c>
      <c r="I709">
        <v>3261</v>
      </c>
      <c r="J709">
        <v>305485.51</v>
      </c>
      <c r="K709" s="1">
        <v>43777</v>
      </c>
      <c r="L709">
        <v>91</v>
      </c>
      <c r="M709" t="s">
        <v>6550</v>
      </c>
    </row>
    <row r="710" spans="1:13" x14ac:dyDescent="0.25">
      <c r="A710" t="s">
        <v>6547</v>
      </c>
      <c r="B710" t="s">
        <v>14</v>
      </c>
      <c r="C710">
        <v>65.2</v>
      </c>
      <c r="D710">
        <v>65.2</v>
      </c>
      <c r="E710">
        <v>64.2</v>
      </c>
      <c r="F710">
        <v>64.28</v>
      </c>
      <c r="G710">
        <v>64.5</v>
      </c>
      <c r="H710">
        <v>64.5</v>
      </c>
      <c r="I710">
        <v>10333</v>
      </c>
      <c r="J710">
        <v>666329.89</v>
      </c>
      <c r="K710" s="1">
        <v>43777</v>
      </c>
      <c r="L710">
        <v>88</v>
      </c>
      <c r="M710" t="s">
        <v>6546</v>
      </c>
    </row>
    <row r="711" spans="1:13" x14ac:dyDescent="0.25">
      <c r="A711" t="s">
        <v>6543</v>
      </c>
      <c r="B711" t="s">
        <v>14</v>
      </c>
      <c r="C711">
        <v>130.02000000000001</v>
      </c>
      <c r="D711">
        <v>130.27000000000001</v>
      </c>
      <c r="E711">
        <v>129.22</v>
      </c>
      <c r="F711">
        <v>129.27000000000001</v>
      </c>
      <c r="G711">
        <v>129.22</v>
      </c>
      <c r="H711">
        <v>130</v>
      </c>
      <c r="I711">
        <v>319</v>
      </c>
      <c r="J711">
        <v>41467.08</v>
      </c>
      <c r="K711" s="1">
        <v>43777</v>
      </c>
      <c r="L711">
        <v>31</v>
      </c>
      <c r="M711" t="s">
        <v>6542</v>
      </c>
    </row>
    <row r="712" spans="1:13" x14ac:dyDescent="0.25">
      <c r="A712" t="s">
        <v>6541</v>
      </c>
      <c r="B712" t="s">
        <v>14</v>
      </c>
      <c r="C712">
        <v>126.5</v>
      </c>
      <c r="D712">
        <v>126.66</v>
      </c>
      <c r="E712">
        <v>118.23</v>
      </c>
      <c r="F712">
        <v>125.34</v>
      </c>
      <c r="G712">
        <v>125.1</v>
      </c>
      <c r="H712">
        <v>126.41</v>
      </c>
      <c r="I712">
        <v>526093</v>
      </c>
      <c r="J712">
        <v>66141126.259999998</v>
      </c>
      <c r="K712" s="1">
        <v>43777</v>
      </c>
      <c r="L712">
        <v>3878</v>
      </c>
      <c r="M712" t="s">
        <v>6540</v>
      </c>
    </row>
    <row r="713" spans="1:13" x14ac:dyDescent="0.25">
      <c r="A713" t="s">
        <v>6539</v>
      </c>
      <c r="B713" t="s">
        <v>14</v>
      </c>
      <c r="C713">
        <v>58.9</v>
      </c>
      <c r="D713">
        <v>58.9</v>
      </c>
      <c r="E713">
        <v>56</v>
      </c>
      <c r="F713">
        <v>57.44</v>
      </c>
      <c r="G713">
        <v>57.18</v>
      </c>
      <c r="H713">
        <v>58.07</v>
      </c>
      <c r="I713">
        <v>3502</v>
      </c>
      <c r="J713">
        <v>202124.57</v>
      </c>
      <c r="K713" s="1">
        <v>43777</v>
      </c>
      <c r="L713">
        <v>123</v>
      </c>
      <c r="M713" t="s">
        <v>6538</v>
      </c>
    </row>
    <row r="714" spans="1:13" x14ac:dyDescent="0.25">
      <c r="A714" t="s">
        <v>6537</v>
      </c>
      <c r="B714" t="s">
        <v>14</v>
      </c>
      <c r="C714">
        <v>28.85</v>
      </c>
      <c r="D714">
        <v>29.07</v>
      </c>
      <c r="E714">
        <v>28.65</v>
      </c>
      <c r="F714">
        <v>28.72</v>
      </c>
      <c r="G714">
        <v>28.65</v>
      </c>
      <c r="H714">
        <v>28.85</v>
      </c>
      <c r="I714">
        <v>18110</v>
      </c>
      <c r="J714">
        <v>523835.54</v>
      </c>
      <c r="K714" s="1">
        <v>43777</v>
      </c>
      <c r="L714">
        <v>202</v>
      </c>
      <c r="M714" t="s">
        <v>6536</v>
      </c>
    </row>
    <row r="715" spans="1:13" x14ac:dyDescent="0.25">
      <c r="A715" t="s">
        <v>2201</v>
      </c>
      <c r="B715" t="s">
        <v>14</v>
      </c>
      <c r="C715">
        <v>524</v>
      </c>
      <c r="D715">
        <v>527.29999999999995</v>
      </c>
      <c r="E715">
        <v>515.15</v>
      </c>
      <c r="F715">
        <v>519.45000000000005</v>
      </c>
      <c r="G715">
        <v>519</v>
      </c>
      <c r="H715">
        <v>518.1</v>
      </c>
      <c r="I715">
        <v>3950161</v>
      </c>
      <c r="J715">
        <v>2056881899.1500001</v>
      </c>
      <c r="K715" s="1">
        <v>43777</v>
      </c>
      <c r="L715">
        <v>165751</v>
      </c>
      <c r="M715" t="s">
        <v>2203</v>
      </c>
    </row>
    <row r="716" spans="1:13" x14ac:dyDescent="0.25">
      <c r="A716" t="s">
        <v>6531</v>
      </c>
      <c r="B716" t="s">
        <v>14</v>
      </c>
      <c r="C716">
        <v>432</v>
      </c>
      <c r="D716">
        <v>433</v>
      </c>
      <c r="E716">
        <v>429.08</v>
      </c>
      <c r="F716">
        <v>429.08</v>
      </c>
      <c r="G716">
        <v>429.08</v>
      </c>
      <c r="H716">
        <v>431.47</v>
      </c>
      <c r="I716">
        <v>483</v>
      </c>
      <c r="J716">
        <v>208641.03</v>
      </c>
      <c r="K716" s="1">
        <v>43777</v>
      </c>
      <c r="L716">
        <v>26</v>
      </c>
      <c r="M716" t="s">
        <v>6530</v>
      </c>
    </row>
    <row r="717" spans="1:13" x14ac:dyDescent="0.25">
      <c r="A717" t="s">
        <v>2204</v>
      </c>
      <c r="B717" t="s">
        <v>14</v>
      </c>
      <c r="C717">
        <v>59.15</v>
      </c>
      <c r="D717">
        <v>61.4</v>
      </c>
      <c r="E717">
        <v>55.4</v>
      </c>
      <c r="F717">
        <v>59.15</v>
      </c>
      <c r="G717">
        <v>59.9</v>
      </c>
      <c r="H717">
        <v>59.15</v>
      </c>
      <c r="I717">
        <v>769930</v>
      </c>
      <c r="J717">
        <v>45062434.549999997</v>
      </c>
      <c r="K717" s="1">
        <v>43777</v>
      </c>
      <c r="L717">
        <v>4326</v>
      </c>
      <c r="M717" t="s">
        <v>2206</v>
      </c>
    </row>
    <row r="718" spans="1:13" x14ac:dyDescent="0.25">
      <c r="A718" t="s">
        <v>2207</v>
      </c>
      <c r="B718" t="s">
        <v>14</v>
      </c>
      <c r="C718">
        <v>2767.9</v>
      </c>
      <c r="D718">
        <v>2790</v>
      </c>
      <c r="E718">
        <v>2700</v>
      </c>
      <c r="F718">
        <v>2714.1</v>
      </c>
      <c r="G718">
        <v>2700</v>
      </c>
      <c r="H718">
        <v>2772.3</v>
      </c>
      <c r="I718">
        <v>330</v>
      </c>
      <c r="J718">
        <v>909682.5</v>
      </c>
      <c r="K718" s="1">
        <v>43777</v>
      </c>
      <c r="L718">
        <v>158</v>
      </c>
      <c r="M718" t="s">
        <v>2209</v>
      </c>
    </row>
    <row r="719" spans="1:13" x14ac:dyDescent="0.25">
      <c r="A719" t="s">
        <v>2210</v>
      </c>
      <c r="B719" t="s">
        <v>14</v>
      </c>
      <c r="C719">
        <v>33.549999999999997</v>
      </c>
      <c r="D719">
        <v>34.299999999999997</v>
      </c>
      <c r="E719">
        <v>32.1</v>
      </c>
      <c r="F719">
        <v>33.049999999999997</v>
      </c>
      <c r="G719">
        <v>33.200000000000003</v>
      </c>
      <c r="H719">
        <v>33.6</v>
      </c>
      <c r="I719">
        <v>1891490</v>
      </c>
      <c r="J719">
        <v>63525919.850000001</v>
      </c>
      <c r="K719" s="1">
        <v>43777</v>
      </c>
      <c r="L719">
        <v>8612</v>
      </c>
      <c r="M719" t="s">
        <v>2212</v>
      </c>
    </row>
    <row r="720" spans="1:13" x14ac:dyDescent="0.25">
      <c r="A720" t="s">
        <v>7516</v>
      </c>
      <c r="B720" t="s">
        <v>14</v>
      </c>
      <c r="C720">
        <v>3528.95</v>
      </c>
      <c r="D720">
        <v>3528.95</v>
      </c>
      <c r="E720">
        <v>3471.2</v>
      </c>
      <c r="F720">
        <v>3475.95</v>
      </c>
      <c r="G720">
        <v>3471.2</v>
      </c>
      <c r="H720">
        <v>3525.85</v>
      </c>
      <c r="I720">
        <v>111</v>
      </c>
      <c r="J720">
        <v>386881.25</v>
      </c>
      <c r="K720" s="1">
        <v>43777</v>
      </c>
      <c r="L720">
        <v>19</v>
      </c>
      <c r="M720" t="s">
        <v>6369</v>
      </c>
    </row>
    <row r="721" spans="1:13" x14ac:dyDescent="0.25">
      <c r="A721" t="s">
        <v>2213</v>
      </c>
      <c r="B721" t="s">
        <v>14</v>
      </c>
      <c r="C721">
        <v>3.9</v>
      </c>
      <c r="D721">
        <v>4.05</v>
      </c>
      <c r="E721">
        <v>3.7</v>
      </c>
      <c r="F721">
        <v>3.75</v>
      </c>
      <c r="G721">
        <v>3.8</v>
      </c>
      <c r="H721">
        <v>3.9</v>
      </c>
      <c r="I721">
        <v>229885771</v>
      </c>
      <c r="J721">
        <v>884545298.79999995</v>
      </c>
      <c r="K721" s="1">
        <v>43777</v>
      </c>
      <c r="L721">
        <v>94615</v>
      </c>
      <c r="M721" t="s">
        <v>2215</v>
      </c>
    </row>
    <row r="722" spans="1:13" x14ac:dyDescent="0.25">
      <c r="A722" t="s">
        <v>2219</v>
      </c>
      <c r="B722" t="s">
        <v>14</v>
      </c>
      <c r="C722">
        <v>33.700000000000003</v>
      </c>
      <c r="D722">
        <v>34.65</v>
      </c>
      <c r="E722">
        <v>33.65</v>
      </c>
      <c r="F722">
        <v>33.75</v>
      </c>
      <c r="G722">
        <v>33.85</v>
      </c>
      <c r="H722">
        <v>33.75</v>
      </c>
      <c r="I722">
        <v>1076727</v>
      </c>
      <c r="J722">
        <v>36624284.350000001</v>
      </c>
      <c r="K722" s="1">
        <v>43777</v>
      </c>
      <c r="L722">
        <v>2857</v>
      </c>
      <c r="M722" t="s">
        <v>2221</v>
      </c>
    </row>
    <row r="723" spans="1:13" x14ac:dyDescent="0.25">
      <c r="A723" t="s">
        <v>2222</v>
      </c>
      <c r="B723" t="s">
        <v>14</v>
      </c>
      <c r="C723">
        <v>42.5</v>
      </c>
      <c r="D723">
        <v>43.1</v>
      </c>
      <c r="E723">
        <v>42</v>
      </c>
      <c r="F723">
        <v>42.15</v>
      </c>
      <c r="G723">
        <v>42.3</v>
      </c>
      <c r="H723">
        <v>42.45</v>
      </c>
      <c r="I723">
        <v>15191473</v>
      </c>
      <c r="J723">
        <v>645020262.35000002</v>
      </c>
      <c r="K723" s="1">
        <v>43777</v>
      </c>
      <c r="L723">
        <v>26274</v>
      </c>
      <c r="M723" t="s">
        <v>2224</v>
      </c>
    </row>
    <row r="724" spans="1:13" x14ac:dyDescent="0.25">
      <c r="A724" t="s">
        <v>2222</v>
      </c>
      <c r="B724" t="s">
        <v>5845</v>
      </c>
      <c r="C724">
        <v>4905</v>
      </c>
      <c r="D724">
        <v>4905</v>
      </c>
      <c r="E724">
        <v>4905</v>
      </c>
      <c r="F724">
        <v>4905</v>
      </c>
      <c r="G724">
        <v>4905</v>
      </c>
      <c r="H724">
        <v>4905</v>
      </c>
      <c r="I724">
        <v>2</v>
      </c>
      <c r="J724">
        <v>9810</v>
      </c>
      <c r="K724" s="1">
        <v>43777</v>
      </c>
      <c r="L724">
        <v>1</v>
      </c>
      <c r="M724" t="s">
        <v>7515</v>
      </c>
    </row>
    <row r="725" spans="1:13" x14ac:dyDescent="0.25">
      <c r="A725" t="s">
        <v>2222</v>
      </c>
      <c r="B725" t="s">
        <v>6176</v>
      </c>
      <c r="C725">
        <v>9670</v>
      </c>
      <c r="D725">
        <v>9735</v>
      </c>
      <c r="E725">
        <v>9670</v>
      </c>
      <c r="F725">
        <v>9735</v>
      </c>
      <c r="G725">
        <v>9735</v>
      </c>
      <c r="H725">
        <v>9681</v>
      </c>
      <c r="I725">
        <v>5</v>
      </c>
      <c r="J725">
        <v>48415</v>
      </c>
      <c r="K725" s="1">
        <v>43777</v>
      </c>
      <c r="L725">
        <v>2</v>
      </c>
      <c r="M725" t="s">
        <v>7514</v>
      </c>
    </row>
    <row r="726" spans="1:13" x14ac:dyDescent="0.25">
      <c r="A726" t="s">
        <v>2222</v>
      </c>
      <c r="B726" t="s">
        <v>6130</v>
      </c>
      <c r="C726">
        <v>5250.05</v>
      </c>
      <c r="D726">
        <v>5250.05</v>
      </c>
      <c r="E726">
        <v>5250.05</v>
      </c>
      <c r="F726">
        <v>5250.05</v>
      </c>
      <c r="G726">
        <v>5250.05</v>
      </c>
      <c r="H726">
        <v>5270.01</v>
      </c>
      <c r="I726">
        <v>1</v>
      </c>
      <c r="J726">
        <v>5250.05</v>
      </c>
      <c r="K726" s="1">
        <v>43777</v>
      </c>
      <c r="L726">
        <v>1</v>
      </c>
      <c r="M726" t="s">
        <v>7513</v>
      </c>
    </row>
    <row r="727" spans="1:13" x14ac:dyDescent="0.25">
      <c r="A727" t="s">
        <v>2222</v>
      </c>
      <c r="B727" t="s">
        <v>6247</v>
      </c>
      <c r="C727">
        <v>9440</v>
      </c>
      <c r="D727">
        <v>9440</v>
      </c>
      <c r="E727">
        <v>9400</v>
      </c>
      <c r="F727">
        <v>9440</v>
      </c>
      <c r="G727">
        <v>9440</v>
      </c>
      <c r="H727">
        <v>9436</v>
      </c>
      <c r="I727">
        <v>31</v>
      </c>
      <c r="J727">
        <v>292136.07</v>
      </c>
      <c r="K727" s="1">
        <v>43777</v>
      </c>
      <c r="L727">
        <v>11</v>
      </c>
      <c r="M727" t="s">
        <v>7512</v>
      </c>
    </row>
    <row r="728" spans="1:13" x14ac:dyDescent="0.25">
      <c r="A728" t="s">
        <v>2222</v>
      </c>
      <c r="B728" t="s">
        <v>6611</v>
      </c>
      <c r="C728">
        <v>5126.01</v>
      </c>
      <c r="D728">
        <v>5126.25</v>
      </c>
      <c r="E728">
        <v>5126.01</v>
      </c>
      <c r="F728">
        <v>5126.25</v>
      </c>
      <c r="G728">
        <v>5126.25</v>
      </c>
      <c r="H728">
        <v>5125</v>
      </c>
      <c r="I728">
        <v>8</v>
      </c>
      <c r="J728">
        <v>41009.040000000001</v>
      </c>
      <c r="K728" s="1">
        <v>43777</v>
      </c>
      <c r="L728">
        <v>2</v>
      </c>
      <c r="M728" t="s">
        <v>7511</v>
      </c>
    </row>
    <row r="729" spans="1:13" x14ac:dyDescent="0.25">
      <c r="A729" t="s">
        <v>2222</v>
      </c>
      <c r="B729" t="s">
        <v>6245</v>
      </c>
      <c r="C729">
        <v>8970.01</v>
      </c>
      <c r="D729">
        <v>9000</v>
      </c>
      <c r="E729">
        <v>8970.01</v>
      </c>
      <c r="F729">
        <v>8985.1</v>
      </c>
      <c r="G729">
        <v>8985.1</v>
      </c>
      <c r="H729">
        <v>9000</v>
      </c>
      <c r="I729">
        <v>24</v>
      </c>
      <c r="J729">
        <v>215720.8</v>
      </c>
      <c r="K729" s="1">
        <v>43777</v>
      </c>
      <c r="L729">
        <v>6</v>
      </c>
      <c r="M729" t="s">
        <v>7510</v>
      </c>
    </row>
    <row r="730" spans="1:13" x14ac:dyDescent="0.25">
      <c r="A730" t="s">
        <v>6525</v>
      </c>
      <c r="B730" t="s">
        <v>14</v>
      </c>
      <c r="C730">
        <v>122.99</v>
      </c>
      <c r="D730">
        <v>123</v>
      </c>
      <c r="E730">
        <v>120</v>
      </c>
      <c r="F730">
        <v>122.97</v>
      </c>
      <c r="G730">
        <v>123</v>
      </c>
      <c r="H730">
        <v>122.8</v>
      </c>
      <c r="I730">
        <v>36</v>
      </c>
      <c r="J730">
        <v>4403.17</v>
      </c>
      <c r="K730" s="1">
        <v>43777</v>
      </c>
      <c r="L730">
        <v>7</v>
      </c>
      <c r="M730" t="s">
        <v>6524</v>
      </c>
    </row>
    <row r="731" spans="1:13" x14ac:dyDescent="0.25">
      <c r="A731" t="s">
        <v>2228</v>
      </c>
      <c r="B731" t="s">
        <v>14</v>
      </c>
      <c r="C731">
        <v>144.94999999999999</v>
      </c>
      <c r="D731">
        <v>145</v>
      </c>
      <c r="E731">
        <v>140.65</v>
      </c>
      <c r="F731">
        <v>143.4</v>
      </c>
      <c r="G731">
        <v>144</v>
      </c>
      <c r="H731">
        <v>144.94999999999999</v>
      </c>
      <c r="I731">
        <v>506286</v>
      </c>
      <c r="J731">
        <v>73342276.900000006</v>
      </c>
      <c r="K731" s="1">
        <v>43777</v>
      </c>
      <c r="L731">
        <v>2533</v>
      </c>
      <c r="M731" t="s">
        <v>2230</v>
      </c>
    </row>
    <row r="732" spans="1:13" x14ac:dyDescent="0.25">
      <c r="A732" t="s">
        <v>2231</v>
      </c>
      <c r="B732" t="s">
        <v>14</v>
      </c>
      <c r="C732">
        <v>441.25</v>
      </c>
      <c r="D732">
        <v>444.95</v>
      </c>
      <c r="E732">
        <v>423.55</v>
      </c>
      <c r="F732">
        <v>428.2</v>
      </c>
      <c r="G732">
        <v>424.5</v>
      </c>
      <c r="H732">
        <v>441</v>
      </c>
      <c r="I732">
        <v>9689</v>
      </c>
      <c r="J732">
        <v>4226744.0999999996</v>
      </c>
      <c r="K732" s="1">
        <v>43777</v>
      </c>
      <c r="L732">
        <v>640</v>
      </c>
      <c r="M732" t="s">
        <v>2233</v>
      </c>
    </row>
    <row r="733" spans="1:13" x14ac:dyDescent="0.25">
      <c r="A733" t="s">
        <v>2234</v>
      </c>
      <c r="B733" t="s">
        <v>14</v>
      </c>
      <c r="C733">
        <v>737</v>
      </c>
      <c r="D733">
        <v>749.9</v>
      </c>
      <c r="E733">
        <v>730.6</v>
      </c>
      <c r="F733">
        <v>741.7</v>
      </c>
      <c r="G733">
        <v>742</v>
      </c>
      <c r="H733">
        <v>738</v>
      </c>
      <c r="I733">
        <v>8776</v>
      </c>
      <c r="J733">
        <v>6480630.0999999996</v>
      </c>
      <c r="K733" s="1">
        <v>43777</v>
      </c>
      <c r="L733">
        <v>743</v>
      </c>
      <c r="M733" t="s">
        <v>2236</v>
      </c>
    </row>
    <row r="734" spans="1:13" x14ac:dyDescent="0.25">
      <c r="A734" t="s">
        <v>2237</v>
      </c>
      <c r="B734" t="s">
        <v>14</v>
      </c>
      <c r="C734">
        <v>8.1</v>
      </c>
      <c r="D734">
        <v>8.1999999999999993</v>
      </c>
      <c r="E734">
        <v>7.75</v>
      </c>
      <c r="F734">
        <v>7.9</v>
      </c>
      <c r="G734">
        <v>7.9</v>
      </c>
      <c r="H734">
        <v>8.15</v>
      </c>
      <c r="I734">
        <v>1834113</v>
      </c>
      <c r="J734">
        <v>14717770.25</v>
      </c>
      <c r="K734" s="1">
        <v>43777</v>
      </c>
      <c r="L734">
        <v>1652</v>
      </c>
      <c r="M734" t="s">
        <v>2239</v>
      </c>
    </row>
    <row r="735" spans="1:13" x14ac:dyDescent="0.25">
      <c r="A735" t="s">
        <v>2237</v>
      </c>
      <c r="B735" t="s">
        <v>6240</v>
      </c>
      <c r="C735">
        <v>985</v>
      </c>
      <c r="D735">
        <v>1000</v>
      </c>
      <c r="E735">
        <v>985</v>
      </c>
      <c r="F735">
        <v>997.25</v>
      </c>
      <c r="G735">
        <v>997.25</v>
      </c>
      <c r="H735">
        <v>996.6</v>
      </c>
      <c r="I735">
        <v>385</v>
      </c>
      <c r="J735">
        <v>383215</v>
      </c>
      <c r="K735" s="1">
        <v>43777</v>
      </c>
      <c r="L735">
        <v>15</v>
      </c>
      <c r="M735" t="s">
        <v>7509</v>
      </c>
    </row>
    <row r="736" spans="1:13" x14ac:dyDescent="0.25">
      <c r="A736" t="s">
        <v>2237</v>
      </c>
      <c r="B736" t="s">
        <v>5872</v>
      </c>
      <c r="C736">
        <v>1087.95</v>
      </c>
      <c r="D736">
        <v>1087.95</v>
      </c>
      <c r="E736">
        <v>1087.75</v>
      </c>
      <c r="F736">
        <v>1087.75</v>
      </c>
      <c r="G736">
        <v>1087.75</v>
      </c>
      <c r="H736">
        <v>1077</v>
      </c>
      <c r="I736">
        <v>4</v>
      </c>
      <c r="J736">
        <v>4351.3999999999996</v>
      </c>
      <c r="K736" s="1">
        <v>43777</v>
      </c>
      <c r="L736">
        <v>2</v>
      </c>
      <c r="M736" t="s">
        <v>7508</v>
      </c>
    </row>
    <row r="737" spans="1:13" x14ac:dyDescent="0.25">
      <c r="A737" t="s">
        <v>2237</v>
      </c>
      <c r="B737" t="s">
        <v>3535</v>
      </c>
      <c r="C737">
        <v>1058.9000000000001</v>
      </c>
      <c r="D737">
        <v>1066.8</v>
      </c>
      <c r="E737">
        <v>1058.9000000000001</v>
      </c>
      <c r="F737">
        <v>1060</v>
      </c>
      <c r="G737">
        <v>1060</v>
      </c>
      <c r="H737">
        <v>1060</v>
      </c>
      <c r="I737">
        <v>303</v>
      </c>
      <c r="J737">
        <v>321308.40000000002</v>
      </c>
      <c r="K737" s="1">
        <v>43777</v>
      </c>
      <c r="L737">
        <v>12</v>
      </c>
      <c r="M737" t="s">
        <v>7507</v>
      </c>
    </row>
    <row r="738" spans="1:13" x14ac:dyDescent="0.25">
      <c r="A738" t="s">
        <v>2237</v>
      </c>
      <c r="B738" t="s">
        <v>5870</v>
      </c>
      <c r="C738">
        <v>1057.5</v>
      </c>
      <c r="D738">
        <v>1057.5</v>
      </c>
      <c r="E738">
        <v>1057.5</v>
      </c>
      <c r="F738">
        <v>1057.5</v>
      </c>
      <c r="G738">
        <v>1057.5</v>
      </c>
      <c r="H738">
        <v>1057.5</v>
      </c>
      <c r="I738">
        <v>50</v>
      </c>
      <c r="J738">
        <v>52875</v>
      </c>
      <c r="K738" s="1">
        <v>43777</v>
      </c>
      <c r="L738">
        <v>7</v>
      </c>
      <c r="M738" t="s">
        <v>7506</v>
      </c>
    </row>
    <row r="739" spans="1:13" x14ac:dyDescent="0.25">
      <c r="A739" t="s">
        <v>2237</v>
      </c>
      <c r="B739" t="s">
        <v>5868</v>
      </c>
      <c r="C739">
        <v>986</v>
      </c>
      <c r="D739">
        <v>986</v>
      </c>
      <c r="E739">
        <v>986</v>
      </c>
      <c r="F739">
        <v>986</v>
      </c>
      <c r="G739">
        <v>986</v>
      </c>
      <c r="H739">
        <v>983.77</v>
      </c>
      <c r="I739">
        <v>10</v>
      </c>
      <c r="J739">
        <v>9860</v>
      </c>
      <c r="K739" s="1">
        <v>43777</v>
      </c>
      <c r="L739">
        <v>1</v>
      </c>
      <c r="M739" t="s">
        <v>6523</v>
      </c>
    </row>
    <row r="740" spans="1:13" x14ac:dyDescent="0.25">
      <c r="A740" t="s">
        <v>2237</v>
      </c>
      <c r="B740" t="s">
        <v>6522</v>
      </c>
      <c r="C740">
        <v>1410.01</v>
      </c>
      <c r="D740">
        <v>1425</v>
      </c>
      <c r="E740">
        <v>1410</v>
      </c>
      <c r="F740">
        <v>1415.18</v>
      </c>
      <c r="G740">
        <v>1425</v>
      </c>
      <c r="H740">
        <v>1410</v>
      </c>
      <c r="I740">
        <v>163</v>
      </c>
      <c r="J740">
        <v>230675.5</v>
      </c>
      <c r="K740" s="1">
        <v>43777</v>
      </c>
      <c r="L740">
        <v>5</v>
      </c>
      <c r="M740" t="s">
        <v>6521</v>
      </c>
    </row>
    <row r="741" spans="1:13" x14ac:dyDescent="0.25">
      <c r="A741" t="s">
        <v>2240</v>
      </c>
      <c r="B741" t="s">
        <v>14</v>
      </c>
      <c r="C741">
        <v>151.15</v>
      </c>
      <c r="D741">
        <v>154.75</v>
      </c>
      <c r="E741">
        <v>151</v>
      </c>
      <c r="F741">
        <v>151.05000000000001</v>
      </c>
      <c r="G741">
        <v>153.35</v>
      </c>
      <c r="H741">
        <v>152.6</v>
      </c>
      <c r="I741">
        <v>4689</v>
      </c>
      <c r="J741">
        <v>712984.35</v>
      </c>
      <c r="K741" s="1">
        <v>43777</v>
      </c>
      <c r="L741">
        <v>197</v>
      </c>
      <c r="M741" t="s">
        <v>2242</v>
      </c>
    </row>
    <row r="742" spans="1:13" x14ac:dyDescent="0.25">
      <c r="A742" t="s">
        <v>2243</v>
      </c>
      <c r="B742" t="s">
        <v>14</v>
      </c>
      <c r="C742">
        <v>240</v>
      </c>
      <c r="D742">
        <v>247.45</v>
      </c>
      <c r="E742">
        <v>236</v>
      </c>
      <c r="F742">
        <v>238.7</v>
      </c>
      <c r="G742">
        <v>238.5</v>
      </c>
      <c r="H742">
        <v>244.05</v>
      </c>
      <c r="I742">
        <v>57324</v>
      </c>
      <c r="J742">
        <v>13884819.800000001</v>
      </c>
      <c r="K742" s="1">
        <v>43777</v>
      </c>
      <c r="L742">
        <v>1710</v>
      </c>
      <c r="M742" t="s">
        <v>2245</v>
      </c>
    </row>
    <row r="743" spans="1:13" x14ac:dyDescent="0.25">
      <c r="A743" t="s">
        <v>2246</v>
      </c>
      <c r="B743" t="s">
        <v>14</v>
      </c>
      <c r="C743">
        <v>406</v>
      </c>
      <c r="D743">
        <v>427</v>
      </c>
      <c r="E743">
        <v>401</v>
      </c>
      <c r="F743">
        <v>418.15</v>
      </c>
      <c r="G743">
        <v>419.8</v>
      </c>
      <c r="H743">
        <v>393.2</v>
      </c>
      <c r="I743">
        <v>12921428</v>
      </c>
      <c r="J743">
        <v>5405878330.0500002</v>
      </c>
      <c r="K743" s="1">
        <v>43777</v>
      </c>
      <c r="L743">
        <v>151951</v>
      </c>
      <c r="M743" t="s">
        <v>2248</v>
      </c>
    </row>
    <row r="744" spans="1:13" x14ac:dyDescent="0.25">
      <c r="A744" t="s">
        <v>2249</v>
      </c>
      <c r="B744" t="s">
        <v>14</v>
      </c>
      <c r="C744">
        <v>152</v>
      </c>
      <c r="D744">
        <v>155.80000000000001</v>
      </c>
      <c r="E744">
        <v>146.1</v>
      </c>
      <c r="F744">
        <v>151.85</v>
      </c>
      <c r="G744">
        <v>151.69999999999999</v>
      </c>
      <c r="H744">
        <v>150.4</v>
      </c>
      <c r="I744">
        <v>25693</v>
      </c>
      <c r="J744">
        <v>3917594.5</v>
      </c>
      <c r="K744" s="1">
        <v>43777</v>
      </c>
      <c r="L744">
        <v>731</v>
      </c>
      <c r="M744" t="s">
        <v>2251</v>
      </c>
    </row>
    <row r="745" spans="1:13" x14ac:dyDescent="0.25">
      <c r="A745" t="s">
        <v>6518</v>
      </c>
      <c r="B745" t="s">
        <v>6210</v>
      </c>
      <c r="C745">
        <v>1368</v>
      </c>
      <c r="D745">
        <v>1369</v>
      </c>
      <c r="E745">
        <v>1368</v>
      </c>
      <c r="F745">
        <v>1369</v>
      </c>
      <c r="G745">
        <v>1369</v>
      </c>
      <c r="H745">
        <v>1363.29</v>
      </c>
      <c r="I745">
        <v>2</v>
      </c>
      <c r="J745">
        <v>2737</v>
      </c>
      <c r="K745" s="1">
        <v>43777</v>
      </c>
      <c r="L745">
        <v>2</v>
      </c>
      <c r="M745" t="s">
        <v>7505</v>
      </c>
    </row>
    <row r="746" spans="1:13" x14ac:dyDescent="0.25">
      <c r="A746" t="s">
        <v>2252</v>
      </c>
      <c r="B746" t="s">
        <v>14</v>
      </c>
      <c r="C746">
        <v>127.9</v>
      </c>
      <c r="D746">
        <v>146</v>
      </c>
      <c r="E746">
        <v>127.25</v>
      </c>
      <c r="F746">
        <v>136.85</v>
      </c>
      <c r="G746">
        <v>138.80000000000001</v>
      </c>
      <c r="H746">
        <v>128.44999999999999</v>
      </c>
      <c r="I746">
        <v>355742</v>
      </c>
      <c r="J746">
        <v>49033081.549999997</v>
      </c>
      <c r="K746" s="1">
        <v>43777</v>
      </c>
      <c r="L746">
        <v>5584</v>
      </c>
      <c r="M746" t="s">
        <v>2254</v>
      </c>
    </row>
    <row r="747" spans="1:13" x14ac:dyDescent="0.25">
      <c r="A747" t="s">
        <v>7501</v>
      </c>
      <c r="B747" t="s">
        <v>5872</v>
      </c>
      <c r="C747">
        <v>929.5</v>
      </c>
      <c r="D747">
        <v>930</v>
      </c>
      <c r="E747">
        <v>907</v>
      </c>
      <c r="F747">
        <v>930</v>
      </c>
      <c r="G747">
        <v>930</v>
      </c>
      <c r="H747">
        <v>929.21</v>
      </c>
      <c r="I747">
        <v>990</v>
      </c>
      <c r="J747">
        <v>912885.24</v>
      </c>
      <c r="K747" s="1">
        <v>43777</v>
      </c>
      <c r="L747">
        <v>24</v>
      </c>
      <c r="M747" t="s">
        <v>7504</v>
      </c>
    </row>
    <row r="748" spans="1:13" x14ac:dyDescent="0.25">
      <c r="A748" t="s">
        <v>7501</v>
      </c>
      <c r="B748" t="s">
        <v>6385</v>
      </c>
      <c r="C748">
        <v>930</v>
      </c>
      <c r="D748">
        <v>930</v>
      </c>
      <c r="E748">
        <v>921.1</v>
      </c>
      <c r="F748">
        <v>921.1</v>
      </c>
      <c r="G748">
        <v>921.1</v>
      </c>
      <c r="H748">
        <v>930</v>
      </c>
      <c r="I748">
        <v>54</v>
      </c>
      <c r="J748">
        <v>50019.199999999997</v>
      </c>
      <c r="K748" s="1">
        <v>43777</v>
      </c>
      <c r="L748">
        <v>9</v>
      </c>
      <c r="M748" t="s">
        <v>7503</v>
      </c>
    </row>
    <row r="749" spans="1:13" x14ac:dyDescent="0.25">
      <c r="A749" t="s">
        <v>7501</v>
      </c>
      <c r="B749" t="s">
        <v>5870</v>
      </c>
      <c r="C749">
        <v>975</v>
      </c>
      <c r="D749">
        <v>975</v>
      </c>
      <c r="E749">
        <v>965</v>
      </c>
      <c r="F749">
        <v>971.72</v>
      </c>
      <c r="G749">
        <v>970</v>
      </c>
      <c r="H749">
        <v>975.01</v>
      </c>
      <c r="I749">
        <v>325</v>
      </c>
      <c r="J749">
        <v>315705.84999999998</v>
      </c>
      <c r="K749" s="1">
        <v>43777</v>
      </c>
      <c r="L749">
        <v>14</v>
      </c>
      <c r="M749" t="s">
        <v>7502</v>
      </c>
    </row>
    <row r="750" spans="1:13" x14ac:dyDescent="0.25">
      <c r="A750" t="s">
        <v>7501</v>
      </c>
      <c r="B750" t="s">
        <v>5865</v>
      </c>
      <c r="C750">
        <v>925</v>
      </c>
      <c r="D750">
        <v>925</v>
      </c>
      <c r="E750">
        <v>925</v>
      </c>
      <c r="F750">
        <v>925</v>
      </c>
      <c r="G750">
        <v>925</v>
      </c>
      <c r="H750">
        <v>950</v>
      </c>
      <c r="I750">
        <v>15</v>
      </c>
      <c r="J750">
        <v>13875</v>
      </c>
      <c r="K750" s="1">
        <v>43777</v>
      </c>
      <c r="L750">
        <v>2</v>
      </c>
      <c r="M750" t="s">
        <v>6514</v>
      </c>
    </row>
    <row r="751" spans="1:13" x14ac:dyDescent="0.25">
      <c r="A751" t="s">
        <v>2255</v>
      </c>
      <c r="B751" t="s">
        <v>14</v>
      </c>
      <c r="C751">
        <v>25.65</v>
      </c>
      <c r="D751">
        <v>27.4</v>
      </c>
      <c r="E751">
        <v>25.65</v>
      </c>
      <c r="F751">
        <v>26.35</v>
      </c>
      <c r="G751">
        <v>27</v>
      </c>
      <c r="H751">
        <v>26.95</v>
      </c>
      <c r="I751">
        <v>395226</v>
      </c>
      <c r="J751">
        <v>10283976.1</v>
      </c>
      <c r="K751" s="1">
        <v>43777</v>
      </c>
      <c r="L751">
        <v>1271</v>
      </c>
      <c r="M751" t="s">
        <v>2257</v>
      </c>
    </row>
    <row r="752" spans="1:13" x14ac:dyDescent="0.25">
      <c r="A752" t="s">
        <v>7500</v>
      </c>
      <c r="B752" t="s">
        <v>14</v>
      </c>
      <c r="C752">
        <v>1274.3</v>
      </c>
      <c r="D752">
        <v>1290</v>
      </c>
      <c r="E752">
        <v>1215.45</v>
      </c>
      <c r="F752">
        <v>1249.5</v>
      </c>
      <c r="G752">
        <v>1290</v>
      </c>
      <c r="H752">
        <v>1252.95</v>
      </c>
      <c r="I752">
        <v>6058</v>
      </c>
      <c r="J752">
        <v>7505329.8499999996</v>
      </c>
      <c r="K752" s="1">
        <v>43777</v>
      </c>
      <c r="L752">
        <v>1282</v>
      </c>
      <c r="M752" t="s">
        <v>7499</v>
      </c>
    </row>
    <row r="753" spans="1:13" x14ac:dyDescent="0.25">
      <c r="A753" t="s">
        <v>6498</v>
      </c>
      <c r="B753" t="s">
        <v>6176</v>
      </c>
      <c r="C753">
        <v>1003</v>
      </c>
      <c r="D753">
        <v>1003</v>
      </c>
      <c r="E753">
        <v>1001</v>
      </c>
      <c r="F753">
        <v>1001</v>
      </c>
      <c r="G753">
        <v>1001</v>
      </c>
      <c r="H753">
        <v>1000.31</v>
      </c>
      <c r="I753">
        <v>27</v>
      </c>
      <c r="J753">
        <v>27078.75</v>
      </c>
      <c r="K753" s="1">
        <v>43777</v>
      </c>
      <c r="L753">
        <v>4</v>
      </c>
      <c r="M753" t="s">
        <v>7498</v>
      </c>
    </row>
    <row r="754" spans="1:13" x14ac:dyDescent="0.25">
      <c r="A754" t="s">
        <v>6498</v>
      </c>
      <c r="B754" t="s">
        <v>6182</v>
      </c>
      <c r="C754">
        <v>1860</v>
      </c>
      <c r="D754">
        <v>1860</v>
      </c>
      <c r="E754">
        <v>1860</v>
      </c>
      <c r="F754">
        <v>1860</v>
      </c>
      <c r="G754">
        <v>1860</v>
      </c>
      <c r="H754">
        <v>1862.5</v>
      </c>
      <c r="I754">
        <v>35</v>
      </c>
      <c r="J754">
        <v>65100</v>
      </c>
      <c r="K754" s="1">
        <v>43777</v>
      </c>
      <c r="L754">
        <v>1</v>
      </c>
      <c r="M754" t="s">
        <v>7497</v>
      </c>
    </row>
    <row r="755" spans="1:13" x14ac:dyDescent="0.25">
      <c r="A755" t="s">
        <v>2258</v>
      </c>
      <c r="B755" t="s">
        <v>10</v>
      </c>
      <c r="C755">
        <v>66</v>
      </c>
      <c r="D755">
        <v>66</v>
      </c>
      <c r="E755">
        <v>66</v>
      </c>
      <c r="F755">
        <v>66</v>
      </c>
      <c r="G755">
        <v>66</v>
      </c>
      <c r="H755">
        <v>63.95</v>
      </c>
      <c r="I755">
        <v>60</v>
      </c>
      <c r="J755">
        <v>3960</v>
      </c>
      <c r="K755" s="1">
        <v>43777</v>
      </c>
      <c r="L755">
        <v>1</v>
      </c>
      <c r="M755" t="s">
        <v>2260</v>
      </c>
    </row>
    <row r="756" spans="1:13" x14ac:dyDescent="0.25">
      <c r="A756" t="s">
        <v>2264</v>
      </c>
      <c r="B756" t="s">
        <v>786</v>
      </c>
      <c r="C756">
        <v>2.5</v>
      </c>
      <c r="D756">
        <v>2.5</v>
      </c>
      <c r="E756">
        <v>2.4</v>
      </c>
      <c r="F756">
        <v>2.5</v>
      </c>
      <c r="G756">
        <v>2.5</v>
      </c>
      <c r="H756">
        <v>2.5</v>
      </c>
      <c r="I756">
        <v>22177</v>
      </c>
      <c r="J756">
        <v>55112.9</v>
      </c>
      <c r="K756" s="1">
        <v>43777</v>
      </c>
      <c r="L756">
        <v>44</v>
      </c>
      <c r="M756" t="s">
        <v>2266</v>
      </c>
    </row>
    <row r="757" spans="1:13" x14ac:dyDescent="0.25">
      <c r="A757" t="s">
        <v>2267</v>
      </c>
      <c r="B757" t="s">
        <v>786</v>
      </c>
      <c r="C757">
        <v>2.4500000000000002</v>
      </c>
      <c r="D757">
        <v>2.5</v>
      </c>
      <c r="E757">
        <v>2.35</v>
      </c>
      <c r="F757">
        <v>2.4500000000000002</v>
      </c>
      <c r="G757">
        <v>2.4</v>
      </c>
      <c r="H757">
        <v>2.4500000000000002</v>
      </c>
      <c r="I757">
        <v>281095</v>
      </c>
      <c r="J757">
        <v>684814.8</v>
      </c>
      <c r="K757" s="1">
        <v>43777</v>
      </c>
      <c r="L757">
        <v>155</v>
      </c>
      <c r="M757" t="s">
        <v>2269</v>
      </c>
    </row>
    <row r="758" spans="1:13" x14ac:dyDescent="0.25">
      <c r="A758" t="s">
        <v>2273</v>
      </c>
      <c r="B758" t="s">
        <v>14</v>
      </c>
      <c r="C758">
        <v>198.65</v>
      </c>
      <c r="D758">
        <v>199.7</v>
      </c>
      <c r="E758">
        <v>192.35</v>
      </c>
      <c r="F758">
        <v>196.85</v>
      </c>
      <c r="G758">
        <v>195.75</v>
      </c>
      <c r="H758">
        <v>198.65</v>
      </c>
      <c r="I758">
        <v>18121</v>
      </c>
      <c r="J758">
        <v>3557962.75</v>
      </c>
      <c r="K758" s="1">
        <v>43777</v>
      </c>
      <c r="L758">
        <v>566</v>
      </c>
      <c r="M758" t="s">
        <v>2275</v>
      </c>
    </row>
    <row r="759" spans="1:13" x14ac:dyDescent="0.25">
      <c r="A759" t="s">
        <v>2276</v>
      </c>
      <c r="B759" t="s">
        <v>14</v>
      </c>
      <c r="C759">
        <v>630</v>
      </c>
      <c r="D759">
        <v>638.4</v>
      </c>
      <c r="E759">
        <v>623</v>
      </c>
      <c r="F759">
        <v>633.25</v>
      </c>
      <c r="G759">
        <v>633</v>
      </c>
      <c r="H759">
        <v>639.9</v>
      </c>
      <c r="I759">
        <v>1851</v>
      </c>
      <c r="J759">
        <v>1170130.5</v>
      </c>
      <c r="K759" s="1">
        <v>43777</v>
      </c>
      <c r="L759">
        <v>199</v>
      </c>
      <c r="M759" t="s">
        <v>2278</v>
      </c>
    </row>
    <row r="760" spans="1:13" x14ac:dyDescent="0.25">
      <c r="A760" t="s">
        <v>2279</v>
      </c>
      <c r="B760" t="s">
        <v>10</v>
      </c>
      <c r="C760">
        <v>0.35</v>
      </c>
      <c r="D760">
        <v>0.35</v>
      </c>
      <c r="E760">
        <v>0.3</v>
      </c>
      <c r="F760">
        <v>0.35</v>
      </c>
      <c r="G760">
        <v>0.35</v>
      </c>
      <c r="H760">
        <v>0.35</v>
      </c>
      <c r="I760">
        <v>10685</v>
      </c>
      <c r="J760">
        <v>3537.25</v>
      </c>
      <c r="K760" s="1">
        <v>43777</v>
      </c>
      <c r="L760">
        <v>10</v>
      </c>
      <c r="M760" t="s">
        <v>2281</v>
      </c>
    </row>
    <row r="761" spans="1:13" x14ac:dyDescent="0.25">
      <c r="A761" t="s">
        <v>2285</v>
      </c>
      <c r="B761" t="s">
        <v>14</v>
      </c>
      <c r="C761">
        <v>8</v>
      </c>
      <c r="D761">
        <v>8.0500000000000007</v>
      </c>
      <c r="E761">
        <v>7.7</v>
      </c>
      <c r="F761">
        <v>7.75</v>
      </c>
      <c r="G761">
        <v>7.75</v>
      </c>
      <c r="H761">
        <v>8</v>
      </c>
      <c r="I761">
        <v>24795</v>
      </c>
      <c r="J761">
        <v>193713.85</v>
      </c>
      <c r="K761" s="1">
        <v>43777</v>
      </c>
      <c r="L761">
        <v>150</v>
      </c>
      <c r="M761" t="s">
        <v>2287</v>
      </c>
    </row>
    <row r="762" spans="1:13" x14ac:dyDescent="0.25">
      <c r="A762" t="s">
        <v>2288</v>
      </c>
      <c r="B762" t="s">
        <v>14</v>
      </c>
      <c r="C762">
        <v>150.4</v>
      </c>
      <c r="D762">
        <v>151.25</v>
      </c>
      <c r="E762">
        <v>149</v>
      </c>
      <c r="F762">
        <v>149.35</v>
      </c>
      <c r="G762">
        <v>149.4</v>
      </c>
      <c r="H762">
        <v>150.85</v>
      </c>
      <c r="I762">
        <v>265291</v>
      </c>
      <c r="J762">
        <v>39727054.75</v>
      </c>
      <c r="K762" s="1">
        <v>43777</v>
      </c>
      <c r="L762">
        <v>6242</v>
      </c>
      <c r="M762" t="s">
        <v>2290</v>
      </c>
    </row>
    <row r="763" spans="1:13" x14ac:dyDescent="0.25">
      <c r="A763" t="s">
        <v>2291</v>
      </c>
      <c r="B763" t="s">
        <v>14</v>
      </c>
      <c r="C763">
        <v>84.6</v>
      </c>
      <c r="D763">
        <v>86.85</v>
      </c>
      <c r="E763">
        <v>84.2</v>
      </c>
      <c r="F763">
        <v>85.3</v>
      </c>
      <c r="G763">
        <v>85.4</v>
      </c>
      <c r="H763">
        <v>85</v>
      </c>
      <c r="I763">
        <v>1298543</v>
      </c>
      <c r="J763">
        <v>111246864.65000001</v>
      </c>
      <c r="K763" s="1">
        <v>43777</v>
      </c>
      <c r="L763">
        <v>6103</v>
      </c>
      <c r="M763" t="s">
        <v>2293</v>
      </c>
    </row>
    <row r="764" spans="1:13" x14ac:dyDescent="0.25">
      <c r="A764" t="s">
        <v>2294</v>
      </c>
      <c r="B764" t="s">
        <v>14</v>
      </c>
      <c r="C764">
        <v>232</v>
      </c>
      <c r="D764">
        <v>236.7</v>
      </c>
      <c r="E764">
        <v>229.75</v>
      </c>
      <c r="F764">
        <v>230.25</v>
      </c>
      <c r="G764">
        <v>230.3</v>
      </c>
      <c r="H764">
        <v>232.7</v>
      </c>
      <c r="I764">
        <v>49312</v>
      </c>
      <c r="J764">
        <v>11471438.25</v>
      </c>
      <c r="K764" s="1">
        <v>43777</v>
      </c>
      <c r="L764">
        <v>1239</v>
      </c>
      <c r="M764" t="s">
        <v>2296</v>
      </c>
    </row>
    <row r="765" spans="1:13" x14ac:dyDescent="0.25">
      <c r="A765" t="s">
        <v>2297</v>
      </c>
      <c r="B765" t="s">
        <v>14</v>
      </c>
      <c r="C765">
        <v>1741</v>
      </c>
      <c r="D765">
        <v>1775</v>
      </c>
      <c r="E765">
        <v>1741</v>
      </c>
      <c r="F765">
        <v>1750.5</v>
      </c>
      <c r="G765">
        <v>1752</v>
      </c>
      <c r="H765">
        <v>1740</v>
      </c>
      <c r="I765">
        <v>86142</v>
      </c>
      <c r="J765">
        <v>151083315.44999999</v>
      </c>
      <c r="K765" s="1">
        <v>43777</v>
      </c>
      <c r="L765">
        <v>3999</v>
      </c>
      <c r="M765" t="s">
        <v>2299</v>
      </c>
    </row>
    <row r="766" spans="1:13" x14ac:dyDescent="0.25">
      <c r="A766" t="s">
        <v>2300</v>
      </c>
      <c r="B766" t="s">
        <v>14</v>
      </c>
      <c r="C766">
        <v>126.6</v>
      </c>
      <c r="D766">
        <v>127.9</v>
      </c>
      <c r="E766">
        <v>122.5</v>
      </c>
      <c r="F766">
        <v>123.5</v>
      </c>
      <c r="G766">
        <v>123.45</v>
      </c>
      <c r="H766">
        <v>127.4</v>
      </c>
      <c r="I766">
        <v>1114274</v>
      </c>
      <c r="J766">
        <v>139183876.19999999</v>
      </c>
      <c r="K766" s="1">
        <v>43777</v>
      </c>
      <c r="L766">
        <v>13275</v>
      </c>
      <c r="M766" t="s">
        <v>2302</v>
      </c>
    </row>
    <row r="767" spans="1:13" x14ac:dyDescent="0.25">
      <c r="A767" t="s">
        <v>2303</v>
      </c>
      <c r="B767" t="s">
        <v>10</v>
      </c>
      <c r="C767">
        <v>101.05</v>
      </c>
      <c r="D767">
        <v>106.5</v>
      </c>
      <c r="E767">
        <v>101.05</v>
      </c>
      <c r="F767">
        <v>101.4</v>
      </c>
      <c r="G767">
        <v>101.4</v>
      </c>
      <c r="H767">
        <v>104.65</v>
      </c>
      <c r="I767">
        <v>336</v>
      </c>
      <c r="J767">
        <v>34075.15</v>
      </c>
      <c r="K767" s="1">
        <v>43777</v>
      </c>
      <c r="L767">
        <v>5</v>
      </c>
      <c r="M767" t="s">
        <v>2305</v>
      </c>
    </row>
    <row r="768" spans="1:13" x14ac:dyDescent="0.25">
      <c r="A768" t="s">
        <v>2306</v>
      </c>
      <c r="B768" t="s">
        <v>14</v>
      </c>
      <c r="C768">
        <v>256.95</v>
      </c>
      <c r="D768">
        <v>257</v>
      </c>
      <c r="E768">
        <v>249.5</v>
      </c>
      <c r="F768">
        <v>250.05</v>
      </c>
      <c r="G768">
        <v>252</v>
      </c>
      <c r="H768">
        <v>256.95</v>
      </c>
      <c r="I768">
        <v>20171</v>
      </c>
      <c r="J768">
        <v>5084668.75</v>
      </c>
      <c r="K768" s="1">
        <v>43777</v>
      </c>
      <c r="L768">
        <v>1216</v>
      </c>
      <c r="M768" t="s">
        <v>2308</v>
      </c>
    </row>
    <row r="769" spans="1:13" x14ac:dyDescent="0.25">
      <c r="A769" t="s">
        <v>2309</v>
      </c>
      <c r="B769" t="s">
        <v>14</v>
      </c>
      <c r="C769">
        <v>1495</v>
      </c>
      <c r="D769">
        <v>1541.75</v>
      </c>
      <c r="E769">
        <v>1480.55</v>
      </c>
      <c r="F769">
        <v>1530</v>
      </c>
      <c r="G769">
        <v>1524</v>
      </c>
      <c r="H769">
        <v>1492.55</v>
      </c>
      <c r="I769">
        <v>2400373</v>
      </c>
      <c r="J769">
        <v>3640101187.9499998</v>
      </c>
      <c r="K769" s="1">
        <v>43777</v>
      </c>
      <c r="L769">
        <v>87889</v>
      </c>
      <c r="M769" t="s">
        <v>2311</v>
      </c>
    </row>
    <row r="770" spans="1:13" x14ac:dyDescent="0.25">
      <c r="A770" t="s">
        <v>6488</v>
      </c>
      <c r="B770" t="s">
        <v>6171</v>
      </c>
      <c r="C770">
        <v>94.47</v>
      </c>
      <c r="D770">
        <v>94.48</v>
      </c>
      <c r="E770">
        <v>94</v>
      </c>
      <c r="F770">
        <v>94.26</v>
      </c>
      <c r="G770">
        <v>94.27</v>
      </c>
      <c r="H770">
        <v>94.34</v>
      </c>
      <c r="I770">
        <v>217728</v>
      </c>
      <c r="J770">
        <v>20492542.350000001</v>
      </c>
      <c r="K770" s="1">
        <v>43777</v>
      </c>
      <c r="L770">
        <v>74</v>
      </c>
      <c r="M770" t="s">
        <v>6490</v>
      </c>
    </row>
    <row r="771" spans="1:13" x14ac:dyDescent="0.25">
      <c r="A771" t="s">
        <v>2315</v>
      </c>
      <c r="B771" t="s">
        <v>14</v>
      </c>
      <c r="C771">
        <v>22.35</v>
      </c>
      <c r="D771">
        <v>22.35</v>
      </c>
      <c r="E771">
        <v>22.35</v>
      </c>
      <c r="F771">
        <v>22.35</v>
      </c>
      <c r="G771">
        <v>22.35</v>
      </c>
      <c r="H771">
        <v>21.3</v>
      </c>
      <c r="I771">
        <v>1037</v>
      </c>
      <c r="J771">
        <v>23176.95</v>
      </c>
      <c r="K771" s="1">
        <v>43777</v>
      </c>
      <c r="L771">
        <v>9</v>
      </c>
      <c r="M771" t="s">
        <v>2317</v>
      </c>
    </row>
    <row r="772" spans="1:13" x14ac:dyDescent="0.25">
      <c r="A772" t="s">
        <v>2318</v>
      </c>
      <c r="B772" t="s">
        <v>14</v>
      </c>
      <c r="C772">
        <v>340</v>
      </c>
      <c r="D772">
        <v>347.95</v>
      </c>
      <c r="E772">
        <v>337</v>
      </c>
      <c r="F772">
        <v>337.9</v>
      </c>
      <c r="G772">
        <v>338</v>
      </c>
      <c r="H772">
        <v>340.8</v>
      </c>
      <c r="I772">
        <v>2133</v>
      </c>
      <c r="J772">
        <v>727506.4</v>
      </c>
      <c r="K772" s="1">
        <v>43777</v>
      </c>
      <c r="L772">
        <v>215</v>
      </c>
      <c r="M772" t="s">
        <v>2320</v>
      </c>
    </row>
    <row r="773" spans="1:13" x14ac:dyDescent="0.25">
      <c r="A773" t="s">
        <v>2327</v>
      </c>
      <c r="B773" t="s">
        <v>14</v>
      </c>
      <c r="C773">
        <v>151.15</v>
      </c>
      <c r="D773">
        <v>153.9</v>
      </c>
      <c r="E773">
        <v>147.30000000000001</v>
      </c>
      <c r="F773">
        <v>149.69999999999999</v>
      </c>
      <c r="G773">
        <v>149.75</v>
      </c>
      <c r="H773">
        <v>152.85</v>
      </c>
      <c r="I773">
        <v>16758</v>
      </c>
      <c r="J773">
        <v>2533219.75</v>
      </c>
      <c r="K773" s="1">
        <v>43777</v>
      </c>
      <c r="L773">
        <v>826</v>
      </c>
      <c r="M773" t="s">
        <v>2329</v>
      </c>
    </row>
    <row r="774" spans="1:13" x14ac:dyDescent="0.25">
      <c r="A774" t="s">
        <v>2330</v>
      </c>
      <c r="B774" t="s">
        <v>14</v>
      </c>
      <c r="C774">
        <v>28</v>
      </c>
      <c r="D774">
        <v>28</v>
      </c>
      <c r="E774">
        <v>25.55</v>
      </c>
      <c r="F774">
        <v>26.6</v>
      </c>
      <c r="G774">
        <v>26</v>
      </c>
      <c r="H774">
        <v>26.95</v>
      </c>
      <c r="I774">
        <v>93861</v>
      </c>
      <c r="J774">
        <v>2475995.75</v>
      </c>
      <c r="K774" s="1">
        <v>43777</v>
      </c>
      <c r="L774">
        <v>739</v>
      </c>
      <c r="M774" t="s">
        <v>2332</v>
      </c>
    </row>
    <row r="775" spans="1:13" x14ac:dyDescent="0.25">
      <c r="A775" t="s">
        <v>7496</v>
      </c>
      <c r="B775" t="s">
        <v>786</v>
      </c>
      <c r="C775">
        <v>0.6</v>
      </c>
      <c r="D775">
        <v>0.6</v>
      </c>
      <c r="E775">
        <v>0.55000000000000004</v>
      </c>
      <c r="F775">
        <v>0.6</v>
      </c>
      <c r="G775">
        <v>0.6</v>
      </c>
      <c r="H775">
        <v>0.55000000000000004</v>
      </c>
      <c r="I775">
        <v>172076</v>
      </c>
      <c r="J775">
        <v>103235.55</v>
      </c>
      <c r="K775" s="1">
        <v>43777</v>
      </c>
      <c r="L775">
        <v>75</v>
      </c>
      <c r="M775" t="s">
        <v>7495</v>
      </c>
    </row>
    <row r="776" spans="1:13" x14ac:dyDescent="0.25">
      <c r="A776" t="s">
        <v>2333</v>
      </c>
      <c r="B776" t="s">
        <v>14</v>
      </c>
      <c r="C776">
        <v>202</v>
      </c>
      <c r="D776">
        <v>203.95</v>
      </c>
      <c r="E776">
        <v>193</v>
      </c>
      <c r="F776">
        <v>195.25</v>
      </c>
      <c r="G776">
        <v>194.3</v>
      </c>
      <c r="H776">
        <v>202.3</v>
      </c>
      <c r="I776">
        <v>71847</v>
      </c>
      <c r="J776">
        <v>14227433.800000001</v>
      </c>
      <c r="K776" s="1">
        <v>43777</v>
      </c>
      <c r="L776">
        <v>3555</v>
      </c>
      <c r="M776" t="s">
        <v>2335</v>
      </c>
    </row>
    <row r="777" spans="1:13" x14ac:dyDescent="0.25">
      <c r="A777" t="s">
        <v>2336</v>
      </c>
      <c r="B777" t="s">
        <v>14</v>
      </c>
      <c r="C777">
        <v>91.65</v>
      </c>
      <c r="D777">
        <v>94.35</v>
      </c>
      <c r="E777">
        <v>91.45</v>
      </c>
      <c r="F777">
        <v>91.75</v>
      </c>
      <c r="G777">
        <v>92</v>
      </c>
      <c r="H777">
        <v>92.75</v>
      </c>
      <c r="I777">
        <v>1679</v>
      </c>
      <c r="J777">
        <v>153916.85</v>
      </c>
      <c r="K777" s="1">
        <v>43777</v>
      </c>
      <c r="L777">
        <v>40</v>
      </c>
      <c r="M777" t="s">
        <v>2338</v>
      </c>
    </row>
    <row r="778" spans="1:13" x14ac:dyDescent="0.25">
      <c r="A778" t="s">
        <v>2339</v>
      </c>
      <c r="B778" t="s">
        <v>14</v>
      </c>
      <c r="C778">
        <v>24.7</v>
      </c>
      <c r="D778">
        <v>24.7</v>
      </c>
      <c r="E778">
        <v>23.2</v>
      </c>
      <c r="F778">
        <v>23.5</v>
      </c>
      <c r="G778">
        <v>23.45</v>
      </c>
      <c r="H778">
        <v>23.35</v>
      </c>
      <c r="I778">
        <v>2799</v>
      </c>
      <c r="J778">
        <v>66232.75</v>
      </c>
      <c r="K778" s="1">
        <v>43777</v>
      </c>
      <c r="L778">
        <v>299</v>
      </c>
      <c r="M778" t="s">
        <v>2341</v>
      </c>
    </row>
    <row r="779" spans="1:13" x14ac:dyDescent="0.25">
      <c r="A779" t="s">
        <v>2342</v>
      </c>
      <c r="B779" t="s">
        <v>14</v>
      </c>
      <c r="C779">
        <v>3.1</v>
      </c>
      <c r="D779">
        <v>3.35</v>
      </c>
      <c r="E779">
        <v>3.1</v>
      </c>
      <c r="F779">
        <v>3.2</v>
      </c>
      <c r="G779">
        <v>3.3</v>
      </c>
      <c r="H779">
        <v>3.05</v>
      </c>
      <c r="I779">
        <v>106010</v>
      </c>
      <c r="J779">
        <v>343964.2</v>
      </c>
      <c r="K779" s="1">
        <v>43777</v>
      </c>
      <c r="L779">
        <v>164</v>
      </c>
      <c r="M779" t="s">
        <v>2344</v>
      </c>
    </row>
    <row r="780" spans="1:13" x14ac:dyDescent="0.25">
      <c r="A780" t="s">
        <v>2345</v>
      </c>
      <c r="B780" t="s">
        <v>14</v>
      </c>
      <c r="C780">
        <v>39.950000000000003</v>
      </c>
      <c r="D780">
        <v>41.5</v>
      </c>
      <c r="E780">
        <v>39.35</v>
      </c>
      <c r="F780">
        <v>40.549999999999997</v>
      </c>
      <c r="G780">
        <v>40.4</v>
      </c>
      <c r="H780">
        <v>39.75</v>
      </c>
      <c r="I780">
        <v>117410</v>
      </c>
      <c r="J780">
        <v>4781003.3499999996</v>
      </c>
      <c r="K780" s="1">
        <v>43777</v>
      </c>
      <c r="L780">
        <v>787</v>
      </c>
      <c r="M780" t="s">
        <v>2347</v>
      </c>
    </row>
    <row r="781" spans="1:13" x14ac:dyDescent="0.25">
      <c r="A781" t="s">
        <v>2348</v>
      </c>
      <c r="B781" t="s">
        <v>10</v>
      </c>
      <c r="C781">
        <v>30</v>
      </c>
      <c r="D781">
        <v>30.7</v>
      </c>
      <c r="E781">
        <v>28.7</v>
      </c>
      <c r="F781">
        <v>29.65</v>
      </c>
      <c r="G781">
        <v>29.5</v>
      </c>
      <c r="H781">
        <v>29.35</v>
      </c>
      <c r="I781">
        <v>48516</v>
      </c>
      <c r="J781">
        <v>1444584</v>
      </c>
      <c r="K781" s="1">
        <v>43777</v>
      </c>
      <c r="L781">
        <v>112</v>
      </c>
      <c r="M781" t="s">
        <v>2350</v>
      </c>
    </row>
    <row r="782" spans="1:13" x14ac:dyDescent="0.25">
      <c r="A782" t="s">
        <v>2351</v>
      </c>
      <c r="B782" t="s">
        <v>14</v>
      </c>
      <c r="C782">
        <v>3.8</v>
      </c>
      <c r="D782">
        <v>3.85</v>
      </c>
      <c r="E782">
        <v>3.65</v>
      </c>
      <c r="F782">
        <v>3.85</v>
      </c>
      <c r="G782">
        <v>3.85</v>
      </c>
      <c r="H782">
        <v>3.75</v>
      </c>
      <c r="I782">
        <v>2483</v>
      </c>
      <c r="J782">
        <v>9380.2000000000007</v>
      </c>
      <c r="K782" s="1">
        <v>43777</v>
      </c>
      <c r="L782">
        <v>11</v>
      </c>
      <c r="M782" t="s">
        <v>2353</v>
      </c>
    </row>
    <row r="783" spans="1:13" x14ac:dyDescent="0.25">
      <c r="A783" t="s">
        <v>2354</v>
      </c>
      <c r="B783" t="s">
        <v>14</v>
      </c>
      <c r="C783">
        <v>74.95</v>
      </c>
      <c r="D783">
        <v>77.8</v>
      </c>
      <c r="E783">
        <v>74.599999999999994</v>
      </c>
      <c r="F783">
        <v>74.650000000000006</v>
      </c>
      <c r="G783">
        <v>74.599999999999994</v>
      </c>
      <c r="H783">
        <v>74.349999999999994</v>
      </c>
      <c r="I783">
        <v>56566</v>
      </c>
      <c r="J783">
        <v>4268466.55</v>
      </c>
      <c r="K783" s="1">
        <v>43777</v>
      </c>
      <c r="L783">
        <v>431</v>
      </c>
      <c r="M783" t="s">
        <v>2356</v>
      </c>
    </row>
    <row r="784" spans="1:13" x14ac:dyDescent="0.25">
      <c r="A784" t="s">
        <v>2357</v>
      </c>
      <c r="B784" t="s">
        <v>14</v>
      </c>
      <c r="C784">
        <v>1367.05</v>
      </c>
      <c r="D784">
        <v>1453.95</v>
      </c>
      <c r="E784">
        <v>1355.55</v>
      </c>
      <c r="F784">
        <v>1422.8</v>
      </c>
      <c r="G784">
        <v>1422</v>
      </c>
      <c r="H784">
        <v>1381.9</v>
      </c>
      <c r="I784">
        <v>8506906</v>
      </c>
      <c r="J784">
        <v>12072029608.65</v>
      </c>
      <c r="K784" s="1">
        <v>43777</v>
      </c>
      <c r="L784">
        <v>188884</v>
      </c>
      <c r="M784" t="s">
        <v>2359</v>
      </c>
    </row>
    <row r="785" spans="1:13" x14ac:dyDescent="0.25">
      <c r="A785" t="s">
        <v>7494</v>
      </c>
      <c r="B785" t="s">
        <v>14</v>
      </c>
      <c r="C785">
        <v>664.9</v>
      </c>
      <c r="D785">
        <v>679.5</v>
      </c>
      <c r="E785">
        <v>651.25</v>
      </c>
      <c r="F785">
        <v>674.3</v>
      </c>
      <c r="G785">
        <v>675</v>
      </c>
      <c r="H785">
        <v>660.6</v>
      </c>
      <c r="I785">
        <v>7223</v>
      </c>
      <c r="J785">
        <v>4855706</v>
      </c>
      <c r="K785" s="1">
        <v>43777</v>
      </c>
      <c r="L785">
        <v>352</v>
      </c>
      <c r="M785" t="s">
        <v>4896</v>
      </c>
    </row>
    <row r="786" spans="1:13" x14ac:dyDescent="0.25">
      <c r="A786" t="s">
        <v>2363</v>
      </c>
      <c r="B786" t="s">
        <v>14</v>
      </c>
      <c r="C786">
        <v>45.3</v>
      </c>
      <c r="D786">
        <v>47.2</v>
      </c>
      <c r="E786">
        <v>45.3</v>
      </c>
      <c r="F786">
        <v>46.6</v>
      </c>
      <c r="G786">
        <v>46.15</v>
      </c>
      <c r="H786">
        <v>46.1</v>
      </c>
      <c r="I786">
        <v>2048657</v>
      </c>
      <c r="J786">
        <v>95209026.25</v>
      </c>
      <c r="K786" s="1">
        <v>43777</v>
      </c>
      <c r="L786">
        <v>3915</v>
      </c>
      <c r="M786" t="s">
        <v>2365</v>
      </c>
    </row>
    <row r="787" spans="1:13" x14ac:dyDescent="0.25">
      <c r="A787" t="s">
        <v>2366</v>
      </c>
      <c r="B787" t="s">
        <v>14</v>
      </c>
      <c r="C787">
        <v>67.400000000000006</v>
      </c>
      <c r="D787">
        <v>67.45</v>
      </c>
      <c r="E787">
        <v>67</v>
      </c>
      <c r="F787">
        <v>67.05</v>
      </c>
      <c r="G787">
        <v>67.05</v>
      </c>
      <c r="H787">
        <v>67.75</v>
      </c>
      <c r="I787">
        <v>2791</v>
      </c>
      <c r="J787">
        <v>187228.5</v>
      </c>
      <c r="K787" s="1">
        <v>43777</v>
      </c>
      <c r="L787">
        <v>51</v>
      </c>
      <c r="M787" t="s">
        <v>2368</v>
      </c>
    </row>
    <row r="788" spans="1:13" x14ac:dyDescent="0.25">
      <c r="A788" t="s">
        <v>6482</v>
      </c>
      <c r="B788" t="s">
        <v>14</v>
      </c>
      <c r="C788">
        <v>337.01</v>
      </c>
      <c r="D788">
        <v>340.24</v>
      </c>
      <c r="E788">
        <v>334.59</v>
      </c>
      <c r="F788">
        <v>334.65</v>
      </c>
      <c r="G788">
        <v>334.59</v>
      </c>
      <c r="H788">
        <v>337.86</v>
      </c>
      <c r="I788">
        <v>1263</v>
      </c>
      <c r="J788">
        <v>425855.51</v>
      </c>
      <c r="K788" s="1">
        <v>43777</v>
      </c>
      <c r="L788">
        <v>28</v>
      </c>
      <c r="M788" t="s">
        <v>6481</v>
      </c>
    </row>
    <row r="789" spans="1:13" x14ac:dyDescent="0.25">
      <c r="A789" t="s">
        <v>7493</v>
      </c>
      <c r="B789" t="s">
        <v>14</v>
      </c>
      <c r="C789">
        <v>229</v>
      </c>
      <c r="D789">
        <v>229</v>
      </c>
      <c r="E789">
        <v>216</v>
      </c>
      <c r="F789">
        <v>218.3</v>
      </c>
      <c r="G789">
        <v>218.15</v>
      </c>
      <c r="H789">
        <v>229.45</v>
      </c>
      <c r="I789">
        <v>8452515</v>
      </c>
      <c r="J789">
        <v>1868289512.1500001</v>
      </c>
      <c r="K789" s="1">
        <v>43777</v>
      </c>
      <c r="L789">
        <v>76049</v>
      </c>
      <c r="M789" t="s">
        <v>2362</v>
      </c>
    </row>
    <row r="790" spans="1:13" x14ac:dyDescent="0.25">
      <c r="A790" t="s">
        <v>2372</v>
      </c>
      <c r="B790" t="s">
        <v>14</v>
      </c>
      <c r="C790">
        <v>722</v>
      </c>
      <c r="D790">
        <v>724.25</v>
      </c>
      <c r="E790">
        <v>705.5</v>
      </c>
      <c r="F790">
        <v>708.15</v>
      </c>
      <c r="G790">
        <v>708.3</v>
      </c>
      <c r="H790">
        <v>720.1</v>
      </c>
      <c r="I790">
        <v>8585630</v>
      </c>
      <c r="J790">
        <v>6150137780.3500004</v>
      </c>
      <c r="K790" s="1">
        <v>43777</v>
      </c>
      <c r="L790">
        <v>114589</v>
      </c>
      <c r="M790" t="s">
        <v>2374</v>
      </c>
    </row>
    <row r="791" spans="1:13" x14ac:dyDescent="0.25">
      <c r="A791" t="s">
        <v>2375</v>
      </c>
      <c r="B791" t="s">
        <v>14</v>
      </c>
      <c r="C791">
        <v>620.29999999999995</v>
      </c>
      <c r="D791">
        <v>620.29999999999995</v>
      </c>
      <c r="E791">
        <v>608.1</v>
      </c>
      <c r="F791">
        <v>609.6</v>
      </c>
      <c r="G791">
        <v>611</v>
      </c>
      <c r="H791">
        <v>613.85</v>
      </c>
      <c r="I791">
        <v>6841</v>
      </c>
      <c r="J791">
        <v>4177129.25</v>
      </c>
      <c r="K791" s="1">
        <v>43777</v>
      </c>
      <c r="L791">
        <v>563</v>
      </c>
      <c r="M791" t="s">
        <v>2377</v>
      </c>
    </row>
    <row r="792" spans="1:13" x14ac:dyDescent="0.25">
      <c r="A792" t="s">
        <v>6480</v>
      </c>
      <c r="B792" t="s">
        <v>5788</v>
      </c>
      <c r="C792">
        <v>271.7</v>
      </c>
      <c r="D792">
        <v>294</v>
      </c>
      <c r="E792">
        <v>271.7</v>
      </c>
      <c r="F792">
        <v>283</v>
      </c>
      <c r="G792">
        <v>272</v>
      </c>
      <c r="H792">
        <v>285.95</v>
      </c>
      <c r="I792">
        <v>1200</v>
      </c>
      <c r="J792">
        <v>335080</v>
      </c>
      <c r="K792" s="1">
        <v>43777</v>
      </c>
      <c r="L792">
        <v>3</v>
      </c>
      <c r="M792" t="s">
        <v>6479</v>
      </c>
    </row>
    <row r="793" spans="1:13" x14ac:dyDescent="0.25">
      <c r="A793" t="s">
        <v>7492</v>
      </c>
      <c r="B793" t="s">
        <v>14</v>
      </c>
      <c r="C793">
        <v>367.45</v>
      </c>
      <c r="D793">
        <v>369.8</v>
      </c>
      <c r="E793">
        <v>357.05</v>
      </c>
      <c r="F793">
        <v>367.9</v>
      </c>
      <c r="G793">
        <v>367</v>
      </c>
      <c r="H793">
        <v>367.45</v>
      </c>
      <c r="I793">
        <v>192669</v>
      </c>
      <c r="J793">
        <v>70114557.950000003</v>
      </c>
      <c r="K793" s="1">
        <v>43777</v>
      </c>
      <c r="L793">
        <v>16890</v>
      </c>
      <c r="M793" t="s">
        <v>7491</v>
      </c>
    </row>
    <row r="794" spans="1:13" x14ac:dyDescent="0.25">
      <c r="A794" t="s">
        <v>2381</v>
      </c>
      <c r="B794" t="s">
        <v>14</v>
      </c>
      <c r="C794">
        <v>35.700000000000003</v>
      </c>
      <c r="D794">
        <v>35.9</v>
      </c>
      <c r="E794">
        <v>28.65</v>
      </c>
      <c r="F794">
        <v>33.5</v>
      </c>
      <c r="G794">
        <v>33.4</v>
      </c>
      <c r="H794">
        <v>35.25</v>
      </c>
      <c r="I794">
        <v>202708</v>
      </c>
      <c r="J794">
        <v>6690152.75</v>
      </c>
      <c r="K794" s="1">
        <v>43777</v>
      </c>
      <c r="L794">
        <v>1977</v>
      </c>
      <c r="M794" t="s">
        <v>2383</v>
      </c>
    </row>
    <row r="795" spans="1:13" x14ac:dyDescent="0.25">
      <c r="A795" t="s">
        <v>2384</v>
      </c>
      <c r="B795" t="s">
        <v>14</v>
      </c>
      <c r="C795">
        <v>558.29999999999995</v>
      </c>
      <c r="D795">
        <v>561.9</v>
      </c>
      <c r="E795">
        <v>550.15</v>
      </c>
      <c r="F795">
        <v>550.70000000000005</v>
      </c>
      <c r="G795">
        <v>550.15</v>
      </c>
      <c r="H795">
        <v>562.29999999999995</v>
      </c>
      <c r="I795">
        <v>4260</v>
      </c>
      <c r="J795">
        <v>2356987</v>
      </c>
      <c r="K795" s="1">
        <v>43777</v>
      </c>
      <c r="L795">
        <v>247</v>
      </c>
      <c r="M795" t="s">
        <v>2386</v>
      </c>
    </row>
    <row r="796" spans="1:13" x14ac:dyDescent="0.25">
      <c r="A796" t="s">
        <v>2387</v>
      </c>
      <c r="B796" t="s">
        <v>14</v>
      </c>
      <c r="C796">
        <v>47.25</v>
      </c>
      <c r="D796">
        <v>47.25</v>
      </c>
      <c r="E796">
        <v>41.35</v>
      </c>
      <c r="F796">
        <v>42.85</v>
      </c>
      <c r="G796">
        <v>43.2</v>
      </c>
      <c r="H796">
        <v>47</v>
      </c>
      <c r="I796">
        <v>16955</v>
      </c>
      <c r="J796">
        <v>733451.8</v>
      </c>
      <c r="K796" s="1">
        <v>43777</v>
      </c>
      <c r="L796">
        <v>311</v>
      </c>
      <c r="M796" t="s">
        <v>2389</v>
      </c>
    </row>
    <row r="797" spans="1:13" x14ac:dyDescent="0.25">
      <c r="A797" t="s">
        <v>7490</v>
      </c>
      <c r="B797" t="s">
        <v>10</v>
      </c>
      <c r="C797">
        <v>0.2</v>
      </c>
      <c r="D797">
        <v>0.2</v>
      </c>
      <c r="E797">
        <v>0.2</v>
      </c>
      <c r="F797">
        <v>0.2</v>
      </c>
      <c r="G797">
        <v>0.2</v>
      </c>
      <c r="H797">
        <v>0.25</v>
      </c>
      <c r="I797">
        <v>135</v>
      </c>
      <c r="J797">
        <v>27</v>
      </c>
      <c r="K797" s="1">
        <v>43777</v>
      </c>
      <c r="L797">
        <v>1</v>
      </c>
      <c r="M797" t="s">
        <v>7489</v>
      </c>
    </row>
    <row r="798" spans="1:13" x14ac:dyDescent="0.25">
      <c r="A798" t="s">
        <v>2390</v>
      </c>
      <c r="B798" t="s">
        <v>14</v>
      </c>
      <c r="C798">
        <v>152.5</v>
      </c>
      <c r="D798">
        <v>153.85</v>
      </c>
      <c r="E798">
        <v>147.4</v>
      </c>
      <c r="F798">
        <v>148.19999999999999</v>
      </c>
      <c r="G798">
        <v>147.6</v>
      </c>
      <c r="H798">
        <v>151.69999999999999</v>
      </c>
      <c r="I798">
        <v>299091</v>
      </c>
      <c r="J798">
        <v>45010285.549999997</v>
      </c>
      <c r="K798" s="1">
        <v>43777</v>
      </c>
      <c r="L798">
        <v>3569</v>
      </c>
      <c r="M798" t="s">
        <v>2392</v>
      </c>
    </row>
    <row r="799" spans="1:13" x14ac:dyDescent="0.25">
      <c r="A799" t="s">
        <v>2393</v>
      </c>
      <c r="B799" t="s">
        <v>14</v>
      </c>
      <c r="C799">
        <v>31.85</v>
      </c>
      <c r="D799">
        <v>31.85</v>
      </c>
      <c r="E799">
        <v>30.35</v>
      </c>
      <c r="F799">
        <v>31.1</v>
      </c>
      <c r="G799">
        <v>31.6</v>
      </c>
      <c r="H799">
        <v>30.55</v>
      </c>
      <c r="I799">
        <v>4275</v>
      </c>
      <c r="J799">
        <v>132580.9</v>
      </c>
      <c r="K799" s="1">
        <v>43777</v>
      </c>
      <c r="L799">
        <v>47</v>
      </c>
      <c r="M799" t="s">
        <v>2395</v>
      </c>
    </row>
    <row r="800" spans="1:13" x14ac:dyDescent="0.25">
      <c r="A800" t="s">
        <v>2399</v>
      </c>
      <c r="B800" t="s">
        <v>14</v>
      </c>
      <c r="C800">
        <v>14</v>
      </c>
      <c r="D800">
        <v>14</v>
      </c>
      <c r="E800">
        <v>13.75</v>
      </c>
      <c r="F800">
        <v>13.8</v>
      </c>
      <c r="G800">
        <v>13.85</v>
      </c>
      <c r="H800">
        <v>14.05</v>
      </c>
      <c r="I800">
        <v>20234</v>
      </c>
      <c r="J800">
        <v>279455.7</v>
      </c>
      <c r="K800" s="1">
        <v>43777</v>
      </c>
      <c r="L800">
        <v>48</v>
      </c>
      <c r="M800" t="s">
        <v>7488</v>
      </c>
    </row>
    <row r="801" spans="1:13" x14ac:dyDescent="0.25">
      <c r="A801" t="s">
        <v>2402</v>
      </c>
      <c r="B801" t="s">
        <v>14</v>
      </c>
      <c r="C801">
        <v>10.45</v>
      </c>
      <c r="D801">
        <v>10.45</v>
      </c>
      <c r="E801">
        <v>10.15</v>
      </c>
      <c r="F801">
        <v>10.199999999999999</v>
      </c>
      <c r="G801">
        <v>10.199999999999999</v>
      </c>
      <c r="H801">
        <v>10.5</v>
      </c>
      <c r="I801">
        <v>572517</v>
      </c>
      <c r="J801">
        <v>5891644.5</v>
      </c>
      <c r="K801" s="1">
        <v>43777</v>
      </c>
      <c r="L801">
        <v>1177</v>
      </c>
      <c r="M801" t="s">
        <v>2404</v>
      </c>
    </row>
    <row r="802" spans="1:13" x14ac:dyDescent="0.25">
      <c r="A802" t="s">
        <v>2405</v>
      </c>
      <c r="B802" t="s">
        <v>14</v>
      </c>
      <c r="C802">
        <v>135.94999999999999</v>
      </c>
      <c r="D802">
        <v>135.94999999999999</v>
      </c>
      <c r="E802">
        <v>133.69999999999999</v>
      </c>
      <c r="F802">
        <v>134.05000000000001</v>
      </c>
      <c r="G802">
        <v>133.80000000000001</v>
      </c>
      <c r="H802">
        <v>135.85</v>
      </c>
      <c r="I802">
        <v>6571737</v>
      </c>
      <c r="J802">
        <v>885372713.5</v>
      </c>
      <c r="K802" s="1">
        <v>43777</v>
      </c>
      <c r="L802">
        <v>32877</v>
      </c>
      <c r="M802" t="s">
        <v>2407</v>
      </c>
    </row>
    <row r="803" spans="1:13" x14ac:dyDescent="0.25">
      <c r="A803" t="s">
        <v>2408</v>
      </c>
      <c r="B803" t="s">
        <v>14</v>
      </c>
      <c r="C803">
        <v>197.95</v>
      </c>
      <c r="D803">
        <v>204.8</v>
      </c>
      <c r="E803">
        <v>197.1</v>
      </c>
      <c r="F803">
        <v>200.4</v>
      </c>
      <c r="G803">
        <v>201</v>
      </c>
      <c r="H803">
        <v>198.3</v>
      </c>
      <c r="I803">
        <v>259818</v>
      </c>
      <c r="J803">
        <v>52194448.25</v>
      </c>
      <c r="K803" s="1">
        <v>43777</v>
      </c>
      <c r="L803">
        <v>4537</v>
      </c>
      <c r="M803" t="s">
        <v>2410</v>
      </c>
    </row>
    <row r="804" spans="1:13" x14ac:dyDescent="0.25">
      <c r="A804" t="s">
        <v>7487</v>
      </c>
      <c r="B804" t="s">
        <v>14</v>
      </c>
      <c r="C804">
        <v>318</v>
      </c>
      <c r="D804">
        <v>318</v>
      </c>
      <c r="E804">
        <v>307.85000000000002</v>
      </c>
      <c r="F804">
        <v>308.5</v>
      </c>
      <c r="G804">
        <v>310</v>
      </c>
      <c r="H804">
        <v>312.60000000000002</v>
      </c>
      <c r="I804">
        <v>4483</v>
      </c>
      <c r="J804">
        <v>1386799.9</v>
      </c>
      <c r="K804" s="1">
        <v>43777</v>
      </c>
      <c r="L804">
        <v>303</v>
      </c>
      <c r="M804" t="s">
        <v>306</v>
      </c>
    </row>
    <row r="805" spans="1:13" x14ac:dyDescent="0.25">
      <c r="A805" t="s">
        <v>2414</v>
      </c>
      <c r="B805" t="s">
        <v>14</v>
      </c>
      <c r="C805">
        <v>1065.8499999999999</v>
      </c>
      <c r="D805">
        <v>1095</v>
      </c>
      <c r="E805">
        <v>1055</v>
      </c>
      <c r="F805">
        <v>1069.95</v>
      </c>
      <c r="G805">
        <v>1073.9000000000001</v>
      </c>
      <c r="H805">
        <v>1063.2</v>
      </c>
      <c r="I805">
        <v>811868</v>
      </c>
      <c r="J805">
        <v>876587741.89999998</v>
      </c>
      <c r="K805" s="1">
        <v>43777</v>
      </c>
      <c r="L805">
        <v>21746</v>
      </c>
      <c r="M805" t="s">
        <v>7486</v>
      </c>
    </row>
    <row r="806" spans="1:13" x14ac:dyDescent="0.25">
      <c r="A806" t="s">
        <v>2420</v>
      </c>
      <c r="B806" t="s">
        <v>14</v>
      </c>
      <c r="C806">
        <v>73.150000000000006</v>
      </c>
      <c r="D806">
        <v>74.25</v>
      </c>
      <c r="E806">
        <v>71.099999999999994</v>
      </c>
      <c r="F806">
        <v>71.650000000000006</v>
      </c>
      <c r="G806">
        <v>71.099999999999994</v>
      </c>
      <c r="H806">
        <v>73.599999999999994</v>
      </c>
      <c r="I806">
        <v>733509</v>
      </c>
      <c r="J806">
        <v>53350111.799999997</v>
      </c>
      <c r="K806" s="1">
        <v>43777</v>
      </c>
      <c r="L806">
        <v>8821</v>
      </c>
      <c r="M806" t="s">
        <v>7485</v>
      </c>
    </row>
    <row r="807" spans="1:13" x14ac:dyDescent="0.25">
      <c r="A807" t="s">
        <v>6472</v>
      </c>
      <c r="B807" t="s">
        <v>6171</v>
      </c>
      <c r="C807">
        <v>51.98</v>
      </c>
      <c r="D807">
        <v>52.85</v>
      </c>
      <c r="E807">
        <v>51.81</v>
      </c>
      <c r="F807">
        <v>51.84</v>
      </c>
      <c r="G807">
        <v>51.85</v>
      </c>
      <c r="H807">
        <v>51.88</v>
      </c>
      <c r="I807">
        <v>160000</v>
      </c>
      <c r="J807">
        <v>8354475</v>
      </c>
      <c r="K807" s="1">
        <v>43777</v>
      </c>
      <c r="L807">
        <v>47</v>
      </c>
      <c r="M807" t="s">
        <v>6471</v>
      </c>
    </row>
    <row r="808" spans="1:13" x14ac:dyDescent="0.25">
      <c r="A808" t="s">
        <v>2423</v>
      </c>
      <c r="B808" t="s">
        <v>14</v>
      </c>
      <c r="C808">
        <v>419.9</v>
      </c>
      <c r="D808">
        <v>461</v>
      </c>
      <c r="E808">
        <v>415.15</v>
      </c>
      <c r="F808">
        <v>434.7</v>
      </c>
      <c r="G808">
        <v>437.8</v>
      </c>
      <c r="H808">
        <v>423.9</v>
      </c>
      <c r="I808">
        <v>529008</v>
      </c>
      <c r="J808">
        <v>235156783</v>
      </c>
      <c r="K808" s="1">
        <v>43777</v>
      </c>
      <c r="L808">
        <v>15256</v>
      </c>
      <c r="M808" t="s">
        <v>7484</v>
      </c>
    </row>
    <row r="809" spans="1:13" x14ac:dyDescent="0.25">
      <c r="A809" t="s">
        <v>2426</v>
      </c>
      <c r="B809" t="s">
        <v>14</v>
      </c>
      <c r="C809">
        <v>879.75</v>
      </c>
      <c r="D809">
        <v>891</v>
      </c>
      <c r="E809">
        <v>872.3</v>
      </c>
      <c r="F809">
        <v>876.9</v>
      </c>
      <c r="G809">
        <v>874</v>
      </c>
      <c r="H809">
        <v>881.5</v>
      </c>
      <c r="I809">
        <v>948769</v>
      </c>
      <c r="J809">
        <v>837539298.35000002</v>
      </c>
      <c r="K809" s="1">
        <v>43777</v>
      </c>
      <c r="L809">
        <v>26403</v>
      </c>
      <c r="M809" t="s">
        <v>7483</v>
      </c>
    </row>
    <row r="810" spans="1:13" x14ac:dyDescent="0.25">
      <c r="A810" t="s">
        <v>6470</v>
      </c>
      <c r="B810" t="s">
        <v>6174</v>
      </c>
      <c r="C810">
        <v>1300</v>
      </c>
      <c r="D810">
        <v>1300</v>
      </c>
      <c r="E810">
        <v>1300</v>
      </c>
      <c r="F810">
        <v>1300</v>
      </c>
      <c r="G810">
        <v>1300</v>
      </c>
      <c r="H810">
        <v>1294</v>
      </c>
      <c r="I810">
        <v>200</v>
      </c>
      <c r="J810">
        <v>260000</v>
      </c>
      <c r="K810" s="1">
        <v>43777</v>
      </c>
      <c r="L810">
        <v>1</v>
      </c>
      <c r="M810" t="s">
        <v>6469</v>
      </c>
    </row>
    <row r="811" spans="1:13" x14ac:dyDescent="0.25">
      <c r="A811" t="s">
        <v>6470</v>
      </c>
      <c r="B811" t="s">
        <v>6207</v>
      </c>
      <c r="C811">
        <v>1200</v>
      </c>
      <c r="D811">
        <v>1222</v>
      </c>
      <c r="E811">
        <v>1197.5</v>
      </c>
      <c r="F811">
        <v>1222</v>
      </c>
      <c r="G811">
        <v>1222</v>
      </c>
      <c r="H811">
        <v>1200</v>
      </c>
      <c r="I811">
        <v>6</v>
      </c>
      <c r="J811">
        <v>7239</v>
      </c>
      <c r="K811" s="1">
        <v>43777</v>
      </c>
      <c r="L811">
        <v>4</v>
      </c>
      <c r="M811" t="s">
        <v>7482</v>
      </c>
    </row>
    <row r="812" spans="1:13" x14ac:dyDescent="0.25">
      <c r="A812" t="s">
        <v>2429</v>
      </c>
      <c r="B812" t="s">
        <v>5845</v>
      </c>
      <c r="C812">
        <v>1055.5</v>
      </c>
      <c r="D812">
        <v>1058</v>
      </c>
      <c r="E812">
        <v>1055.5</v>
      </c>
      <c r="F812">
        <v>1057</v>
      </c>
      <c r="G812">
        <v>1057</v>
      </c>
      <c r="H812">
        <v>1060</v>
      </c>
      <c r="I812">
        <v>556</v>
      </c>
      <c r="J812">
        <v>587405.80000000005</v>
      </c>
      <c r="K812" s="1">
        <v>43777</v>
      </c>
      <c r="L812">
        <v>9</v>
      </c>
      <c r="M812" t="s">
        <v>7481</v>
      </c>
    </row>
    <row r="813" spans="1:13" x14ac:dyDescent="0.25">
      <c r="A813" t="s">
        <v>2429</v>
      </c>
      <c r="B813" t="s">
        <v>6176</v>
      </c>
      <c r="C813">
        <v>1171</v>
      </c>
      <c r="D813">
        <v>1171</v>
      </c>
      <c r="E813">
        <v>1151</v>
      </c>
      <c r="F813">
        <v>1155</v>
      </c>
      <c r="G813">
        <v>1155</v>
      </c>
      <c r="H813">
        <v>1153</v>
      </c>
      <c r="I813">
        <v>41</v>
      </c>
      <c r="J813">
        <v>47479</v>
      </c>
      <c r="K813" s="1">
        <v>43777</v>
      </c>
      <c r="L813">
        <v>6</v>
      </c>
      <c r="M813" t="s">
        <v>7480</v>
      </c>
    </row>
    <row r="814" spans="1:13" x14ac:dyDescent="0.25">
      <c r="A814" t="s">
        <v>2429</v>
      </c>
      <c r="B814" t="s">
        <v>6210</v>
      </c>
      <c r="C814">
        <v>1100</v>
      </c>
      <c r="D814">
        <v>1100</v>
      </c>
      <c r="E814">
        <v>1100</v>
      </c>
      <c r="F814">
        <v>1100</v>
      </c>
      <c r="G814">
        <v>1100</v>
      </c>
      <c r="H814">
        <v>1114</v>
      </c>
      <c r="I814">
        <v>100</v>
      </c>
      <c r="J814">
        <v>110000</v>
      </c>
      <c r="K814" s="1">
        <v>43777</v>
      </c>
      <c r="L814">
        <v>1</v>
      </c>
      <c r="M814" t="s">
        <v>7479</v>
      </c>
    </row>
    <row r="815" spans="1:13" x14ac:dyDescent="0.25">
      <c r="A815" t="s">
        <v>2429</v>
      </c>
      <c r="B815" t="s">
        <v>5874</v>
      </c>
      <c r="C815">
        <v>1231</v>
      </c>
      <c r="D815">
        <v>1231</v>
      </c>
      <c r="E815">
        <v>1231</v>
      </c>
      <c r="F815">
        <v>1231</v>
      </c>
      <c r="G815">
        <v>1231</v>
      </c>
      <c r="H815">
        <v>1220.5999999999999</v>
      </c>
      <c r="I815">
        <v>201</v>
      </c>
      <c r="J815">
        <v>247431</v>
      </c>
      <c r="K815" s="1">
        <v>43777</v>
      </c>
      <c r="L815">
        <v>2</v>
      </c>
      <c r="M815" t="s">
        <v>7478</v>
      </c>
    </row>
    <row r="816" spans="1:13" x14ac:dyDescent="0.25">
      <c r="A816" t="s">
        <v>2429</v>
      </c>
      <c r="B816" t="s">
        <v>6240</v>
      </c>
      <c r="C816">
        <v>1311</v>
      </c>
      <c r="D816">
        <v>1311</v>
      </c>
      <c r="E816">
        <v>1311</v>
      </c>
      <c r="F816">
        <v>1311</v>
      </c>
      <c r="G816">
        <v>1311</v>
      </c>
      <c r="H816">
        <v>1311.99</v>
      </c>
      <c r="I816">
        <v>2</v>
      </c>
      <c r="J816">
        <v>2622</v>
      </c>
      <c r="K816" s="1">
        <v>43777</v>
      </c>
      <c r="L816">
        <v>1</v>
      </c>
      <c r="M816" t="s">
        <v>6464</v>
      </c>
    </row>
    <row r="817" spans="1:13" x14ac:dyDescent="0.25">
      <c r="A817" t="s">
        <v>2429</v>
      </c>
      <c r="B817" t="s">
        <v>6383</v>
      </c>
      <c r="C817">
        <v>1083</v>
      </c>
      <c r="D817">
        <v>1083</v>
      </c>
      <c r="E817">
        <v>1083</v>
      </c>
      <c r="F817">
        <v>1083</v>
      </c>
      <c r="G817">
        <v>1083</v>
      </c>
      <c r="H817">
        <v>1083.8800000000001</v>
      </c>
      <c r="I817">
        <v>12</v>
      </c>
      <c r="J817">
        <v>12996</v>
      </c>
      <c r="K817" s="1">
        <v>43777</v>
      </c>
      <c r="L817">
        <v>2</v>
      </c>
      <c r="M817" t="s">
        <v>7477</v>
      </c>
    </row>
    <row r="818" spans="1:13" x14ac:dyDescent="0.25">
      <c r="A818" t="s">
        <v>2429</v>
      </c>
      <c r="B818" t="s">
        <v>5870</v>
      </c>
      <c r="C818">
        <v>1147</v>
      </c>
      <c r="D818">
        <v>1147</v>
      </c>
      <c r="E818">
        <v>1147</v>
      </c>
      <c r="F818">
        <v>1147</v>
      </c>
      <c r="G818">
        <v>1147</v>
      </c>
      <c r="H818">
        <v>1135</v>
      </c>
      <c r="I818">
        <v>1</v>
      </c>
      <c r="J818">
        <v>1147</v>
      </c>
      <c r="K818" s="1">
        <v>43777</v>
      </c>
      <c r="L818">
        <v>1</v>
      </c>
      <c r="M818" t="s">
        <v>6462</v>
      </c>
    </row>
    <row r="819" spans="1:13" x14ac:dyDescent="0.25">
      <c r="A819" t="s">
        <v>2429</v>
      </c>
      <c r="B819" t="s">
        <v>6459</v>
      </c>
      <c r="C819">
        <v>1156</v>
      </c>
      <c r="D819">
        <v>1158</v>
      </c>
      <c r="E819">
        <v>1147.01</v>
      </c>
      <c r="F819">
        <v>1158</v>
      </c>
      <c r="G819">
        <v>1158</v>
      </c>
      <c r="H819">
        <v>1156</v>
      </c>
      <c r="I819">
        <v>102</v>
      </c>
      <c r="J819">
        <v>118101.01</v>
      </c>
      <c r="K819" s="1">
        <v>43777</v>
      </c>
      <c r="L819">
        <v>4</v>
      </c>
      <c r="M819" t="s">
        <v>6458</v>
      </c>
    </row>
    <row r="820" spans="1:13" x14ac:dyDescent="0.25">
      <c r="A820" t="s">
        <v>2441</v>
      </c>
      <c r="B820" t="s">
        <v>14</v>
      </c>
      <c r="C820">
        <v>297.5</v>
      </c>
      <c r="D820">
        <v>302.60000000000002</v>
      </c>
      <c r="E820">
        <v>292</v>
      </c>
      <c r="F820">
        <v>293.35000000000002</v>
      </c>
      <c r="G820">
        <v>294.3</v>
      </c>
      <c r="H820">
        <v>297.85000000000002</v>
      </c>
      <c r="I820">
        <v>104259</v>
      </c>
      <c r="J820">
        <v>30923545.850000001</v>
      </c>
      <c r="K820" s="1">
        <v>43777</v>
      </c>
      <c r="L820">
        <v>3406</v>
      </c>
      <c r="M820" t="s">
        <v>2443</v>
      </c>
    </row>
    <row r="821" spans="1:13" x14ac:dyDescent="0.25">
      <c r="A821" t="s">
        <v>2444</v>
      </c>
      <c r="B821" t="s">
        <v>10</v>
      </c>
      <c r="C821">
        <v>95</v>
      </c>
      <c r="D821">
        <v>98.3</v>
      </c>
      <c r="E821">
        <v>90</v>
      </c>
      <c r="F821">
        <v>93.85</v>
      </c>
      <c r="G821">
        <v>91</v>
      </c>
      <c r="H821">
        <v>94.35</v>
      </c>
      <c r="I821">
        <v>2447</v>
      </c>
      <c r="J821">
        <v>231913.45</v>
      </c>
      <c r="K821" s="1">
        <v>43777</v>
      </c>
      <c r="L821">
        <v>28</v>
      </c>
      <c r="M821" t="s">
        <v>2446</v>
      </c>
    </row>
    <row r="822" spans="1:13" x14ac:dyDescent="0.25">
      <c r="A822" t="s">
        <v>2450</v>
      </c>
      <c r="B822" t="s">
        <v>14</v>
      </c>
      <c r="C822">
        <v>4.2</v>
      </c>
      <c r="D822">
        <v>4.2</v>
      </c>
      <c r="E822">
        <v>3.95</v>
      </c>
      <c r="F822">
        <v>4.05</v>
      </c>
      <c r="G822">
        <v>4.05</v>
      </c>
      <c r="H822">
        <v>3.95</v>
      </c>
      <c r="I822">
        <v>3071</v>
      </c>
      <c r="J822">
        <v>12313.25</v>
      </c>
      <c r="K822" s="1">
        <v>43777</v>
      </c>
      <c r="L822">
        <v>20</v>
      </c>
      <c r="M822" t="s">
        <v>2452</v>
      </c>
    </row>
    <row r="823" spans="1:13" x14ac:dyDescent="0.25">
      <c r="A823" t="s">
        <v>2453</v>
      </c>
      <c r="B823" t="s">
        <v>14</v>
      </c>
      <c r="C823">
        <v>264.85000000000002</v>
      </c>
      <c r="D823">
        <v>265.45</v>
      </c>
      <c r="E823">
        <v>260</v>
      </c>
      <c r="F823">
        <v>260.5</v>
      </c>
      <c r="G823">
        <v>260.75</v>
      </c>
      <c r="H823">
        <v>265.85000000000002</v>
      </c>
      <c r="I823">
        <v>11899353</v>
      </c>
      <c r="J823">
        <v>3114365596.4499998</v>
      </c>
      <c r="K823" s="1">
        <v>43777</v>
      </c>
      <c r="L823">
        <v>109003</v>
      </c>
      <c r="M823" t="s">
        <v>2455</v>
      </c>
    </row>
    <row r="824" spans="1:13" x14ac:dyDescent="0.25">
      <c r="A824" t="s">
        <v>2456</v>
      </c>
      <c r="B824" t="s">
        <v>14</v>
      </c>
      <c r="C824">
        <v>383</v>
      </c>
      <c r="D824">
        <v>393</v>
      </c>
      <c r="E824">
        <v>373.1</v>
      </c>
      <c r="F824">
        <v>376.8</v>
      </c>
      <c r="G824">
        <v>375</v>
      </c>
      <c r="H824">
        <v>371.25</v>
      </c>
      <c r="I824">
        <v>626241</v>
      </c>
      <c r="J824">
        <v>240547905</v>
      </c>
      <c r="K824" s="1">
        <v>43777</v>
      </c>
      <c r="L824">
        <v>13403</v>
      </c>
      <c r="M824" t="s">
        <v>2458</v>
      </c>
    </row>
    <row r="825" spans="1:13" x14ac:dyDescent="0.25">
      <c r="A825" t="s">
        <v>2459</v>
      </c>
      <c r="B825" t="s">
        <v>14</v>
      </c>
      <c r="C825">
        <v>61.9</v>
      </c>
      <c r="D825">
        <v>62.25</v>
      </c>
      <c r="E825">
        <v>57.85</v>
      </c>
      <c r="F825">
        <v>58.9</v>
      </c>
      <c r="G825">
        <v>58.5</v>
      </c>
      <c r="H825">
        <v>60.15</v>
      </c>
      <c r="I825">
        <v>258999</v>
      </c>
      <c r="J825">
        <v>15350489.85</v>
      </c>
      <c r="K825" s="1">
        <v>43777</v>
      </c>
      <c r="L825">
        <v>2137</v>
      </c>
      <c r="M825" t="s">
        <v>2461</v>
      </c>
    </row>
    <row r="826" spans="1:13" x14ac:dyDescent="0.25">
      <c r="A826" t="s">
        <v>2462</v>
      </c>
      <c r="B826" t="s">
        <v>14</v>
      </c>
      <c r="C826">
        <v>86.9</v>
      </c>
      <c r="D826">
        <v>88.8</v>
      </c>
      <c r="E826">
        <v>85.15</v>
      </c>
      <c r="F826">
        <v>85.8</v>
      </c>
      <c r="G826">
        <v>85.25</v>
      </c>
      <c r="H826">
        <v>87.85</v>
      </c>
      <c r="I826">
        <v>546986</v>
      </c>
      <c r="J826">
        <v>47569711.200000003</v>
      </c>
      <c r="K826" s="1">
        <v>43777</v>
      </c>
      <c r="L826">
        <v>4699</v>
      </c>
      <c r="M826" t="s">
        <v>2464</v>
      </c>
    </row>
    <row r="827" spans="1:13" x14ac:dyDescent="0.25">
      <c r="A827" t="s">
        <v>2465</v>
      </c>
      <c r="B827" t="s">
        <v>14</v>
      </c>
      <c r="C827">
        <v>3.65</v>
      </c>
      <c r="D827">
        <v>4</v>
      </c>
      <c r="E827">
        <v>3.65</v>
      </c>
      <c r="F827">
        <v>3.85</v>
      </c>
      <c r="G827">
        <v>3.95</v>
      </c>
      <c r="H827">
        <v>3.8</v>
      </c>
      <c r="I827">
        <v>115776</v>
      </c>
      <c r="J827">
        <v>446716.25</v>
      </c>
      <c r="K827" s="1">
        <v>43777</v>
      </c>
      <c r="L827">
        <v>173</v>
      </c>
      <c r="M827" t="s">
        <v>2467</v>
      </c>
    </row>
    <row r="828" spans="1:13" x14ac:dyDescent="0.25">
      <c r="A828" t="s">
        <v>2468</v>
      </c>
      <c r="B828" t="s">
        <v>14</v>
      </c>
      <c r="C828">
        <v>63.9</v>
      </c>
      <c r="D828">
        <v>63.9</v>
      </c>
      <c r="E828">
        <v>62.1</v>
      </c>
      <c r="F828">
        <v>62.1</v>
      </c>
      <c r="G828">
        <v>62.1</v>
      </c>
      <c r="H828">
        <v>64.900000000000006</v>
      </c>
      <c r="I828">
        <v>440</v>
      </c>
      <c r="J828">
        <v>27325.8</v>
      </c>
      <c r="K828" s="1">
        <v>43777</v>
      </c>
      <c r="L828">
        <v>10</v>
      </c>
      <c r="M828" t="s">
        <v>2470</v>
      </c>
    </row>
    <row r="829" spans="1:13" x14ac:dyDescent="0.25">
      <c r="A829" t="s">
        <v>6451</v>
      </c>
      <c r="B829" t="s">
        <v>14</v>
      </c>
      <c r="C829">
        <v>3499.95</v>
      </c>
      <c r="D829">
        <v>3499.95</v>
      </c>
      <c r="E829">
        <v>3411</v>
      </c>
      <c r="F829">
        <v>3445.15</v>
      </c>
      <c r="G829">
        <v>3411</v>
      </c>
      <c r="H829">
        <v>3499.95</v>
      </c>
      <c r="I829">
        <v>42</v>
      </c>
      <c r="J829">
        <v>144812.1</v>
      </c>
      <c r="K829" s="1">
        <v>43777</v>
      </c>
      <c r="L829">
        <v>20</v>
      </c>
      <c r="M829" t="s">
        <v>6450</v>
      </c>
    </row>
    <row r="830" spans="1:13" x14ac:dyDescent="0.25">
      <c r="A830" t="s">
        <v>6449</v>
      </c>
      <c r="B830" t="s">
        <v>14</v>
      </c>
      <c r="C830">
        <v>1292.2</v>
      </c>
      <c r="D830">
        <v>1292.2</v>
      </c>
      <c r="E830">
        <v>1289.9000000000001</v>
      </c>
      <c r="F830">
        <v>1290.7</v>
      </c>
      <c r="G830">
        <v>1290.7</v>
      </c>
      <c r="H830">
        <v>1268.5</v>
      </c>
      <c r="I830">
        <v>110</v>
      </c>
      <c r="J830">
        <v>141958.5</v>
      </c>
      <c r="K830" s="1">
        <v>43777</v>
      </c>
      <c r="L830">
        <v>4</v>
      </c>
      <c r="M830" t="s">
        <v>6448</v>
      </c>
    </row>
    <row r="831" spans="1:13" x14ac:dyDescent="0.25">
      <c r="A831" t="s">
        <v>2474</v>
      </c>
      <c r="B831" t="s">
        <v>14</v>
      </c>
      <c r="C831">
        <v>32.950000000000003</v>
      </c>
      <c r="D831">
        <v>33.1</v>
      </c>
      <c r="E831">
        <v>31</v>
      </c>
      <c r="F831">
        <v>33.1</v>
      </c>
      <c r="G831">
        <v>33.1</v>
      </c>
      <c r="H831">
        <v>31.55</v>
      </c>
      <c r="I831">
        <v>12622</v>
      </c>
      <c r="J831">
        <v>407423.65</v>
      </c>
      <c r="K831" s="1">
        <v>43777</v>
      </c>
      <c r="L831">
        <v>392</v>
      </c>
      <c r="M831" t="s">
        <v>2476</v>
      </c>
    </row>
    <row r="832" spans="1:13" x14ac:dyDescent="0.25">
      <c r="A832" t="s">
        <v>2477</v>
      </c>
      <c r="B832" t="s">
        <v>14</v>
      </c>
      <c r="C832">
        <v>31</v>
      </c>
      <c r="D832">
        <v>31.9</v>
      </c>
      <c r="E832">
        <v>30.6</v>
      </c>
      <c r="F832">
        <v>31.3</v>
      </c>
      <c r="G832">
        <v>31.45</v>
      </c>
      <c r="H832">
        <v>31.15</v>
      </c>
      <c r="I832">
        <v>658336</v>
      </c>
      <c r="J832">
        <v>20651705.649999999</v>
      </c>
      <c r="K832" s="1">
        <v>43777</v>
      </c>
      <c r="L832">
        <v>3243</v>
      </c>
      <c r="M832" t="s">
        <v>2479</v>
      </c>
    </row>
    <row r="833" spans="1:13" x14ac:dyDescent="0.25">
      <c r="A833" t="s">
        <v>2480</v>
      </c>
      <c r="B833" t="s">
        <v>14</v>
      </c>
      <c r="C833">
        <v>54</v>
      </c>
      <c r="D833">
        <v>55.1</v>
      </c>
      <c r="E833">
        <v>53.6</v>
      </c>
      <c r="F833">
        <v>54.75</v>
      </c>
      <c r="G833">
        <v>54.8</v>
      </c>
      <c r="H833">
        <v>54.25</v>
      </c>
      <c r="I833">
        <v>300336</v>
      </c>
      <c r="J833">
        <v>16467531.9</v>
      </c>
      <c r="K833" s="1">
        <v>43777</v>
      </c>
      <c r="L833">
        <v>4418</v>
      </c>
      <c r="M833" t="s">
        <v>2482</v>
      </c>
    </row>
    <row r="834" spans="1:13" x14ac:dyDescent="0.25">
      <c r="A834" t="s">
        <v>2483</v>
      </c>
      <c r="B834" t="s">
        <v>14</v>
      </c>
      <c r="C834">
        <v>27</v>
      </c>
      <c r="D834">
        <v>28.45</v>
      </c>
      <c r="E834">
        <v>26.45</v>
      </c>
      <c r="F834">
        <v>27.45</v>
      </c>
      <c r="G834">
        <v>27.2</v>
      </c>
      <c r="H834">
        <v>27.65</v>
      </c>
      <c r="I834">
        <v>12986</v>
      </c>
      <c r="J834">
        <v>361179.4</v>
      </c>
      <c r="K834" s="1">
        <v>43777</v>
      </c>
      <c r="L834">
        <v>174</v>
      </c>
      <c r="M834" t="s">
        <v>2485</v>
      </c>
    </row>
    <row r="835" spans="1:13" x14ac:dyDescent="0.25">
      <c r="A835" t="s">
        <v>2486</v>
      </c>
      <c r="B835" t="s">
        <v>14</v>
      </c>
      <c r="C835">
        <v>20.45</v>
      </c>
      <c r="D835">
        <v>20.45</v>
      </c>
      <c r="E835">
        <v>19.600000000000001</v>
      </c>
      <c r="F835">
        <v>19.95</v>
      </c>
      <c r="G835">
        <v>19.95</v>
      </c>
      <c r="H835">
        <v>20.45</v>
      </c>
      <c r="I835">
        <v>2743</v>
      </c>
      <c r="J835">
        <v>55266.85</v>
      </c>
      <c r="K835" s="1">
        <v>43777</v>
      </c>
      <c r="L835">
        <v>22</v>
      </c>
      <c r="M835" t="s">
        <v>2488</v>
      </c>
    </row>
    <row r="836" spans="1:13" x14ac:dyDescent="0.25">
      <c r="A836" t="s">
        <v>2489</v>
      </c>
      <c r="B836" t="s">
        <v>14</v>
      </c>
      <c r="C836">
        <v>105</v>
      </c>
      <c r="D836">
        <v>106</v>
      </c>
      <c r="E836">
        <v>100.75</v>
      </c>
      <c r="F836">
        <v>101.15</v>
      </c>
      <c r="G836">
        <v>100.75</v>
      </c>
      <c r="H836">
        <v>105.85</v>
      </c>
      <c r="I836">
        <v>2600737</v>
      </c>
      <c r="J836">
        <v>269269448.39999998</v>
      </c>
      <c r="K836" s="1">
        <v>43777</v>
      </c>
      <c r="L836">
        <v>19437</v>
      </c>
      <c r="M836" t="s">
        <v>2491</v>
      </c>
    </row>
    <row r="837" spans="1:13" x14ac:dyDescent="0.25">
      <c r="A837" t="s">
        <v>7476</v>
      </c>
      <c r="B837" t="s">
        <v>10</v>
      </c>
      <c r="C837">
        <v>1.8</v>
      </c>
      <c r="D837">
        <v>1.8</v>
      </c>
      <c r="E837">
        <v>1.8</v>
      </c>
      <c r="F837">
        <v>1.8</v>
      </c>
      <c r="G837">
        <v>1.8</v>
      </c>
      <c r="H837">
        <v>1.8</v>
      </c>
      <c r="I837">
        <v>191</v>
      </c>
      <c r="J837">
        <v>343.8</v>
      </c>
      <c r="K837" s="1">
        <v>43777</v>
      </c>
      <c r="L837">
        <v>6</v>
      </c>
      <c r="M837" t="s">
        <v>7475</v>
      </c>
    </row>
    <row r="838" spans="1:13" x14ac:dyDescent="0.25">
      <c r="A838" t="s">
        <v>7474</v>
      </c>
      <c r="B838" t="s">
        <v>5788</v>
      </c>
      <c r="C838">
        <v>182</v>
      </c>
      <c r="D838">
        <v>182</v>
      </c>
      <c r="E838">
        <v>182</v>
      </c>
      <c r="F838">
        <v>182</v>
      </c>
      <c r="G838">
        <v>182</v>
      </c>
      <c r="H838">
        <v>186.5</v>
      </c>
      <c r="I838">
        <v>14400</v>
      </c>
      <c r="J838">
        <v>2620800</v>
      </c>
      <c r="K838" s="1">
        <v>43777</v>
      </c>
      <c r="L838">
        <v>1</v>
      </c>
      <c r="M838" t="s">
        <v>7473</v>
      </c>
    </row>
    <row r="839" spans="1:13" x14ac:dyDescent="0.25">
      <c r="A839" t="s">
        <v>6445</v>
      </c>
      <c r="B839" t="s">
        <v>5788</v>
      </c>
      <c r="C839">
        <v>3.25</v>
      </c>
      <c r="D839">
        <v>3.25</v>
      </c>
      <c r="E839">
        <v>3.25</v>
      </c>
      <c r="F839">
        <v>3.25</v>
      </c>
      <c r="G839">
        <v>3.25</v>
      </c>
      <c r="H839">
        <v>3.4</v>
      </c>
      <c r="I839">
        <v>3000</v>
      </c>
      <c r="J839">
        <v>9750</v>
      </c>
      <c r="K839" s="1">
        <v>43777</v>
      </c>
      <c r="L839">
        <v>1</v>
      </c>
      <c r="M839" t="s">
        <v>6444</v>
      </c>
    </row>
    <row r="840" spans="1:13" x14ac:dyDescent="0.25">
      <c r="A840" t="s">
        <v>2495</v>
      </c>
      <c r="B840" t="s">
        <v>14</v>
      </c>
      <c r="C840">
        <v>44.2</v>
      </c>
      <c r="D840">
        <v>44.7</v>
      </c>
      <c r="E840">
        <v>43.95</v>
      </c>
      <c r="F840">
        <v>44.25</v>
      </c>
      <c r="G840">
        <v>44.1</v>
      </c>
      <c r="H840">
        <v>44.45</v>
      </c>
      <c r="I840">
        <v>842462</v>
      </c>
      <c r="J840">
        <v>37358123.149999999</v>
      </c>
      <c r="K840" s="1">
        <v>43777</v>
      </c>
      <c r="L840">
        <v>2770</v>
      </c>
      <c r="M840" t="s">
        <v>2497</v>
      </c>
    </row>
    <row r="841" spans="1:13" x14ac:dyDescent="0.25">
      <c r="A841" t="s">
        <v>2498</v>
      </c>
      <c r="B841" t="s">
        <v>14</v>
      </c>
      <c r="C841">
        <v>124.15</v>
      </c>
      <c r="D841">
        <v>125.9</v>
      </c>
      <c r="E841">
        <v>120</v>
      </c>
      <c r="F841">
        <v>125.9</v>
      </c>
      <c r="G841">
        <v>125.9</v>
      </c>
      <c r="H841">
        <v>124.15</v>
      </c>
      <c r="I841">
        <v>2891</v>
      </c>
      <c r="J841">
        <v>358927.65</v>
      </c>
      <c r="K841" s="1">
        <v>43777</v>
      </c>
      <c r="L841">
        <v>27</v>
      </c>
      <c r="M841" t="s">
        <v>2500</v>
      </c>
    </row>
    <row r="842" spans="1:13" x14ac:dyDescent="0.25">
      <c r="A842" t="s">
        <v>2501</v>
      </c>
      <c r="B842" t="s">
        <v>14</v>
      </c>
      <c r="C842">
        <v>133.5</v>
      </c>
      <c r="D842">
        <v>135.9</v>
      </c>
      <c r="E842">
        <v>132.35</v>
      </c>
      <c r="F842">
        <v>133.15</v>
      </c>
      <c r="G842">
        <v>132.94999999999999</v>
      </c>
      <c r="H842">
        <v>134.19999999999999</v>
      </c>
      <c r="I842">
        <v>3709</v>
      </c>
      <c r="J842">
        <v>496401.9</v>
      </c>
      <c r="K842" s="1">
        <v>43777</v>
      </c>
      <c r="L842">
        <v>217</v>
      </c>
      <c r="M842" t="s">
        <v>2503</v>
      </c>
    </row>
    <row r="843" spans="1:13" x14ac:dyDescent="0.25">
      <c r="A843" t="s">
        <v>2504</v>
      </c>
      <c r="B843" t="s">
        <v>14</v>
      </c>
      <c r="C843">
        <v>213</v>
      </c>
      <c r="D843">
        <v>221.5</v>
      </c>
      <c r="E843">
        <v>209.7</v>
      </c>
      <c r="F843">
        <v>212.05</v>
      </c>
      <c r="G843">
        <v>212</v>
      </c>
      <c r="H843">
        <v>213.7</v>
      </c>
      <c r="I843">
        <v>265084</v>
      </c>
      <c r="J843">
        <v>57066297.600000001</v>
      </c>
      <c r="K843" s="1">
        <v>43777</v>
      </c>
      <c r="L843">
        <v>4330</v>
      </c>
      <c r="M843" t="s">
        <v>7472</v>
      </c>
    </row>
    <row r="844" spans="1:13" x14ac:dyDescent="0.25">
      <c r="A844" t="s">
        <v>2507</v>
      </c>
      <c r="B844" t="s">
        <v>14</v>
      </c>
      <c r="C844">
        <v>4</v>
      </c>
      <c r="D844">
        <v>4.0999999999999996</v>
      </c>
      <c r="E844">
        <v>3.8</v>
      </c>
      <c r="F844">
        <v>4.05</v>
      </c>
      <c r="G844">
        <v>4.05</v>
      </c>
      <c r="H844">
        <v>4</v>
      </c>
      <c r="I844">
        <v>41425</v>
      </c>
      <c r="J844">
        <v>165047.15</v>
      </c>
      <c r="K844" s="1">
        <v>43777</v>
      </c>
      <c r="L844">
        <v>44</v>
      </c>
      <c r="M844" t="s">
        <v>2509</v>
      </c>
    </row>
    <row r="845" spans="1:13" x14ac:dyDescent="0.25">
      <c r="A845" t="s">
        <v>2510</v>
      </c>
      <c r="B845" t="s">
        <v>14</v>
      </c>
      <c r="C845">
        <v>48.95</v>
      </c>
      <c r="D845">
        <v>50.4</v>
      </c>
      <c r="E845">
        <v>48.6</v>
      </c>
      <c r="F845">
        <v>49.5</v>
      </c>
      <c r="G845">
        <v>49.6</v>
      </c>
      <c r="H845">
        <v>49.3</v>
      </c>
      <c r="I845">
        <v>57866</v>
      </c>
      <c r="J845">
        <v>2864900.2</v>
      </c>
      <c r="K845" s="1">
        <v>43777</v>
      </c>
      <c r="L845">
        <v>826</v>
      </c>
      <c r="M845" t="s">
        <v>2512</v>
      </c>
    </row>
    <row r="846" spans="1:13" x14ac:dyDescent="0.25">
      <c r="A846" t="s">
        <v>2513</v>
      </c>
      <c r="B846" t="s">
        <v>14</v>
      </c>
      <c r="C846">
        <v>383</v>
      </c>
      <c r="D846">
        <v>389.9</v>
      </c>
      <c r="E846">
        <v>378.45</v>
      </c>
      <c r="F846">
        <v>385.35</v>
      </c>
      <c r="G846">
        <v>386.5</v>
      </c>
      <c r="H846">
        <v>381.5</v>
      </c>
      <c r="I846">
        <v>131728</v>
      </c>
      <c r="J846">
        <v>50394661.700000003</v>
      </c>
      <c r="K846" s="1">
        <v>43777</v>
      </c>
      <c r="L846">
        <v>5247</v>
      </c>
      <c r="M846" t="s">
        <v>7471</v>
      </c>
    </row>
    <row r="847" spans="1:13" x14ac:dyDescent="0.25">
      <c r="A847" t="s">
        <v>7470</v>
      </c>
      <c r="B847" t="s">
        <v>14</v>
      </c>
      <c r="C847">
        <v>7.5</v>
      </c>
      <c r="D847">
        <v>7.5</v>
      </c>
      <c r="E847">
        <v>7.1</v>
      </c>
      <c r="F847">
        <v>7.1</v>
      </c>
      <c r="G847">
        <v>7.1</v>
      </c>
      <c r="H847">
        <v>7.45</v>
      </c>
      <c r="I847">
        <v>32447</v>
      </c>
      <c r="J847">
        <v>233699.7</v>
      </c>
      <c r="K847" s="1">
        <v>43777</v>
      </c>
      <c r="L847">
        <v>90</v>
      </c>
      <c r="M847" t="s">
        <v>7469</v>
      </c>
    </row>
    <row r="848" spans="1:13" x14ac:dyDescent="0.25">
      <c r="A848" t="s">
        <v>2516</v>
      </c>
      <c r="B848" t="s">
        <v>14</v>
      </c>
      <c r="C848">
        <v>225.1</v>
      </c>
      <c r="D848">
        <v>232.7</v>
      </c>
      <c r="E848">
        <v>222.1</v>
      </c>
      <c r="F848">
        <v>224.05</v>
      </c>
      <c r="G848">
        <v>224.25</v>
      </c>
      <c r="H848">
        <v>229.65</v>
      </c>
      <c r="I848">
        <v>39741</v>
      </c>
      <c r="J848">
        <v>9071131.25</v>
      </c>
      <c r="K848" s="1">
        <v>43777</v>
      </c>
      <c r="L848">
        <v>1452</v>
      </c>
      <c r="M848" t="s">
        <v>7468</v>
      </c>
    </row>
    <row r="849" spans="1:13" x14ac:dyDescent="0.25">
      <c r="A849" t="s">
        <v>2519</v>
      </c>
      <c r="B849" t="s">
        <v>14</v>
      </c>
      <c r="C849">
        <v>1991.05</v>
      </c>
      <c r="D849">
        <v>2033.95</v>
      </c>
      <c r="E849">
        <v>1970.2</v>
      </c>
      <c r="F849">
        <v>1989.7</v>
      </c>
      <c r="G849">
        <v>1983</v>
      </c>
      <c r="H849">
        <v>1997.25</v>
      </c>
      <c r="I849">
        <v>1564</v>
      </c>
      <c r="J849">
        <v>3114770.05</v>
      </c>
      <c r="K849" s="1">
        <v>43777</v>
      </c>
      <c r="L849">
        <v>257</v>
      </c>
      <c r="M849" t="s">
        <v>2521</v>
      </c>
    </row>
    <row r="850" spans="1:13" x14ac:dyDescent="0.25">
      <c r="A850" t="s">
        <v>2522</v>
      </c>
      <c r="B850" t="s">
        <v>786</v>
      </c>
      <c r="C850">
        <v>23.1</v>
      </c>
      <c r="D850">
        <v>23.1</v>
      </c>
      <c r="E850">
        <v>23.1</v>
      </c>
      <c r="F850">
        <v>23.1</v>
      </c>
      <c r="G850">
        <v>23.1</v>
      </c>
      <c r="H850">
        <v>24.3</v>
      </c>
      <c r="I850">
        <v>41372</v>
      </c>
      <c r="J850">
        <v>955693.2</v>
      </c>
      <c r="K850" s="1">
        <v>43777</v>
      </c>
      <c r="L850">
        <v>396</v>
      </c>
      <c r="M850" t="s">
        <v>2524</v>
      </c>
    </row>
    <row r="851" spans="1:13" x14ac:dyDescent="0.25">
      <c r="A851" t="s">
        <v>2528</v>
      </c>
      <c r="B851" t="s">
        <v>14</v>
      </c>
      <c r="C851">
        <v>17.95</v>
      </c>
      <c r="D851">
        <v>18.600000000000001</v>
      </c>
      <c r="E851">
        <v>17.45</v>
      </c>
      <c r="F851">
        <v>18</v>
      </c>
      <c r="G851">
        <v>17.899999999999999</v>
      </c>
      <c r="H851">
        <v>18.05</v>
      </c>
      <c r="I851">
        <v>29595</v>
      </c>
      <c r="J851">
        <v>536341.80000000005</v>
      </c>
      <c r="K851" s="1">
        <v>43777</v>
      </c>
      <c r="L851">
        <v>445</v>
      </c>
      <c r="M851" t="s">
        <v>2530</v>
      </c>
    </row>
    <row r="852" spans="1:13" x14ac:dyDescent="0.25">
      <c r="A852" t="s">
        <v>7467</v>
      </c>
      <c r="B852" t="s">
        <v>10</v>
      </c>
      <c r="C852">
        <v>0.4</v>
      </c>
      <c r="D852">
        <v>0.4</v>
      </c>
      <c r="E852">
        <v>0.3</v>
      </c>
      <c r="F852">
        <v>0.3</v>
      </c>
      <c r="G852">
        <v>0.3</v>
      </c>
      <c r="H852">
        <v>0.35</v>
      </c>
      <c r="I852">
        <v>23546</v>
      </c>
      <c r="J852">
        <v>9187.1</v>
      </c>
      <c r="K852" s="1">
        <v>43777</v>
      </c>
      <c r="L852">
        <v>23</v>
      </c>
      <c r="M852" t="s">
        <v>7466</v>
      </c>
    </row>
    <row r="853" spans="1:13" x14ac:dyDescent="0.25">
      <c r="A853" t="s">
        <v>2531</v>
      </c>
      <c r="B853" t="s">
        <v>10</v>
      </c>
      <c r="C853">
        <v>13.5</v>
      </c>
      <c r="D853">
        <v>14</v>
      </c>
      <c r="E853">
        <v>12.95</v>
      </c>
      <c r="F853">
        <v>13.95</v>
      </c>
      <c r="G853">
        <v>13.9</v>
      </c>
      <c r="H853">
        <v>13.4</v>
      </c>
      <c r="I853">
        <v>383</v>
      </c>
      <c r="J853">
        <v>5142.8</v>
      </c>
      <c r="K853" s="1">
        <v>43777</v>
      </c>
      <c r="L853">
        <v>12</v>
      </c>
      <c r="M853" t="s">
        <v>2533</v>
      </c>
    </row>
    <row r="854" spans="1:13" x14ac:dyDescent="0.25">
      <c r="A854" t="s">
        <v>2534</v>
      </c>
      <c r="B854" t="s">
        <v>14</v>
      </c>
      <c r="C854">
        <v>225</v>
      </c>
      <c r="D854">
        <v>226.9</v>
      </c>
      <c r="E854">
        <v>223.25</v>
      </c>
      <c r="F854">
        <v>223.9</v>
      </c>
      <c r="G854">
        <v>223.25</v>
      </c>
      <c r="H854">
        <v>226.05</v>
      </c>
      <c r="I854">
        <v>13433</v>
      </c>
      <c r="J854">
        <v>3020398.25</v>
      </c>
      <c r="K854" s="1">
        <v>43777</v>
      </c>
      <c r="L854">
        <v>221</v>
      </c>
      <c r="M854" t="s">
        <v>2536</v>
      </c>
    </row>
    <row r="855" spans="1:13" x14ac:dyDescent="0.25">
      <c r="A855" t="s">
        <v>2537</v>
      </c>
      <c r="B855" t="s">
        <v>14</v>
      </c>
      <c r="C855">
        <v>85.95</v>
      </c>
      <c r="D855">
        <v>89</v>
      </c>
      <c r="E855">
        <v>85.05</v>
      </c>
      <c r="F855">
        <v>85.75</v>
      </c>
      <c r="G855">
        <v>85.55</v>
      </c>
      <c r="H855">
        <v>86</v>
      </c>
      <c r="I855">
        <v>768240</v>
      </c>
      <c r="J855">
        <v>66842244.149999999</v>
      </c>
      <c r="K855" s="1">
        <v>43777</v>
      </c>
      <c r="L855">
        <v>4185</v>
      </c>
      <c r="M855" t="s">
        <v>2539</v>
      </c>
    </row>
    <row r="856" spans="1:13" x14ac:dyDescent="0.25">
      <c r="A856" t="s">
        <v>2540</v>
      </c>
      <c r="B856" t="s">
        <v>14</v>
      </c>
      <c r="C856">
        <v>146.19999999999999</v>
      </c>
      <c r="D856">
        <v>150.4</v>
      </c>
      <c r="E856">
        <v>143.94999999999999</v>
      </c>
      <c r="F856">
        <v>144.55000000000001</v>
      </c>
      <c r="G856">
        <v>144.15</v>
      </c>
      <c r="H856">
        <v>148.6</v>
      </c>
      <c r="I856">
        <v>29259836</v>
      </c>
      <c r="J856">
        <v>4303822925.8500004</v>
      </c>
      <c r="K856" s="1">
        <v>43777</v>
      </c>
      <c r="L856">
        <v>133444</v>
      </c>
      <c r="M856" t="s">
        <v>2542</v>
      </c>
    </row>
    <row r="857" spans="1:13" x14ac:dyDescent="0.25">
      <c r="A857" t="s">
        <v>7465</v>
      </c>
      <c r="B857" t="s">
        <v>10</v>
      </c>
      <c r="C857">
        <v>1.6</v>
      </c>
      <c r="D857">
        <v>1.65</v>
      </c>
      <c r="E857">
        <v>1.6</v>
      </c>
      <c r="F857">
        <v>1.6</v>
      </c>
      <c r="G857">
        <v>1.6</v>
      </c>
      <c r="H857">
        <v>1.6</v>
      </c>
      <c r="I857">
        <v>2250</v>
      </c>
      <c r="J857">
        <v>3620</v>
      </c>
      <c r="K857" s="1">
        <v>43777</v>
      </c>
      <c r="L857">
        <v>7</v>
      </c>
      <c r="M857" t="s">
        <v>7464</v>
      </c>
    </row>
    <row r="858" spans="1:13" x14ac:dyDescent="0.25">
      <c r="A858" t="s">
        <v>2543</v>
      </c>
      <c r="B858" t="s">
        <v>14</v>
      </c>
      <c r="C858">
        <v>82.6</v>
      </c>
      <c r="D858">
        <v>84.95</v>
      </c>
      <c r="E858">
        <v>80.599999999999994</v>
      </c>
      <c r="F858">
        <v>81.5</v>
      </c>
      <c r="G858">
        <v>81.349999999999994</v>
      </c>
      <c r="H858">
        <v>82.2</v>
      </c>
      <c r="I858">
        <v>21027</v>
      </c>
      <c r="J858">
        <v>1734136</v>
      </c>
      <c r="K858" s="1">
        <v>43777</v>
      </c>
      <c r="L858">
        <v>752</v>
      </c>
      <c r="M858" t="s">
        <v>2545</v>
      </c>
    </row>
    <row r="859" spans="1:13" x14ac:dyDescent="0.25">
      <c r="A859" t="s">
        <v>2546</v>
      </c>
      <c r="B859" t="s">
        <v>14</v>
      </c>
      <c r="C859">
        <v>59.8</v>
      </c>
      <c r="D859">
        <v>59.8</v>
      </c>
      <c r="E859">
        <v>57</v>
      </c>
      <c r="F859">
        <v>58.4</v>
      </c>
      <c r="G859">
        <v>58.05</v>
      </c>
      <c r="H859">
        <v>59.05</v>
      </c>
      <c r="I859">
        <v>187663</v>
      </c>
      <c r="J859">
        <v>11008212.699999999</v>
      </c>
      <c r="K859" s="1">
        <v>43777</v>
      </c>
      <c r="L859">
        <v>1111</v>
      </c>
      <c r="M859" t="s">
        <v>2548</v>
      </c>
    </row>
    <row r="860" spans="1:13" x14ac:dyDescent="0.25">
      <c r="A860" t="s">
        <v>2552</v>
      </c>
      <c r="B860" t="s">
        <v>14</v>
      </c>
      <c r="C860">
        <v>11.8</v>
      </c>
      <c r="D860">
        <v>11.8</v>
      </c>
      <c r="E860">
        <v>11</v>
      </c>
      <c r="F860">
        <v>11.15</v>
      </c>
      <c r="G860">
        <v>11.5</v>
      </c>
      <c r="H860">
        <v>11.25</v>
      </c>
      <c r="I860">
        <v>35932</v>
      </c>
      <c r="J860">
        <v>406467.35</v>
      </c>
      <c r="K860" s="1">
        <v>43777</v>
      </c>
      <c r="L860">
        <v>458</v>
      </c>
      <c r="M860" t="s">
        <v>2554</v>
      </c>
    </row>
    <row r="861" spans="1:13" x14ac:dyDescent="0.25">
      <c r="A861" t="s">
        <v>2555</v>
      </c>
      <c r="B861" t="s">
        <v>14</v>
      </c>
      <c r="C861">
        <v>15.3</v>
      </c>
      <c r="D861">
        <v>15.7</v>
      </c>
      <c r="E861">
        <v>14.9</v>
      </c>
      <c r="F861">
        <v>15</v>
      </c>
      <c r="G861">
        <v>15.15</v>
      </c>
      <c r="H861">
        <v>15.3</v>
      </c>
      <c r="I861">
        <v>949272</v>
      </c>
      <c r="J861">
        <v>14457587.800000001</v>
      </c>
      <c r="K861" s="1">
        <v>43777</v>
      </c>
      <c r="L861">
        <v>3083</v>
      </c>
      <c r="M861" t="s">
        <v>2556</v>
      </c>
    </row>
    <row r="862" spans="1:13" x14ac:dyDescent="0.25">
      <c r="A862" t="s">
        <v>2557</v>
      </c>
      <c r="B862" t="s">
        <v>10</v>
      </c>
      <c r="C862">
        <v>6.5</v>
      </c>
      <c r="D862">
        <v>6.7</v>
      </c>
      <c r="E862">
        <v>6.5</v>
      </c>
      <c r="F862">
        <v>6.6</v>
      </c>
      <c r="G862">
        <v>6.7</v>
      </c>
      <c r="H862">
        <v>6.8</v>
      </c>
      <c r="I862">
        <v>11505</v>
      </c>
      <c r="J862">
        <v>74900.55</v>
      </c>
      <c r="K862" s="1">
        <v>43777</v>
      </c>
      <c r="L862">
        <v>66</v>
      </c>
      <c r="M862" t="s">
        <v>2559</v>
      </c>
    </row>
    <row r="863" spans="1:13" x14ac:dyDescent="0.25">
      <c r="A863" t="s">
        <v>7463</v>
      </c>
      <c r="B863" t="s">
        <v>14</v>
      </c>
      <c r="C863">
        <v>40</v>
      </c>
      <c r="D863">
        <v>41.65</v>
      </c>
      <c r="E863">
        <v>39.200000000000003</v>
      </c>
      <c r="F863">
        <v>39.5</v>
      </c>
      <c r="G863">
        <v>39.9</v>
      </c>
      <c r="H863">
        <v>39.25</v>
      </c>
      <c r="I863">
        <v>193149</v>
      </c>
      <c r="J863">
        <v>7666090.5</v>
      </c>
      <c r="K863" s="1">
        <v>43777</v>
      </c>
      <c r="L863">
        <v>763</v>
      </c>
      <c r="M863" t="s">
        <v>7462</v>
      </c>
    </row>
    <row r="864" spans="1:13" x14ac:dyDescent="0.25">
      <c r="A864" t="s">
        <v>2560</v>
      </c>
      <c r="B864" t="s">
        <v>14</v>
      </c>
      <c r="C864">
        <v>1179.95</v>
      </c>
      <c r="D864">
        <v>1198</v>
      </c>
      <c r="E864">
        <v>1165.05</v>
      </c>
      <c r="F864">
        <v>1182.75</v>
      </c>
      <c r="G864">
        <v>1178.0999999999999</v>
      </c>
      <c r="H864">
        <v>1163.05</v>
      </c>
      <c r="I864">
        <v>87907</v>
      </c>
      <c r="J864">
        <v>103848306</v>
      </c>
      <c r="K864" s="1">
        <v>43777</v>
      </c>
      <c r="L864">
        <v>6802</v>
      </c>
      <c r="M864" t="s">
        <v>2562</v>
      </c>
    </row>
    <row r="865" spans="1:13" x14ac:dyDescent="0.25">
      <c r="A865" t="s">
        <v>2563</v>
      </c>
      <c r="B865" t="s">
        <v>14</v>
      </c>
      <c r="C865">
        <v>159.35</v>
      </c>
      <c r="D865">
        <v>162</v>
      </c>
      <c r="E865">
        <v>157.6</v>
      </c>
      <c r="F865">
        <v>158.19999999999999</v>
      </c>
      <c r="G865">
        <v>158.9</v>
      </c>
      <c r="H865">
        <v>158</v>
      </c>
      <c r="I865">
        <v>306567</v>
      </c>
      <c r="J865">
        <v>48979051.850000001</v>
      </c>
      <c r="K865" s="1">
        <v>43777</v>
      </c>
      <c r="L865">
        <v>3028</v>
      </c>
      <c r="M865" t="s">
        <v>2565</v>
      </c>
    </row>
    <row r="866" spans="1:13" x14ac:dyDescent="0.25">
      <c r="A866" t="s">
        <v>2566</v>
      </c>
      <c r="B866" t="s">
        <v>14</v>
      </c>
      <c r="C866">
        <v>311</v>
      </c>
      <c r="D866">
        <v>312.10000000000002</v>
      </c>
      <c r="E866">
        <v>303.14999999999998</v>
      </c>
      <c r="F866">
        <v>305.89999999999998</v>
      </c>
      <c r="G866">
        <v>306.2</v>
      </c>
      <c r="H866">
        <v>308.55</v>
      </c>
      <c r="I866">
        <v>63530</v>
      </c>
      <c r="J866">
        <v>19663999.649999999</v>
      </c>
      <c r="K866" s="1">
        <v>43777</v>
      </c>
      <c r="L866">
        <v>1607</v>
      </c>
      <c r="M866" t="s">
        <v>2568</v>
      </c>
    </row>
    <row r="867" spans="1:13" x14ac:dyDescent="0.25">
      <c r="A867" t="s">
        <v>2569</v>
      </c>
      <c r="B867" t="s">
        <v>14</v>
      </c>
      <c r="C867">
        <v>117.85</v>
      </c>
      <c r="D867">
        <v>119.85</v>
      </c>
      <c r="E867">
        <v>117</v>
      </c>
      <c r="F867">
        <v>117.1</v>
      </c>
      <c r="G867">
        <v>117.2</v>
      </c>
      <c r="H867">
        <v>118.85</v>
      </c>
      <c r="I867">
        <v>460796</v>
      </c>
      <c r="J867">
        <v>54502218.799999997</v>
      </c>
      <c r="K867" s="1">
        <v>43777</v>
      </c>
      <c r="L867">
        <v>5809</v>
      </c>
      <c r="M867" t="s">
        <v>2571</v>
      </c>
    </row>
    <row r="868" spans="1:13" x14ac:dyDescent="0.25">
      <c r="A868" t="s">
        <v>2572</v>
      </c>
      <c r="B868" t="s">
        <v>14</v>
      </c>
      <c r="C868">
        <v>71.5</v>
      </c>
      <c r="D868">
        <v>72.2</v>
      </c>
      <c r="E868">
        <v>70.349999999999994</v>
      </c>
      <c r="F868">
        <v>70.55</v>
      </c>
      <c r="G868">
        <v>70.5</v>
      </c>
      <c r="H868">
        <v>71.5</v>
      </c>
      <c r="I868">
        <v>482657</v>
      </c>
      <c r="J868">
        <v>34289905.899999999</v>
      </c>
      <c r="K868" s="1">
        <v>43777</v>
      </c>
      <c r="L868">
        <v>3588</v>
      </c>
      <c r="M868" t="s">
        <v>2574</v>
      </c>
    </row>
    <row r="869" spans="1:13" x14ac:dyDescent="0.25">
      <c r="A869" t="s">
        <v>2578</v>
      </c>
      <c r="B869" t="s">
        <v>14</v>
      </c>
      <c r="C869">
        <v>24</v>
      </c>
      <c r="D869">
        <v>25.25</v>
      </c>
      <c r="E869">
        <v>23.55</v>
      </c>
      <c r="F869">
        <v>23.85</v>
      </c>
      <c r="G869">
        <v>23.85</v>
      </c>
      <c r="H869">
        <v>24.15</v>
      </c>
      <c r="I869">
        <v>1988</v>
      </c>
      <c r="J869">
        <v>47434.3</v>
      </c>
      <c r="K869" s="1">
        <v>43777</v>
      </c>
      <c r="L869">
        <v>39</v>
      </c>
      <c r="M869" t="s">
        <v>2580</v>
      </c>
    </row>
    <row r="870" spans="1:13" x14ac:dyDescent="0.25">
      <c r="A870" t="s">
        <v>7461</v>
      </c>
      <c r="B870" t="s">
        <v>14</v>
      </c>
      <c r="C870">
        <v>112</v>
      </c>
      <c r="D870">
        <v>117</v>
      </c>
      <c r="E870">
        <v>112</v>
      </c>
      <c r="F870">
        <v>113.05</v>
      </c>
      <c r="G870">
        <v>113.75</v>
      </c>
      <c r="H870">
        <v>111.65</v>
      </c>
      <c r="I870">
        <v>106793</v>
      </c>
      <c r="J870">
        <v>12187237.25</v>
      </c>
      <c r="K870" s="1">
        <v>43777</v>
      </c>
      <c r="L870">
        <v>1933</v>
      </c>
      <c r="M870" t="s">
        <v>7460</v>
      </c>
    </row>
    <row r="871" spans="1:13" x14ac:dyDescent="0.25">
      <c r="A871" t="s">
        <v>2581</v>
      </c>
      <c r="B871" t="s">
        <v>14</v>
      </c>
      <c r="C871">
        <v>88.85</v>
      </c>
      <c r="D871">
        <v>89.9</v>
      </c>
      <c r="E871">
        <v>86.9</v>
      </c>
      <c r="F871">
        <v>87.7</v>
      </c>
      <c r="G871">
        <v>89.4</v>
      </c>
      <c r="H871">
        <v>89.55</v>
      </c>
      <c r="I871">
        <v>1677520</v>
      </c>
      <c r="J871">
        <v>148430662.65000001</v>
      </c>
      <c r="K871" s="1">
        <v>43777</v>
      </c>
      <c r="L871">
        <v>13986</v>
      </c>
      <c r="M871" t="s">
        <v>2583</v>
      </c>
    </row>
    <row r="872" spans="1:13" x14ac:dyDescent="0.25">
      <c r="A872" t="s">
        <v>7459</v>
      </c>
      <c r="B872" t="s">
        <v>14</v>
      </c>
      <c r="C872">
        <v>1.4</v>
      </c>
      <c r="D872">
        <v>1.4</v>
      </c>
      <c r="E872">
        <v>1.35</v>
      </c>
      <c r="F872">
        <v>1.4</v>
      </c>
      <c r="G872">
        <v>1.4</v>
      </c>
      <c r="H872">
        <v>1.35</v>
      </c>
      <c r="I872">
        <v>170048</v>
      </c>
      <c r="J872">
        <v>237621.65</v>
      </c>
      <c r="K872" s="1">
        <v>43777</v>
      </c>
      <c r="L872">
        <v>59</v>
      </c>
      <c r="M872" t="s">
        <v>7458</v>
      </c>
    </row>
    <row r="873" spans="1:13" x14ac:dyDescent="0.25">
      <c r="A873" t="s">
        <v>2584</v>
      </c>
      <c r="B873" t="s">
        <v>14</v>
      </c>
      <c r="C873">
        <v>110.65</v>
      </c>
      <c r="D873">
        <v>110.65</v>
      </c>
      <c r="E873">
        <v>102</v>
      </c>
      <c r="F873">
        <v>104.35</v>
      </c>
      <c r="G873">
        <v>102.15</v>
      </c>
      <c r="H873">
        <v>103.9</v>
      </c>
      <c r="I873">
        <v>1352</v>
      </c>
      <c r="J873">
        <v>142143.45000000001</v>
      </c>
      <c r="K873" s="1">
        <v>43777</v>
      </c>
      <c r="L873">
        <v>62</v>
      </c>
      <c r="M873" t="s">
        <v>2586</v>
      </c>
    </row>
    <row r="874" spans="1:13" x14ac:dyDescent="0.25">
      <c r="A874" t="s">
        <v>2587</v>
      </c>
      <c r="B874" t="s">
        <v>14</v>
      </c>
      <c r="C874">
        <v>2.25</v>
      </c>
      <c r="D874">
        <v>2.25</v>
      </c>
      <c r="E874">
        <v>2.1</v>
      </c>
      <c r="F874">
        <v>2.15</v>
      </c>
      <c r="G874">
        <v>2.15</v>
      </c>
      <c r="H874">
        <v>2.25</v>
      </c>
      <c r="I874">
        <v>6403282</v>
      </c>
      <c r="J874">
        <v>13925072.1</v>
      </c>
      <c r="K874" s="1">
        <v>43777</v>
      </c>
      <c r="L874">
        <v>2154</v>
      </c>
      <c r="M874" t="s">
        <v>2589</v>
      </c>
    </row>
    <row r="875" spans="1:13" x14ac:dyDescent="0.25">
      <c r="A875" t="s">
        <v>7457</v>
      </c>
      <c r="B875" t="s">
        <v>14</v>
      </c>
      <c r="C875">
        <v>1.4</v>
      </c>
      <c r="D875">
        <v>1.4</v>
      </c>
      <c r="E875">
        <v>1.35</v>
      </c>
      <c r="F875">
        <v>1.4</v>
      </c>
      <c r="G875">
        <v>1.4</v>
      </c>
      <c r="H875">
        <v>1.35</v>
      </c>
      <c r="I875">
        <v>641551</v>
      </c>
      <c r="J875">
        <v>897182.05</v>
      </c>
      <c r="K875" s="1">
        <v>43777</v>
      </c>
      <c r="L875">
        <v>194</v>
      </c>
      <c r="M875" t="s">
        <v>7456</v>
      </c>
    </row>
    <row r="876" spans="1:13" x14ac:dyDescent="0.25">
      <c r="A876" t="s">
        <v>2590</v>
      </c>
      <c r="B876" t="s">
        <v>14</v>
      </c>
      <c r="C876">
        <v>11.45</v>
      </c>
      <c r="D876">
        <v>11.45</v>
      </c>
      <c r="E876">
        <v>10.8</v>
      </c>
      <c r="F876">
        <v>11.15</v>
      </c>
      <c r="G876">
        <v>11.15</v>
      </c>
      <c r="H876">
        <v>11.15</v>
      </c>
      <c r="I876">
        <v>794</v>
      </c>
      <c r="J876">
        <v>8665.2999999999993</v>
      </c>
      <c r="K876" s="1">
        <v>43777</v>
      </c>
      <c r="L876">
        <v>7</v>
      </c>
      <c r="M876" t="s">
        <v>2592</v>
      </c>
    </row>
    <row r="877" spans="1:13" x14ac:dyDescent="0.25">
      <c r="A877" t="s">
        <v>2593</v>
      </c>
      <c r="B877" t="s">
        <v>14</v>
      </c>
      <c r="C877">
        <v>1.1000000000000001</v>
      </c>
      <c r="D877">
        <v>1.2</v>
      </c>
      <c r="E877">
        <v>1.1000000000000001</v>
      </c>
      <c r="F877">
        <v>1.1000000000000001</v>
      </c>
      <c r="G877">
        <v>1.1499999999999999</v>
      </c>
      <c r="H877">
        <v>1.1499999999999999</v>
      </c>
      <c r="I877">
        <v>3092589</v>
      </c>
      <c r="J877">
        <v>3508501.2</v>
      </c>
      <c r="K877" s="1">
        <v>43777</v>
      </c>
      <c r="L877">
        <v>478</v>
      </c>
      <c r="M877" t="s">
        <v>2595</v>
      </c>
    </row>
    <row r="878" spans="1:13" x14ac:dyDescent="0.25">
      <c r="A878" t="s">
        <v>2596</v>
      </c>
      <c r="B878" t="s">
        <v>14</v>
      </c>
      <c r="C878">
        <v>35.65</v>
      </c>
      <c r="D878">
        <v>36.200000000000003</v>
      </c>
      <c r="E878">
        <v>35</v>
      </c>
      <c r="F878">
        <v>35.25</v>
      </c>
      <c r="G878">
        <v>35.1</v>
      </c>
      <c r="H878">
        <v>36.4</v>
      </c>
      <c r="I878">
        <v>272076</v>
      </c>
      <c r="J878">
        <v>9675625.1999999993</v>
      </c>
      <c r="K878" s="1">
        <v>43777</v>
      </c>
      <c r="L878">
        <v>1637</v>
      </c>
      <c r="M878" t="s">
        <v>2598</v>
      </c>
    </row>
    <row r="879" spans="1:13" x14ac:dyDescent="0.25">
      <c r="A879" t="s">
        <v>7455</v>
      </c>
      <c r="B879" t="s">
        <v>14</v>
      </c>
      <c r="C879">
        <v>69.349999999999994</v>
      </c>
      <c r="D879">
        <v>70.8</v>
      </c>
      <c r="E879">
        <v>68.5</v>
      </c>
      <c r="F879">
        <v>69.05</v>
      </c>
      <c r="G879">
        <v>68.75</v>
      </c>
      <c r="H879">
        <v>69.400000000000006</v>
      </c>
      <c r="I879">
        <v>117058</v>
      </c>
      <c r="J879">
        <v>8170205.75</v>
      </c>
      <c r="K879" s="1">
        <v>43777</v>
      </c>
      <c r="L879">
        <v>4816</v>
      </c>
      <c r="M879" t="s">
        <v>7454</v>
      </c>
    </row>
    <row r="880" spans="1:13" x14ac:dyDescent="0.25">
      <c r="A880" t="s">
        <v>2599</v>
      </c>
      <c r="B880" t="s">
        <v>14</v>
      </c>
      <c r="C880">
        <v>78.25</v>
      </c>
      <c r="D880">
        <v>80</v>
      </c>
      <c r="E880">
        <v>76</v>
      </c>
      <c r="F880">
        <v>76.55</v>
      </c>
      <c r="G880">
        <v>76.650000000000006</v>
      </c>
      <c r="H880">
        <v>78.849999999999994</v>
      </c>
      <c r="I880">
        <v>1409120</v>
      </c>
      <c r="J880">
        <v>110354024.05</v>
      </c>
      <c r="K880" s="1">
        <v>43777</v>
      </c>
      <c r="L880">
        <v>9259</v>
      </c>
      <c r="M880" t="s">
        <v>2601</v>
      </c>
    </row>
    <row r="881" spans="1:13" x14ac:dyDescent="0.25">
      <c r="A881" t="s">
        <v>2602</v>
      </c>
      <c r="B881" t="s">
        <v>14</v>
      </c>
      <c r="C881">
        <v>2629.85</v>
      </c>
      <c r="D881">
        <v>2699</v>
      </c>
      <c r="E881">
        <v>2560</v>
      </c>
      <c r="F881">
        <v>2577.65</v>
      </c>
      <c r="G881">
        <v>2560</v>
      </c>
      <c r="H881">
        <v>2614.0500000000002</v>
      </c>
      <c r="I881">
        <v>3308</v>
      </c>
      <c r="J881">
        <v>8704269.5500000007</v>
      </c>
      <c r="K881" s="1">
        <v>43777</v>
      </c>
      <c r="L881">
        <v>636</v>
      </c>
      <c r="M881" t="s">
        <v>2604</v>
      </c>
    </row>
    <row r="882" spans="1:13" x14ac:dyDescent="0.25">
      <c r="A882" t="s">
        <v>2608</v>
      </c>
      <c r="B882" t="s">
        <v>14</v>
      </c>
      <c r="C882">
        <v>252.75</v>
      </c>
      <c r="D882">
        <v>256.5</v>
      </c>
      <c r="E882">
        <v>248.5</v>
      </c>
      <c r="F882">
        <v>250</v>
      </c>
      <c r="G882">
        <v>249.6</v>
      </c>
      <c r="H882">
        <v>252.65</v>
      </c>
      <c r="I882">
        <v>7150985</v>
      </c>
      <c r="J882">
        <v>1802534280.0999999</v>
      </c>
      <c r="K882" s="1">
        <v>43777</v>
      </c>
      <c r="L882">
        <v>46018</v>
      </c>
      <c r="M882" t="s">
        <v>2610</v>
      </c>
    </row>
    <row r="883" spans="1:13" x14ac:dyDescent="0.25">
      <c r="A883" t="s">
        <v>2608</v>
      </c>
      <c r="B883" t="s">
        <v>7039</v>
      </c>
      <c r="C883">
        <v>2.5</v>
      </c>
      <c r="D883">
        <v>2.5</v>
      </c>
      <c r="E883">
        <v>2.4500000000000002</v>
      </c>
      <c r="F883">
        <v>2.5</v>
      </c>
      <c r="G883">
        <v>2.4500000000000002</v>
      </c>
      <c r="H883">
        <v>2.5</v>
      </c>
      <c r="I883">
        <v>304340</v>
      </c>
      <c r="J883">
        <v>760720.55</v>
      </c>
      <c r="K883" s="1">
        <v>43777</v>
      </c>
      <c r="L883">
        <v>30</v>
      </c>
      <c r="M883" t="s">
        <v>7453</v>
      </c>
    </row>
    <row r="884" spans="1:13" x14ac:dyDescent="0.25">
      <c r="A884" t="s">
        <v>2611</v>
      </c>
      <c r="B884" t="s">
        <v>14</v>
      </c>
      <c r="C884">
        <v>89.4</v>
      </c>
      <c r="D884">
        <v>89.4</v>
      </c>
      <c r="E884">
        <v>85.5</v>
      </c>
      <c r="F884">
        <v>86.25</v>
      </c>
      <c r="G884">
        <v>86.35</v>
      </c>
      <c r="H884">
        <v>89.2</v>
      </c>
      <c r="I884">
        <v>61330</v>
      </c>
      <c r="J884">
        <v>5355105.3</v>
      </c>
      <c r="K884" s="1">
        <v>43777</v>
      </c>
      <c r="L884">
        <v>1017</v>
      </c>
      <c r="M884" t="s">
        <v>2613</v>
      </c>
    </row>
    <row r="885" spans="1:13" x14ac:dyDescent="0.25">
      <c r="A885" t="s">
        <v>7452</v>
      </c>
      <c r="B885" t="s">
        <v>14</v>
      </c>
      <c r="C885">
        <v>538.5</v>
      </c>
      <c r="D885">
        <v>544.79999999999995</v>
      </c>
      <c r="E885">
        <v>534.15</v>
      </c>
      <c r="F885">
        <v>539.1</v>
      </c>
      <c r="G885">
        <v>536.5</v>
      </c>
      <c r="H885">
        <v>537.25</v>
      </c>
      <c r="I885">
        <v>139826</v>
      </c>
      <c r="J885">
        <v>75404068.25</v>
      </c>
      <c r="K885" s="1">
        <v>43777</v>
      </c>
      <c r="L885">
        <v>6806</v>
      </c>
      <c r="M885" t="s">
        <v>2628</v>
      </c>
    </row>
    <row r="886" spans="1:13" x14ac:dyDescent="0.25">
      <c r="A886" t="s">
        <v>2617</v>
      </c>
      <c r="B886" t="s">
        <v>14</v>
      </c>
      <c r="C886">
        <v>1616.95</v>
      </c>
      <c r="D886">
        <v>1632</v>
      </c>
      <c r="E886">
        <v>1606.95</v>
      </c>
      <c r="F886">
        <v>1614.2</v>
      </c>
      <c r="G886">
        <v>1609</v>
      </c>
      <c r="H886">
        <v>1617.25</v>
      </c>
      <c r="I886">
        <v>935316</v>
      </c>
      <c r="J886">
        <v>1517119810.2</v>
      </c>
      <c r="K886" s="1">
        <v>43777</v>
      </c>
      <c r="L886">
        <v>32437</v>
      </c>
      <c r="M886" t="s">
        <v>7451</v>
      </c>
    </row>
    <row r="887" spans="1:13" x14ac:dyDescent="0.25">
      <c r="A887" t="s">
        <v>2620</v>
      </c>
      <c r="B887" t="s">
        <v>14</v>
      </c>
      <c r="C887">
        <v>110</v>
      </c>
      <c r="D887">
        <v>111.75</v>
      </c>
      <c r="E887">
        <v>105.5</v>
      </c>
      <c r="F887">
        <v>106.65</v>
      </c>
      <c r="G887">
        <v>105.5</v>
      </c>
      <c r="H887">
        <v>111.05</v>
      </c>
      <c r="I887">
        <v>10102</v>
      </c>
      <c r="J887">
        <v>1096096.6000000001</v>
      </c>
      <c r="K887" s="1">
        <v>43777</v>
      </c>
      <c r="L887">
        <v>261</v>
      </c>
      <c r="M887" t="s">
        <v>2622</v>
      </c>
    </row>
    <row r="888" spans="1:13" x14ac:dyDescent="0.25">
      <c r="A888" t="s">
        <v>7450</v>
      </c>
      <c r="B888" t="s">
        <v>14</v>
      </c>
      <c r="C888">
        <v>70.95</v>
      </c>
      <c r="D888">
        <v>71.75</v>
      </c>
      <c r="E888">
        <v>70.25</v>
      </c>
      <c r="F888">
        <v>71.05</v>
      </c>
      <c r="G888">
        <v>71.599999999999994</v>
      </c>
      <c r="H888">
        <v>70.5</v>
      </c>
      <c r="I888">
        <v>170081</v>
      </c>
      <c r="J888">
        <v>12060591.449999999</v>
      </c>
      <c r="K888" s="1">
        <v>43777</v>
      </c>
      <c r="L888">
        <v>705</v>
      </c>
      <c r="M888" t="s">
        <v>7449</v>
      </c>
    </row>
    <row r="889" spans="1:13" x14ac:dyDescent="0.25">
      <c r="A889" t="s">
        <v>6437</v>
      </c>
      <c r="B889" t="s">
        <v>14</v>
      </c>
      <c r="C889">
        <v>296.58999999999997</v>
      </c>
      <c r="D889">
        <v>298.89</v>
      </c>
      <c r="E889">
        <v>293.8</v>
      </c>
      <c r="F889">
        <v>294.33999999999997</v>
      </c>
      <c r="G889">
        <v>294.7</v>
      </c>
      <c r="H889">
        <v>296.58999999999997</v>
      </c>
      <c r="I889">
        <v>160829</v>
      </c>
      <c r="J889">
        <v>47595751.530000001</v>
      </c>
      <c r="K889" s="1">
        <v>43777</v>
      </c>
      <c r="L889">
        <v>1183</v>
      </c>
      <c r="M889" t="s">
        <v>6436</v>
      </c>
    </row>
    <row r="890" spans="1:13" x14ac:dyDescent="0.25">
      <c r="A890" t="s">
        <v>2629</v>
      </c>
      <c r="B890" t="s">
        <v>14</v>
      </c>
      <c r="C890">
        <v>572.9</v>
      </c>
      <c r="D890">
        <v>572.9</v>
      </c>
      <c r="E890">
        <v>546.15</v>
      </c>
      <c r="F890">
        <v>554.1</v>
      </c>
      <c r="G890">
        <v>554.5</v>
      </c>
      <c r="H890">
        <v>569.45000000000005</v>
      </c>
      <c r="I890">
        <v>2428596</v>
      </c>
      <c r="J890">
        <v>1351257639.25</v>
      </c>
      <c r="K890" s="1">
        <v>43777</v>
      </c>
      <c r="L890">
        <v>41546</v>
      </c>
      <c r="M890" t="s">
        <v>2631</v>
      </c>
    </row>
    <row r="891" spans="1:13" x14ac:dyDescent="0.25">
      <c r="A891" t="s">
        <v>7448</v>
      </c>
      <c r="B891" t="s">
        <v>786</v>
      </c>
      <c r="C891">
        <v>0.7</v>
      </c>
      <c r="D891">
        <v>0.7</v>
      </c>
      <c r="E891">
        <v>0.6</v>
      </c>
      <c r="F891">
        <v>0.6</v>
      </c>
      <c r="G891">
        <v>0.6</v>
      </c>
      <c r="H891">
        <v>0.65</v>
      </c>
      <c r="I891">
        <v>74002</v>
      </c>
      <c r="J891">
        <v>47436</v>
      </c>
      <c r="K891" s="1">
        <v>43777</v>
      </c>
      <c r="L891">
        <v>49</v>
      </c>
      <c r="M891" t="s">
        <v>7447</v>
      </c>
    </row>
    <row r="892" spans="1:13" x14ac:dyDescent="0.25">
      <c r="A892" t="s">
        <v>2635</v>
      </c>
      <c r="B892" t="s">
        <v>14</v>
      </c>
      <c r="C892">
        <v>169.9</v>
      </c>
      <c r="D892">
        <v>172</v>
      </c>
      <c r="E892">
        <v>167.5</v>
      </c>
      <c r="F892">
        <v>170.05</v>
      </c>
      <c r="G892">
        <v>169.5</v>
      </c>
      <c r="H892">
        <v>170.7</v>
      </c>
      <c r="I892">
        <v>125034</v>
      </c>
      <c r="J892">
        <v>21206138.850000001</v>
      </c>
      <c r="K892" s="1">
        <v>43777</v>
      </c>
      <c r="L892">
        <v>4750</v>
      </c>
      <c r="M892" t="s">
        <v>2637</v>
      </c>
    </row>
    <row r="893" spans="1:13" x14ac:dyDescent="0.25">
      <c r="A893" t="s">
        <v>2641</v>
      </c>
      <c r="B893" t="s">
        <v>14</v>
      </c>
      <c r="C893">
        <v>70</v>
      </c>
      <c r="D893">
        <v>70.5</v>
      </c>
      <c r="E893">
        <v>67.400000000000006</v>
      </c>
      <c r="F893">
        <v>69.7</v>
      </c>
      <c r="G893">
        <v>70.3</v>
      </c>
      <c r="H893">
        <v>68.900000000000006</v>
      </c>
      <c r="I893">
        <v>25289</v>
      </c>
      <c r="J893">
        <v>1747439.85</v>
      </c>
      <c r="K893" s="1">
        <v>43777</v>
      </c>
      <c r="L893">
        <v>274</v>
      </c>
      <c r="M893" t="s">
        <v>2643</v>
      </c>
    </row>
    <row r="894" spans="1:13" x14ac:dyDescent="0.25">
      <c r="A894" t="s">
        <v>2644</v>
      </c>
      <c r="B894" t="s">
        <v>14</v>
      </c>
      <c r="C894">
        <v>532.54999999999995</v>
      </c>
      <c r="D894">
        <v>536.9</v>
      </c>
      <c r="E894">
        <v>525.1</v>
      </c>
      <c r="F894">
        <v>532</v>
      </c>
      <c r="G894">
        <v>531.15</v>
      </c>
      <c r="H894">
        <v>530</v>
      </c>
      <c r="I894">
        <v>514993</v>
      </c>
      <c r="J894">
        <v>273953171.55000001</v>
      </c>
      <c r="K894" s="1">
        <v>43777</v>
      </c>
      <c r="L894">
        <v>8741</v>
      </c>
      <c r="M894" t="s">
        <v>2646</v>
      </c>
    </row>
    <row r="895" spans="1:13" x14ac:dyDescent="0.25">
      <c r="A895" t="s">
        <v>2647</v>
      </c>
      <c r="B895" t="s">
        <v>14</v>
      </c>
      <c r="C895">
        <v>158.9</v>
      </c>
      <c r="D895">
        <v>159.19999999999999</v>
      </c>
      <c r="E895">
        <v>155.19999999999999</v>
      </c>
      <c r="F895">
        <v>156.80000000000001</v>
      </c>
      <c r="G895">
        <v>156.6</v>
      </c>
      <c r="H895">
        <v>157.19999999999999</v>
      </c>
      <c r="I895">
        <v>6128</v>
      </c>
      <c r="J895">
        <v>962921.75</v>
      </c>
      <c r="K895" s="1">
        <v>43777</v>
      </c>
      <c r="L895">
        <v>341</v>
      </c>
      <c r="M895" t="s">
        <v>2649</v>
      </c>
    </row>
    <row r="896" spans="1:13" x14ac:dyDescent="0.25">
      <c r="A896" t="s">
        <v>7446</v>
      </c>
      <c r="B896" t="s">
        <v>14</v>
      </c>
      <c r="C896">
        <v>440.3</v>
      </c>
      <c r="D896">
        <v>452</v>
      </c>
      <c r="E896">
        <v>440.3</v>
      </c>
      <c r="F896">
        <v>450</v>
      </c>
      <c r="G896">
        <v>451</v>
      </c>
      <c r="H896">
        <v>440.1</v>
      </c>
      <c r="I896">
        <v>444773</v>
      </c>
      <c r="J896">
        <v>198923009.84999999</v>
      </c>
      <c r="K896" s="1">
        <v>43777</v>
      </c>
      <c r="L896">
        <v>23812</v>
      </c>
      <c r="M896" t="s">
        <v>2826</v>
      </c>
    </row>
    <row r="897" spans="1:13" x14ac:dyDescent="0.25">
      <c r="A897" t="s">
        <v>2656</v>
      </c>
      <c r="B897" t="s">
        <v>10</v>
      </c>
      <c r="C897">
        <v>170</v>
      </c>
      <c r="D897">
        <v>170</v>
      </c>
      <c r="E897">
        <v>165</v>
      </c>
      <c r="F897">
        <v>165</v>
      </c>
      <c r="G897">
        <v>165</v>
      </c>
      <c r="H897">
        <v>171.4</v>
      </c>
      <c r="I897">
        <v>112</v>
      </c>
      <c r="J897">
        <v>18547.5</v>
      </c>
      <c r="K897" s="1">
        <v>43777</v>
      </c>
      <c r="L897">
        <v>4</v>
      </c>
      <c r="M897" t="s">
        <v>2658</v>
      </c>
    </row>
    <row r="898" spans="1:13" x14ac:dyDescent="0.25">
      <c r="A898" t="s">
        <v>2662</v>
      </c>
      <c r="B898" t="s">
        <v>14</v>
      </c>
      <c r="C898">
        <v>36.1</v>
      </c>
      <c r="D898">
        <v>37.450000000000003</v>
      </c>
      <c r="E898">
        <v>35.299999999999997</v>
      </c>
      <c r="F898">
        <v>37.049999999999997</v>
      </c>
      <c r="G898">
        <v>37</v>
      </c>
      <c r="H898">
        <v>37.15</v>
      </c>
      <c r="I898">
        <v>25817</v>
      </c>
      <c r="J898">
        <v>956117.85</v>
      </c>
      <c r="K898" s="1">
        <v>43777</v>
      </c>
      <c r="L898">
        <v>313</v>
      </c>
      <c r="M898" t="s">
        <v>2664</v>
      </c>
    </row>
    <row r="899" spans="1:13" x14ac:dyDescent="0.25">
      <c r="A899" t="s">
        <v>2665</v>
      </c>
      <c r="B899" t="s">
        <v>14</v>
      </c>
      <c r="C899">
        <v>108.05</v>
      </c>
      <c r="D899">
        <v>110.75</v>
      </c>
      <c r="E899">
        <v>107</v>
      </c>
      <c r="F899">
        <v>107.75</v>
      </c>
      <c r="G899">
        <v>107.5</v>
      </c>
      <c r="H899">
        <v>107.55</v>
      </c>
      <c r="I899">
        <v>5194</v>
      </c>
      <c r="J899">
        <v>565081.75</v>
      </c>
      <c r="K899" s="1">
        <v>43777</v>
      </c>
      <c r="L899">
        <v>159</v>
      </c>
      <c r="M899" t="s">
        <v>2667</v>
      </c>
    </row>
    <row r="900" spans="1:13" x14ac:dyDescent="0.25">
      <c r="A900" t="s">
        <v>2671</v>
      </c>
      <c r="B900" t="s">
        <v>14</v>
      </c>
      <c r="C900">
        <v>2.75</v>
      </c>
      <c r="D900">
        <v>3</v>
      </c>
      <c r="E900">
        <v>2.75</v>
      </c>
      <c r="F900">
        <v>2.75</v>
      </c>
      <c r="G900">
        <v>2.75</v>
      </c>
      <c r="H900">
        <v>2.95</v>
      </c>
      <c r="I900">
        <v>7001</v>
      </c>
      <c r="J900">
        <v>20119</v>
      </c>
      <c r="K900" s="1">
        <v>43777</v>
      </c>
      <c r="L900">
        <v>19</v>
      </c>
      <c r="M900" t="s">
        <v>2673</v>
      </c>
    </row>
    <row r="901" spans="1:13" x14ac:dyDescent="0.25">
      <c r="A901" t="s">
        <v>2674</v>
      </c>
      <c r="B901" t="s">
        <v>14</v>
      </c>
      <c r="C901">
        <v>43.6</v>
      </c>
      <c r="D901">
        <v>44.9</v>
      </c>
      <c r="E901">
        <v>43.2</v>
      </c>
      <c r="F901">
        <v>44.3</v>
      </c>
      <c r="G901">
        <v>44.25</v>
      </c>
      <c r="H901">
        <v>43.7</v>
      </c>
      <c r="I901">
        <v>11819</v>
      </c>
      <c r="J901">
        <v>522649.2</v>
      </c>
      <c r="K901" s="1">
        <v>43777</v>
      </c>
      <c r="L901">
        <v>144</v>
      </c>
      <c r="M901" t="s">
        <v>2676</v>
      </c>
    </row>
    <row r="902" spans="1:13" x14ac:dyDescent="0.25">
      <c r="A902" t="s">
        <v>2680</v>
      </c>
      <c r="B902" t="s">
        <v>14</v>
      </c>
      <c r="C902">
        <v>528</v>
      </c>
      <c r="D902">
        <v>531.5</v>
      </c>
      <c r="E902">
        <v>524</v>
      </c>
      <c r="F902">
        <v>528.5</v>
      </c>
      <c r="G902">
        <v>528.79999999999995</v>
      </c>
      <c r="H902">
        <v>534.5</v>
      </c>
      <c r="I902">
        <v>139653</v>
      </c>
      <c r="J902">
        <v>73631028.599999994</v>
      </c>
      <c r="K902" s="1">
        <v>43777</v>
      </c>
      <c r="L902">
        <v>3416</v>
      </c>
      <c r="M902" t="s">
        <v>2682</v>
      </c>
    </row>
    <row r="903" spans="1:13" x14ac:dyDescent="0.25">
      <c r="A903" t="s">
        <v>2683</v>
      </c>
      <c r="B903" t="s">
        <v>5788</v>
      </c>
      <c r="C903">
        <v>96</v>
      </c>
      <c r="D903">
        <v>96</v>
      </c>
      <c r="E903">
        <v>96</v>
      </c>
      <c r="F903">
        <v>96</v>
      </c>
      <c r="G903">
        <v>96</v>
      </c>
      <c r="H903">
        <v>96</v>
      </c>
      <c r="I903">
        <v>4800</v>
      </c>
      <c r="J903">
        <v>460800</v>
      </c>
      <c r="K903" s="1">
        <v>43777</v>
      </c>
      <c r="L903">
        <v>4</v>
      </c>
      <c r="M903" t="s">
        <v>2685</v>
      </c>
    </row>
    <row r="904" spans="1:13" x14ac:dyDescent="0.25">
      <c r="A904" t="s">
        <v>7445</v>
      </c>
      <c r="B904" t="s">
        <v>14</v>
      </c>
      <c r="C904">
        <v>160</v>
      </c>
      <c r="D904">
        <v>164.35</v>
      </c>
      <c r="E904">
        <v>156.35</v>
      </c>
      <c r="F904">
        <v>158.9</v>
      </c>
      <c r="G904">
        <v>159.94999999999999</v>
      </c>
      <c r="H904">
        <v>161.1</v>
      </c>
      <c r="I904">
        <v>65306</v>
      </c>
      <c r="J904">
        <v>10542454.65</v>
      </c>
      <c r="K904" s="1">
        <v>43777</v>
      </c>
      <c r="L904">
        <v>1059</v>
      </c>
      <c r="M904" t="s">
        <v>7444</v>
      </c>
    </row>
    <row r="905" spans="1:13" x14ac:dyDescent="0.25">
      <c r="A905" t="s">
        <v>2686</v>
      </c>
      <c r="B905" t="s">
        <v>14</v>
      </c>
      <c r="C905">
        <v>9.1999999999999993</v>
      </c>
      <c r="D905">
        <v>9.1999999999999993</v>
      </c>
      <c r="E905">
        <v>8.9499999999999993</v>
      </c>
      <c r="F905">
        <v>8.9499999999999993</v>
      </c>
      <c r="G905">
        <v>8.9499999999999993</v>
      </c>
      <c r="H905">
        <v>9.5</v>
      </c>
      <c r="I905">
        <v>437</v>
      </c>
      <c r="J905">
        <v>3947.3</v>
      </c>
      <c r="K905" s="1">
        <v>43777</v>
      </c>
      <c r="L905">
        <v>19</v>
      </c>
      <c r="M905" t="s">
        <v>2688</v>
      </c>
    </row>
    <row r="906" spans="1:13" x14ac:dyDescent="0.25">
      <c r="A906" t="s">
        <v>2689</v>
      </c>
      <c r="B906" t="s">
        <v>14</v>
      </c>
      <c r="C906">
        <v>58.8</v>
      </c>
      <c r="D906">
        <v>61.1</v>
      </c>
      <c r="E906">
        <v>58</v>
      </c>
      <c r="F906">
        <v>60.6</v>
      </c>
      <c r="G906">
        <v>60.05</v>
      </c>
      <c r="H906">
        <v>58.75</v>
      </c>
      <c r="I906">
        <v>1223627</v>
      </c>
      <c r="J906">
        <v>73515802.75</v>
      </c>
      <c r="K906" s="1">
        <v>43777</v>
      </c>
      <c r="L906">
        <v>9069</v>
      </c>
      <c r="M906" t="s">
        <v>2691</v>
      </c>
    </row>
    <row r="907" spans="1:13" x14ac:dyDescent="0.25">
      <c r="A907" t="s">
        <v>2692</v>
      </c>
      <c r="B907" t="s">
        <v>10</v>
      </c>
      <c r="C907">
        <v>0.5</v>
      </c>
      <c r="D907">
        <v>0.55000000000000004</v>
      </c>
      <c r="E907">
        <v>0.45</v>
      </c>
      <c r="F907">
        <v>0.55000000000000004</v>
      </c>
      <c r="G907">
        <v>0.55000000000000004</v>
      </c>
      <c r="H907">
        <v>0.5</v>
      </c>
      <c r="I907">
        <v>5500</v>
      </c>
      <c r="J907">
        <v>2855</v>
      </c>
      <c r="K907" s="1">
        <v>43777</v>
      </c>
      <c r="L907">
        <v>9</v>
      </c>
      <c r="M907" t="s">
        <v>2694</v>
      </c>
    </row>
    <row r="908" spans="1:13" x14ac:dyDescent="0.25">
      <c r="A908" t="s">
        <v>2695</v>
      </c>
      <c r="B908" t="s">
        <v>10</v>
      </c>
      <c r="C908">
        <v>2.5499999999999998</v>
      </c>
      <c r="D908">
        <v>2.5499999999999998</v>
      </c>
      <c r="E908">
        <v>2.5499999999999998</v>
      </c>
      <c r="F908">
        <v>2.5499999999999998</v>
      </c>
      <c r="G908">
        <v>2.5499999999999998</v>
      </c>
      <c r="H908">
        <v>2.65</v>
      </c>
      <c r="I908">
        <v>177</v>
      </c>
      <c r="J908">
        <v>451.35</v>
      </c>
      <c r="K908" s="1">
        <v>43777</v>
      </c>
      <c r="L908">
        <v>4</v>
      </c>
      <c r="M908" t="s">
        <v>2697</v>
      </c>
    </row>
    <row r="909" spans="1:13" x14ac:dyDescent="0.25">
      <c r="A909" t="s">
        <v>2698</v>
      </c>
      <c r="B909" t="s">
        <v>14</v>
      </c>
      <c r="C909">
        <v>417.05</v>
      </c>
      <c r="D909">
        <v>423</v>
      </c>
      <c r="E909">
        <v>401</v>
      </c>
      <c r="F909">
        <v>404.6</v>
      </c>
      <c r="G909">
        <v>415</v>
      </c>
      <c r="H909">
        <v>412.3</v>
      </c>
      <c r="I909">
        <v>8656</v>
      </c>
      <c r="J909">
        <v>3552602.9</v>
      </c>
      <c r="K909" s="1">
        <v>43777</v>
      </c>
      <c r="L909">
        <v>721</v>
      </c>
      <c r="M909" t="s">
        <v>2700</v>
      </c>
    </row>
    <row r="910" spans="1:13" x14ac:dyDescent="0.25">
      <c r="A910" t="s">
        <v>2707</v>
      </c>
      <c r="B910" t="s">
        <v>14</v>
      </c>
      <c r="C910">
        <v>66.5</v>
      </c>
      <c r="D910">
        <v>67.45</v>
      </c>
      <c r="E910">
        <v>63</v>
      </c>
      <c r="F910">
        <v>64.599999999999994</v>
      </c>
      <c r="G910">
        <v>64.599999999999994</v>
      </c>
      <c r="H910">
        <v>67.150000000000006</v>
      </c>
      <c r="I910">
        <v>56331</v>
      </c>
      <c r="J910">
        <v>3678153.1</v>
      </c>
      <c r="K910" s="1">
        <v>43777</v>
      </c>
      <c r="L910">
        <v>596</v>
      </c>
      <c r="M910" t="s">
        <v>2709</v>
      </c>
    </row>
    <row r="911" spans="1:13" x14ac:dyDescent="0.25">
      <c r="A911" t="s">
        <v>2710</v>
      </c>
      <c r="B911" t="s">
        <v>14</v>
      </c>
      <c r="C911">
        <v>14.15</v>
      </c>
      <c r="D911">
        <v>14.3</v>
      </c>
      <c r="E911">
        <v>13.75</v>
      </c>
      <c r="F911">
        <v>13.95</v>
      </c>
      <c r="G911">
        <v>13.95</v>
      </c>
      <c r="H911">
        <v>13.75</v>
      </c>
      <c r="I911">
        <v>260811</v>
      </c>
      <c r="J911">
        <v>3647979.4</v>
      </c>
      <c r="K911" s="1">
        <v>43777</v>
      </c>
      <c r="L911">
        <v>749</v>
      </c>
      <c r="M911" t="s">
        <v>2712</v>
      </c>
    </row>
    <row r="912" spans="1:13" x14ac:dyDescent="0.25">
      <c r="A912" t="s">
        <v>2713</v>
      </c>
      <c r="B912" t="s">
        <v>14</v>
      </c>
      <c r="C912">
        <v>349.85</v>
      </c>
      <c r="D912">
        <v>360</v>
      </c>
      <c r="E912">
        <v>340</v>
      </c>
      <c r="F912">
        <v>344.25</v>
      </c>
      <c r="G912">
        <v>348</v>
      </c>
      <c r="H912">
        <v>346.65</v>
      </c>
      <c r="I912">
        <v>2190</v>
      </c>
      <c r="J912">
        <v>764489.3</v>
      </c>
      <c r="K912" s="1">
        <v>43777</v>
      </c>
      <c r="L912">
        <v>281</v>
      </c>
      <c r="M912" t="s">
        <v>2715</v>
      </c>
    </row>
    <row r="913" spans="1:13" x14ac:dyDescent="0.25">
      <c r="A913" t="s">
        <v>2716</v>
      </c>
      <c r="B913" t="s">
        <v>14</v>
      </c>
      <c r="C913">
        <v>263.75</v>
      </c>
      <c r="D913">
        <v>271</v>
      </c>
      <c r="E913">
        <v>263.7</v>
      </c>
      <c r="F913">
        <v>265.35000000000002</v>
      </c>
      <c r="G913">
        <v>264.95</v>
      </c>
      <c r="H913">
        <v>264.64999999999998</v>
      </c>
      <c r="I913">
        <v>335051</v>
      </c>
      <c r="J913">
        <v>89557536.900000006</v>
      </c>
      <c r="K913" s="1">
        <v>43777</v>
      </c>
      <c r="L913">
        <v>5592</v>
      </c>
      <c r="M913" t="s">
        <v>2718</v>
      </c>
    </row>
    <row r="914" spans="1:13" x14ac:dyDescent="0.25">
      <c r="A914" t="s">
        <v>2719</v>
      </c>
      <c r="B914" t="s">
        <v>10</v>
      </c>
      <c r="C914">
        <v>12.2</v>
      </c>
      <c r="D914">
        <v>12.2</v>
      </c>
      <c r="E914">
        <v>12.2</v>
      </c>
      <c r="F914">
        <v>12.2</v>
      </c>
      <c r="G914">
        <v>12.2</v>
      </c>
      <c r="H914">
        <v>12.8</v>
      </c>
      <c r="I914">
        <v>4191</v>
      </c>
      <c r="J914">
        <v>51130.2</v>
      </c>
      <c r="K914" s="1">
        <v>43777</v>
      </c>
      <c r="L914">
        <v>46</v>
      </c>
      <c r="M914" t="s">
        <v>2721</v>
      </c>
    </row>
    <row r="915" spans="1:13" x14ac:dyDescent="0.25">
      <c r="A915" t="s">
        <v>2725</v>
      </c>
      <c r="B915" t="s">
        <v>14</v>
      </c>
      <c r="C915">
        <v>540.9</v>
      </c>
      <c r="D915">
        <v>575</v>
      </c>
      <c r="E915">
        <v>536.1</v>
      </c>
      <c r="F915">
        <v>570.75</v>
      </c>
      <c r="G915">
        <v>573.85</v>
      </c>
      <c r="H915">
        <v>540.79999999999995</v>
      </c>
      <c r="I915">
        <v>289328</v>
      </c>
      <c r="J915">
        <v>162171154.19999999</v>
      </c>
      <c r="K915" s="1">
        <v>43777</v>
      </c>
      <c r="L915">
        <v>10603</v>
      </c>
      <c r="M915" t="s">
        <v>2727</v>
      </c>
    </row>
    <row r="916" spans="1:13" x14ac:dyDescent="0.25">
      <c r="A916" t="s">
        <v>2728</v>
      </c>
      <c r="B916" t="s">
        <v>14</v>
      </c>
      <c r="C916">
        <v>18.149999999999999</v>
      </c>
      <c r="D916">
        <v>18.149999999999999</v>
      </c>
      <c r="E916">
        <v>17</v>
      </c>
      <c r="F916">
        <v>17.399999999999999</v>
      </c>
      <c r="G916">
        <v>17.45</v>
      </c>
      <c r="H916">
        <v>17.5</v>
      </c>
      <c r="I916">
        <v>50919</v>
      </c>
      <c r="J916">
        <v>896920.4</v>
      </c>
      <c r="K916" s="1">
        <v>43777</v>
      </c>
      <c r="L916">
        <v>276</v>
      </c>
      <c r="M916" t="s">
        <v>2730</v>
      </c>
    </row>
    <row r="917" spans="1:13" x14ac:dyDescent="0.25">
      <c r="A917" t="s">
        <v>7443</v>
      </c>
      <c r="B917" t="s">
        <v>14</v>
      </c>
      <c r="C917">
        <v>1090.2</v>
      </c>
      <c r="D917">
        <v>1130.05</v>
      </c>
      <c r="E917">
        <v>1080</v>
      </c>
      <c r="F917">
        <v>1081.8499999999999</v>
      </c>
      <c r="G917">
        <v>1080</v>
      </c>
      <c r="H917">
        <v>1099.45</v>
      </c>
      <c r="I917">
        <v>3301</v>
      </c>
      <c r="J917">
        <v>3625058.5</v>
      </c>
      <c r="K917" s="1">
        <v>43777</v>
      </c>
      <c r="L917">
        <v>280</v>
      </c>
      <c r="M917" t="s">
        <v>7442</v>
      </c>
    </row>
    <row r="918" spans="1:13" x14ac:dyDescent="0.25">
      <c r="A918" t="s">
        <v>2731</v>
      </c>
      <c r="B918" t="s">
        <v>10</v>
      </c>
      <c r="C918">
        <v>22.2</v>
      </c>
      <c r="D918">
        <v>22.7</v>
      </c>
      <c r="E918">
        <v>22.2</v>
      </c>
      <c r="F918">
        <v>22.2</v>
      </c>
      <c r="G918">
        <v>22.2</v>
      </c>
      <c r="H918">
        <v>22.2</v>
      </c>
      <c r="I918">
        <v>1269</v>
      </c>
      <c r="J918">
        <v>28246.799999999999</v>
      </c>
      <c r="K918" s="1">
        <v>43777</v>
      </c>
      <c r="L918">
        <v>15</v>
      </c>
      <c r="M918" t="s">
        <v>2733</v>
      </c>
    </row>
    <row r="919" spans="1:13" x14ac:dyDescent="0.25">
      <c r="A919" t="s">
        <v>7441</v>
      </c>
      <c r="B919" t="s">
        <v>14</v>
      </c>
      <c r="C919">
        <v>34.549999999999997</v>
      </c>
      <c r="D919">
        <v>34.549999999999997</v>
      </c>
      <c r="E919">
        <v>34.549999999999997</v>
      </c>
      <c r="F919">
        <v>34.549999999999997</v>
      </c>
      <c r="G919">
        <v>34.549999999999997</v>
      </c>
      <c r="H919">
        <v>36.35</v>
      </c>
      <c r="I919">
        <v>501</v>
      </c>
      <c r="J919">
        <v>17309.55</v>
      </c>
      <c r="K919" s="1">
        <v>43777</v>
      </c>
      <c r="L919">
        <v>14</v>
      </c>
      <c r="M919" t="s">
        <v>7440</v>
      </c>
    </row>
    <row r="920" spans="1:13" x14ac:dyDescent="0.25">
      <c r="A920" t="s">
        <v>2734</v>
      </c>
      <c r="B920" t="s">
        <v>14</v>
      </c>
      <c r="C920">
        <v>57</v>
      </c>
      <c r="D920">
        <v>62.5</v>
      </c>
      <c r="E920">
        <v>55.55</v>
      </c>
      <c r="F920">
        <v>61.65</v>
      </c>
      <c r="G920">
        <v>61.8</v>
      </c>
      <c r="H920">
        <v>58.4</v>
      </c>
      <c r="I920">
        <v>990520</v>
      </c>
      <c r="J920">
        <v>59913097.450000003</v>
      </c>
      <c r="K920" s="1">
        <v>43777</v>
      </c>
      <c r="L920">
        <v>7658</v>
      </c>
      <c r="M920" t="s">
        <v>2736</v>
      </c>
    </row>
    <row r="921" spans="1:13" x14ac:dyDescent="0.25">
      <c r="A921" t="s">
        <v>7439</v>
      </c>
      <c r="B921" t="s">
        <v>10</v>
      </c>
      <c r="C921">
        <v>0.4</v>
      </c>
      <c r="D921">
        <v>0.4</v>
      </c>
      <c r="E921">
        <v>0.35</v>
      </c>
      <c r="F921">
        <v>0.35</v>
      </c>
      <c r="G921">
        <v>0.35</v>
      </c>
      <c r="H921">
        <v>0.4</v>
      </c>
      <c r="I921">
        <v>333148</v>
      </c>
      <c r="J921">
        <v>127200.2</v>
      </c>
      <c r="K921" s="1">
        <v>43777</v>
      </c>
      <c r="L921">
        <v>80</v>
      </c>
      <c r="M921" t="s">
        <v>7438</v>
      </c>
    </row>
    <row r="922" spans="1:13" x14ac:dyDescent="0.25">
      <c r="A922" t="s">
        <v>2743</v>
      </c>
      <c r="B922" t="s">
        <v>14</v>
      </c>
      <c r="C922">
        <v>237.7</v>
      </c>
      <c r="D922">
        <v>255.1</v>
      </c>
      <c r="E922">
        <v>234.55</v>
      </c>
      <c r="F922">
        <v>240.1</v>
      </c>
      <c r="G922">
        <v>240.7</v>
      </c>
      <c r="H922">
        <v>238.15</v>
      </c>
      <c r="I922">
        <v>71041</v>
      </c>
      <c r="J922">
        <v>17407341.5</v>
      </c>
      <c r="K922" s="1">
        <v>43777</v>
      </c>
      <c r="L922">
        <v>3591</v>
      </c>
      <c r="M922" t="s">
        <v>2745</v>
      </c>
    </row>
    <row r="923" spans="1:13" x14ac:dyDescent="0.25">
      <c r="A923" t="s">
        <v>2749</v>
      </c>
      <c r="B923" t="s">
        <v>10</v>
      </c>
      <c r="C923">
        <v>18.899999999999999</v>
      </c>
      <c r="D923">
        <v>18.899999999999999</v>
      </c>
      <c r="E923">
        <v>18.899999999999999</v>
      </c>
      <c r="F923">
        <v>18.899999999999999</v>
      </c>
      <c r="G923">
        <v>18.899999999999999</v>
      </c>
      <c r="H923">
        <v>18.899999999999999</v>
      </c>
      <c r="I923">
        <v>227</v>
      </c>
      <c r="J923">
        <v>4290.3</v>
      </c>
      <c r="K923" s="1">
        <v>43777</v>
      </c>
      <c r="L923">
        <v>6</v>
      </c>
      <c r="M923" t="s">
        <v>2751</v>
      </c>
    </row>
    <row r="924" spans="1:13" x14ac:dyDescent="0.25">
      <c r="A924" t="s">
        <v>6429</v>
      </c>
      <c r="B924" t="s">
        <v>5788</v>
      </c>
      <c r="C924">
        <v>25.2</v>
      </c>
      <c r="D924">
        <v>25.2</v>
      </c>
      <c r="E924">
        <v>25.2</v>
      </c>
      <c r="F924">
        <v>25.2</v>
      </c>
      <c r="G924">
        <v>25.2</v>
      </c>
      <c r="H924">
        <v>26.95</v>
      </c>
      <c r="I924">
        <v>3000</v>
      </c>
      <c r="J924">
        <v>75600</v>
      </c>
      <c r="K924" s="1">
        <v>43777</v>
      </c>
      <c r="L924">
        <v>1</v>
      </c>
      <c r="M924" t="s">
        <v>6428</v>
      </c>
    </row>
    <row r="925" spans="1:13" x14ac:dyDescent="0.25">
      <c r="A925" t="s">
        <v>2755</v>
      </c>
      <c r="B925" t="s">
        <v>14</v>
      </c>
      <c r="C925">
        <v>1618</v>
      </c>
      <c r="D925">
        <v>1678.95</v>
      </c>
      <c r="E925">
        <v>1585</v>
      </c>
      <c r="F925">
        <v>1594.15</v>
      </c>
      <c r="G925">
        <v>1585</v>
      </c>
      <c r="H925">
        <v>1634.25</v>
      </c>
      <c r="I925">
        <v>559</v>
      </c>
      <c r="J925">
        <v>903857.65</v>
      </c>
      <c r="K925" s="1">
        <v>43777</v>
      </c>
      <c r="L925">
        <v>252</v>
      </c>
      <c r="M925" t="s">
        <v>2757</v>
      </c>
    </row>
    <row r="926" spans="1:13" x14ac:dyDescent="0.25">
      <c r="A926" t="s">
        <v>2758</v>
      </c>
      <c r="B926" t="s">
        <v>14</v>
      </c>
      <c r="C926">
        <v>134.80000000000001</v>
      </c>
      <c r="D926">
        <v>136</v>
      </c>
      <c r="E926">
        <v>129</v>
      </c>
      <c r="F926">
        <v>132.25</v>
      </c>
      <c r="G926">
        <v>131.6</v>
      </c>
      <c r="H926">
        <v>131.80000000000001</v>
      </c>
      <c r="I926">
        <v>20988</v>
      </c>
      <c r="J926">
        <v>2769393.1</v>
      </c>
      <c r="K926" s="1">
        <v>43777</v>
      </c>
      <c r="L926">
        <v>444</v>
      </c>
      <c r="M926" t="s">
        <v>2760</v>
      </c>
    </row>
    <row r="927" spans="1:13" x14ac:dyDescent="0.25">
      <c r="A927" t="s">
        <v>2764</v>
      </c>
      <c r="B927" t="s">
        <v>14</v>
      </c>
      <c r="C927">
        <v>675</v>
      </c>
      <c r="D927">
        <v>689.9</v>
      </c>
      <c r="E927">
        <v>660</v>
      </c>
      <c r="F927">
        <v>666.4</v>
      </c>
      <c r="G927">
        <v>670</v>
      </c>
      <c r="H927">
        <v>671.8</v>
      </c>
      <c r="I927">
        <v>897</v>
      </c>
      <c r="J927">
        <v>603908.30000000005</v>
      </c>
      <c r="K927" s="1">
        <v>43777</v>
      </c>
      <c r="L927">
        <v>145</v>
      </c>
      <c r="M927" t="s">
        <v>2766</v>
      </c>
    </row>
    <row r="928" spans="1:13" x14ac:dyDescent="0.25">
      <c r="A928" t="s">
        <v>2767</v>
      </c>
      <c r="B928" t="s">
        <v>14</v>
      </c>
      <c r="C928">
        <v>131</v>
      </c>
      <c r="D928">
        <v>141.9</v>
      </c>
      <c r="E928">
        <v>128.65</v>
      </c>
      <c r="F928">
        <v>132</v>
      </c>
      <c r="G928">
        <v>132</v>
      </c>
      <c r="H928">
        <v>129.69999999999999</v>
      </c>
      <c r="I928">
        <v>156329</v>
      </c>
      <c r="J928">
        <v>21377120.600000001</v>
      </c>
      <c r="K928" s="1">
        <v>43777</v>
      </c>
      <c r="L928">
        <v>3034</v>
      </c>
      <c r="M928" t="s">
        <v>2769</v>
      </c>
    </row>
    <row r="929" spans="1:13" x14ac:dyDescent="0.25">
      <c r="A929" t="s">
        <v>2770</v>
      </c>
      <c r="B929" t="s">
        <v>14</v>
      </c>
      <c r="C929">
        <v>385.8</v>
      </c>
      <c r="D929">
        <v>423.5</v>
      </c>
      <c r="E929">
        <v>383.35</v>
      </c>
      <c r="F929">
        <v>400.4</v>
      </c>
      <c r="G929">
        <v>401.8</v>
      </c>
      <c r="H929">
        <v>386.3</v>
      </c>
      <c r="I929">
        <v>397695</v>
      </c>
      <c r="J929">
        <v>163450595.5</v>
      </c>
      <c r="K929" s="1">
        <v>43777</v>
      </c>
      <c r="L929">
        <v>15375</v>
      </c>
      <c r="M929" t="s">
        <v>2772</v>
      </c>
    </row>
    <row r="930" spans="1:13" x14ac:dyDescent="0.25">
      <c r="A930" t="s">
        <v>2773</v>
      </c>
      <c r="B930" t="s">
        <v>14</v>
      </c>
      <c r="C930">
        <v>149</v>
      </c>
      <c r="D930">
        <v>153.35</v>
      </c>
      <c r="E930">
        <v>145</v>
      </c>
      <c r="F930">
        <v>148.4</v>
      </c>
      <c r="G930">
        <v>149.69999999999999</v>
      </c>
      <c r="H930">
        <v>149.19999999999999</v>
      </c>
      <c r="I930">
        <v>14089</v>
      </c>
      <c r="J930">
        <v>2084038</v>
      </c>
      <c r="K930" s="1">
        <v>43777</v>
      </c>
      <c r="L930">
        <v>495</v>
      </c>
      <c r="M930" t="s">
        <v>2775</v>
      </c>
    </row>
    <row r="931" spans="1:13" x14ac:dyDescent="0.25">
      <c r="A931" t="s">
        <v>2776</v>
      </c>
      <c r="B931" t="s">
        <v>14</v>
      </c>
      <c r="C931">
        <v>166</v>
      </c>
      <c r="D931">
        <v>171.55</v>
      </c>
      <c r="E931">
        <v>162.80000000000001</v>
      </c>
      <c r="F931">
        <v>169.4</v>
      </c>
      <c r="G931">
        <v>170.85</v>
      </c>
      <c r="H931">
        <v>166.5</v>
      </c>
      <c r="I931">
        <v>16227</v>
      </c>
      <c r="J931">
        <v>2720674.1</v>
      </c>
      <c r="K931" s="1">
        <v>43777</v>
      </c>
      <c r="L931">
        <v>473</v>
      </c>
      <c r="M931" t="s">
        <v>2778</v>
      </c>
    </row>
    <row r="932" spans="1:13" x14ac:dyDescent="0.25">
      <c r="A932" t="s">
        <v>2779</v>
      </c>
      <c r="B932" t="s">
        <v>14</v>
      </c>
      <c r="C932">
        <v>634.04999999999995</v>
      </c>
      <c r="D932">
        <v>642</v>
      </c>
      <c r="E932">
        <v>625.25</v>
      </c>
      <c r="F932">
        <v>633.1</v>
      </c>
      <c r="G932">
        <v>634</v>
      </c>
      <c r="H932">
        <v>634.45000000000005</v>
      </c>
      <c r="I932">
        <v>916</v>
      </c>
      <c r="J932">
        <v>579643.80000000005</v>
      </c>
      <c r="K932" s="1">
        <v>43777</v>
      </c>
      <c r="L932">
        <v>227</v>
      </c>
      <c r="M932" t="s">
        <v>2781</v>
      </c>
    </row>
    <row r="933" spans="1:13" x14ac:dyDescent="0.25">
      <c r="A933" t="s">
        <v>2785</v>
      </c>
      <c r="B933" t="s">
        <v>14</v>
      </c>
      <c r="C933">
        <v>91.8</v>
      </c>
      <c r="D933">
        <v>93.1</v>
      </c>
      <c r="E933">
        <v>90.55</v>
      </c>
      <c r="F933">
        <v>91.55</v>
      </c>
      <c r="G933">
        <v>91</v>
      </c>
      <c r="H933">
        <v>92</v>
      </c>
      <c r="I933">
        <v>120476</v>
      </c>
      <c r="J933">
        <v>11101281.449999999</v>
      </c>
      <c r="K933" s="1">
        <v>43777</v>
      </c>
      <c r="L933">
        <v>696</v>
      </c>
      <c r="M933" t="s">
        <v>2787</v>
      </c>
    </row>
    <row r="934" spans="1:13" x14ac:dyDescent="0.25">
      <c r="A934" t="s">
        <v>2788</v>
      </c>
      <c r="B934" t="s">
        <v>14</v>
      </c>
      <c r="C934">
        <v>989</v>
      </c>
      <c r="D934">
        <v>1000</v>
      </c>
      <c r="E934">
        <v>989</v>
      </c>
      <c r="F934">
        <v>992</v>
      </c>
      <c r="G934">
        <v>992</v>
      </c>
      <c r="H934">
        <v>989</v>
      </c>
      <c r="I934">
        <v>135</v>
      </c>
      <c r="J934">
        <v>134153.79999999999</v>
      </c>
      <c r="K934" s="1">
        <v>43777</v>
      </c>
      <c r="L934">
        <v>23</v>
      </c>
      <c r="M934" t="s">
        <v>2790</v>
      </c>
    </row>
    <row r="935" spans="1:13" x14ac:dyDescent="0.25">
      <c r="A935" t="s">
        <v>2791</v>
      </c>
      <c r="B935" t="s">
        <v>14</v>
      </c>
      <c r="C935">
        <v>6.85</v>
      </c>
      <c r="D935">
        <v>6.85</v>
      </c>
      <c r="E935">
        <v>6.65</v>
      </c>
      <c r="F935">
        <v>6.7</v>
      </c>
      <c r="G935">
        <v>6.75</v>
      </c>
      <c r="H935">
        <v>6.6</v>
      </c>
      <c r="I935">
        <v>89417</v>
      </c>
      <c r="J935">
        <v>604065.85</v>
      </c>
      <c r="K935" s="1">
        <v>43777</v>
      </c>
      <c r="L935">
        <v>152</v>
      </c>
      <c r="M935" t="s">
        <v>2793</v>
      </c>
    </row>
    <row r="936" spans="1:13" x14ac:dyDescent="0.25">
      <c r="A936" t="s">
        <v>2794</v>
      </c>
      <c r="B936" t="s">
        <v>14</v>
      </c>
      <c r="C936">
        <v>246.9</v>
      </c>
      <c r="D936">
        <v>246.95</v>
      </c>
      <c r="E936">
        <v>236.2</v>
      </c>
      <c r="F936">
        <v>239.05</v>
      </c>
      <c r="G936">
        <v>239.05</v>
      </c>
      <c r="H936">
        <v>246.95</v>
      </c>
      <c r="I936">
        <v>59323</v>
      </c>
      <c r="J936">
        <v>14358640.5</v>
      </c>
      <c r="K936" s="1">
        <v>43777</v>
      </c>
      <c r="L936">
        <v>2252</v>
      </c>
      <c r="M936" t="s">
        <v>2796</v>
      </c>
    </row>
    <row r="937" spans="1:13" x14ac:dyDescent="0.25">
      <c r="A937" t="s">
        <v>2797</v>
      </c>
      <c r="B937" t="s">
        <v>10</v>
      </c>
      <c r="C937">
        <v>11.4</v>
      </c>
      <c r="D937">
        <v>11.4</v>
      </c>
      <c r="E937">
        <v>10.9</v>
      </c>
      <c r="F937">
        <v>11.4</v>
      </c>
      <c r="G937">
        <v>11.4</v>
      </c>
      <c r="H937">
        <v>10.9</v>
      </c>
      <c r="I937">
        <v>36192</v>
      </c>
      <c r="J937">
        <v>411537.3</v>
      </c>
      <c r="K937" s="1">
        <v>43777</v>
      </c>
      <c r="L937">
        <v>118</v>
      </c>
      <c r="M937" t="s">
        <v>2799</v>
      </c>
    </row>
    <row r="938" spans="1:13" x14ac:dyDescent="0.25">
      <c r="A938" t="s">
        <v>2800</v>
      </c>
      <c r="B938" t="s">
        <v>14</v>
      </c>
      <c r="C938">
        <v>76.75</v>
      </c>
      <c r="D938">
        <v>77.75</v>
      </c>
      <c r="E938">
        <v>74.7</v>
      </c>
      <c r="F938">
        <v>75.45</v>
      </c>
      <c r="G938">
        <v>75.099999999999994</v>
      </c>
      <c r="H938">
        <v>76.5</v>
      </c>
      <c r="I938">
        <v>11933</v>
      </c>
      <c r="J938">
        <v>909662.1</v>
      </c>
      <c r="K938" s="1">
        <v>43777</v>
      </c>
      <c r="L938">
        <v>285</v>
      </c>
      <c r="M938" t="s">
        <v>2802</v>
      </c>
    </row>
    <row r="939" spans="1:13" x14ac:dyDescent="0.25">
      <c r="A939" t="s">
        <v>2803</v>
      </c>
      <c r="B939" t="s">
        <v>14</v>
      </c>
      <c r="C939">
        <v>268.2</v>
      </c>
      <c r="D939">
        <v>273</v>
      </c>
      <c r="E939">
        <v>263.60000000000002</v>
      </c>
      <c r="F939">
        <v>270.10000000000002</v>
      </c>
      <c r="G939">
        <v>270.85000000000002</v>
      </c>
      <c r="H939">
        <v>267.25</v>
      </c>
      <c r="I939">
        <v>37549</v>
      </c>
      <c r="J939">
        <v>10125707.449999999</v>
      </c>
      <c r="K939" s="1">
        <v>43777</v>
      </c>
      <c r="L939">
        <v>1676</v>
      </c>
      <c r="M939" t="s">
        <v>2805</v>
      </c>
    </row>
    <row r="940" spans="1:13" x14ac:dyDescent="0.25">
      <c r="A940" t="s">
        <v>2806</v>
      </c>
      <c r="B940" t="s">
        <v>14</v>
      </c>
      <c r="C940">
        <v>29.55</v>
      </c>
      <c r="D940">
        <v>30</v>
      </c>
      <c r="E940">
        <v>28.8</v>
      </c>
      <c r="F940">
        <v>28.95</v>
      </c>
      <c r="G940">
        <v>28.95</v>
      </c>
      <c r="H940">
        <v>29.3</v>
      </c>
      <c r="I940">
        <v>25421</v>
      </c>
      <c r="J940">
        <v>746255</v>
      </c>
      <c r="K940" s="1">
        <v>43777</v>
      </c>
      <c r="L940">
        <v>271</v>
      </c>
      <c r="M940" t="s">
        <v>2808</v>
      </c>
    </row>
    <row r="941" spans="1:13" x14ac:dyDescent="0.25">
      <c r="A941" t="s">
        <v>2809</v>
      </c>
      <c r="B941" t="s">
        <v>14</v>
      </c>
      <c r="C941">
        <v>1578.9</v>
      </c>
      <c r="D941">
        <v>1606</v>
      </c>
      <c r="E941">
        <v>1572</v>
      </c>
      <c r="F941">
        <v>1600.25</v>
      </c>
      <c r="G941">
        <v>1599.7</v>
      </c>
      <c r="H941">
        <v>1584</v>
      </c>
      <c r="I941">
        <v>3913627</v>
      </c>
      <c r="J941">
        <v>6227887334.8500004</v>
      </c>
      <c r="K941" s="1">
        <v>43777</v>
      </c>
      <c r="L941">
        <v>101181</v>
      </c>
      <c r="M941" t="s">
        <v>2811</v>
      </c>
    </row>
    <row r="942" spans="1:13" x14ac:dyDescent="0.25">
      <c r="A942" t="s">
        <v>6417</v>
      </c>
      <c r="B942" t="s">
        <v>14</v>
      </c>
      <c r="C942">
        <v>314</v>
      </c>
      <c r="D942">
        <v>317.89999999999998</v>
      </c>
      <c r="E942">
        <v>311.5</v>
      </c>
      <c r="F942">
        <v>313.77</v>
      </c>
      <c r="G942">
        <v>315</v>
      </c>
      <c r="H942">
        <v>313.92</v>
      </c>
      <c r="I942">
        <v>68969</v>
      </c>
      <c r="J942">
        <v>21648189.390000001</v>
      </c>
      <c r="K942" s="1">
        <v>43777</v>
      </c>
      <c r="L942">
        <v>230</v>
      </c>
      <c r="M942" t="s">
        <v>6416</v>
      </c>
    </row>
    <row r="943" spans="1:13" x14ac:dyDescent="0.25">
      <c r="A943" t="s">
        <v>6413</v>
      </c>
      <c r="B943" t="s">
        <v>14</v>
      </c>
      <c r="C943">
        <v>340</v>
      </c>
      <c r="D943">
        <v>340</v>
      </c>
      <c r="E943">
        <v>334.15</v>
      </c>
      <c r="F943">
        <v>335.9</v>
      </c>
      <c r="G943">
        <v>335.95</v>
      </c>
      <c r="H943">
        <v>340.1</v>
      </c>
      <c r="I943">
        <v>58219</v>
      </c>
      <c r="J943">
        <v>19586004.199999999</v>
      </c>
      <c r="K943" s="1">
        <v>43777</v>
      </c>
      <c r="L943">
        <v>1020</v>
      </c>
      <c r="M943" t="s">
        <v>7437</v>
      </c>
    </row>
    <row r="944" spans="1:13" x14ac:dyDescent="0.25">
      <c r="A944" t="s">
        <v>6401</v>
      </c>
      <c r="B944" t="s">
        <v>14</v>
      </c>
      <c r="C944">
        <v>123.8</v>
      </c>
      <c r="D944">
        <v>124.65</v>
      </c>
      <c r="E944">
        <v>123</v>
      </c>
      <c r="F944">
        <v>123.27</v>
      </c>
      <c r="G944">
        <v>123.2</v>
      </c>
      <c r="H944">
        <v>124</v>
      </c>
      <c r="I944">
        <v>125395</v>
      </c>
      <c r="J944">
        <v>15509611.76</v>
      </c>
      <c r="K944" s="1">
        <v>43777</v>
      </c>
      <c r="L944">
        <v>395</v>
      </c>
      <c r="M944" t="s">
        <v>6400</v>
      </c>
    </row>
    <row r="945" spans="1:13" x14ac:dyDescent="0.25">
      <c r="A945" t="s">
        <v>6399</v>
      </c>
      <c r="B945" t="s">
        <v>14</v>
      </c>
      <c r="C945">
        <v>59.49</v>
      </c>
      <c r="D945">
        <v>59.49</v>
      </c>
      <c r="E945">
        <v>58.35</v>
      </c>
      <c r="F945">
        <v>58.62</v>
      </c>
      <c r="G945">
        <v>58.89</v>
      </c>
      <c r="H945">
        <v>59.1</v>
      </c>
      <c r="I945">
        <v>8842</v>
      </c>
      <c r="J945">
        <v>521165.24</v>
      </c>
      <c r="K945" s="1">
        <v>43777</v>
      </c>
      <c r="L945">
        <v>122</v>
      </c>
      <c r="M945" t="s">
        <v>6398</v>
      </c>
    </row>
    <row r="946" spans="1:13" x14ac:dyDescent="0.25">
      <c r="A946" t="s">
        <v>6397</v>
      </c>
      <c r="B946" t="s">
        <v>14</v>
      </c>
      <c r="C946">
        <v>245.5</v>
      </c>
      <c r="D946">
        <v>245.5</v>
      </c>
      <c r="E946">
        <v>233</v>
      </c>
      <c r="F946">
        <v>239.94</v>
      </c>
      <c r="G946">
        <v>240</v>
      </c>
      <c r="H946">
        <v>246.87</v>
      </c>
      <c r="I946">
        <v>14997</v>
      </c>
      <c r="J946">
        <v>3626607.4</v>
      </c>
      <c r="K946" s="1">
        <v>43777</v>
      </c>
      <c r="L946">
        <v>268</v>
      </c>
      <c r="M946" t="s">
        <v>6396</v>
      </c>
    </row>
    <row r="947" spans="1:13" x14ac:dyDescent="0.25">
      <c r="A947" t="s">
        <v>2812</v>
      </c>
      <c r="B947" t="s">
        <v>14</v>
      </c>
      <c r="C947">
        <v>10.199999999999999</v>
      </c>
      <c r="D947">
        <v>10.3</v>
      </c>
      <c r="E947">
        <v>10.15</v>
      </c>
      <c r="F947">
        <v>10.199999999999999</v>
      </c>
      <c r="G947">
        <v>10.199999999999999</v>
      </c>
      <c r="H947">
        <v>10.199999999999999</v>
      </c>
      <c r="I947">
        <v>17053</v>
      </c>
      <c r="J947">
        <v>174365.25</v>
      </c>
      <c r="K947" s="1">
        <v>43777</v>
      </c>
      <c r="L947">
        <v>41</v>
      </c>
      <c r="M947" t="s">
        <v>2814</v>
      </c>
    </row>
    <row r="948" spans="1:13" x14ac:dyDescent="0.25">
      <c r="A948" t="s">
        <v>2815</v>
      </c>
      <c r="B948" t="s">
        <v>14</v>
      </c>
      <c r="C948">
        <v>17.100000000000001</v>
      </c>
      <c r="D948">
        <v>17.149999999999999</v>
      </c>
      <c r="E948">
        <v>16.600000000000001</v>
      </c>
      <c r="F948">
        <v>16.7</v>
      </c>
      <c r="G948">
        <v>16.7</v>
      </c>
      <c r="H948">
        <v>16.850000000000001</v>
      </c>
      <c r="I948">
        <v>6561</v>
      </c>
      <c r="J948">
        <v>110098.4</v>
      </c>
      <c r="K948" s="1">
        <v>43777</v>
      </c>
      <c r="L948">
        <v>32</v>
      </c>
      <c r="M948" t="s">
        <v>2817</v>
      </c>
    </row>
    <row r="949" spans="1:13" x14ac:dyDescent="0.25">
      <c r="A949" t="s">
        <v>2818</v>
      </c>
      <c r="B949" t="s">
        <v>14</v>
      </c>
      <c r="C949">
        <v>62</v>
      </c>
      <c r="D949">
        <v>63.5</v>
      </c>
      <c r="E949">
        <v>62</v>
      </c>
      <c r="F949">
        <v>62.15</v>
      </c>
      <c r="G949">
        <v>63.5</v>
      </c>
      <c r="H949">
        <v>62.1</v>
      </c>
      <c r="I949">
        <v>4807</v>
      </c>
      <c r="J949">
        <v>299687.25</v>
      </c>
      <c r="K949" s="1">
        <v>43777</v>
      </c>
      <c r="L949">
        <v>45</v>
      </c>
      <c r="M949" t="s">
        <v>2820</v>
      </c>
    </row>
    <row r="950" spans="1:13" x14ac:dyDescent="0.25">
      <c r="A950" t="s">
        <v>2827</v>
      </c>
      <c r="B950" t="s">
        <v>14</v>
      </c>
      <c r="C950">
        <v>90</v>
      </c>
      <c r="D950">
        <v>90.6</v>
      </c>
      <c r="E950">
        <v>88.3</v>
      </c>
      <c r="F950">
        <v>90</v>
      </c>
      <c r="G950">
        <v>90</v>
      </c>
      <c r="H950">
        <v>90</v>
      </c>
      <c r="I950">
        <v>187473</v>
      </c>
      <c r="J950">
        <v>16793995.050000001</v>
      </c>
      <c r="K950" s="1">
        <v>43777</v>
      </c>
      <c r="L950">
        <v>1928</v>
      </c>
      <c r="M950" t="s">
        <v>2829</v>
      </c>
    </row>
    <row r="951" spans="1:13" x14ac:dyDescent="0.25">
      <c r="A951" t="s">
        <v>2830</v>
      </c>
      <c r="B951" t="s">
        <v>14</v>
      </c>
      <c r="C951">
        <v>660</v>
      </c>
      <c r="D951">
        <v>664</v>
      </c>
      <c r="E951">
        <v>648.45000000000005</v>
      </c>
      <c r="F951">
        <v>653.20000000000005</v>
      </c>
      <c r="G951">
        <v>651.1</v>
      </c>
      <c r="H951">
        <v>656.95</v>
      </c>
      <c r="I951">
        <v>13302</v>
      </c>
      <c r="J951">
        <v>8725809.4000000004</v>
      </c>
      <c r="K951" s="1">
        <v>43777</v>
      </c>
      <c r="L951">
        <v>688</v>
      </c>
      <c r="M951" t="s">
        <v>7436</v>
      </c>
    </row>
    <row r="952" spans="1:13" x14ac:dyDescent="0.25">
      <c r="A952" t="s">
        <v>2833</v>
      </c>
      <c r="B952" t="s">
        <v>14</v>
      </c>
      <c r="C952">
        <v>210.7</v>
      </c>
      <c r="D952">
        <v>211.6</v>
      </c>
      <c r="E952">
        <v>205.1</v>
      </c>
      <c r="F952">
        <v>207.8</v>
      </c>
      <c r="G952">
        <v>208</v>
      </c>
      <c r="H952">
        <v>209.7</v>
      </c>
      <c r="I952">
        <v>75066</v>
      </c>
      <c r="J952">
        <v>15658936.35</v>
      </c>
      <c r="K952" s="1">
        <v>43777</v>
      </c>
      <c r="L952">
        <v>3015</v>
      </c>
      <c r="M952" t="s">
        <v>2835</v>
      </c>
    </row>
    <row r="953" spans="1:13" x14ac:dyDescent="0.25">
      <c r="A953" t="s">
        <v>2836</v>
      </c>
      <c r="B953" t="s">
        <v>14</v>
      </c>
      <c r="C953">
        <v>91</v>
      </c>
      <c r="D953">
        <v>91</v>
      </c>
      <c r="E953">
        <v>87.2</v>
      </c>
      <c r="F953">
        <v>89.35</v>
      </c>
      <c r="G953">
        <v>87.5</v>
      </c>
      <c r="H953">
        <v>90.9</v>
      </c>
      <c r="I953">
        <v>641</v>
      </c>
      <c r="J953">
        <v>58083.75</v>
      </c>
      <c r="K953" s="1">
        <v>43777</v>
      </c>
      <c r="L953">
        <v>16</v>
      </c>
      <c r="M953" t="s">
        <v>2838</v>
      </c>
    </row>
    <row r="954" spans="1:13" x14ac:dyDescent="0.25">
      <c r="A954" t="s">
        <v>2839</v>
      </c>
      <c r="B954" t="s">
        <v>14</v>
      </c>
      <c r="C954">
        <v>5.2</v>
      </c>
      <c r="D954">
        <v>5.35</v>
      </c>
      <c r="E954">
        <v>4.8499999999999996</v>
      </c>
      <c r="F954">
        <v>5.05</v>
      </c>
      <c r="G954">
        <v>5.0999999999999996</v>
      </c>
      <c r="H954">
        <v>5.0999999999999996</v>
      </c>
      <c r="I954">
        <v>395643</v>
      </c>
      <c r="J954">
        <v>1984182.5</v>
      </c>
      <c r="K954" s="1">
        <v>43777</v>
      </c>
      <c r="L954">
        <v>573</v>
      </c>
      <c r="M954" t="s">
        <v>2841</v>
      </c>
    </row>
    <row r="955" spans="1:13" x14ac:dyDescent="0.25">
      <c r="A955" t="s">
        <v>2842</v>
      </c>
      <c r="B955" t="s">
        <v>14</v>
      </c>
      <c r="C955">
        <v>53.05</v>
      </c>
      <c r="D955">
        <v>53.05</v>
      </c>
      <c r="E955">
        <v>53.05</v>
      </c>
      <c r="F955">
        <v>53.05</v>
      </c>
      <c r="G955">
        <v>53.05</v>
      </c>
      <c r="H955">
        <v>53.05</v>
      </c>
      <c r="I955">
        <v>171</v>
      </c>
      <c r="J955">
        <v>9071.5499999999993</v>
      </c>
      <c r="K955" s="1">
        <v>43777</v>
      </c>
      <c r="L955">
        <v>3</v>
      </c>
      <c r="M955" t="s">
        <v>2844</v>
      </c>
    </row>
    <row r="956" spans="1:13" x14ac:dyDescent="0.25">
      <c r="A956" t="s">
        <v>2848</v>
      </c>
      <c r="B956" t="s">
        <v>5788</v>
      </c>
      <c r="C956">
        <v>34.700000000000003</v>
      </c>
      <c r="D956">
        <v>34.75</v>
      </c>
      <c r="E956">
        <v>34.700000000000003</v>
      </c>
      <c r="F956">
        <v>34.75</v>
      </c>
      <c r="G956">
        <v>34.75</v>
      </c>
      <c r="H956">
        <v>34.6</v>
      </c>
      <c r="I956">
        <v>32000</v>
      </c>
      <c r="J956">
        <v>1111000</v>
      </c>
      <c r="K956" s="1">
        <v>43777</v>
      </c>
      <c r="L956">
        <v>5</v>
      </c>
      <c r="M956" t="s">
        <v>7435</v>
      </c>
    </row>
    <row r="957" spans="1:13" x14ac:dyDescent="0.25">
      <c r="A957" t="s">
        <v>2857</v>
      </c>
      <c r="B957" t="s">
        <v>14</v>
      </c>
      <c r="C957">
        <v>713.5</v>
      </c>
      <c r="D957">
        <v>736.1</v>
      </c>
      <c r="E957">
        <v>713.5</v>
      </c>
      <c r="F957">
        <v>715.65</v>
      </c>
      <c r="G957">
        <v>715</v>
      </c>
      <c r="H957">
        <v>717.5</v>
      </c>
      <c r="I957">
        <v>8101</v>
      </c>
      <c r="J957">
        <v>5880559.9000000004</v>
      </c>
      <c r="K957" s="1">
        <v>43777</v>
      </c>
      <c r="L957">
        <v>464</v>
      </c>
      <c r="M957" t="s">
        <v>2859</v>
      </c>
    </row>
    <row r="958" spans="1:13" x14ac:dyDescent="0.25">
      <c r="A958" t="s">
        <v>2860</v>
      </c>
      <c r="B958" t="s">
        <v>14</v>
      </c>
      <c r="C958">
        <v>533.5</v>
      </c>
      <c r="D958">
        <v>545</v>
      </c>
      <c r="E958">
        <v>533.5</v>
      </c>
      <c r="F958">
        <v>536.04999999999995</v>
      </c>
      <c r="G958">
        <v>540</v>
      </c>
      <c r="H958">
        <v>540.9</v>
      </c>
      <c r="I958">
        <v>66939</v>
      </c>
      <c r="J958">
        <v>36074108.549999997</v>
      </c>
      <c r="K958" s="1">
        <v>43777</v>
      </c>
      <c r="L958">
        <v>4175</v>
      </c>
      <c r="M958" t="s">
        <v>2862</v>
      </c>
    </row>
    <row r="959" spans="1:13" x14ac:dyDescent="0.25">
      <c r="A959" t="s">
        <v>7434</v>
      </c>
      <c r="B959" t="s">
        <v>10</v>
      </c>
      <c r="C959">
        <v>0.05</v>
      </c>
      <c r="D959">
        <v>0.1</v>
      </c>
      <c r="E959">
        <v>0.05</v>
      </c>
      <c r="F959">
        <v>0.1</v>
      </c>
      <c r="G959">
        <v>0.1</v>
      </c>
      <c r="H959">
        <v>0.1</v>
      </c>
      <c r="I959">
        <v>384133</v>
      </c>
      <c r="J959">
        <v>28346.1</v>
      </c>
      <c r="K959" s="1">
        <v>43777</v>
      </c>
      <c r="L959">
        <v>103</v>
      </c>
      <c r="M959" t="s">
        <v>7433</v>
      </c>
    </row>
    <row r="960" spans="1:13" x14ac:dyDescent="0.25">
      <c r="A960" t="s">
        <v>7432</v>
      </c>
      <c r="B960" t="s">
        <v>14</v>
      </c>
      <c r="C960">
        <v>0.75</v>
      </c>
      <c r="D960">
        <v>0.75</v>
      </c>
      <c r="E960">
        <v>0.7</v>
      </c>
      <c r="F960">
        <v>0.75</v>
      </c>
      <c r="G960">
        <v>0.75</v>
      </c>
      <c r="H960">
        <v>0.7</v>
      </c>
      <c r="I960">
        <v>1081934</v>
      </c>
      <c r="J960">
        <v>796122.5</v>
      </c>
      <c r="K960" s="1">
        <v>43777</v>
      </c>
      <c r="L960">
        <v>274</v>
      </c>
      <c r="M960" t="s">
        <v>7431</v>
      </c>
    </row>
    <row r="961" spans="1:13" x14ac:dyDescent="0.25">
      <c r="A961" t="s">
        <v>2866</v>
      </c>
      <c r="B961" t="s">
        <v>14</v>
      </c>
      <c r="C961">
        <v>223</v>
      </c>
      <c r="D961">
        <v>226</v>
      </c>
      <c r="E961">
        <v>219.9</v>
      </c>
      <c r="F961">
        <v>223.15</v>
      </c>
      <c r="G961">
        <v>222.65</v>
      </c>
      <c r="H961">
        <v>224.95</v>
      </c>
      <c r="I961">
        <v>48681</v>
      </c>
      <c r="J961">
        <v>10828167.800000001</v>
      </c>
      <c r="K961" s="1">
        <v>43777</v>
      </c>
      <c r="L961">
        <v>1686</v>
      </c>
      <c r="M961" t="s">
        <v>2868</v>
      </c>
    </row>
    <row r="962" spans="1:13" x14ac:dyDescent="0.25">
      <c r="A962" t="s">
        <v>7430</v>
      </c>
      <c r="B962" t="s">
        <v>14</v>
      </c>
      <c r="C962">
        <v>34.4</v>
      </c>
      <c r="D962">
        <v>34.5</v>
      </c>
      <c r="E962">
        <v>31.6</v>
      </c>
      <c r="F962">
        <v>34.049999999999997</v>
      </c>
      <c r="G962">
        <v>34.049999999999997</v>
      </c>
      <c r="H962">
        <v>33.5</v>
      </c>
      <c r="I962">
        <v>4029</v>
      </c>
      <c r="J962">
        <v>136527.15</v>
      </c>
      <c r="K962" s="1">
        <v>43777</v>
      </c>
      <c r="L962">
        <v>61</v>
      </c>
      <c r="M962" t="s">
        <v>7429</v>
      </c>
    </row>
    <row r="963" spans="1:13" x14ac:dyDescent="0.25">
      <c r="A963" t="s">
        <v>2872</v>
      </c>
      <c r="B963" t="s">
        <v>14</v>
      </c>
      <c r="C963">
        <v>77</v>
      </c>
      <c r="D963">
        <v>79.2</v>
      </c>
      <c r="E963">
        <v>76.3</v>
      </c>
      <c r="F963">
        <v>78.150000000000006</v>
      </c>
      <c r="G963">
        <v>78.25</v>
      </c>
      <c r="H963">
        <v>77.5</v>
      </c>
      <c r="I963">
        <v>754211</v>
      </c>
      <c r="J963">
        <v>58733194.350000001</v>
      </c>
      <c r="K963" s="1">
        <v>43777</v>
      </c>
      <c r="L963">
        <v>6118</v>
      </c>
      <c r="M963" t="s">
        <v>2874</v>
      </c>
    </row>
    <row r="964" spans="1:13" x14ac:dyDescent="0.25">
      <c r="A964" t="s">
        <v>2875</v>
      </c>
      <c r="B964" t="s">
        <v>14</v>
      </c>
      <c r="C964">
        <v>460</v>
      </c>
      <c r="D964">
        <v>468</v>
      </c>
      <c r="E964">
        <v>440.1</v>
      </c>
      <c r="F964">
        <v>449.85</v>
      </c>
      <c r="G964">
        <v>450</v>
      </c>
      <c r="H964">
        <v>455.35</v>
      </c>
      <c r="I964">
        <v>65</v>
      </c>
      <c r="J964">
        <v>29744.55</v>
      </c>
      <c r="K964" s="1">
        <v>43777</v>
      </c>
      <c r="L964">
        <v>10</v>
      </c>
      <c r="M964" t="s">
        <v>7428</v>
      </c>
    </row>
    <row r="965" spans="1:13" x14ac:dyDescent="0.25">
      <c r="A965" t="s">
        <v>7427</v>
      </c>
      <c r="B965" t="s">
        <v>10</v>
      </c>
      <c r="C965">
        <v>3.15</v>
      </c>
      <c r="D965">
        <v>3.15</v>
      </c>
      <c r="E965">
        <v>3.15</v>
      </c>
      <c r="F965">
        <v>3.15</v>
      </c>
      <c r="G965">
        <v>3.15</v>
      </c>
      <c r="H965">
        <v>3</v>
      </c>
      <c r="I965">
        <v>593946</v>
      </c>
      <c r="J965">
        <v>1870929.9</v>
      </c>
      <c r="K965" s="1">
        <v>43777</v>
      </c>
      <c r="L965">
        <v>302</v>
      </c>
      <c r="M965" t="s">
        <v>7426</v>
      </c>
    </row>
    <row r="966" spans="1:13" x14ac:dyDescent="0.25">
      <c r="A966" t="s">
        <v>2878</v>
      </c>
      <c r="B966" t="s">
        <v>14</v>
      </c>
      <c r="C966">
        <v>97.75</v>
      </c>
      <c r="D966">
        <v>102</v>
      </c>
      <c r="E966">
        <v>96.65</v>
      </c>
      <c r="F966">
        <v>99.55</v>
      </c>
      <c r="G966">
        <v>99.8</v>
      </c>
      <c r="H966">
        <v>99.05</v>
      </c>
      <c r="I966">
        <v>12767085</v>
      </c>
      <c r="J966">
        <v>1273713978</v>
      </c>
      <c r="K966" s="1">
        <v>43777</v>
      </c>
      <c r="L966">
        <v>46988</v>
      </c>
      <c r="M966" t="s">
        <v>2880</v>
      </c>
    </row>
    <row r="967" spans="1:13" x14ac:dyDescent="0.25">
      <c r="A967" t="s">
        <v>6375</v>
      </c>
      <c r="B967" t="s">
        <v>5874</v>
      </c>
      <c r="C967">
        <v>1080</v>
      </c>
      <c r="D967">
        <v>1080</v>
      </c>
      <c r="E967">
        <v>1080</v>
      </c>
      <c r="F967">
        <v>1080</v>
      </c>
      <c r="G967">
        <v>1080</v>
      </c>
      <c r="H967">
        <v>1080</v>
      </c>
      <c r="I967">
        <v>10</v>
      </c>
      <c r="J967">
        <v>10800</v>
      </c>
      <c r="K967" s="1">
        <v>43777</v>
      </c>
      <c r="L967">
        <v>1</v>
      </c>
      <c r="M967" t="s">
        <v>7425</v>
      </c>
    </row>
    <row r="968" spans="1:13" x14ac:dyDescent="0.25">
      <c r="A968" t="s">
        <v>6375</v>
      </c>
      <c r="B968" t="s">
        <v>6240</v>
      </c>
      <c r="C968">
        <v>1070</v>
      </c>
      <c r="D968">
        <v>1070</v>
      </c>
      <c r="E968">
        <v>1070</v>
      </c>
      <c r="F968">
        <v>1070</v>
      </c>
      <c r="G968">
        <v>1070</v>
      </c>
      <c r="H968">
        <v>1072.19</v>
      </c>
      <c r="I968">
        <v>100</v>
      </c>
      <c r="J968">
        <v>107000</v>
      </c>
      <c r="K968" s="1">
        <v>43777</v>
      </c>
      <c r="L968">
        <v>1</v>
      </c>
      <c r="M968" t="s">
        <v>7424</v>
      </c>
    </row>
    <row r="969" spans="1:13" x14ac:dyDescent="0.25">
      <c r="A969" t="s">
        <v>6375</v>
      </c>
      <c r="B969" t="s">
        <v>6385</v>
      </c>
      <c r="C969">
        <v>1120</v>
      </c>
      <c r="D969">
        <v>1120</v>
      </c>
      <c r="E969">
        <v>1118</v>
      </c>
      <c r="F969">
        <v>1119</v>
      </c>
      <c r="G969">
        <v>1118</v>
      </c>
      <c r="H969">
        <v>1122.75</v>
      </c>
      <c r="I969">
        <v>3</v>
      </c>
      <c r="J969">
        <v>3358</v>
      </c>
      <c r="K969" s="1">
        <v>43777</v>
      </c>
      <c r="L969">
        <v>3</v>
      </c>
      <c r="M969" t="s">
        <v>6384</v>
      </c>
    </row>
    <row r="970" spans="1:13" x14ac:dyDescent="0.25">
      <c r="A970" t="s">
        <v>6375</v>
      </c>
      <c r="B970" t="s">
        <v>6383</v>
      </c>
      <c r="C970">
        <v>1070.05</v>
      </c>
      <c r="D970">
        <v>1070.05</v>
      </c>
      <c r="E970">
        <v>1070.05</v>
      </c>
      <c r="F970">
        <v>1070.05</v>
      </c>
      <c r="G970">
        <v>1070.05</v>
      </c>
      <c r="H970">
        <v>1072</v>
      </c>
      <c r="I970">
        <v>5</v>
      </c>
      <c r="J970">
        <v>5350.25</v>
      </c>
      <c r="K970" s="1">
        <v>43777</v>
      </c>
      <c r="L970">
        <v>1</v>
      </c>
      <c r="M970" t="s">
        <v>6382</v>
      </c>
    </row>
    <row r="971" spans="1:13" x14ac:dyDescent="0.25">
      <c r="A971" t="s">
        <v>6375</v>
      </c>
      <c r="B971" t="s">
        <v>6459</v>
      </c>
      <c r="C971">
        <v>1081</v>
      </c>
      <c r="D971">
        <v>1081</v>
      </c>
      <c r="E971">
        <v>1081</v>
      </c>
      <c r="F971">
        <v>1081</v>
      </c>
      <c r="G971">
        <v>1081</v>
      </c>
      <c r="H971">
        <v>1080</v>
      </c>
      <c r="I971">
        <v>50</v>
      </c>
      <c r="J971">
        <v>54050</v>
      </c>
      <c r="K971" s="1">
        <v>43777</v>
      </c>
      <c r="L971">
        <v>1</v>
      </c>
      <c r="M971" t="s">
        <v>7423</v>
      </c>
    </row>
    <row r="972" spans="1:13" x14ac:dyDescent="0.25">
      <c r="A972" t="s">
        <v>6375</v>
      </c>
      <c r="B972" t="s">
        <v>6505</v>
      </c>
      <c r="C972">
        <v>1085.05</v>
      </c>
      <c r="D972">
        <v>1085.05</v>
      </c>
      <c r="E972">
        <v>1085.05</v>
      </c>
      <c r="F972">
        <v>1085.05</v>
      </c>
      <c r="G972">
        <v>1085.05</v>
      </c>
      <c r="H972">
        <v>1090</v>
      </c>
      <c r="I972">
        <v>10</v>
      </c>
      <c r="J972">
        <v>10850.5</v>
      </c>
      <c r="K972" s="1">
        <v>43777</v>
      </c>
      <c r="L972">
        <v>1</v>
      </c>
      <c r="M972" t="s">
        <v>7422</v>
      </c>
    </row>
    <row r="973" spans="1:13" x14ac:dyDescent="0.25">
      <c r="A973" t="s">
        <v>7416</v>
      </c>
      <c r="B973" t="s">
        <v>5845</v>
      </c>
      <c r="C973">
        <v>1049</v>
      </c>
      <c r="D973">
        <v>1055</v>
      </c>
      <c r="E973">
        <v>1049</v>
      </c>
      <c r="F973">
        <v>1051.5</v>
      </c>
      <c r="G973">
        <v>1051.5</v>
      </c>
      <c r="H973">
        <v>1049</v>
      </c>
      <c r="I973">
        <v>110</v>
      </c>
      <c r="J973">
        <v>115740</v>
      </c>
      <c r="K973" s="1">
        <v>43777</v>
      </c>
      <c r="L973">
        <v>8</v>
      </c>
      <c r="M973" t="s">
        <v>7421</v>
      </c>
    </row>
    <row r="974" spans="1:13" x14ac:dyDescent="0.25">
      <c r="A974" t="s">
        <v>7416</v>
      </c>
      <c r="B974" t="s">
        <v>6176</v>
      </c>
      <c r="C974">
        <v>1905</v>
      </c>
      <c r="D974">
        <v>1907</v>
      </c>
      <c r="E974">
        <v>1901</v>
      </c>
      <c r="F974">
        <v>1907</v>
      </c>
      <c r="G974">
        <v>1907</v>
      </c>
      <c r="H974">
        <v>1900</v>
      </c>
      <c r="I974">
        <v>35</v>
      </c>
      <c r="J974">
        <v>66615.399999999994</v>
      </c>
      <c r="K974" s="1">
        <v>43777</v>
      </c>
      <c r="L974">
        <v>4</v>
      </c>
      <c r="M974" t="s">
        <v>7420</v>
      </c>
    </row>
    <row r="975" spans="1:13" x14ac:dyDescent="0.25">
      <c r="A975" t="s">
        <v>7416</v>
      </c>
      <c r="B975" t="s">
        <v>6182</v>
      </c>
      <c r="C975">
        <v>1050</v>
      </c>
      <c r="D975">
        <v>1052</v>
      </c>
      <c r="E975">
        <v>1048.21</v>
      </c>
      <c r="F975">
        <v>1049.95</v>
      </c>
      <c r="G975">
        <v>1050</v>
      </c>
      <c r="H975">
        <v>1046.5</v>
      </c>
      <c r="I975">
        <v>214</v>
      </c>
      <c r="J975">
        <v>225002.47</v>
      </c>
      <c r="K975" s="1">
        <v>43777</v>
      </c>
      <c r="L975">
        <v>9</v>
      </c>
      <c r="M975" t="s">
        <v>7419</v>
      </c>
    </row>
    <row r="976" spans="1:13" x14ac:dyDescent="0.25">
      <c r="A976" t="s">
        <v>7416</v>
      </c>
      <c r="B976" t="s">
        <v>6210</v>
      </c>
      <c r="C976">
        <v>1865.2</v>
      </c>
      <c r="D976">
        <v>1880</v>
      </c>
      <c r="E976">
        <v>1865.1</v>
      </c>
      <c r="F976">
        <v>1880</v>
      </c>
      <c r="G976">
        <v>1880</v>
      </c>
      <c r="H976">
        <v>1868</v>
      </c>
      <c r="I976">
        <v>167</v>
      </c>
      <c r="J976">
        <v>312189.5</v>
      </c>
      <c r="K976" s="1">
        <v>43777</v>
      </c>
      <c r="L976">
        <v>13</v>
      </c>
      <c r="M976" t="s">
        <v>7418</v>
      </c>
    </row>
    <row r="977" spans="1:13" x14ac:dyDescent="0.25">
      <c r="A977" t="s">
        <v>7416</v>
      </c>
      <c r="B977" t="s">
        <v>6174</v>
      </c>
      <c r="C977">
        <v>1040</v>
      </c>
      <c r="D977">
        <v>1041</v>
      </c>
      <c r="E977">
        <v>1040</v>
      </c>
      <c r="F977">
        <v>1041</v>
      </c>
      <c r="G977">
        <v>1041</v>
      </c>
      <c r="H977">
        <v>1042</v>
      </c>
      <c r="I977">
        <v>25</v>
      </c>
      <c r="J977">
        <v>26020</v>
      </c>
      <c r="K977" s="1">
        <v>43777</v>
      </c>
      <c r="L977">
        <v>2</v>
      </c>
      <c r="M977" t="s">
        <v>7417</v>
      </c>
    </row>
    <row r="978" spans="1:13" x14ac:dyDescent="0.25">
      <c r="A978" t="s">
        <v>7416</v>
      </c>
      <c r="B978" t="s">
        <v>5843</v>
      </c>
      <c r="C978">
        <v>1932</v>
      </c>
      <c r="D978">
        <v>1939.9</v>
      </c>
      <c r="E978">
        <v>1930</v>
      </c>
      <c r="F978">
        <v>1932.5</v>
      </c>
      <c r="G978">
        <v>1932.5</v>
      </c>
      <c r="H978">
        <v>1931</v>
      </c>
      <c r="I978">
        <v>896</v>
      </c>
      <c r="J978">
        <v>1732885.43</v>
      </c>
      <c r="K978" s="1">
        <v>43777</v>
      </c>
      <c r="L978">
        <v>23</v>
      </c>
      <c r="M978" t="s">
        <v>7415</v>
      </c>
    </row>
    <row r="979" spans="1:13" x14ac:dyDescent="0.25">
      <c r="A979" t="s">
        <v>7414</v>
      </c>
      <c r="B979" t="s">
        <v>14</v>
      </c>
      <c r="C979">
        <v>20.45</v>
      </c>
      <c r="D979">
        <v>20.45</v>
      </c>
      <c r="E979">
        <v>20.45</v>
      </c>
      <c r="F979">
        <v>20.45</v>
      </c>
      <c r="G979">
        <v>20.45</v>
      </c>
      <c r="H979">
        <v>19.5</v>
      </c>
      <c r="I979">
        <v>357531</v>
      </c>
      <c r="J979">
        <v>7311508.9500000002</v>
      </c>
      <c r="K979" s="1">
        <v>43777</v>
      </c>
      <c r="L979">
        <v>384</v>
      </c>
      <c r="M979" t="s">
        <v>7413</v>
      </c>
    </row>
    <row r="980" spans="1:13" x14ac:dyDescent="0.25">
      <c r="A980" t="s">
        <v>2890</v>
      </c>
      <c r="B980" t="s">
        <v>14</v>
      </c>
      <c r="C980">
        <v>1504.9</v>
      </c>
      <c r="D980">
        <v>1520</v>
      </c>
      <c r="E980">
        <v>1440.4</v>
      </c>
      <c r="F980">
        <v>1452.9</v>
      </c>
      <c r="G980">
        <v>1442</v>
      </c>
      <c r="H980">
        <v>1495.75</v>
      </c>
      <c r="I980">
        <v>377630</v>
      </c>
      <c r="J980">
        <v>564844954.60000002</v>
      </c>
      <c r="K980" s="1">
        <v>43777</v>
      </c>
      <c r="L980">
        <v>20613</v>
      </c>
      <c r="M980" t="s">
        <v>2892</v>
      </c>
    </row>
    <row r="981" spans="1:13" x14ac:dyDescent="0.25">
      <c r="A981" t="s">
        <v>2893</v>
      </c>
      <c r="B981" t="s">
        <v>14</v>
      </c>
      <c r="C981">
        <v>31.5</v>
      </c>
      <c r="D981">
        <v>33.4</v>
      </c>
      <c r="E981">
        <v>30.15</v>
      </c>
      <c r="F981">
        <v>30.95</v>
      </c>
      <c r="G981">
        <v>31.4</v>
      </c>
      <c r="H981">
        <v>31.7</v>
      </c>
      <c r="I981">
        <v>14999</v>
      </c>
      <c r="J981">
        <v>473104.05</v>
      </c>
      <c r="K981" s="1">
        <v>43777</v>
      </c>
      <c r="L981">
        <v>742</v>
      </c>
      <c r="M981" t="s">
        <v>2895</v>
      </c>
    </row>
    <row r="982" spans="1:13" x14ac:dyDescent="0.25">
      <c r="A982" t="s">
        <v>2899</v>
      </c>
      <c r="B982" t="s">
        <v>14</v>
      </c>
      <c r="C982">
        <v>167</v>
      </c>
      <c r="D982">
        <v>169.95</v>
      </c>
      <c r="E982">
        <v>162</v>
      </c>
      <c r="F982">
        <v>167.35</v>
      </c>
      <c r="G982">
        <v>165.1</v>
      </c>
      <c r="H982">
        <v>164.3</v>
      </c>
      <c r="I982">
        <v>33244</v>
      </c>
      <c r="J982">
        <v>5542426.2000000002</v>
      </c>
      <c r="K982" s="1">
        <v>43777</v>
      </c>
      <c r="L982">
        <v>1222</v>
      </c>
      <c r="M982" t="s">
        <v>2901</v>
      </c>
    </row>
    <row r="983" spans="1:13" x14ac:dyDescent="0.25">
      <c r="A983" t="s">
        <v>2902</v>
      </c>
      <c r="B983" t="s">
        <v>10</v>
      </c>
      <c r="C983">
        <v>18.95</v>
      </c>
      <c r="D983">
        <v>19.05</v>
      </c>
      <c r="E983">
        <v>18.05</v>
      </c>
      <c r="F983">
        <v>18.05</v>
      </c>
      <c r="G983">
        <v>18.05</v>
      </c>
      <c r="H983">
        <v>18.95</v>
      </c>
      <c r="I983">
        <v>27628</v>
      </c>
      <c r="J983">
        <v>507224</v>
      </c>
      <c r="K983" s="1">
        <v>43777</v>
      </c>
      <c r="L983">
        <v>59</v>
      </c>
      <c r="M983" t="s">
        <v>2904</v>
      </c>
    </row>
    <row r="984" spans="1:13" x14ac:dyDescent="0.25">
      <c r="A984" t="s">
        <v>2911</v>
      </c>
      <c r="B984" t="s">
        <v>14</v>
      </c>
      <c r="C984">
        <v>371</v>
      </c>
      <c r="D984">
        <v>373.7</v>
      </c>
      <c r="E984">
        <v>364.1</v>
      </c>
      <c r="F984">
        <v>366.05</v>
      </c>
      <c r="G984">
        <v>366.4</v>
      </c>
      <c r="H984">
        <v>369.4</v>
      </c>
      <c r="I984">
        <v>88246</v>
      </c>
      <c r="J984">
        <v>32468290.300000001</v>
      </c>
      <c r="K984" s="1">
        <v>43777</v>
      </c>
      <c r="L984">
        <v>3171</v>
      </c>
      <c r="M984" t="s">
        <v>7412</v>
      </c>
    </row>
    <row r="985" spans="1:13" x14ac:dyDescent="0.25">
      <c r="A985" t="s">
        <v>2914</v>
      </c>
      <c r="B985" t="s">
        <v>5788</v>
      </c>
      <c r="C985">
        <v>11</v>
      </c>
      <c r="D985">
        <v>11</v>
      </c>
      <c r="E985">
        <v>11</v>
      </c>
      <c r="F985">
        <v>11</v>
      </c>
      <c r="G985">
        <v>11</v>
      </c>
      <c r="H985">
        <v>9.5</v>
      </c>
      <c r="I985">
        <v>6000</v>
      </c>
      <c r="J985">
        <v>66000</v>
      </c>
      <c r="K985" s="1">
        <v>43777</v>
      </c>
      <c r="L985">
        <v>1</v>
      </c>
      <c r="M985" t="s">
        <v>2916</v>
      </c>
    </row>
    <row r="986" spans="1:13" x14ac:dyDescent="0.25">
      <c r="A986" t="s">
        <v>2917</v>
      </c>
      <c r="B986" t="s">
        <v>14</v>
      </c>
      <c r="C986">
        <v>3420.85</v>
      </c>
      <c r="D986">
        <v>3490</v>
      </c>
      <c r="E986">
        <v>3400</v>
      </c>
      <c r="F986">
        <v>3436.6</v>
      </c>
      <c r="G986">
        <v>3435</v>
      </c>
      <c r="H986">
        <v>3420</v>
      </c>
      <c r="I986">
        <v>7187</v>
      </c>
      <c r="J986">
        <v>24708006.350000001</v>
      </c>
      <c r="K986" s="1">
        <v>43777</v>
      </c>
      <c r="L986">
        <v>2175</v>
      </c>
      <c r="M986" t="s">
        <v>2919</v>
      </c>
    </row>
    <row r="987" spans="1:13" x14ac:dyDescent="0.25">
      <c r="A987" t="s">
        <v>2923</v>
      </c>
      <c r="B987" t="s">
        <v>14</v>
      </c>
      <c r="C987">
        <v>59.1</v>
      </c>
      <c r="D987">
        <v>59.95</v>
      </c>
      <c r="E987">
        <v>58.3</v>
      </c>
      <c r="F987">
        <v>58.85</v>
      </c>
      <c r="G987">
        <v>59</v>
      </c>
      <c r="H987">
        <v>59.1</v>
      </c>
      <c r="I987">
        <v>359263</v>
      </c>
      <c r="J987">
        <v>21229576.149999999</v>
      </c>
      <c r="K987" s="1">
        <v>43777</v>
      </c>
      <c r="L987">
        <v>8191</v>
      </c>
      <c r="M987" t="s">
        <v>2925</v>
      </c>
    </row>
    <row r="988" spans="1:13" x14ac:dyDescent="0.25">
      <c r="A988" t="s">
        <v>2926</v>
      </c>
      <c r="B988" t="s">
        <v>5788</v>
      </c>
      <c r="C988">
        <v>9.5500000000000007</v>
      </c>
      <c r="D988">
        <v>9.6</v>
      </c>
      <c r="E988">
        <v>9.5500000000000007</v>
      </c>
      <c r="F988">
        <v>9.5500000000000007</v>
      </c>
      <c r="G988">
        <v>9.5500000000000007</v>
      </c>
      <c r="H988">
        <v>10.050000000000001</v>
      </c>
      <c r="I988">
        <v>7000</v>
      </c>
      <c r="J988">
        <v>66950</v>
      </c>
      <c r="K988" s="1">
        <v>43777</v>
      </c>
      <c r="L988">
        <v>7</v>
      </c>
      <c r="M988" t="s">
        <v>2928</v>
      </c>
    </row>
    <row r="989" spans="1:13" x14ac:dyDescent="0.25">
      <c r="A989" t="s">
        <v>2932</v>
      </c>
      <c r="B989" t="s">
        <v>14</v>
      </c>
      <c r="C989">
        <v>293.55</v>
      </c>
      <c r="D989">
        <v>299</v>
      </c>
      <c r="E989">
        <v>290.55</v>
      </c>
      <c r="F989">
        <v>295.39999999999998</v>
      </c>
      <c r="G989">
        <v>294.39999999999998</v>
      </c>
      <c r="H989">
        <v>293.55</v>
      </c>
      <c r="I989">
        <v>2656</v>
      </c>
      <c r="J989">
        <v>783565.4</v>
      </c>
      <c r="K989" s="1">
        <v>43777</v>
      </c>
      <c r="L989">
        <v>140</v>
      </c>
      <c r="M989" t="s">
        <v>2934</v>
      </c>
    </row>
    <row r="990" spans="1:13" x14ac:dyDescent="0.25">
      <c r="A990" t="s">
        <v>2935</v>
      </c>
      <c r="B990" t="s">
        <v>14</v>
      </c>
      <c r="C990">
        <v>2.4</v>
      </c>
      <c r="D990">
        <v>2.4500000000000002</v>
      </c>
      <c r="E990">
        <v>2.2999999999999998</v>
      </c>
      <c r="F990">
        <v>2.4</v>
      </c>
      <c r="G990">
        <v>2.4</v>
      </c>
      <c r="H990">
        <v>2.4</v>
      </c>
      <c r="I990">
        <v>14930</v>
      </c>
      <c r="J990">
        <v>35659.4</v>
      </c>
      <c r="K990" s="1">
        <v>43777</v>
      </c>
      <c r="L990">
        <v>20</v>
      </c>
      <c r="M990" t="s">
        <v>2937</v>
      </c>
    </row>
    <row r="991" spans="1:13" x14ac:dyDescent="0.25">
      <c r="A991" t="s">
        <v>2941</v>
      </c>
      <c r="B991" t="s">
        <v>14</v>
      </c>
      <c r="C991">
        <v>49.05</v>
      </c>
      <c r="D991">
        <v>51</v>
      </c>
      <c r="E991">
        <v>48</v>
      </c>
      <c r="F991">
        <v>51</v>
      </c>
      <c r="G991">
        <v>51</v>
      </c>
      <c r="H991">
        <v>52</v>
      </c>
      <c r="I991">
        <v>101</v>
      </c>
      <c r="J991">
        <v>4922</v>
      </c>
      <c r="K991" s="1">
        <v>43777</v>
      </c>
      <c r="L991">
        <v>4</v>
      </c>
      <c r="M991" t="s">
        <v>2943</v>
      </c>
    </row>
    <row r="992" spans="1:13" x14ac:dyDescent="0.25">
      <c r="A992" t="s">
        <v>2944</v>
      </c>
      <c r="B992" t="s">
        <v>14</v>
      </c>
      <c r="C992">
        <v>123.95</v>
      </c>
      <c r="D992">
        <v>150.44999999999999</v>
      </c>
      <c r="E992">
        <v>122.25</v>
      </c>
      <c r="F992">
        <v>129.69999999999999</v>
      </c>
      <c r="G992">
        <v>130</v>
      </c>
      <c r="H992">
        <v>125.4</v>
      </c>
      <c r="I992">
        <v>1568799</v>
      </c>
      <c r="J992">
        <v>213849046.69999999</v>
      </c>
      <c r="K992" s="1">
        <v>43777</v>
      </c>
      <c r="L992">
        <v>20792</v>
      </c>
      <c r="M992" t="s">
        <v>2946</v>
      </c>
    </row>
    <row r="993" spans="1:13" x14ac:dyDescent="0.25">
      <c r="A993" t="s">
        <v>2947</v>
      </c>
      <c r="B993" t="s">
        <v>14</v>
      </c>
      <c r="C993">
        <v>436.85</v>
      </c>
      <c r="D993">
        <v>445.4</v>
      </c>
      <c r="E993">
        <v>432</v>
      </c>
      <c r="F993">
        <v>439.55</v>
      </c>
      <c r="G993">
        <v>439</v>
      </c>
      <c r="H993">
        <v>437.8</v>
      </c>
      <c r="I993">
        <v>3398900</v>
      </c>
      <c r="J993">
        <v>1497091169.05</v>
      </c>
      <c r="K993" s="1">
        <v>43777</v>
      </c>
      <c r="L993">
        <v>47336</v>
      </c>
      <c r="M993" t="s">
        <v>2949</v>
      </c>
    </row>
    <row r="994" spans="1:13" x14ac:dyDescent="0.25">
      <c r="A994" t="s">
        <v>6368</v>
      </c>
      <c r="B994" t="s">
        <v>14</v>
      </c>
      <c r="C994">
        <v>21.2</v>
      </c>
      <c r="D994">
        <v>21.25</v>
      </c>
      <c r="E994">
        <v>21</v>
      </c>
      <c r="F994">
        <v>21.13</v>
      </c>
      <c r="G994">
        <v>21.23</v>
      </c>
      <c r="H994">
        <v>20.93</v>
      </c>
      <c r="I994">
        <v>548</v>
      </c>
      <c r="J994">
        <v>11573.43</v>
      </c>
      <c r="K994" s="1">
        <v>43777</v>
      </c>
      <c r="L994">
        <v>25</v>
      </c>
      <c r="M994" t="s">
        <v>6367</v>
      </c>
    </row>
    <row r="995" spans="1:13" x14ac:dyDescent="0.25">
      <c r="A995" t="s">
        <v>6366</v>
      </c>
      <c r="B995" t="s">
        <v>14</v>
      </c>
      <c r="C995">
        <v>124.5</v>
      </c>
      <c r="D995">
        <v>125.95</v>
      </c>
      <c r="E995">
        <v>121.95</v>
      </c>
      <c r="F995">
        <v>122</v>
      </c>
      <c r="G995">
        <v>122</v>
      </c>
      <c r="H995">
        <v>123.5</v>
      </c>
      <c r="I995">
        <v>970</v>
      </c>
      <c r="J995">
        <v>120026.31</v>
      </c>
      <c r="K995" s="1">
        <v>43777</v>
      </c>
      <c r="L995">
        <v>28</v>
      </c>
      <c r="M995" t="s">
        <v>6365</v>
      </c>
    </row>
    <row r="996" spans="1:13" x14ac:dyDescent="0.25">
      <c r="A996" t="s">
        <v>6364</v>
      </c>
      <c r="B996" t="s">
        <v>14</v>
      </c>
      <c r="C996">
        <v>478.7</v>
      </c>
      <c r="D996">
        <v>478.7</v>
      </c>
      <c r="E996">
        <v>478.7</v>
      </c>
      <c r="F996">
        <v>478.7</v>
      </c>
      <c r="G996">
        <v>478.7</v>
      </c>
      <c r="H996">
        <v>501</v>
      </c>
      <c r="I996">
        <v>1</v>
      </c>
      <c r="J996">
        <v>478.7</v>
      </c>
      <c r="K996" s="1">
        <v>43777</v>
      </c>
      <c r="L996">
        <v>1</v>
      </c>
      <c r="M996" t="s">
        <v>6363</v>
      </c>
    </row>
    <row r="997" spans="1:13" x14ac:dyDescent="0.25">
      <c r="A997" t="s">
        <v>6362</v>
      </c>
      <c r="B997" t="s">
        <v>14</v>
      </c>
      <c r="C997">
        <v>125</v>
      </c>
      <c r="D997">
        <v>128.1</v>
      </c>
      <c r="E997">
        <v>123.15</v>
      </c>
      <c r="F997">
        <v>124.11</v>
      </c>
      <c r="G997">
        <v>126.99</v>
      </c>
      <c r="H997">
        <v>128.32</v>
      </c>
      <c r="I997">
        <v>1337</v>
      </c>
      <c r="J997">
        <v>165234.07999999999</v>
      </c>
      <c r="K997" s="1">
        <v>43777</v>
      </c>
      <c r="L997">
        <v>24</v>
      </c>
      <c r="M997" t="s">
        <v>6361</v>
      </c>
    </row>
    <row r="998" spans="1:13" x14ac:dyDescent="0.25">
      <c r="A998" t="s">
        <v>2959</v>
      </c>
      <c r="B998" t="s">
        <v>14</v>
      </c>
      <c r="C998">
        <v>157.4</v>
      </c>
      <c r="D998">
        <v>165.4</v>
      </c>
      <c r="E998">
        <v>157.1</v>
      </c>
      <c r="F998">
        <v>161.69999999999999</v>
      </c>
      <c r="G998">
        <v>160.35</v>
      </c>
      <c r="H998">
        <v>156.55000000000001</v>
      </c>
      <c r="I998">
        <v>33857</v>
      </c>
      <c r="J998">
        <v>5469706.4500000002</v>
      </c>
      <c r="K998" s="1">
        <v>43777</v>
      </c>
      <c r="L998">
        <v>1512</v>
      </c>
      <c r="M998" t="s">
        <v>2961</v>
      </c>
    </row>
    <row r="999" spans="1:13" x14ac:dyDescent="0.25">
      <c r="A999" t="s">
        <v>7411</v>
      </c>
      <c r="B999" t="s">
        <v>14</v>
      </c>
      <c r="C999">
        <v>199</v>
      </c>
      <c r="D999">
        <v>205</v>
      </c>
      <c r="E999">
        <v>195.1</v>
      </c>
      <c r="F999">
        <v>196.2</v>
      </c>
      <c r="G999">
        <v>200</v>
      </c>
      <c r="H999">
        <v>198.45</v>
      </c>
      <c r="I999">
        <v>6414</v>
      </c>
      <c r="J999">
        <v>1288712.1499999999</v>
      </c>
      <c r="K999" s="1">
        <v>43777</v>
      </c>
      <c r="L999">
        <v>410</v>
      </c>
      <c r="M999" t="s">
        <v>2958</v>
      </c>
    </row>
    <row r="1000" spans="1:13" x14ac:dyDescent="0.25">
      <c r="A1000" t="s">
        <v>2962</v>
      </c>
      <c r="B1000" t="s">
        <v>14</v>
      </c>
      <c r="C1000">
        <v>556</v>
      </c>
      <c r="D1000">
        <v>560</v>
      </c>
      <c r="E1000">
        <v>541.15</v>
      </c>
      <c r="F1000">
        <v>545.45000000000005</v>
      </c>
      <c r="G1000">
        <v>543.79999999999995</v>
      </c>
      <c r="H1000">
        <v>551.85</v>
      </c>
      <c r="I1000">
        <v>6821</v>
      </c>
      <c r="J1000">
        <v>3756272.4</v>
      </c>
      <c r="K1000" s="1">
        <v>43777</v>
      </c>
      <c r="L1000">
        <v>506</v>
      </c>
      <c r="M1000" t="s">
        <v>2964</v>
      </c>
    </row>
    <row r="1001" spans="1:13" x14ac:dyDescent="0.25">
      <c r="A1001" t="s">
        <v>6358</v>
      </c>
      <c r="B1001" t="s">
        <v>14</v>
      </c>
      <c r="C1001">
        <v>1000.01</v>
      </c>
      <c r="D1001">
        <v>1000.01</v>
      </c>
      <c r="E1001">
        <v>999.99</v>
      </c>
      <c r="F1001">
        <v>1000</v>
      </c>
      <c r="G1001">
        <v>999.99</v>
      </c>
      <c r="H1001">
        <v>1000</v>
      </c>
      <c r="I1001">
        <v>794005</v>
      </c>
      <c r="J1001">
        <v>794005867.09000003</v>
      </c>
      <c r="K1001" s="1">
        <v>43777</v>
      </c>
      <c r="L1001">
        <v>2829</v>
      </c>
      <c r="M1001" t="s">
        <v>6357</v>
      </c>
    </row>
    <row r="1002" spans="1:13" x14ac:dyDescent="0.25">
      <c r="A1002" t="s">
        <v>6356</v>
      </c>
      <c r="B1002" t="s">
        <v>14</v>
      </c>
      <c r="C1002">
        <v>999.99</v>
      </c>
      <c r="D1002">
        <v>1000.01</v>
      </c>
      <c r="E1002">
        <v>999.99</v>
      </c>
      <c r="F1002">
        <v>999.99</v>
      </c>
      <c r="G1002">
        <v>999.99</v>
      </c>
      <c r="H1002">
        <v>1000</v>
      </c>
      <c r="I1002">
        <v>67695</v>
      </c>
      <c r="J1002">
        <v>67694353.819999993</v>
      </c>
      <c r="K1002" s="1">
        <v>43777</v>
      </c>
      <c r="L1002">
        <v>246</v>
      </c>
      <c r="M1002" t="s">
        <v>6355</v>
      </c>
    </row>
    <row r="1003" spans="1:13" x14ac:dyDescent="0.25">
      <c r="A1003" t="s">
        <v>2974</v>
      </c>
      <c r="B1003" t="s">
        <v>14</v>
      </c>
      <c r="C1003">
        <v>35.799999999999997</v>
      </c>
      <c r="D1003">
        <v>36</v>
      </c>
      <c r="E1003">
        <v>34.799999999999997</v>
      </c>
      <c r="F1003">
        <v>35.700000000000003</v>
      </c>
      <c r="G1003">
        <v>35.6</v>
      </c>
      <c r="H1003">
        <v>35.65</v>
      </c>
      <c r="I1003">
        <v>18322</v>
      </c>
      <c r="J1003">
        <v>651707.69999999995</v>
      </c>
      <c r="K1003" s="1">
        <v>43777</v>
      </c>
      <c r="L1003">
        <v>241</v>
      </c>
      <c r="M1003" t="s">
        <v>2976</v>
      </c>
    </row>
    <row r="1004" spans="1:13" x14ac:dyDescent="0.25">
      <c r="A1004" t="s">
        <v>2980</v>
      </c>
      <c r="B1004" t="s">
        <v>14</v>
      </c>
      <c r="C1004">
        <v>20.25</v>
      </c>
      <c r="D1004">
        <v>20.25</v>
      </c>
      <c r="E1004">
        <v>20</v>
      </c>
      <c r="F1004">
        <v>20.05</v>
      </c>
      <c r="G1004">
        <v>20.05</v>
      </c>
      <c r="H1004">
        <v>20.45</v>
      </c>
      <c r="I1004">
        <v>387</v>
      </c>
      <c r="J1004">
        <v>7766.3</v>
      </c>
      <c r="K1004" s="1">
        <v>43777</v>
      </c>
      <c r="L1004">
        <v>14</v>
      </c>
      <c r="M1004" t="s">
        <v>2982</v>
      </c>
    </row>
    <row r="1005" spans="1:13" x14ac:dyDescent="0.25">
      <c r="A1005" t="s">
        <v>2983</v>
      </c>
      <c r="B1005" t="s">
        <v>14</v>
      </c>
      <c r="C1005">
        <v>67.55</v>
      </c>
      <c r="D1005">
        <v>69</v>
      </c>
      <c r="E1005">
        <v>66.150000000000006</v>
      </c>
      <c r="F1005">
        <v>67.599999999999994</v>
      </c>
      <c r="G1005">
        <v>67.5</v>
      </c>
      <c r="H1005">
        <v>68.3</v>
      </c>
      <c r="I1005">
        <v>2865</v>
      </c>
      <c r="J1005">
        <v>194257.35</v>
      </c>
      <c r="K1005" s="1">
        <v>43777</v>
      </c>
      <c r="L1005">
        <v>120</v>
      </c>
      <c r="M1005" t="s">
        <v>2985</v>
      </c>
    </row>
    <row r="1006" spans="1:13" x14ac:dyDescent="0.25">
      <c r="A1006" t="s">
        <v>2989</v>
      </c>
      <c r="B1006" t="s">
        <v>10</v>
      </c>
      <c r="C1006">
        <v>1.7</v>
      </c>
      <c r="D1006">
        <v>1.75</v>
      </c>
      <c r="E1006">
        <v>1.7</v>
      </c>
      <c r="F1006">
        <v>1.75</v>
      </c>
      <c r="G1006">
        <v>1.75</v>
      </c>
      <c r="H1006">
        <v>1.75</v>
      </c>
      <c r="I1006">
        <v>125</v>
      </c>
      <c r="J1006">
        <v>217.5</v>
      </c>
      <c r="K1006" s="1">
        <v>43777</v>
      </c>
      <c r="L1006">
        <v>2</v>
      </c>
      <c r="M1006" t="s">
        <v>2991</v>
      </c>
    </row>
    <row r="1007" spans="1:13" x14ac:dyDescent="0.25">
      <c r="A1007" t="s">
        <v>7410</v>
      </c>
      <c r="B1007" t="s">
        <v>14</v>
      </c>
      <c r="C1007">
        <v>0.55000000000000004</v>
      </c>
      <c r="D1007">
        <v>0.6</v>
      </c>
      <c r="E1007">
        <v>0.5</v>
      </c>
      <c r="F1007">
        <v>0.5</v>
      </c>
      <c r="G1007">
        <v>0.5</v>
      </c>
      <c r="H1007">
        <v>0.6</v>
      </c>
      <c r="I1007">
        <v>2043693</v>
      </c>
      <c r="J1007">
        <v>1073904.8</v>
      </c>
      <c r="K1007" s="1">
        <v>43777</v>
      </c>
      <c r="L1007">
        <v>426</v>
      </c>
      <c r="M1007" t="s">
        <v>2967</v>
      </c>
    </row>
    <row r="1008" spans="1:13" x14ac:dyDescent="0.25">
      <c r="A1008" t="s">
        <v>2992</v>
      </c>
      <c r="B1008" t="s">
        <v>14</v>
      </c>
      <c r="C1008">
        <v>1429.95</v>
      </c>
      <c r="D1008">
        <v>1448</v>
      </c>
      <c r="E1008">
        <v>1420</v>
      </c>
      <c r="F1008">
        <v>1423</v>
      </c>
      <c r="G1008">
        <v>1423.65</v>
      </c>
      <c r="H1008">
        <v>1435.05</v>
      </c>
      <c r="I1008">
        <v>2217408</v>
      </c>
      <c r="J1008">
        <v>3175918367.5</v>
      </c>
      <c r="K1008" s="1">
        <v>43777</v>
      </c>
      <c r="L1008">
        <v>69352</v>
      </c>
      <c r="M1008" t="s">
        <v>2994</v>
      </c>
    </row>
    <row r="1009" spans="1:13" x14ac:dyDescent="0.25">
      <c r="A1009" t="s">
        <v>7409</v>
      </c>
      <c r="B1009" t="s">
        <v>14</v>
      </c>
      <c r="C1009">
        <v>1674.8</v>
      </c>
      <c r="D1009">
        <v>1674.8</v>
      </c>
      <c r="E1009">
        <v>1650</v>
      </c>
      <c r="F1009">
        <v>1652.6</v>
      </c>
      <c r="G1009">
        <v>1653.75</v>
      </c>
      <c r="H1009">
        <v>1668</v>
      </c>
      <c r="I1009">
        <v>31375</v>
      </c>
      <c r="J1009">
        <v>51940350.899999999</v>
      </c>
      <c r="K1009" s="1">
        <v>43777</v>
      </c>
      <c r="L1009">
        <v>3467</v>
      </c>
      <c r="M1009" t="s">
        <v>3000</v>
      </c>
    </row>
    <row r="1010" spans="1:13" x14ac:dyDescent="0.25">
      <c r="A1010" t="s">
        <v>3001</v>
      </c>
      <c r="B1010" t="s">
        <v>14</v>
      </c>
      <c r="C1010">
        <v>1466</v>
      </c>
      <c r="D1010">
        <v>1474.05</v>
      </c>
      <c r="E1010">
        <v>1447</v>
      </c>
      <c r="F1010">
        <v>1454.65</v>
      </c>
      <c r="G1010">
        <v>1452.9</v>
      </c>
      <c r="H1010">
        <v>1463.85</v>
      </c>
      <c r="I1010">
        <v>71132</v>
      </c>
      <c r="J1010">
        <v>103523985.40000001</v>
      </c>
      <c r="K1010" s="1">
        <v>43777</v>
      </c>
      <c r="L1010">
        <v>7151</v>
      </c>
      <c r="M1010" t="s">
        <v>3003</v>
      </c>
    </row>
    <row r="1011" spans="1:13" x14ac:dyDescent="0.25">
      <c r="A1011" t="s">
        <v>3004</v>
      </c>
      <c r="B1011" t="s">
        <v>14</v>
      </c>
      <c r="C1011">
        <v>1250.05</v>
      </c>
      <c r="D1011">
        <v>1258.55</v>
      </c>
      <c r="E1011">
        <v>1245</v>
      </c>
      <c r="F1011">
        <v>1245.05</v>
      </c>
      <c r="G1011">
        <v>1245.05</v>
      </c>
      <c r="H1011">
        <v>1261.45</v>
      </c>
      <c r="I1011">
        <v>1101</v>
      </c>
      <c r="J1011">
        <v>1376300.8</v>
      </c>
      <c r="K1011" s="1">
        <v>43777</v>
      </c>
      <c r="L1011">
        <v>178</v>
      </c>
      <c r="M1011" t="s">
        <v>3006</v>
      </c>
    </row>
    <row r="1012" spans="1:13" x14ac:dyDescent="0.25">
      <c r="A1012" t="s">
        <v>3007</v>
      </c>
      <c r="B1012" t="s">
        <v>14</v>
      </c>
      <c r="C1012">
        <v>102</v>
      </c>
      <c r="D1012">
        <v>103.75</v>
      </c>
      <c r="E1012">
        <v>99.6</v>
      </c>
      <c r="F1012">
        <v>100.6</v>
      </c>
      <c r="G1012">
        <v>100</v>
      </c>
      <c r="H1012">
        <v>101.6</v>
      </c>
      <c r="I1012">
        <v>15615</v>
      </c>
      <c r="J1012">
        <v>1587159.5</v>
      </c>
      <c r="K1012" s="1">
        <v>43777</v>
      </c>
      <c r="L1012">
        <v>398</v>
      </c>
      <c r="M1012" t="s">
        <v>3009</v>
      </c>
    </row>
    <row r="1013" spans="1:13" x14ac:dyDescent="0.25">
      <c r="A1013" t="s">
        <v>3010</v>
      </c>
      <c r="B1013" t="s">
        <v>14</v>
      </c>
      <c r="C1013">
        <v>741</v>
      </c>
      <c r="D1013">
        <v>743</v>
      </c>
      <c r="E1013">
        <v>715.25</v>
      </c>
      <c r="F1013">
        <v>718.75</v>
      </c>
      <c r="G1013">
        <v>718.5</v>
      </c>
      <c r="H1013">
        <v>737.45</v>
      </c>
      <c r="I1013">
        <v>1523794</v>
      </c>
      <c r="J1013">
        <v>1111414919.7</v>
      </c>
      <c r="K1013" s="1">
        <v>43777</v>
      </c>
      <c r="L1013">
        <v>31915</v>
      </c>
      <c r="M1013" t="s">
        <v>3012</v>
      </c>
    </row>
    <row r="1014" spans="1:13" x14ac:dyDescent="0.25">
      <c r="A1014" t="s">
        <v>3013</v>
      </c>
      <c r="B1014" t="s">
        <v>14</v>
      </c>
      <c r="C1014">
        <v>1197.95</v>
      </c>
      <c r="D1014">
        <v>1204</v>
      </c>
      <c r="E1014">
        <v>1176.5999999999999</v>
      </c>
      <c r="F1014">
        <v>1191.05</v>
      </c>
      <c r="G1014">
        <v>1195.05</v>
      </c>
      <c r="H1014">
        <v>1202.95</v>
      </c>
      <c r="I1014">
        <v>50407</v>
      </c>
      <c r="J1014">
        <v>59988860.100000001</v>
      </c>
      <c r="K1014" s="1">
        <v>43777</v>
      </c>
      <c r="L1014">
        <v>1419</v>
      </c>
      <c r="M1014" t="s">
        <v>3015</v>
      </c>
    </row>
    <row r="1015" spans="1:13" x14ac:dyDescent="0.25">
      <c r="A1015" t="s">
        <v>3019</v>
      </c>
      <c r="B1015" t="s">
        <v>14</v>
      </c>
      <c r="C1015">
        <v>16.7</v>
      </c>
      <c r="D1015">
        <v>17.05</v>
      </c>
      <c r="E1015">
        <v>15.85</v>
      </c>
      <c r="F1015">
        <v>16</v>
      </c>
      <c r="G1015">
        <v>15.85</v>
      </c>
      <c r="H1015">
        <v>16.899999999999999</v>
      </c>
      <c r="I1015">
        <v>17402</v>
      </c>
      <c r="J1015">
        <v>283893.90000000002</v>
      </c>
      <c r="K1015" s="1">
        <v>43777</v>
      </c>
      <c r="L1015">
        <v>265</v>
      </c>
      <c r="M1015" t="s">
        <v>3021</v>
      </c>
    </row>
    <row r="1016" spans="1:13" x14ac:dyDescent="0.25">
      <c r="A1016" t="s">
        <v>3022</v>
      </c>
      <c r="B1016" t="s">
        <v>14</v>
      </c>
      <c r="C1016">
        <v>4.75</v>
      </c>
      <c r="D1016">
        <v>4.75</v>
      </c>
      <c r="E1016">
        <v>4.2</v>
      </c>
      <c r="F1016">
        <v>4.45</v>
      </c>
      <c r="G1016">
        <v>4.5</v>
      </c>
      <c r="H1016">
        <v>4.4000000000000004</v>
      </c>
      <c r="I1016">
        <v>18977</v>
      </c>
      <c r="J1016">
        <v>84373.45</v>
      </c>
      <c r="K1016" s="1">
        <v>43777</v>
      </c>
      <c r="L1016">
        <v>61</v>
      </c>
      <c r="M1016" t="s">
        <v>3024</v>
      </c>
    </row>
    <row r="1017" spans="1:13" x14ac:dyDescent="0.25">
      <c r="A1017" t="s">
        <v>3025</v>
      </c>
      <c r="B1017" t="s">
        <v>14</v>
      </c>
      <c r="C1017">
        <v>578</v>
      </c>
      <c r="D1017">
        <v>596.5</v>
      </c>
      <c r="E1017">
        <v>576.85</v>
      </c>
      <c r="F1017">
        <v>580</v>
      </c>
      <c r="G1017">
        <v>581.9</v>
      </c>
      <c r="H1017">
        <v>580.35</v>
      </c>
      <c r="I1017">
        <v>8374614</v>
      </c>
      <c r="J1017">
        <v>4929242009.6999998</v>
      </c>
      <c r="K1017" s="1">
        <v>43777</v>
      </c>
      <c r="L1017">
        <v>110648</v>
      </c>
      <c r="M1017" t="s">
        <v>3027</v>
      </c>
    </row>
    <row r="1018" spans="1:13" x14ac:dyDescent="0.25">
      <c r="A1018" t="s">
        <v>3028</v>
      </c>
      <c r="B1018" t="s">
        <v>14</v>
      </c>
      <c r="C1018">
        <v>339</v>
      </c>
      <c r="D1018">
        <v>339.4</v>
      </c>
      <c r="E1018">
        <v>327.75</v>
      </c>
      <c r="F1018">
        <v>329</v>
      </c>
      <c r="G1018">
        <v>330</v>
      </c>
      <c r="H1018">
        <v>340.35</v>
      </c>
      <c r="I1018">
        <v>1099647</v>
      </c>
      <c r="J1018">
        <v>367562109.35000002</v>
      </c>
      <c r="K1018" s="1">
        <v>43777</v>
      </c>
      <c r="L1018">
        <v>12337</v>
      </c>
      <c r="M1018" t="s">
        <v>3030</v>
      </c>
    </row>
    <row r="1019" spans="1:13" x14ac:dyDescent="0.25">
      <c r="A1019" t="s">
        <v>3028</v>
      </c>
      <c r="B1019" t="s">
        <v>6176</v>
      </c>
      <c r="C1019">
        <v>1060</v>
      </c>
      <c r="D1019">
        <v>1064</v>
      </c>
      <c r="E1019">
        <v>1060</v>
      </c>
      <c r="F1019">
        <v>1061.0999999999999</v>
      </c>
      <c r="G1019">
        <v>1061</v>
      </c>
      <c r="H1019">
        <v>1054</v>
      </c>
      <c r="I1019">
        <v>908</v>
      </c>
      <c r="J1019">
        <v>964109</v>
      </c>
      <c r="K1019" s="1">
        <v>43777</v>
      </c>
      <c r="L1019">
        <v>18</v>
      </c>
      <c r="M1019" t="s">
        <v>6344</v>
      </c>
    </row>
    <row r="1020" spans="1:13" x14ac:dyDescent="0.25">
      <c r="A1020" t="s">
        <v>3028</v>
      </c>
      <c r="B1020" t="s">
        <v>6182</v>
      </c>
      <c r="C1020">
        <v>1300</v>
      </c>
      <c r="D1020">
        <v>1300</v>
      </c>
      <c r="E1020">
        <v>1300</v>
      </c>
      <c r="F1020">
        <v>1300</v>
      </c>
      <c r="G1020">
        <v>1300</v>
      </c>
      <c r="H1020">
        <v>1295</v>
      </c>
      <c r="I1020">
        <v>5</v>
      </c>
      <c r="J1020">
        <v>6500</v>
      </c>
      <c r="K1020" s="1">
        <v>43777</v>
      </c>
      <c r="L1020">
        <v>1</v>
      </c>
      <c r="M1020" t="s">
        <v>7408</v>
      </c>
    </row>
    <row r="1021" spans="1:13" x14ac:dyDescent="0.25">
      <c r="A1021" t="s">
        <v>7407</v>
      </c>
      <c r="B1021" t="s">
        <v>14</v>
      </c>
      <c r="C1021">
        <v>17.37</v>
      </c>
      <c r="D1021">
        <v>17.72</v>
      </c>
      <c r="E1021">
        <v>17.37</v>
      </c>
      <c r="F1021">
        <v>17.64</v>
      </c>
      <c r="G1021">
        <v>17.649999999999999</v>
      </c>
      <c r="H1021">
        <v>17.54</v>
      </c>
      <c r="I1021">
        <v>17159</v>
      </c>
      <c r="J1021">
        <v>303003.53000000003</v>
      </c>
      <c r="K1021" s="1">
        <v>43777</v>
      </c>
      <c r="L1021">
        <v>114</v>
      </c>
      <c r="M1021" t="s">
        <v>6292</v>
      </c>
    </row>
    <row r="1022" spans="1:13" x14ac:dyDescent="0.25">
      <c r="A1022" t="s">
        <v>7406</v>
      </c>
      <c r="B1022" t="s">
        <v>7076</v>
      </c>
      <c r="C1022">
        <v>6.6</v>
      </c>
      <c r="D1022">
        <v>6.6</v>
      </c>
      <c r="E1022">
        <v>6.6</v>
      </c>
      <c r="F1022">
        <v>6.6</v>
      </c>
      <c r="G1022">
        <v>6.6</v>
      </c>
      <c r="H1022">
        <v>6.6</v>
      </c>
      <c r="I1022">
        <v>5000</v>
      </c>
      <c r="J1022">
        <v>33000</v>
      </c>
      <c r="K1022" s="1">
        <v>43777</v>
      </c>
      <c r="L1022">
        <v>3</v>
      </c>
      <c r="M1022" t="s">
        <v>7405</v>
      </c>
    </row>
    <row r="1023" spans="1:13" x14ac:dyDescent="0.25">
      <c r="A1023" t="s">
        <v>7404</v>
      </c>
      <c r="B1023" t="s">
        <v>14</v>
      </c>
      <c r="C1023">
        <v>117.45</v>
      </c>
      <c r="D1023">
        <v>117.75</v>
      </c>
      <c r="E1023">
        <v>116.58</v>
      </c>
      <c r="F1023">
        <v>117.11</v>
      </c>
      <c r="G1023">
        <v>117.11</v>
      </c>
      <c r="H1023">
        <v>117.42</v>
      </c>
      <c r="I1023">
        <v>789</v>
      </c>
      <c r="J1023">
        <v>92249.21</v>
      </c>
      <c r="K1023" s="1">
        <v>43777</v>
      </c>
      <c r="L1023">
        <v>26</v>
      </c>
      <c r="M1023" t="s">
        <v>6290</v>
      </c>
    </row>
    <row r="1024" spans="1:13" x14ac:dyDescent="0.25">
      <c r="A1024" t="s">
        <v>3031</v>
      </c>
      <c r="B1024" t="s">
        <v>14</v>
      </c>
      <c r="C1024">
        <v>64.75</v>
      </c>
      <c r="D1024">
        <v>65.45</v>
      </c>
      <c r="E1024">
        <v>62</v>
      </c>
      <c r="F1024">
        <v>62.55</v>
      </c>
      <c r="G1024">
        <v>62</v>
      </c>
      <c r="H1024">
        <v>64.7</v>
      </c>
      <c r="I1024">
        <v>3260</v>
      </c>
      <c r="J1024">
        <v>206424.5</v>
      </c>
      <c r="K1024" s="1">
        <v>43777</v>
      </c>
      <c r="L1024">
        <v>220</v>
      </c>
      <c r="M1024" t="s">
        <v>7403</v>
      </c>
    </row>
    <row r="1025" spans="1:13" x14ac:dyDescent="0.25">
      <c r="A1025" t="s">
        <v>3034</v>
      </c>
      <c r="B1025" t="s">
        <v>5788</v>
      </c>
      <c r="C1025">
        <v>87.2</v>
      </c>
      <c r="D1025">
        <v>87.2</v>
      </c>
      <c r="E1025">
        <v>87.2</v>
      </c>
      <c r="F1025">
        <v>87.2</v>
      </c>
      <c r="G1025">
        <v>87.2</v>
      </c>
      <c r="H1025">
        <v>85.1</v>
      </c>
      <c r="I1025">
        <v>500</v>
      </c>
      <c r="J1025">
        <v>43600</v>
      </c>
      <c r="K1025" s="1">
        <v>43777</v>
      </c>
      <c r="L1025">
        <v>1</v>
      </c>
      <c r="M1025" t="s">
        <v>3036</v>
      </c>
    </row>
    <row r="1026" spans="1:13" x14ac:dyDescent="0.25">
      <c r="A1026" t="s">
        <v>3037</v>
      </c>
      <c r="B1026" t="s">
        <v>14</v>
      </c>
      <c r="C1026">
        <v>24.4</v>
      </c>
      <c r="D1026">
        <v>24.4</v>
      </c>
      <c r="E1026">
        <v>23.1</v>
      </c>
      <c r="F1026">
        <v>23.4</v>
      </c>
      <c r="G1026">
        <v>23.8</v>
      </c>
      <c r="H1026">
        <v>23.9</v>
      </c>
      <c r="I1026">
        <v>3556</v>
      </c>
      <c r="J1026">
        <v>82694.55</v>
      </c>
      <c r="K1026" s="1">
        <v>43777</v>
      </c>
      <c r="L1026">
        <v>37</v>
      </c>
      <c r="M1026" t="s">
        <v>3039</v>
      </c>
    </row>
    <row r="1027" spans="1:13" x14ac:dyDescent="0.25">
      <c r="A1027" t="s">
        <v>3040</v>
      </c>
      <c r="B1027" t="s">
        <v>14</v>
      </c>
      <c r="C1027">
        <v>4.7</v>
      </c>
      <c r="D1027">
        <v>4.75</v>
      </c>
      <c r="E1027">
        <v>4.5999999999999996</v>
      </c>
      <c r="F1027">
        <v>4.75</v>
      </c>
      <c r="G1027">
        <v>4.75</v>
      </c>
      <c r="H1027">
        <v>4.55</v>
      </c>
      <c r="I1027">
        <v>45107</v>
      </c>
      <c r="J1027">
        <v>214054.75</v>
      </c>
      <c r="K1027" s="1">
        <v>43777</v>
      </c>
      <c r="L1027">
        <v>64</v>
      </c>
      <c r="M1027" t="s">
        <v>3042</v>
      </c>
    </row>
    <row r="1028" spans="1:13" x14ac:dyDescent="0.25">
      <c r="A1028" t="s">
        <v>3043</v>
      </c>
      <c r="B1028" t="s">
        <v>14</v>
      </c>
      <c r="C1028">
        <v>20.3</v>
      </c>
      <c r="D1028">
        <v>20.7</v>
      </c>
      <c r="E1028">
        <v>19.75</v>
      </c>
      <c r="F1028">
        <v>19.95</v>
      </c>
      <c r="G1028">
        <v>19.899999999999999</v>
      </c>
      <c r="H1028">
        <v>20.399999999999999</v>
      </c>
      <c r="I1028">
        <v>377905</v>
      </c>
      <c r="J1028">
        <v>7614640.2000000002</v>
      </c>
      <c r="K1028" s="1">
        <v>43777</v>
      </c>
      <c r="L1028">
        <v>2413</v>
      </c>
      <c r="M1028" t="s">
        <v>3045</v>
      </c>
    </row>
    <row r="1029" spans="1:13" x14ac:dyDescent="0.25">
      <c r="A1029" t="s">
        <v>3046</v>
      </c>
      <c r="B1029" t="s">
        <v>14</v>
      </c>
      <c r="C1029">
        <v>109.05</v>
      </c>
      <c r="D1029">
        <v>112.5</v>
      </c>
      <c r="E1029">
        <v>108</v>
      </c>
      <c r="F1029">
        <v>108.35</v>
      </c>
      <c r="G1029">
        <v>108</v>
      </c>
      <c r="H1029">
        <v>108.6</v>
      </c>
      <c r="I1029">
        <v>26318</v>
      </c>
      <c r="J1029">
        <v>2896624.55</v>
      </c>
      <c r="K1029" s="1">
        <v>43777</v>
      </c>
      <c r="L1029">
        <v>434</v>
      </c>
      <c r="M1029" t="s">
        <v>3048</v>
      </c>
    </row>
    <row r="1030" spans="1:13" x14ac:dyDescent="0.25">
      <c r="A1030" t="s">
        <v>7402</v>
      </c>
      <c r="B1030" t="s">
        <v>14</v>
      </c>
      <c r="C1030">
        <v>49.8</v>
      </c>
      <c r="D1030">
        <v>50.3</v>
      </c>
      <c r="E1030">
        <v>45.6</v>
      </c>
      <c r="F1030">
        <v>47.25</v>
      </c>
      <c r="G1030">
        <v>47</v>
      </c>
      <c r="H1030">
        <v>48.95</v>
      </c>
      <c r="I1030">
        <v>142894</v>
      </c>
      <c r="J1030">
        <v>6838155.6500000004</v>
      </c>
      <c r="K1030" s="1">
        <v>43777</v>
      </c>
      <c r="L1030">
        <v>1924</v>
      </c>
      <c r="M1030" t="s">
        <v>3942</v>
      </c>
    </row>
    <row r="1031" spans="1:13" x14ac:dyDescent="0.25">
      <c r="A1031" t="s">
        <v>7402</v>
      </c>
      <c r="B1031" t="s">
        <v>5843</v>
      </c>
      <c r="C1031">
        <v>900</v>
      </c>
      <c r="D1031">
        <v>900</v>
      </c>
      <c r="E1031">
        <v>850</v>
      </c>
      <c r="F1031">
        <v>876</v>
      </c>
      <c r="G1031">
        <v>850</v>
      </c>
      <c r="H1031">
        <v>1000</v>
      </c>
      <c r="I1031">
        <v>25</v>
      </c>
      <c r="J1031">
        <v>21900</v>
      </c>
      <c r="K1031" s="1">
        <v>43777</v>
      </c>
      <c r="L1031">
        <v>5</v>
      </c>
      <c r="M1031" t="s">
        <v>7401</v>
      </c>
    </row>
    <row r="1032" spans="1:13" x14ac:dyDescent="0.25">
      <c r="A1032" t="s">
        <v>3049</v>
      </c>
      <c r="B1032" t="s">
        <v>10</v>
      </c>
      <c r="C1032">
        <v>3.8</v>
      </c>
      <c r="D1032">
        <v>4.05</v>
      </c>
      <c r="E1032">
        <v>3.75</v>
      </c>
      <c r="F1032">
        <v>3.75</v>
      </c>
      <c r="G1032">
        <v>3.95</v>
      </c>
      <c r="H1032">
        <v>3.9</v>
      </c>
      <c r="I1032">
        <v>795</v>
      </c>
      <c r="J1032">
        <v>2994.75</v>
      </c>
      <c r="K1032" s="1">
        <v>43777</v>
      </c>
      <c r="L1032">
        <v>5</v>
      </c>
      <c r="M1032" t="s">
        <v>3051</v>
      </c>
    </row>
    <row r="1033" spans="1:13" x14ac:dyDescent="0.25">
      <c r="A1033" t="s">
        <v>3052</v>
      </c>
      <c r="B1033" t="s">
        <v>14</v>
      </c>
      <c r="C1033">
        <v>12.1</v>
      </c>
      <c r="D1033">
        <v>12.2</v>
      </c>
      <c r="E1033">
        <v>11.7</v>
      </c>
      <c r="F1033">
        <v>11.8</v>
      </c>
      <c r="G1033">
        <v>11.75</v>
      </c>
      <c r="H1033">
        <v>12.1</v>
      </c>
      <c r="I1033">
        <v>418992</v>
      </c>
      <c r="J1033">
        <v>4976498</v>
      </c>
      <c r="K1033" s="1">
        <v>43777</v>
      </c>
      <c r="L1033">
        <v>1371</v>
      </c>
      <c r="M1033" t="s">
        <v>3054</v>
      </c>
    </row>
    <row r="1034" spans="1:13" x14ac:dyDescent="0.25">
      <c r="A1034" t="s">
        <v>3055</v>
      </c>
      <c r="B1034" t="s">
        <v>10</v>
      </c>
      <c r="C1034">
        <v>84.9</v>
      </c>
      <c r="D1034">
        <v>86.85</v>
      </c>
      <c r="E1034">
        <v>80.05</v>
      </c>
      <c r="F1034">
        <v>86.2</v>
      </c>
      <c r="G1034">
        <v>86.5</v>
      </c>
      <c r="H1034">
        <v>82.75</v>
      </c>
      <c r="I1034">
        <v>1028</v>
      </c>
      <c r="J1034">
        <v>88615.8</v>
      </c>
      <c r="K1034" s="1">
        <v>43777</v>
      </c>
      <c r="L1034">
        <v>19</v>
      </c>
      <c r="M1034" t="s">
        <v>3057</v>
      </c>
    </row>
    <row r="1035" spans="1:13" x14ac:dyDescent="0.25">
      <c r="A1035" t="s">
        <v>3058</v>
      </c>
      <c r="B1035" t="s">
        <v>14</v>
      </c>
      <c r="C1035">
        <v>151</v>
      </c>
      <c r="D1035">
        <v>158</v>
      </c>
      <c r="E1035">
        <v>149.75</v>
      </c>
      <c r="F1035">
        <v>155.55000000000001</v>
      </c>
      <c r="G1035">
        <v>157.6</v>
      </c>
      <c r="H1035">
        <v>152.05000000000001</v>
      </c>
      <c r="I1035">
        <v>37568</v>
      </c>
      <c r="J1035">
        <v>5749225.8499999996</v>
      </c>
      <c r="K1035" s="1">
        <v>43777</v>
      </c>
      <c r="L1035">
        <v>494</v>
      </c>
      <c r="M1035" t="s">
        <v>3060</v>
      </c>
    </row>
    <row r="1036" spans="1:13" x14ac:dyDescent="0.25">
      <c r="A1036" t="s">
        <v>3064</v>
      </c>
      <c r="B1036" t="s">
        <v>14</v>
      </c>
      <c r="C1036">
        <v>240.05</v>
      </c>
      <c r="D1036">
        <v>242.45</v>
      </c>
      <c r="E1036">
        <v>232</v>
      </c>
      <c r="F1036">
        <v>239.6</v>
      </c>
      <c r="G1036">
        <v>239.15</v>
      </c>
      <c r="H1036">
        <v>239.7</v>
      </c>
      <c r="I1036">
        <v>15406</v>
      </c>
      <c r="J1036">
        <v>3682859.85</v>
      </c>
      <c r="K1036" s="1">
        <v>43777</v>
      </c>
      <c r="L1036">
        <v>252</v>
      </c>
      <c r="M1036" t="s">
        <v>3066</v>
      </c>
    </row>
    <row r="1037" spans="1:13" x14ac:dyDescent="0.25">
      <c r="A1037" t="s">
        <v>6335</v>
      </c>
      <c r="B1037" t="s">
        <v>5788</v>
      </c>
      <c r="C1037">
        <v>84.1</v>
      </c>
      <c r="D1037">
        <v>86.8</v>
      </c>
      <c r="E1037">
        <v>84.1</v>
      </c>
      <c r="F1037">
        <v>86.35</v>
      </c>
      <c r="G1037">
        <v>86.7</v>
      </c>
      <c r="H1037">
        <v>86</v>
      </c>
      <c r="I1037">
        <v>24000</v>
      </c>
      <c r="J1037">
        <v>2060850</v>
      </c>
      <c r="K1037" s="1">
        <v>43777</v>
      </c>
      <c r="L1037">
        <v>8</v>
      </c>
      <c r="M1037" t="s">
        <v>6334</v>
      </c>
    </row>
    <row r="1038" spans="1:13" x14ac:dyDescent="0.25">
      <c r="A1038" t="s">
        <v>7400</v>
      </c>
      <c r="B1038" t="s">
        <v>14</v>
      </c>
      <c r="C1038">
        <v>149.1</v>
      </c>
      <c r="D1038">
        <v>151.4</v>
      </c>
      <c r="E1038">
        <v>146.4</v>
      </c>
      <c r="F1038">
        <v>149.30000000000001</v>
      </c>
      <c r="G1038">
        <v>148.85</v>
      </c>
      <c r="H1038">
        <v>149.19999999999999</v>
      </c>
      <c r="I1038">
        <v>208689</v>
      </c>
      <c r="J1038">
        <v>31014403.399999999</v>
      </c>
      <c r="K1038" s="1">
        <v>43777</v>
      </c>
      <c r="L1038">
        <v>3076</v>
      </c>
      <c r="M1038" t="s">
        <v>1015</v>
      </c>
    </row>
    <row r="1039" spans="1:13" x14ac:dyDescent="0.25">
      <c r="A1039" t="s">
        <v>3067</v>
      </c>
      <c r="B1039" t="s">
        <v>14</v>
      </c>
      <c r="C1039">
        <v>394.5</v>
      </c>
      <c r="D1039">
        <v>395</v>
      </c>
      <c r="E1039">
        <v>375.05</v>
      </c>
      <c r="F1039">
        <v>380.45</v>
      </c>
      <c r="G1039">
        <v>383.9</v>
      </c>
      <c r="H1039">
        <v>392.3</v>
      </c>
      <c r="I1039">
        <v>384791</v>
      </c>
      <c r="J1039">
        <v>146392765.75</v>
      </c>
      <c r="K1039" s="1">
        <v>43777</v>
      </c>
      <c r="L1039">
        <v>6694</v>
      </c>
      <c r="M1039" t="s">
        <v>3069</v>
      </c>
    </row>
    <row r="1040" spans="1:13" x14ac:dyDescent="0.25">
      <c r="A1040" t="s">
        <v>3070</v>
      </c>
      <c r="B1040" t="s">
        <v>14</v>
      </c>
      <c r="C1040">
        <v>397.95</v>
      </c>
      <c r="D1040">
        <v>397.95</v>
      </c>
      <c r="E1040">
        <v>387.9</v>
      </c>
      <c r="F1040">
        <v>389.8</v>
      </c>
      <c r="G1040">
        <v>390.2</v>
      </c>
      <c r="H1040">
        <v>399.3</v>
      </c>
      <c r="I1040">
        <v>49972</v>
      </c>
      <c r="J1040">
        <v>19565341.199999999</v>
      </c>
      <c r="K1040" s="1">
        <v>43777</v>
      </c>
      <c r="L1040">
        <v>2311</v>
      </c>
      <c r="M1040" t="s">
        <v>3072</v>
      </c>
    </row>
    <row r="1041" spans="1:13" x14ac:dyDescent="0.25">
      <c r="A1041" t="s">
        <v>3073</v>
      </c>
      <c r="B1041" t="s">
        <v>14</v>
      </c>
      <c r="C1041">
        <v>4872</v>
      </c>
      <c r="D1041">
        <v>4950</v>
      </c>
      <c r="E1041">
        <v>4833.6000000000004</v>
      </c>
      <c r="F1041">
        <v>4913.95</v>
      </c>
      <c r="G1041">
        <v>4927</v>
      </c>
      <c r="H1041">
        <v>4870.3999999999996</v>
      </c>
      <c r="I1041">
        <v>5346</v>
      </c>
      <c r="J1041">
        <v>26217693.100000001</v>
      </c>
      <c r="K1041" s="1">
        <v>43777</v>
      </c>
      <c r="L1041">
        <v>1010</v>
      </c>
      <c r="M1041" t="s">
        <v>3075</v>
      </c>
    </row>
    <row r="1042" spans="1:13" x14ac:dyDescent="0.25">
      <c r="A1042" t="s">
        <v>3076</v>
      </c>
      <c r="B1042" t="s">
        <v>14</v>
      </c>
      <c r="C1042">
        <v>368.05</v>
      </c>
      <c r="D1042">
        <v>372.45</v>
      </c>
      <c r="E1042">
        <v>366.15</v>
      </c>
      <c r="F1042">
        <v>370.15</v>
      </c>
      <c r="G1042">
        <v>368</v>
      </c>
      <c r="H1042">
        <v>369.95</v>
      </c>
      <c r="I1042">
        <v>3730</v>
      </c>
      <c r="J1042">
        <v>1378950.75</v>
      </c>
      <c r="K1042" s="1">
        <v>43777</v>
      </c>
      <c r="L1042">
        <v>329</v>
      </c>
      <c r="M1042" t="s">
        <v>3078</v>
      </c>
    </row>
    <row r="1043" spans="1:13" x14ac:dyDescent="0.25">
      <c r="A1043" t="s">
        <v>3079</v>
      </c>
      <c r="B1043" t="s">
        <v>14</v>
      </c>
      <c r="C1043">
        <v>467</v>
      </c>
      <c r="D1043">
        <v>473.75</v>
      </c>
      <c r="E1043">
        <v>445.25</v>
      </c>
      <c r="F1043">
        <v>447</v>
      </c>
      <c r="G1043">
        <v>447.3</v>
      </c>
      <c r="H1043">
        <v>462.8</v>
      </c>
      <c r="I1043">
        <v>13749</v>
      </c>
      <c r="J1043">
        <v>6221680.3499999996</v>
      </c>
      <c r="K1043" s="1">
        <v>43777</v>
      </c>
      <c r="L1043">
        <v>914</v>
      </c>
      <c r="M1043" t="s">
        <v>3081</v>
      </c>
    </row>
    <row r="1044" spans="1:13" x14ac:dyDescent="0.25">
      <c r="A1044" t="s">
        <v>7399</v>
      </c>
      <c r="B1044" t="s">
        <v>14</v>
      </c>
      <c r="C1044">
        <v>420.7</v>
      </c>
      <c r="D1044">
        <v>430</v>
      </c>
      <c r="E1044">
        <v>419.6</v>
      </c>
      <c r="F1044">
        <v>423.85</v>
      </c>
      <c r="G1044">
        <v>423.6</v>
      </c>
      <c r="H1044">
        <v>420.1</v>
      </c>
      <c r="I1044">
        <v>7923</v>
      </c>
      <c r="J1044">
        <v>3372671.25</v>
      </c>
      <c r="K1044" s="1">
        <v>43777</v>
      </c>
      <c r="L1044">
        <v>559</v>
      </c>
      <c r="M1044" t="s">
        <v>525</v>
      </c>
    </row>
    <row r="1045" spans="1:13" x14ac:dyDescent="0.25">
      <c r="A1045" t="s">
        <v>3085</v>
      </c>
      <c r="B1045" t="s">
        <v>14</v>
      </c>
      <c r="C1045">
        <v>23</v>
      </c>
      <c r="D1045">
        <v>23.7</v>
      </c>
      <c r="E1045">
        <v>23</v>
      </c>
      <c r="F1045">
        <v>23.2</v>
      </c>
      <c r="G1045">
        <v>23.15</v>
      </c>
      <c r="H1045">
        <v>23.8</v>
      </c>
      <c r="I1045">
        <v>5369</v>
      </c>
      <c r="J1045">
        <v>125160.4</v>
      </c>
      <c r="K1045" s="1">
        <v>43777</v>
      </c>
      <c r="L1045">
        <v>133</v>
      </c>
      <c r="M1045" t="s">
        <v>3087</v>
      </c>
    </row>
    <row r="1046" spans="1:13" x14ac:dyDescent="0.25">
      <c r="A1046" t="s">
        <v>7398</v>
      </c>
      <c r="B1046" t="s">
        <v>14</v>
      </c>
      <c r="C1046">
        <v>121.2</v>
      </c>
      <c r="D1046">
        <v>121.7</v>
      </c>
      <c r="E1046">
        <v>121.15</v>
      </c>
      <c r="F1046">
        <v>121.2</v>
      </c>
      <c r="G1046">
        <v>121.2</v>
      </c>
      <c r="H1046">
        <v>121.3</v>
      </c>
      <c r="I1046">
        <v>138</v>
      </c>
      <c r="J1046">
        <v>16734.3</v>
      </c>
      <c r="K1046" s="1">
        <v>43777</v>
      </c>
      <c r="L1046">
        <v>6</v>
      </c>
      <c r="M1046" t="s">
        <v>6219</v>
      </c>
    </row>
    <row r="1047" spans="1:13" x14ac:dyDescent="0.25">
      <c r="A1047" t="s">
        <v>3088</v>
      </c>
      <c r="B1047" t="s">
        <v>14</v>
      </c>
      <c r="C1047">
        <v>5.55</v>
      </c>
      <c r="D1047">
        <v>5.55</v>
      </c>
      <c r="E1047">
        <v>4.9000000000000004</v>
      </c>
      <c r="F1047">
        <v>5.05</v>
      </c>
      <c r="G1047">
        <v>4.95</v>
      </c>
      <c r="H1047">
        <v>5.55</v>
      </c>
      <c r="I1047">
        <v>17786</v>
      </c>
      <c r="J1047">
        <v>89920.25</v>
      </c>
      <c r="K1047" s="1">
        <v>43777</v>
      </c>
      <c r="L1047">
        <v>86</v>
      </c>
      <c r="M1047" t="s">
        <v>3090</v>
      </c>
    </row>
    <row r="1048" spans="1:13" x14ac:dyDescent="0.25">
      <c r="A1048" t="s">
        <v>3091</v>
      </c>
      <c r="B1048" t="s">
        <v>14</v>
      </c>
      <c r="C1048">
        <v>3.9</v>
      </c>
      <c r="D1048">
        <v>4.0999999999999996</v>
      </c>
      <c r="E1048">
        <v>3.9</v>
      </c>
      <c r="F1048">
        <v>3.9</v>
      </c>
      <c r="G1048">
        <v>3.9</v>
      </c>
      <c r="H1048">
        <v>3.95</v>
      </c>
      <c r="I1048">
        <v>3706</v>
      </c>
      <c r="J1048">
        <v>14847.7</v>
      </c>
      <c r="K1048" s="1">
        <v>43777</v>
      </c>
      <c r="L1048">
        <v>12</v>
      </c>
      <c r="M1048" t="s">
        <v>3093</v>
      </c>
    </row>
    <row r="1049" spans="1:13" x14ac:dyDescent="0.25">
      <c r="A1049" t="s">
        <v>3094</v>
      </c>
      <c r="B1049" t="s">
        <v>14</v>
      </c>
      <c r="C1049">
        <v>39.549999999999997</v>
      </c>
      <c r="D1049">
        <v>39.549999999999997</v>
      </c>
      <c r="E1049">
        <v>38.15</v>
      </c>
      <c r="F1049">
        <v>38.200000000000003</v>
      </c>
      <c r="G1049">
        <v>38.200000000000003</v>
      </c>
      <c r="H1049">
        <v>39.700000000000003</v>
      </c>
      <c r="I1049">
        <v>15546</v>
      </c>
      <c r="J1049">
        <v>601311.19999999995</v>
      </c>
      <c r="K1049" s="1">
        <v>43777</v>
      </c>
      <c r="L1049">
        <v>335</v>
      </c>
      <c r="M1049" t="s">
        <v>3096</v>
      </c>
    </row>
    <row r="1050" spans="1:13" x14ac:dyDescent="0.25">
      <c r="A1050" t="s">
        <v>3097</v>
      </c>
      <c r="B1050" t="s">
        <v>14</v>
      </c>
      <c r="C1050">
        <v>10.050000000000001</v>
      </c>
      <c r="D1050">
        <v>10.65</v>
      </c>
      <c r="E1050">
        <v>10.050000000000001</v>
      </c>
      <c r="F1050">
        <v>10.4</v>
      </c>
      <c r="G1050">
        <v>10.45</v>
      </c>
      <c r="H1050">
        <v>10.4</v>
      </c>
      <c r="I1050">
        <v>3920</v>
      </c>
      <c r="J1050">
        <v>40478.65</v>
      </c>
      <c r="K1050" s="1">
        <v>43777</v>
      </c>
      <c r="L1050">
        <v>61</v>
      </c>
      <c r="M1050" t="s">
        <v>3099</v>
      </c>
    </row>
    <row r="1051" spans="1:13" x14ac:dyDescent="0.25">
      <c r="A1051" t="s">
        <v>3100</v>
      </c>
      <c r="B1051" t="s">
        <v>14</v>
      </c>
      <c r="C1051">
        <v>18.600000000000001</v>
      </c>
      <c r="D1051">
        <v>18.7</v>
      </c>
      <c r="E1051">
        <v>18.149999999999999</v>
      </c>
      <c r="F1051">
        <v>18.25</v>
      </c>
      <c r="G1051">
        <v>18.3</v>
      </c>
      <c r="H1051">
        <v>18.600000000000001</v>
      </c>
      <c r="I1051">
        <v>114037</v>
      </c>
      <c r="J1051">
        <v>2094316.5</v>
      </c>
      <c r="K1051" s="1">
        <v>43777</v>
      </c>
      <c r="L1051">
        <v>365</v>
      </c>
      <c r="M1051" t="s">
        <v>3102</v>
      </c>
    </row>
    <row r="1052" spans="1:13" x14ac:dyDescent="0.25">
      <c r="A1052" t="s">
        <v>3103</v>
      </c>
      <c r="B1052" t="s">
        <v>14</v>
      </c>
      <c r="C1052">
        <v>166.5</v>
      </c>
      <c r="D1052">
        <v>169.9</v>
      </c>
      <c r="E1052">
        <v>165.75</v>
      </c>
      <c r="F1052">
        <v>166.3</v>
      </c>
      <c r="G1052">
        <v>165.75</v>
      </c>
      <c r="H1052">
        <v>166.8</v>
      </c>
      <c r="I1052">
        <v>3372286</v>
      </c>
      <c r="J1052">
        <v>565322195.5</v>
      </c>
      <c r="K1052" s="1">
        <v>43777</v>
      </c>
      <c r="L1052">
        <v>20573</v>
      </c>
      <c r="M1052" t="s">
        <v>3105</v>
      </c>
    </row>
    <row r="1053" spans="1:13" x14ac:dyDescent="0.25">
      <c r="A1053" t="s">
        <v>3106</v>
      </c>
      <c r="B1053" t="s">
        <v>10</v>
      </c>
      <c r="C1053">
        <v>32.450000000000003</v>
      </c>
      <c r="D1053">
        <v>32.450000000000003</v>
      </c>
      <c r="E1053">
        <v>31.3</v>
      </c>
      <c r="F1053">
        <v>31.3</v>
      </c>
      <c r="G1053">
        <v>31.3</v>
      </c>
      <c r="H1053">
        <v>32.9</v>
      </c>
      <c r="I1053">
        <v>9112</v>
      </c>
      <c r="J1053">
        <v>286799.65000000002</v>
      </c>
      <c r="K1053" s="1">
        <v>43777</v>
      </c>
      <c r="L1053">
        <v>77</v>
      </c>
      <c r="M1053" t="s">
        <v>3108</v>
      </c>
    </row>
    <row r="1054" spans="1:13" x14ac:dyDescent="0.25">
      <c r="A1054" t="s">
        <v>3109</v>
      </c>
      <c r="B1054" t="s">
        <v>14</v>
      </c>
      <c r="C1054">
        <v>28.1</v>
      </c>
      <c r="D1054">
        <v>29.9</v>
      </c>
      <c r="E1054">
        <v>28.1</v>
      </c>
      <c r="F1054">
        <v>28.95</v>
      </c>
      <c r="G1054">
        <v>29.05</v>
      </c>
      <c r="H1054">
        <v>28.7</v>
      </c>
      <c r="I1054">
        <v>51515</v>
      </c>
      <c r="J1054">
        <v>1501020.3</v>
      </c>
      <c r="K1054" s="1">
        <v>43777</v>
      </c>
      <c r="L1054">
        <v>328</v>
      </c>
      <c r="M1054" t="s">
        <v>3111</v>
      </c>
    </row>
    <row r="1055" spans="1:13" x14ac:dyDescent="0.25">
      <c r="A1055" t="s">
        <v>3112</v>
      </c>
      <c r="B1055" t="s">
        <v>14</v>
      </c>
      <c r="C1055">
        <v>318.2</v>
      </c>
      <c r="D1055">
        <v>320.95</v>
      </c>
      <c r="E1055">
        <v>310</v>
      </c>
      <c r="F1055">
        <v>315.3</v>
      </c>
      <c r="G1055">
        <v>315</v>
      </c>
      <c r="H1055">
        <v>319.85000000000002</v>
      </c>
      <c r="I1055">
        <v>13196</v>
      </c>
      <c r="J1055">
        <v>4157582.9</v>
      </c>
      <c r="K1055" s="1">
        <v>43777</v>
      </c>
      <c r="L1055">
        <v>465</v>
      </c>
      <c r="M1055" t="s">
        <v>3114</v>
      </c>
    </row>
    <row r="1056" spans="1:13" x14ac:dyDescent="0.25">
      <c r="A1056" t="s">
        <v>7397</v>
      </c>
      <c r="B1056" t="s">
        <v>10</v>
      </c>
      <c r="C1056">
        <v>5.4</v>
      </c>
      <c r="D1056">
        <v>5.45</v>
      </c>
      <c r="E1056">
        <v>5.3</v>
      </c>
      <c r="F1056">
        <v>5.3</v>
      </c>
      <c r="G1056">
        <v>5.3</v>
      </c>
      <c r="H1056">
        <v>5.55</v>
      </c>
      <c r="I1056">
        <v>1537</v>
      </c>
      <c r="J1056">
        <v>8260.25</v>
      </c>
      <c r="K1056" s="1">
        <v>43777</v>
      </c>
      <c r="L1056">
        <v>10</v>
      </c>
      <c r="M1056" t="s">
        <v>7396</v>
      </c>
    </row>
    <row r="1057" spans="1:13" x14ac:dyDescent="0.25">
      <c r="A1057" t="s">
        <v>3115</v>
      </c>
      <c r="B1057" t="s">
        <v>14</v>
      </c>
      <c r="C1057">
        <v>44.5</v>
      </c>
      <c r="D1057">
        <v>44.95</v>
      </c>
      <c r="E1057">
        <v>43.5</v>
      </c>
      <c r="F1057">
        <v>43.55</v>
      </c>
      <c r="G1057">
        <v>43.5</v>
      </c>
      <c r="H1057">
        <v>44.85</v>
      </c>
      <c r="I1057">
        <v>21107</v>
      </c>
      <c r="J1057">
        <v>931722.4</v>
      </c>
      <c r="K1057" s="1">
        <v>43777</v>
      </c>
      <c r="L1057">
        <v>329</v>
      </c>
      <c r="M1057" t="s">
        <v>3117</v>
      </c>
    </row>
    <row r="1058" spans="1:13" x14ac:dyDescent="0.25">
      <c r="A1058" t="s">
        <v>3118</v>
      </c>
      <c r="B1058" t="s">
        <v>14</v>
      </c>
      <c r="C1058">
        <v>26.6</v>
      </c>
      <c r="D1058">
        <v>26.95</v>
      </c>
      <c r="E1058">
        <v>25.3</v>
      </c>
      <c r="F1058">
        <v>25.7</v>
      </c>
      <c r="G1058">
        <v>25.6</v>
      </c>
      <c r="H1058">
        <v>26.5</v>
      </c>
      <c r="I1058">
        <v>64113</v>
      </c>
      <c r="J1058">
        <v>1672145.55</v>
      </c>
      <c r="K1058" s="1">
        <v>43777</v>
      </c>
      <c r="L1058">
        <v>574</v>
      </c>
      <c r="M1058" t="s">
        <v>3120</v>
      </c>
    </row>
    <row r="1059" spans="1:13" x14ac:dyDescent="0.25">
      <c r="A1059" t="s">
        <v>7395</v>
      </c>
      <c r="B1059" t="s">
        <v>786</v>
      </c>
      <c r="C1059">
        <v>6</v>
      </c>
      <c r="D1059">
        <v>6</v>
      </c>
      <c r="E1059">
        <v>6</v>
      </c>
      <c r="F1059">
        <v>6</v>
      </c>
      <c r="G1059">
        <v>6</v>
      </c>
      <c r="H1059">
        <v>5.75</v>
      </c>
      <c r="I1059">
        <v>51803</v>
      </c>
      <c r="J1059">
        <v>310818</v>
      </c>
      <c r="K1059" s="1">
        <v>43777</v>
      </c>
      <c r="L1059">
        <v>50</v>
      </c>
      <c r="M1059" t="s">
        <v>7394</v>
      </c>
    </row>
    <row r="1060" spans="1:13" x14ac:dyDescent="0.25">
      <c r="A1060" t="s">
        <v>3133</v>
      </c>
      <c r="B1060" t="s">
        <v>14</v>
      </c>
      <c r="C1060">
        <v>16</v>
      </c>
      <c r="D1060">
        <v>16</v>
      </c>
      <c r="E1060">
        <v>15.4</v>
      </c>
      <c r="F1060">
        <v>15.45</v>
      </c>
      <c r="G1060">
        <v>15.4</v>
      </c>
      <c r="H1060">
        <v>16.100000000000001</v>
      </c>
      <c r="I1060">
        <v>6560</v>
      </c>
      <c r="J1060">
        <v>103569.5</v>
      </c>
      <c r="K1060" s="1">
        <v>43777</v>
      </c>
      <c r="L1060">
        <v>60</v>
      </c>
      <c r="M1060" t="s">
        <v>3135</v>
      </c>
    </row>
    <row r="1061" spans="1:13" x14ac:dyDescent="0.25">
      <c r="A1061" t="s">
        <v>3142</v>
      </c>
      <c r="B1061" t="s">
        <v>14</v>
      </c>
      <c r="C1061">
        <v>19.649999999999999</v>
      </c>
      <c r="D1061">
        <v>20.399999999999999</v>
      </c>
      <c r="E1061">
        <v>19.600000000000001</v>
      </c>
      <c r="F1061">
        <v>19.600000000000001</v>
      </c>
      <c r="G1061">
        <v>19.600000000000001</v>
      </c>
      <c r="H1061">
        <v>20.6</v>
      </c>
      <c r="I1061">
        <v>11017</v>
      </c>
      <c r="J1061">
        <v>216645.7</v>
      </c>
      <c r="K1061" s="1">
        <v>43777</v>
      </c>
      <c r="L1061">
        <v>45</v>
      </c>
      <c r="M1061" t="s">
        <v>3144</v>
      </c>
    </row>
    <row r="1062" spans="1:13" x14ac:dyDescent="0.25">
      <c r="A1062" t="s">
        <v>3145</v>
      </c>
      <c r="B1062" t="s">
        <v>14</v>
      </c>
      <c r="C1062">
        <v>80.05</v>
      </c>
      <c r="D1062">
        <v>83.5</v>
      </c>
      <c r="E1062">
        <v>78.400000000000006</v>
      </c>
      <c r="F1062">
        <v>81.099999999999994</v>
      </c>
      <c r="G1062">
        <v>83</v>
      </c>
      <c r="H1062">
        <v>81.599999999999994</v>
      </c>
      <c r="I1062">
        <v>17326</v>
      </c>
      <c r="J1062">
        <v>1397876.25</v>
      </c>
      <c r="K1062" s="1">
        <v>43777</v>
      </c>
      <c r="L1062">
        <v>247</v>
      </c>
      <c r="M1062" t="s">
        <v>3147</v>
      </c>
    </row>
    <row r="1063" spans="1:13" x14ac:dyDescent="0.25">
      <c r="A1063" t="s">
        <v>3148</v>
      </c>
      <c r="B1063" t="s">
        <v>14</v>
      </c>
      <c r="C1063">
        <v>370</v>
      </c>
      <c r="D1063">
        <v>372.45</v>
      </c>
      <c r="E1063">
        <v>366.85</v>
      </c>
      <c r="F1063">
        <v>370.6</v>
      </c>
      <c r="G1063">
        <v>370</v>
      </c>
      <c r="H1063">
        <v>369.8</v>
      </c>
      <c r="I1063">
        <v>1334062</v>
      </c>
      <c r="J1063">
        <v>493711889.80000001</v>
      </c>
      <c r="K1063" s="1">
        <v>43777</v>
      </c>
      <c r="L1063">
        <v>13252</v>
      </c>
      <c r="M1063" t="s">
        <v>3150</v>
      </c>
    </row>
    <row r="1064" spans="1:13" x14ac:dyDescent="0.25">
      <c r="A1064" t="s">
        <v>3151</v>
      </c>
      <c r="B1064" t="s">
        <v>5788</v>
      </c>
      <c r="C1064">
        <v>102.25</v>
      </c>
      <c r="D1064">
        <v>103.95</v>
      </c>
      <c r="E1064">
        <v>102</v>
      </c>
      <c r="F1064">
        <v>103.95</v>
      </c>
      <c r="G1064">
        <v>103.95</v>
      </c>
      <c r="H1064">
        <v>102.1</v>
      </c>
      <c r="I1064">
        <v>12000</v>
      </c>
      <c r="J1064">
        <v>1238300</v>
      </c>
      <c r="K1064" s="1">
        <v>43777</v>
      </c>
      <c r="L1064">
        <v>6</v>
      </c>
      <c r="M1064" t="s">
        <v>7393</v>
      </c>
    </row>
    <row r="1065" spans="1:13" x14ac:dyDescent="0.25">
      <c r="A1065" t="s">
        <v>3154</v>
      </c>
      <c r="B1065" t="s">
        <v>14</v>
      </c>
      <c r="C1065">
        <v>14.65</v>
      </c>
      <c r="D1065">
        <v>15.1</v>
      </c>
      <c r="E1065">
        <v>14.5</v>
      </c>
      <c r="F1065">
        <v>14.6</v>
      </c>
      <c r="G1065">
        <v>14.6</v>
      </c>
      <c r="H1065">
        <v>14.65</v>
      </c>
      <c r="I1065">
        <v>644205</v>
      </c>
      <c r="J1065">
        <v>9539497.3000000007</v>
      </c>
      <c r="K1065" s="1">
        <v>43777</v>
      </c>
      <c r="L1065">
        <v>2258</v>
      </c>
      <c r="M1065" t="s">
        <v>3156</v>
      </c>
    </row>
    <row r="1066" spans="1:13" x14ac:dyDescent="0.25">
      <c r="A1066" t="s">
        <v>3157</v>
      </c>
      <c r="B1066" t="s">
        <v>5788</v>
      </c>
      <c r="C1066">
        <v>20</v>
      </c>
      <c r="D1066">
        <v>20</v>
      </c>
      <c r="E1066">
        <v>19</v>
      </c>
      <c r="F1066">
        <v>20</v>
      </c>
      <c r="G1066">
        <v>20</v>
      </c>
      <c r="H1066">
        <v>21</v>
      </c>
      <c r="I1066">
        <v>12000</v>
      </c>
      <c r="J1066">
        <v>234000</v>
      </c>
      <c r="K1066" s="1">
        <v>43777</v>
      </c>
      <c r="L1066">
        <v>4</v>
      </c>
      <c r="M1066" t="s">
        <v>3159</v>
      </c>
    </row>
    <row r="1067" spans="1:13" x14ac:dyDescent="0.25">
      <c r="A1067" t="s">
        <v>3160</v>
      </c>
      <c r="B1067" t="s">
        <v>14</v>
      </c>
      <c r="C1067">
        <v>7286.45</v>
      </c>
      <c r="D1067">
        <v>7370</v>
      </c>
      <c r="E1067">
        <v>7178.05</v>
      </c>
      <c r="F1067">
        <v>7200.55</v>
      </c>
      <c r="G1067">
        <v>7192.65</v>
      </c>
      <c r="H1067">
        <v>7287.15</v>
      </c>
      <c r="I1067">
        <v>983936</v>
      </c>
      <c r="J1067">
        <v>7169066091.8999996</v>
      </c>
      <c r="K1067" s="1">
        <v>43777</v>
      </c>
      <c r="L1067">
        <v>75540</v>
      </c>
      <c r="M1067" t="s">
        <v>3162</v>
      </c>
    </row>
    <row r="1068" spans="1:13" x14ac:dyDescent="0.25">
      <c r="A1068" t="s">
        <v>3163</v>
      </c>
      <c r="B1068" t="s">
        <v>14</v>
      </c>
      <c r="C1068">
        <v>696.15</v>
      </c>
      <c r="D1068">
        <v>726.3</v>
      </c>
      <c r="E1068">
        <v>696.05</v>
      </c>
      <c r="F1068">
        <v>721.2</v>
      </c>
      <c r="G1068">
        <v>715.1</v>
      </c>
      <c r="H1068">
        <v>711.5</v>
      </c>
      <c r="I1068">
        <v>6257</v>
      </c>
      <c r="J1068">
        <v>4477501.4000000004</v>
      </c>
      <c r="K1068" s="1">
        <v>43777</v>
      </c>
      <c r="L1068">
        <v>450</v>
      </c>
      <c r="M1068" t="s">
        <v>3165</v>
      </c>
    </row>
    <row r="1069" spans="1:13" x14ac:dyDescent="0.25">
      <c r="A1069" t="s">
        <v>3169</v>
      </c>
      <c r="B1069" t="s">
        <v>14</v>
      </c>
      <c r="C1069">
        <v>331.95</v>
      </c>
      <c r="D1069">
        <v>331.95</v>
      </c>
      <c r="E1069">
        <v>323</v>
      </c>
      <c r="F1069">
        <v>324.14999999999998</v>
      </c>
      <c r="G1069">
        <v>323.60000000000002</v>
      </c>
      <c r="H1069">
        <v>331.9</v>
      </c>
      <c r="I1069">
        <v>16233</v>
      </c>
      <c r="J1069">
        <v>5300379.5</v>
      </c>
      <c r="K1069" s="1">
        <v>43777</v>
      </c>
      <c r="L1069">
        <v>817</v>
      </c>
      <c r="M1069" t="s">
        <v>3171</v>
      </c>
    </row>
    <row r="1070" spans="1:13" x14ac:dyDescent="0.25">
      <c r="A1070" t="s">
        <v>3172</v>
      </c>
      <c r="B1070" t="s">
        <v>14</v>
      </c>
      <c r="C1070">
        <v>515</v>
      </c>
      <c r="D1070">
        <v>569</v>
      </c>
      <c r="E1070">
        <v>505</v>
      </c>
      <c r="F1070">
        <v>509.95</v>
      </c>
      <c r="G1070">
        <v>514.95000000000005</v>
      </c>
      <c r="H1070">
        <v>503</v>
      </c>
      <c r="I1070">
        <v>4272</v>
      </c>
      <c r="J1070">
        <v>2221077.15</v>
      </c>
      <c r="K1070" s="1">
        <v>43777</v>
      </c>
      <c r="L1070">
        <v>464</v>
      </c>
      <c r="M1070" t="s">
        <v>3174</v>
      </c>
    </row>
    <row r="1071" spans="1:13" x14ac:dyDescent="0.25">
      <c r="A1071" t="s">
        <v>3175</v>
      </c>
      <c r="B1071" t="s">
        <v>14</v>
      </c>
      <c r="C1071">
        <v>36.25</v>
      </c>
      <c r="D1071">
        <v>36.25</v>
      </c>
      <c r="E1071">
        <v>34.5</v>
      </c>
      <c r="F1071">
        <v>34.700000000000003</v>
      </c>
      <c r="G1071">
        <v>34.700000000000003</v>
      </c>
      <c r="H1071">
        <v>34.6</v>
      </c>
      <c r="I1071">
        <v>201878</v>
      </c>
      <c r="J1071">
        <v>7116483.25</v>
      </c>
      <c r="K1071" s="1">
        <v>43777</v>
      </c>
      <c r="L1071">
        <v>1641</v>
      </c>
      <c r="M1071" t="s">
        <v>3177</v>
      </c>
    </row>
    <row r="1072" spans="1:13" x14ac:dyDescent="0.25">
      <c r="A1072" t="s">
        <v>7392</v>
      </c>
      <c r="B1072" t="s">
        <v>14</v>
      </c>
      <c r="C1072">
        <v>78</v>
      </c>
      <c r="D1072">
        <v>78.650000000000006</v>
      </c>
      <c r="E1072">
        <v>75.05</v>
      </c>
      <c r="F1072">
        <v>76.2</v>
      </c>
      <c r="G1072">
        <v>75.7</v>
      </c>
      <c r="H1072">
        <v>78.8</v>
      </c>
      <c r="I1072">
        <v>296319</v>
      </c>
      <c r="J1072">
        <v>22728189.899999999</v>
      </c>
      <c r="K1072" s="1">
        <v>43777</v>
      </c>
      <c r="L1072">
        <v>6585</v>
      </c>
      <c r="M1072" t="s">
        <v>7391</v>
      </c>
    </row>
    <row r="1073" spans="1:13" x14ac:dyDescent="0.25">
      <c r="A1073" t="s">
        <v>7390</v>
      </c>
      <c r="B1073" t="s">
        <v>14</v>
      </c>
      <c r="C1073">
        <v>39.049999999999997</v>
      </c>
      <c r="D1073">
        <v>41.45</v>
      </c>
      <c r="E1073">
        <v>38.799999999999997</v>
      </c>
      <c r="F1073">
        <v>39.299999999999997</v>
      </c>
      <c r="G1073">
        <v>39.6</v>
      </c>
      <c r="H1073">
        <v>39.450000000000003</v>
      </c>
      <c r="I1073">
        <v>667060</v>
      </c>
      <c r="J1073">
        <v>26543692.100000001</v>
      </c>
      <c r="K1073" s="1">
        <v>43777</v>
      </c>
      <c r="L1073">
        <v>2715</v>
      </c>
      <c r="M1073" t="s">
        <v>7389</v>
      </c>
    </row>
    <row r="1074" spans="1:13" x14ac:dyDescent="0.25">
      <c r="A1074" t="s">
        <v>3187</v>
      </c>
      <c r="B1074" t="s">
        <v>14</v>
      </c>
      <c r="C1074">
        <v>226</v>
      </c>
      <c r="D1074">
        <v>227.35</v>
      </c>
      <c r="E1074">
        <v>219.1</v>
      </c>
      <c r="F1074">
        <v>225.55</v>
      </c>
      <c r="G1074">
        <v>226</v>
      </c>
      <c r="H1074">
        <v>222.7</v>
      </c>
      <c r="I1074">
        <v>16244</v>
      </c>
      <c r="J1074">
        <v>3626293.85</v>
      </c>
      <c r="K1074" s="1">
        <v>43777</v>
      </c>
      <c r="L1074">
        <v>641</v>
      </c>
      <c r="M1074" t="s">
        <v>3189</v>
      </c>
    </row>
    <row r="1075" spans="1:13" x14ac:dyDescent="0.25">
      <c r="A1075" t="s">
        <v>3190</v>
      </c>
      <c r="B1075" t="s">
        <v>14</v>
      </c>
      <c r="C1075">
        <v>353</v>
      </c>
      <c r="D1075">
        <v>363.75</v>
      </c>
      <c r="E1075">
        <v>352.15</v>
      </c>
      <c r="F1075">
        <v>355.7</v>
      </c>
      <c r="G1075">
        <v>355</v>
      </c>
      <c r="H1075">
        <v>356.15</v>
      </c>
      <c r="I1075">
        <v>8630</v>
      </c>
      <c r="J1075">
        <v>3068485.3</v>
      </c>
      <c r="K1075" s="1">
        <v>43777</v>
      </c>
      <c r="L1075">
        <v>227</v>
      </c>
      <c r="M1075" t="s">
        <v>3192</v>
      </c>
    </row>
    <row r="1076" spans="1:13" x14ac:dyDescent="0.25">
      <c r="A1076" t="s">
        <v>3196</v>
      </c>
      <c r="B1076" t="s">
        <v>14</v>
      </c>
      <c r="C1076">
        <v>73.95</v>
      </c>
      <c r="D1076">
        <v>73.95</v>
      </c>
      <c r="E1076">
        <v>70</v>
      </c>
      <c r="F1076">
        <v>70</v>
      </c>
      <c r="G1076">
        <v>70</v>
      </c>
      <c r="H1076">
        <v>74</v>
      </c>
      <c r="I1076">
        <v>501</v>
      </c>
      <c r="J1076">
        <v>35673.949999999997</v>
      </c>
      <c r="K1076" s="1">
        <v>43777</v>
      </c>
      <c r="L1076">
        <v>6</v>
      </c>
      <c r="M1076" t="s">
        <v>3198</v>
      </c>
    </row>
    <row r="1077" spans="1:13" x14ac:dyDescent="0.25">
      <c r="A1077" t="s">
        <v>7388</v>
      </c>
      <c r="B1077" t="s">
        <v>10</v>
      </c>
      <c r="C1077">
        <v>4.25</v>
      </c>
      <c r="D1077">
        <v>4.25</v>
      </c>
      <c r="E1077">
        <v>4</v>
      </c>
      <c r="F1077">
        <v>4.25</v>
      </c>
      <c r="G1077">
        <v>4.25</v>
      </c>
      <c r="H1077">
        <v>4.05</v>
      </c>
      <c r="I1077">
        <v>8697</v>
      </c>
      <c r="J1077">
        <v>36862.25</v>
      </c>
      <c r="K1077" s="1">
        <v>43777</v>
      </c>
      <c r="L1077">
        <v>28</v>
      </c>
      <c r="M1077" t="s">
        <v>7387</v>
      </c>
    </row>
    <row r="1078" spans="1:13" x14ac:dyDescent="0.25">
      <c r="A1078" t="s">
        <v>3199</v>
      </c>
      <c r="B1078" t="s">
        <v>10</v>
      </c>
      <c r="C1078">
        <v>5.3</v>
      </c>
      <c r="D1078">
        <v>5.3</v>
      </c>
      <c r="E1078">
        <v>5</v>
      </c>
      <c r="F1078">
        <v>5.25</v>
      </c>
      <c r="G1078">
        <v>5.3</v>
      </c>
      <c r="H1078">
        <v>5.05</v>
      </c>
      <c r="I1078">
        <v>31965</v>
      </c>
      <c r="J1078">
        <v>167166.35</v>
      </c>
      <c r="K1078" s="1">
        <v>43777</v>
      </c>
      <c r="L1078">
        <v>40</v>
      </c>
      <c r="M1078" t="s">
        <v>3201</v>
      </c>
    </row>
    <row r="1079" spans="1:13" x14ac:dyDescent="0.25">
      <c r="A1079" t="s">
        <v>7386</v>
      </c>
      <c r="B1079" t="s">
        <v>7076</v>
      </c>
      <c r="C1079">
        <v>7.51</v>
      </c>
      <c r="D1079">
        <v>7.97</v>
      </c>
      <c r="E1079">
        <v>7.51</v>
      </c>
      <c r="F1079">
        <v>7.97</v>
      </c>
      <c r="G1079">
        <v>7.97</v>
      </c>
      <c r="H1079">
        <v>7.25</v>
      </c>
      <c r="I1079">
        <v>4000</v>
      </c>
      <c r="J1079">
        <v>30960</v>
      </c>
      <c r="K1079" s="1">
        <v>43777</v>
      </c>
      <c r="L1079">
        <v>2</v>
      </c>
      <c r="M1079" t="s">
        <v>7385</v>
      </c>
    </row>
    <row r="1080" spans="1:13" x14ac:dyDescent="0.25">
      <c r="A1080" t="s">
        <v>7384</v>
      </c>
      <c r="B1080" t="s">
        <v>14</v>
      </c>
      <c r="C1080">
        <v>18.850000000000001</v>
      </c>
      <c r="D1080">
        <v>19.3</v>
      </c>
      <c r="E1080">
        <v>18.2</v>
      </c>
      <c r="F1080">
        <v>18.3</v>
      </c>
      <c r="G1080">
        <v>18.2</v>
      </c>
      <c r="H1080">
        <v>18.850000000000001</v>
      </c>
      <c r="I1080">
        <v>15655</v>
      </c>
      <c r="J1080">
        <v>291408.34999999998</v>
      </c>
      <c r="K1080" s="1">
        <v>43777</v>
      </c>
      <c r="L1080">
        <v>209</v>
      </c>
      <c r="M1080" t="s">
        <v>7383</v>
      </c>
    </row>
    <row r="1081" spans="1:13" x14ac:dyDescent="0.25">
      <c r="A1081" t="s">
        <v>3202</v>
      </c>
      <c r="B1081" t="s">
        <v>14</v>
      </c>
      <c r="C1081">
        <v>647.1</v>
      </c>
      <c r="D1081">
        <v>649.25</v>
      </c>
      <c r="E1081">
        <v>627.85</v>
      </c>
      <c r="F1081">
        <v>633.04999999999995</v>
      </c>
      <c r="G1081">
        <v>632.35</v>
      </c>
      <c r="H1081">
        <v>648.70000000000005</v>
      </c>
      <c r="I1081">
        <v>1190123</v>
      </c>
      <c r="J1081">
        <v>760855162.85000002</v>
      </c>
      <c r="K1081" s="1">
        <v>43777</v>
      </c>
      <c r="L1081">
        <v>31083</v>
      </c>
      <c r="M1081" t="s">
        <v>3204</v>
      </c>
    </row>
    <row r="1082" spans="1:13" x14ac:dyDescent="0.25">
      <c r="A1082" t="s">
        <v>3205</v>
      </c>
      <c r="B1082" t="s">
        <v>5788</v>
      </c>
      <c r="C1082">
        <v>118</v>
      </c>
      <c r="D1082">
        <v>123.65</v>
      </c>
      <c r="E1082">
        <v>118</v>
      </c>
      <c r="F1082">
        <v>120.6</v>
      </c>
      <c r="G1082">
        <v>120.25</v>
      </c>
      <c r="H1082">
        <v>122.85</v>
      </c>
      <c r="I1082">
        <v>12000</v>
      </c>
      <c r="J1082">
        <v>1447800</v>
      </c>
      <c r="K1082" s="1">
        <v>43777</v>
      </c>
      <c r="L1082">
        <v>8</v>
      </c>
      <c r="M1082" t="s">
        <v>3207</v>
      </c>
    </row>
    <row r="1083" spans="1:13" x14ac:dyDescent="0.25">
      <c r="A1083" t="s">
        <v>3208</v>
      </c>
      <c r="B1083" t="s">
        <v>14</v>
      </c>
      <c r="C1083">
        <v>7.1</v>
      </c>
      <c r="D1083">
        <v>7.2</v>
      </c>
      <c r="E1083">
        <v>6.85</v>
      </c>
      <c r="F1083">
        <v>7</v>
      </c>
      <c r="G1083">
        <v>7</v>
      </c>
      <c r="H1083">
        <v>6.95</v>
      </c>
      <c r="I1083">
        <v>187246</v>
      </c>
      <c r="J1083">
        <v>1325023.8</v>
      </c>
      <c r="K1083" s="1">
        <v>43777</v>
      </c>
      <c r="L1083">
        <v>756</v>
      </c>
      <c r="M1083" t="s">
        <v>3210</v>
      </c>
    </row>
    <row r="1084" spans="1:13" x14ac:dyDescent="0.25">
      <c r="A1084" t="s">
        <v>3211</v>
      </c>
      <c r="B1084" t="s">
        <v>14</v>
      </c>
      <c r="C1084">
        <v>1100</v>
      </c>
      <c r="D1084">
        <v>1124</v>
      </c>
      <c r="E1084">
        <v>1090.1500000000001</v>
      </c>
      <c r="F1084">
        <v>1107.1500000000001</v>
      </c>
      <c r="G1084">
        <v>1110</v>
      </c>
      <c r="H1084">
        <v>1100.6500000000001</v>
      </c>
      <c r="I1084">
        <v>653307</v>
      </c>
      <c r="J1084">
        <v>725024825.79999995</v>
      </c>
      <c r="K1084" s="1">
        <v>43777</v>
      </c>
      <c r="L1084">
        <v>27053</v>
      </c>
      <c r="M1084" t="s">
        <v>3213</v>
      </c>
    </row>
    <row r="1085" spans="1:13" x14ac:dyDescent="0.25">
      <c r="A1085" t="s">
        <v>6315</v>
      </c>
      <c r="B1085" t="s">
        <v>5788</v>
      </c>
      <c r="C1085">
        <v>26</v>
      </c>
      <c r="D1085">
        <v>26</v>
      </c>
      <c r="E1085">
        <v>26</v>
      </c>
      <c r="F1085">
        <v>26</v>
      </c>
      <c r="G1085">
        <v>26</v>
      </c>
      <c r="H1085">
        <v>25.95</v>
      </c>
      <c r="I1085">
        <v>2000</v>
      </c>
      <c r="J1085">
        <v>52000</v>
      </c>
      <c r="K1085" s="1">
        <v>43777</v>
      </c>
      <c r="L1085">
        <v>1</v>
      </c>
      <c r="M1085" t="s">
        <v>6314</v>
      </c>
    </row>
    <row r="1086" spans="1:13" x14ac:dyDescent="0.25">
      <c r="A1086" t="s">
        <v>3226</v>
      </c>
      <c r="B1086" t="s">
        <v>14</v>
      </c>
      <c r="C1086">
        <v>6.8</v>
      </c>
      <c r="D1086">
        <v>7.4</v>
      </c>
      <c r="E1086">
        <v>6.8</v>
      </c>
      <c r="F1086">
        <v>6.9</v>
      </c>
      <c r="G1086">
        <v>7</v>
      </c>
      <c r="H1086">
        <v>6.75</v>
      </c>
      <c r="I1086">
        <v>32988</v>
      </c>
      <c r="J1086">
        <v>232608.45</v>
      </c>
      <c r="K1086" s="1">
        <v>43777</v>
      </c>
      <c r="L1086">
        <v>156</v>
      </c>
      <c r="M1086" t="s">
        <v>3228</v>
      </c>
    </row>
    <row r="1087" spans="1:13" x14ac:dyDescent="0.25">
      <c r="A1087" t="s">
        <v>7382</v>
      </c>
      <c r="B1087" t="s">
        <v>14</v>
      </c>
      <c r="C1087">
        <v>56</v>
      </c>
      <c r="D1087">
        <v>57</v>
      </c>
      <c r="E1087">
        <v>54.65</v>
      </c>
      <c r="F1087">
        <v>55.55</v>
      </c>
      <c r="G1087">
        <v>55.75</v>
      </c>
      <c r="H1087">
        <v>56.4</v>
      </c>
      <c r="I1087">
        <v>844740</v>
      </c>
      <c r="J1087">
        <v>46942480.649999999</v>
      </c>
      <c r="K1087" s="1">
        <v>43777</v>
      </c>
      <c r="L1087">
        <v>5056</v>
      </c>
      <c r="M1087" t="s">
        <v>7381</v>
      </c>
    </row>
    <row r="1088" spans="1:13" x14ac:dyDescent="0.25">
      <c r="A1088" t="s">
        <v>3232</v>
      </c>
      <c r="B1088" t="s">
        <v>10</v>
      </c>
      <c r="C1088">
        <v>0.85</v>
      </c>
      <c r="D1088">
        <v>0.85</v>
      </c>
      <c r="E1088">
        <v>0.8</v>
      </c>
      <c r="F1088">
        <v>0.8</v>
      </c>
      <c r="G1088">
        <v>0.8</v>
      </c>
      <c r="H1088">
        <v>0.85</v>
      </c>
      <c r="I1088">
        <v>175</v>
      </c>
      <c r="J1088">
        <v>146.55000000000001</v>
      </c>
      <c r="K1088" s="1">
        <v>43777</v>
      </c>
      <c r="L1088">
        <v>3</v>
      </c>
      <c r="M1088" t="s">
        <v>3234</v>
      </c>
    </row>
    <row r="1089" spans="1:13" x14ac:dyDescent="0.25">
      <c r="A1089" t="s">
        <v>3235</v>
      </c>
      <c r="B1089" t="s">
        <v>14</v>
      </c>
      <c r="C1089">
        <v>57.95</v>
      </c>
      <c r="D1089">
        <v>58.4</v>
      </c>
      <c r="E1089">
        <v>56.6</v>
      </c>
      <c r="F1089">
        <v>57.8</v>
      </c>
      <c r="G1089">
        <v>57.8</v>
      </c>
      <c r="H1089">
        <v>57.7</v>
      </c>
      <c r="I1089">
        <v>4440</v>
      </c>
      <c r="J1089">
        <v>255803.25</v>
      </c>
      <c r="K1089" s="1">
        <v>43777</v>
      </c>
      <c r="L1089">
        <v>99</v>
      </c>
      <c r="M1089" t="s">
        <v>3237</v>
      </c>
    </row>
    <row r="1090" spans="1:13" x14ac:dyDescent="0.25">
      <c r="A1090" t="s">
        <v>3238</v>
      </c>
      <c r="B1090" t="s">
        <v>14</v>
      </c>
      <c r="C1090">
        <v>34.299999999999997</v>
      </c>
      <c r="D1090">
        <v>34.299999999999997</v>
      </c>
      <c r="E1090">
        <v>32.299999999999997</v>
      </c>
      <c r="F1090">
        <v>32.75</v>
      </c>
      <c r="G1090">
        <v>32.700000000000003</v>
      </c>
      <c r="H1090">
        <v>33.950000000000003</v>
      </c>
      <c r="I1090">
        <v>102950</v>
      </c>
      <c r="J1090">
        <v>3440646.25</v>
      </c>
      <c r="K1090" s="1">
        <v>43777</v>
      </c>
      <c r="L1090">
        <v>1545</v>
      </c>
      <c r="M1090" t="s">
        <v>3240</v>
      </c>
    </row>
    <row r="1091" spans="1:13" x14ac:dyDescent="0.25">
      <c r="A1091" t="s">
        <v>7380</v>
      </c>
      <c r="B1091" t="s">
        <v>10</v>
      </c>
      <c r="C1091">
        <v>1.3</v>
      </c>
      <c r="D1091">
        <v>1.3</v>
      </c>
      <c r="E1091">
        <v>1.2</v>
      </c>
      <c r="F1091">
        <v>1.25</v>
      </c>
      <c r="G1091">
        <v>1.3</v>
      </c>
      <c r="H1091">
        <v>1.25</v>
      </c>
      <c r="I1091">
        <v>773566</v>
      </c>
      <c r="J1091">
        <v>996011.95</v>
      </c>
      <c r="K1091" s="1">
        <v>43777</v>
      </c>
      <c r="L1091">
        <v>347</v>
      </c>
      <c r="M1091" t="s">
        <v>7379</v>
      </c>
    </row>
    <row r="1092" spans="1:13" x14ac:dyDescent="0.25">
      <c r="A1092" t="s">
        <v>3241</v>
      </c>
      <c r="B1092" t="s">
        <v>10</v>
      </c>
      <c r="C1092">
        <v>9.8000000000000007</v>
      </c>
      <c r="D1092">
        <v>9.8000000000000007</v>
      </c>
      <c r="E1092">
        <v>9.6999999999999993</v>
      </c>
      <c r="F1092">
        <v>9.75</v>
      </c>
      <c r="G1092">
        <v>9.8000000000000007</v>
      </c>
      <c r="H1092">
        <v>9.35</v>
      </c>
      <c r="I1092">
        <v>30013</v>
      </c>
      <c r="J1092">
        <v>293831.75</v>
      </c>
      <c r="K1092" s="1">
        <v>43777</v>
      </c>
      <c r="L1092">
        <v>84</v>
      </c>
      <c r="M1092" t="s">
        <v>3243</v>
      </c>
    </row>
    <row r="1093" spans="1:13" x14ac:dyDescent="0.25">
      <c r="A1093" t="s">
        <v>7378</v>
      </c>
      <c r="B1093" t="s">
        <v>786</v>
      </c>
      <c r="C1093">
        <v>0.35</v>
      </c>
      <c r="D1093">
        <v>0.35</v>
      </c>
      <c r="E1093">
        <v>0.3</v>
      </c>
      <c r="F1093">
        <v>0.3</v>
      </c>
      <c r="G1093">
        <v>0.35</v>
      </c>
      <c r="H1093">
        <v>0.3</v>
      </c>
      <c r="I1093">
        <v>2649</v>
      </c>
      <c r="J1093">
        <v>897.3</v>
      </c>
      <c r="K1093" s="1">
        <v>43777</v>
      </c>
      <c r="L1093">
        <v>15</v>
      </c>
      <c r="M1093" t="s">
        <v>7377</v>
      </c>
    </row>
    <row r="1094" spans="1:13" x14ac:dyDescent="0.25">
      <c r="A1094" t="s">
        <v>3247</v>
      </c>
      <c r="B1094" t="s">
        <v>14</v>
      </c>
      <c r="C1094">
        <v>1386.5</v>
      </c>
      <c r="D1094">
        <v>1401.05</v>
      </c>
      <c r="E1094">
        <v>1336.6</v>
      </c>
      <c r="F1094">
        <v>1357.1</v>
      </c>
      <c r="G1094">
        <v>1336.6</v>
      </c>
      <c r="H1094">
        <v>1386.5</v>
      </c>
      <c r="I1094">
        <v>39691</v>
      </c>
      <c r="J1094">
        <v>54922843.649999999</v>
      </c>
      <c r="K1094" s="1">
        <v>43777</v>
      </c>
      <c r="L1094">
        <v>7747</v>
      </c>
      <c r="M1094" t="s">
        <v>3249</v>
      </c>
    </row>
    <row r="1095" spans="1:13" x14ac:dyDescent="0.25">
      <c r="A1095" t="s">
        <v>3250</v>
      </c>
      <c r="B1095" t="s">
        <v>14</v>
      </c>
      <c r="C1095">
        <v>474.85</v>
      </c>
      <c r="D1095">
        <v>497.15</v>
      </c>
      <c r="E1095">
        <v>465</v>
      </c>
      <c r="F1095">
        <v>482</v>
      </c>
      <c r="G1095">
        <v>477.2</v>
      </c>
      <c r="H1095">
        <v>478.25</v>
      </c>
      <c r="I1095">
        <v>5903904</v>
      </c>
      <c r="J1095">
        <v>2817528976.1500001</v>
      </c>
      <c r="K1095" s="1">
        <v>43777</v>
      </c>
      <c r="L1095">
        <v>80015</v>
      </c>
      <c r="M1095" t="s">
        <v>3252</v>
      </c>
    </row>
    <row r="1096" spans="1:13" x14ac:dyDescent="0.25">
      <c r="A1096" t="s">
        <v>3256</v>
      </c>
      <c r="B1096" t="s">
        <v>14</v>
      </c>
      <c r="C1096">
        <v>953.8</v>
      </c>
      <c r="D1096">
        <v>984.05</v>
      </c>
      <c r="E1096">
        <v>951</v>
      </c>
      <c r="F1096">
        <v>969.6</v>
      </c>
      <c r="G1096">
        <v>970</v>
      </c>
      <c r="H1096">
        <v>957.9</v>
      </c>
      <c r="I1096">
        <v>1197308</v>
      </c>
      <c r="J1096">
        <v>1163978476.7</v>
      </c>
      <c r="K1096" s="1">
        <v>43777</v>
      </c>
      <c r="L1096">
        <v>48359</v>
      </c>
      <c r="M1096" t="s">
        <v>3258</v>
      </c>
    </row>
    <row r="1097" spans="1:13" x14ac:dyDescent="0.25">
      <c r="A1097" t="s">
        <v>3262</v>
      </c>
      <c r="B1097" t="s">
        <v>14</v>
      </c>
      <c r="C1097">
        <v>231.15</v>
      </c>
      <c r="D1097">
        <v>236.25</v>
      </c>
      <c r="E1097">
        <v>230</v>
      </c>
      <c r="F1097">
        <v>230.85</v>
      </c>
      <c r="G1097">
        <v>230.05</v>
      </c>
      <c r="H1097">
        <v>232.65</v>
      </c>
      <c r="I1097">
        <v>29820</v>
      </c>
      <c r="J1097">
        <v>6961638.4000000004</v>
      </c>
      <c r="K1097" s="1">
        <v>43777</v>
      </c>
      <c r="L1097">
        <v>1333</v>
      </c>
      <c r="M1097" t="s">
        <v>3264</v>
      </c>
    </row>
    <row r="1098" spans="1:13" x14ac:dyDescent="0.25">
      <c r="A1098" t="s">
        <v>7376</v>
      </c>
      <c r="B1098" t="s">
        <v>10</v>
      </c>
      <c r="C1098">
        <v>0.75</v>
      </c>
      <c r="D1098">
        <v>0.8</v>
      </c>
      <c r="E1098">
        <v>0.7</v>
      </c>
      <c r="F1098">
        <v>0.8</v>
      </c>
      <c r="G1098">
        <v>0.75</v>
      </c>
      <c r="H1098">
        <v>0.75</v>
      </c>
      <c r="I1098">
        <v>175369</v>
      </c>
      <c r="J1098">
        <v>133999.25</v>
      </c>
      <c r="K1098" s="1">
        <v>43777</v>
      </c>
      <c r="L1098">
        <v>112</v>
      </c>
      <c r="M1098" t="s">
        <v>7375</v>
      </c>
    </row>
    <row r="1099" spans="1:13" x14ac:dyDescent="0.25">
      <c r="A1099" t="s">
        <v>3268</v>
      </c>
      <c r="B1099" t="s">
        <v>14</v>
      </c>
      <c r="C1099">
        <v>171.4</v>
      </c>
      <c r="D1099">
        <v>186.95</v>
      </c>
      <c r="E1099">
        <v>170.75</v>
      </c>
      <c r="F1099">
        <v>172.6</v>
      </c>
      <c r="G1099">
        <v>173</v>
      </c>
      <c r="H1099">
        <v>172.55</v>
      </c>
      <c r="I1099">
        <v>1610060</v>
      </c>
      <c r="J1099">
        <v>288568666.80000001</v>
      </c>
      <c r="K1099" s="1">
        <v>43777</v>
      </c>
      <c r="L1099">
        <v>22127</v>
      </c>
      <c r="M1099" t="s">
        <v>3270</v>
      </c>
    </row>
    <row r="1100" spans="1:13" x14ac:dyDescent="0.25">
      <c r="A1100" t="s">
        <v>6303</v>
      </c>
      <c r="B1100" t="s">
        <v>5788</v>
      </c>
      <c r="C1100">
        <v>11.35</v>
      </c>
      <c r="D1100">
        <v>12</v>
      </c>
      <c r="E1100">
        <v>11.35</v>
      </c>
      <c r="F1100">
        <v>12</v>
      </c>
      <c r="G1100">
        <v>12</v>
      </c>
      <c r="H1100">
        <v>11.9</v>
      </c>
      <c r="I1100">
        <v>57200</v>
      </c>
      <c r="J1100">
        <v>658680</v>
      </c>
      <c r="K1100" s="1">
        <v>43777</v>
      </c>
      <c r="L1100">
        <v>4</v>
      </c>
      <c r="M1100" t="s">
        <v>6302</v>
      </c>
    </row>
    <row r="1101" spans="1:13" x14ac:dyDescent="0.25">
      <c r="A1101" t="s">
        <v>3271</v>
      </c>
      <c r="B1101" t="s">
        <v>14</v>
      </c>
      <c r="C1101">
        <v>96.25</v>
      </c>
      <c r="D1101">
        <v>98.3</v>
      </c>
      <c r="E1101">
        <v>94.5</v>
      </c>
      <c r="F1101">
        <v>95.2</v>
      </c>
      <c r="G1101">
        <v>95</v>
      </c>
      <c r="H1101">
        <v>97.7</v>
      </c>
      <c r="I1101">
        <v>120525</v>
      </c>
      <c r="J1101">
        <v>11575843.65</v>
      </c>
      <c r="K1101" s="1">
        <v>43777</v>
      </c>
      <c r="L1101">
        <v>1556</v>
      </c>
      <c r="M1101" t="s">
        <v>3273</v>
      </c>
    </row>
    <row r="1102" spans="1:13" x14ac:dyDescent="0.25">
      <c r="A1102" t="s">
        <v>7374</v>
      </c>
      <c r="B1102" t="s">
        <v>14</v>
      </c>
      <c r="C1102">
        <v>363.5</v>
      </c>
      <c r="D1102">
        <v>363.5</v>
      </c>
      <c r="E1102">
        <v>343.2</v>
      </c>
      <c r="F1102">
        <v>344.6</v>
      </c>
      <c r="G1102">
        <v>345</v>
      </c>
      <c r="H1102">
        <v>358.7</v>
      </c>
      <c r="I1102">
        <v>66673</v>
      </c>
      <c r="J1102">
        <v>23367452.5</v>
      </c>
      <c r="K1102" s="1">
        <v>43777</v>
      </c>
      <c r="L1102">
        <v>3163</v>
      </c>
      <c r="M1102" t="s">
        <v>5432</v>
      </c>
    </row>
    <row r="1103" spans="1:13" x14ac:dyDescent="0.25">
      <c r="A1103" t="s">
        <v>3274</v>
      </c>
      <c r="B1103" t="s">
        <v>14</v>
      </c>
      <c r="C1103">
        <v>32.049999999999997</v>
      </c>
      <c r="D1103">
        <v>35.700000000000003</v>
      </c>
      <c r="E1103">
        <v>32.049999999999997</v>
      </c>
      <c r="F1103">
        <v>34.6</v>
      </c>
      <c r="G1103">
        <v>34.15</v>
      </c>
      <c r="H1103">
        <v>32.15</v>
      </c>
      <c r="I1103">
        <v>23957</v>
      </c>
      <c r="J1103">
        <v>802971.95</v>
      </c>
      <c r="K1103" s="1">
        <v>43777</v>
      </c>
      <c r="L1103">
        <v>209</v>
      </c>
      <c r="M1103" t="s">
        <v>3276</v>
      </c>
    </row>
    <row r="1104" spans="1:13" x14ac:dyDescent="0.25">
      <c r="A1104" t="s">
        <v>7373</v>
      </c>
      <c r="B1104" t="s">
        <v>14</v>
      </c>
      <c r="C1104">
        <v>703.25</v>
      </c>
      <c r="D1104">
        <v>706</v>
      </c>
      <c r="E1104">
        <v>691.65</v>
      </c>
      <c r="F1104">
        <v>693.8</v>
      </c>
      <c r="G1104">
        <v>694</v>
      </c>
      <c r="H1104">
        <v>707.25</v>
      </c>
      <c r="I1104">
        <v>284043</v>
      </c>
      <c r="J1104">
        <v>198761734.59999999</v>
      </c>
      <c r="K1104" s="1">
        <v>43777</v>
      </c>
      <c r="L1104">
        <v>9564</v>
      </c>
      <c r="M1104" t="s">
        <v>7372</v>
      </c>
    </row>
    <row r="1105" spans="1:13" x14ac:dyDescent="0.25">
      <c r="A1105" t="s">
        <v>3277</v>
      </c>
      <c r="B1105" t="s">
        <v>14</v>
      </c>
      <c r="C1105">
        <v>8.35</v>
      </c>
      <c r="D1105">
        <v>8.5500000000000007</v>
      </c>
      <c r="E1105">
        <v>8.15</v>
      </c>
      <c r="F1105">
        <v>8.1999999999999993</v>
      </c>
      <c r="G1105">
        <v>8.15</v>
      </c>
      <c r="H1105">
        <v>8.3000000000000007</v>
      </c>
      <c r="I1105">
        <v>177834</v>
      </c>
      <c r="J1105">
        <v>1482435.7</v>
      </c>
      <c r="K1105" s="1">
        <v>43777</v>
      </c>
      <c r="L1105">
        <v>302</v>
      </c>
      <c r="M1105" t="s">
        <v>3279</v>
      </c>
    </row>
    <row r="1106" spans="1:13" x14ac:dyDescent="0.25">
      <c r="A1106" t="s">
        <v>3280</v>
      </c>
      <c r="B1106" t="s">
        <v>14</v>
      </c>
      <c r="C1106">
        <v>58.35</v>
      </c>
      <c r="D1106">
        <v>63.4</v>
      </c>
      <c r="E1106">
        <v>58.25</v>
      </c>
      <c r="F1106">
        <v>61.9</v>
      </c>
      <c r="G1106">
        <v>61.8</v>
      </c>
      <c r="H1106">
        <v>58.55</v>
      </c>
      <c r="I1106">
        <v>1907880</v>
      </c>
      <c r="J1106">
        <v>118271640.09999999</v>
      </c>
      <c r="K1106" s="1">
        <v>43777</v>
      </c>
      <c r="L1106">
        <v>11693</v>
      </c>
      <c r="M1106" t="s">
        <v>3282</v>
      </c>
    </row>
    <row r="1107" spans="1:13" x14ac:dyDescent="0.25">
      <c r="A1107" t="s">
        <v>3286</v>
      </c>
      <c r="B1107" t="s">
        <v>5788</v>
      </c>
      <c r="C1107">
        <v>103.1</v>
      </c>
      <c r="D1107">
        <v>103.1</v>
      </c>
      <c r="E1107">
        <v>103.1</v>
      </c>
      <c r="F1107">
        <v>103.1</v>
      </c>
      <c r="G1107">
        <v>103.1</v>
      </c>
      <c r="H1107">
        <v>102.8</v>
      </c>
      <c r="I1107">
        <v>2500</v>
      </c>
      <c r="J1107">
        <v>257750</v>
      </c>
      <c r="K1107" s="1">
        <v>43777</v>
      </c>
      <c r="L1107">
        <v>1</v>
      </c>
      <c r="M1107" t="s">
        <v>7371</v>
      </c>
    </row>
    <row r="1108" spans="1:13" x14ac:dyDescent="0.25">
      <c r="A1108" t="s">
        <v>3292</v>
      </c>
      <c r="B1108" t="s">
        <v>14</v>
      </c>
      <c r="C1108">
        <v>406.05</v>
      </c>
      <c r="D1108">
        <v>406.05</v>
      </c>
      <c r="E1108">
        <v>379.55</v>
      </c>
      <c r="F1108">
        <v>397.95</v>
      </c>
      <c r="G1108">
        <v>397</v>
      </c>
      <c r="H1108">
        <v>394.9</v>
      </c>
      <c r="I1108">
        <v>1160</v>
      </c>
      <c r="J1108">
        <v>455333.5</v>
      </c>
      <c r="K1108" s="1">
        <v>43777</v>
      </c>
      <c r="L1108">
        <v>157</v>
      </c>
      <c r="M1108" t="s">
        <v>3294</v>
      </c>
    </row>
    <row r="1109" spans="1:13" x14ac:dyDescent="0.25">
      <c r="A1109" t="s">
        <v>3298</v>
      </c>
      <c r="B1109" t="s">
        <v>14</v>
      </c>
      <c r="C1109">
        <v>19</v>
      </c>
      <c r="D1109">
        <v>19.149999999999999</v>
      </c>
      <c r="E1109">
        <v>18.3</v>
      </c>
      <c r="F1109">
        <v>18.649999999999999</v>
      </c>
      <c r="G1109">
        <v>18.45</v>
      </c>
      <c r="H1109">
        <v>19.100000000000001</v>
      </c>
      <c r="I1109">
        <v>896940</v>
      </c>
      <c r="J1109">
        <v>16864198.949999999</v>
      </c>
      <c r="K1109" s="1">
        <v>43777</v>
      </c>
      <c r="L1109">
        <v>2177</v>
      </c>
      <c r="M1109" t="s">
        <v>3300</v>
      </c>
    </row>
    <row r="1110" spans="1:13" x14ac:dyDescent="0.25">
      <c r="A1110" t="s">
        <v>3301</v>
      </c>
      <c r="B1110" t="s">
        <v>10</v>
      </c>
      <c r="C1110">
        <v>41.8</v>
      </c>
      <c r="D1110">
        <v>41.8</v>
      </c>
      <c r="E1110">
        <v>41.8</v>
      </c>
      <c r="F1110">
        <v>41.8</v>
      </c>
      <c r="G1110">
        <v>41.8</v>
      </c>
      <c r="H1110">
        <v>41.8</v>
      </c>
      <c r="I1110">
        <v>191</v>
      </c>
      <c r="J1110">
        <v>7983.8</v>
      </c>
      <c r="K1110" s="1">
        <v>43777</v>
      </c>
      <c r="L1110">
        <v>5</v>
      </c>
      <c r="M1110" t="s">
        <v>3303</v>
      </c>
    </row>
    <row r="1111" spans="1:13" x14ac:dyDescent="0.25">
      <c r="A1111" t="s">
        <v>3307</v>
      </c>
      <c r="B1111" t="s">
        <v>14</v>
      </c>
      <c r="C1111">
        <v>5.0999999999999996</v>
      </c>
      <c r="D1111">
        <v>5.0999999999999996</v>
      </c>
      <c r="E1111">
        <v>4.5</v>
      </c>
      <c r="F1111">
        <v>5.0999999999999996</v>
      </c>
      <c r="G1111">
        <v>5.0999999999999996</v>
      </c>
      <c r="H1111">
        <v>5.0999999999999996</v>
      </c>
      <c r="I1111">
        <v>8136</v>
      </c>
      <c r="J1111">
        <v>41304.300000000003</v>
      </c>
      <c r="K1111" s="1">
        <v>43777</v>
      </c>
      <c r="L1111">
        <v>11</v>
      </c>
      <c r="M1111" t="s">
        <v>3309</v>
      </c>
    </row>
    <row r="1112" spans="1:13" x14ac:dyDescent="0.25">
      <c r="A1112" t="s">
        <v>7370</v>
      </c>
      <c r="B1112" t="s">
        <v>14</v>
      </c>
      <c r="C1112">
        <v>9.5</v>
      </c>
      <c r="D1112">
        <v>9.5500000000000007</v>
      </c>
      <c r="E1112">
        <v>8.65</v>
      </c>
      <c r="F1112">
        <v>8.9</v>
      </c>
      <c r="G1112">
        <v>8.65</v>
      </c>
      <c r="H1112">
        <v>9.1</v>
      </c>
      <c r="I1112">
        <v>15659</v>
      </c>
      <c r="J1112">
        <v>142328.04999999999</v>
      </c>
      <c r="K1112" s="1">
        <v>43777</v>
      </c>
      <c r="L1112">
        <v>121</v>
      </c>
      <c r="M1112" t="s">
        <v>7369</v>
      </c>
    </row>
    <row r="1113" spans="1:13" x14ac:dyDescent="0.25">
      <c r="A1113" t="s">
        <v>3310</v>
      </c>
      <c r="B1113" t="s">
        <v>14</v>
      </c>
      <c r="C1113">
        <v>144.6</v>
      </c>
      <c r="D1113">
        <v>149.5</v>
      </c>
      <c r="E1113">
        <v>143.75</v>
      </c>
      <c r="F1113">
        <v>144.25</v>
      </c>
      <c r="G1113">
        <v>144.65</v>
      </c>
      <c r="H1113">
        <v>145.75</v>
      </c>
      <c r="I1113">
        <v>579126</v>
      </c>
      <c r="J1113">
        <v>84846255.75</v>
      </c>
      <c r="K1113" s="1">
        <v>43777</v>
      </c>
      <c r="L1113">
        <v>6315</v>
      </c>
      <c r="M1113" t="s">
        <v>3312</v>
      </c>
    </row>
    <row r="1114" spans="1:13" x14ac:dyDescent="0.25">
      <c r="A1114" t="s">
        <v>3319</v>
      </c>
      <c r="B1114" t="s">
        <v>14</v>
      </c>
      <c r="C1114">
        <v>49.05</v>
      </c>
      <c r="D1114">
        <v>51</v>
      </c>
      <c r="E1114">
        <v>48.65</v>
      </c>
      <c r="F1114">
        <v>49.95</v>
      </c>
      <c r="G1114">
        <v>51</v>
      </c>
      <c r="H1114">
        <v>49.55</v>
      </c>
      <c r="I1114">
        <v>31832</v>
      </c>
      <c r="J1114">
        <v>1571297.1</v>
      </c>
      <c r="K1114" s="1">
        <v>43777</v>
      </c>
      <c r="L1114">
        <v>135</v>
      </c>
      <c r="M1114" t="s">
        <v>3321</v>
      </c>
    </row>
    <row r="1115" spans="1:13" x14ac:dyDescent="0.25">
      <c r="A1115" t="s">
        <v>3322</v>
      </c>
      <c r="B1115" t="s">
        <v>14</v>
      </c>
      <c r="C1115">
        <v>294.14999999999998</v>
      </c>
      <c r="D1115">
        <v>303</v>
      </c>
      <c r="E1115">
        <v>290.05</v>
      </c>
      <c r="F1115">
        <v>291.5</v>
      </c>
      <c r="G1115">
        <v>292</v>
      </c>
      <c r="H1115">
        <v>296.64999999999998</v>
      </c>
      <c r="I1115">
        <v>31196</v>
      </c>
      <c r="J1115">
        <v>9239441.8499999996</v>
      </c>
      <c r="K1115" s="1">
        <v>43777</v>
      </c>
      <c r="L1115">
        <v>1439</v>
      </c>
      <c r="M1115" t="s">
        <v>3324</v>
      </c>
    </row>
    <row r="1116" spans="1:13" x14ac:dyDescent="0.25">
      <c r="A1116" t="s">
        <v>3328</v>
      </c>
      <c r="B1116" t="s">
        <v>14</v>
      </c>
      <c r="C1116">
        <v>238.95</v>
      </c>
      <c r="D1116">
        <v>238.95</v>
      </c>
      <c r="E1116">
        <v>232.45</v>
      </c>
      <c r="F1116">
        <v>236.55</v>
      </c>
      <c r="G1116">
        <v>234.8</v>
      </c>
      <c r="H1116">
        <v>236.2</v>
      </c>
      <c r="I1116">
        <v>11658</v>
      </c>
      <c r="J1116">
        <v>2747030.2</v>
      </c>
      <c r="K1116" s="1">
        <v>43777</v>
      </c>
      <c r="L1116">
        <v>343</v>
      </c>
      <c r="M1116" t="s">
        <v>3330</v>
      </c>
    </row>
    <row r="1117" spans="1:13" x14ac:dyDescent="0.25">
      <c r="A1117" t="s">
        <v>3331</v>
      </c>
      <c r="B1117" t="s">
        <v>14</v>
      </c>
      <c r="C1117">
        <v>13.7</v>
      </c>
      <c r="D1117">
        <v>14</v>
      </c>
      <c r="E1117">
        <v>13.7</v>
      </c>
      <c r="F1117">
        <v>13.7</v>
      </c>
      <c r="G1117">
        <v>13.7</v>
      </c>
      <c r="H1117">
        <v>14.1</v>
      </c>
      <c r="I1117">
        <v>1025</v>
      </c>
      <c r="J1117">
        <v>14253.25</v>
      </c>
      <c r="K1117" s="1">
        <v>43777</v>
      </c>
      <c r="L1117">
        <v>9</v>
      </c>
      <c r="M1117" t="s">
        <v>3333</v>
      </c>
    </row>
    <row r="1118" spans="1:13" x14ac:dyDescent="0.25">
      <c r="A1118" t="s">
        <v>3334</v>
      </c>
      <c r="B1118" t="s">
        <v>14</v>
      </c>
      <c r="C1118">
        <v>17.100000000000001</v>
      </c>
      <c r="D1118">
        <v>17.100000000000001</v>
      </c>
      <c r="E1118">
        <v>16.899999999999999</v>
      </c>
      <c r="F1118">
        <v>16.95</v>
      </c>
      <c r="G1118">
        <v>16.899999999999999</v>
      </c>
      <c r="H1118">
        <v>17.05</v>
      </c>
      <c r="I1118">
        <v>205858</v>
      </c>
      <c r="J1118">
        <v>3493490.95</v>
      </c>
      <c r="K1118" s="1">
        <v>43777</v>
      </c>
      <c r="L1118">
        <v>449</v>
      </c>
      <c r="M1118" t="s">
        <v>3336</v>
      </c>
    </row>
    <row r="1119" spans="1:13" x14ac:dyDescent="0.25">
      <c r="A1119" t="s">
        <v>7368</v>
      </c>
      <c r="B1119" t="s">
        <v>14</v>
      </c>
      <c r="C1119">
        <v>132.85</v>
      </c>
      <c r="D1119">
        <v>135.35</v>
      </c>
      <c r="E1119">
        <v>128.6</v>
      </c>
      <c r="F1119">
        <v>129.25</v>
      </c>
      <c r="G1119">
        <v>128.94999999999999</v>
      </c>
      <c r="H1119">
        <v>134.19999999999999</v>
      </c>
      <c r="I1119">
        <v>12151485</v>
      </c>
      <c r="J1119">
        <v>1606327723</v>
      </c>
      <c r="K1119" s="1">
        <v>43777</v>
      </c>
      <c r="L1119">
        <v>64799</v>
      </c>
      <c r="M1119" t="s">
        <v>3339</v>
      </c>
    </row>
    <row r="1120" spans="1:13" x14ac:dyDescent="0.25">
      <c r="A1120" t="s">
        <v>3340</v>
      </c>
      <c r="B1120" t="s">
        <v>14</v>
      </c>
      <c r="C1120">
        <v>681</v>
      </c>
      <c r="D1120">
        <v>694.25</v>
      </c>
      <c r="E1120">
        <v>672</v>
      </c>
      <c r="F1120">
        <v>675.35</v>
      </c>
      <c r="G1120">
        <v>672.7</v>
      </c>
      <c r="H1120">
        <v>686.85</v>
      </c>
      <c r="I1120">
        <v>99023</v>
      </c>
      <c r="J1120">
        <v>67593061</v>
      </c>
      <c r="K1120" s="1">
        <v>43777</v>
      </c>
      <c r="L1120">
        <v>3977</v>
      </c>
      <c r="M1120" t="s">
        <v>3342</v>
      </c>
    </row>
    <row r="1121" spans="1:13" x14ac:dyDescent="0.25">
      <c r="A1121" t="s">
        <v>3343</v>
      </c>
      <c r="B1121" t="s">
        <v>14</v>
      </c>
      <c r="C1121">
        <v>33.549999999999997</v>
      </c>
      <c r="D1121">
        <v>36.450000000000003</v>
      </c>
      <c r="E1121">
        <v>33.549999999999997</v>
      </c>
      <c r="F1121">
        <v>34.9</v>
      </c>
      <c r="G1121">
        <v>36</v>
      </c>
      <c r="H1121">
        <v>35.1</v>
      </c>
      <c r="I1121">
        <v>1136</v>
      </c>
      <c r="J1121">
        <v>38881.050000000003</v>
      </c>
      <c r="K1121" s="1">
        <v>43777</v>
      </c>
      <c r="L1121">
        <v>23</v>
      </c>
      <c r="M1121" t="s">
        <v>7367</v>
      </c>
    </row>
    <row r="1122" spans="1:13" x14ac:dyDescent="0.25">
      <c r="A1122" t="s">
        <v>3346</v>
      </c>
      <c r="B1122" t="s">
        <v>14</v>
      </c>
      <c r="C1122">
        <v>904.7</v>
      </c>
      <c r="D1122">
        <v>914</v>
      </c>
      <c r="E1122">
        <v>875.1</v>
      </c>
      <c r="F1122">
        <v>879.55</v>
      </c>
      <c r="G1122">
        <v>876</v>
      </c>
      <c r="H1122">
        <v>904.7</v>
      </c>
      <c r="I1122">
        <v>100609</v>
      </c>
      <c r="J1122">
        <v>89638000.25</v>
      </c>
      <c r="K1122" s="1">
        <v>43777</v>
      </c>
      <c r="L1122">
        <v>7710</v>
      </c>
      <c r="M1122" t="s">
        <v>3348</v>
      </c>
    </row>
    <row r="1123" spans="1:13" x14ac:dyDescent="0.25">
      <c r="A1123" t="s">
        <v>3349</v>
      </c>
      <c r="B1123" t="s">
        <v>14</v>
      </c>
      <c r="C1123">
        <v>510.2</v>
      </c>
      <c r="D1123">
        <v>514.1</v>
      </c>
      <c r="E1123">
        <v>510</v>
      </c>
      <c r="F1123">
        <v>510.15</v>
      </c>
      <c r="G1123">
        <v>510</v>
      </c>
      <c r="H1123">
        <v>509.65</v>
      </c>
      <c r="I1123">
        <v>20201</v>
      </c>
      <c r="J1123">
        <v>10311393.199999999</v>
      </c>
      <c r="K1123" s="1">
        <v>43777</v>
      </c>
      <c r="L1123">
        <v>863</v>
      </c>
      <c r="M1123" t="s">
        <v>3351</v>
      </c>
    </row>
    <row r="1124" spans="1:13" x14ac:dyDescent="0.25">
      <c r="A1124" t="s">
        <v>3352</v>
      </c>
      <c r="B1124" t="s">
        <v>14</v>
      </c>
      <c r="C1124">
        <v>63681.4</v>
      </c>
      <c r="D1124">
        <v>65490</v>
      </c>
      <c r="E1124">
        <v>62855.7</v>
      </c>
      <c r="F1124">
        <v>64454.45</v>
      </c>
      <c r="G1124">
        <v>64260</v>
      </c>
      <c r="H1124">
        <v>63522.6</v>
      </c>
      <c r="I1124">
        <v>15991</v>
      </c>
      <c r="J1124">
        <v>1029277787.25</v>
      </c>
      <c r="K1124" s="1">
        <v>43777</v>
      </c>
      <c r="L1124">
        <v>9942</v>
      </c>
      <c r="M1124" t="s">
        <v>3354</v>
      </c>
    </row>
    <row r="1125" spans="1:13" x14ac:dyDescent="0.25">
      <c r="A1125" t="s">
        <v>3355</v>
      </c>
      <c r="B1125" t="s">
        <v>10</v>
      </c>
      <c r="C1125">
        <v>27.4</v>
      </c>
      <c r="D1125">
        <v>28</v>
      </c>
      <c r="E1125">
        <v>27.35</v>
      </c>
      <c r="F1125">
        <v>27.35</v>
      </c>
      <c r="G1125">
        <v>27.35</v>
      </c>
      <c r="H1125">
        <v>28.75</v>
      </c>
      <c r="I1125">
        <v>952</v>
      </c>
      <c r="J1125">
        <v>26278.25</v>
      </c>
      <c r="K1125" s="1">
        <v>43777</v>
      </c>
      <c r="L1125">
        <v>16</v>
      </c>
      <c r="M1125" t="s">
        <v>3357</v>
      </c>
    </row>
    <row r="1126" spans="1:13" x14ac:dyDescent="0.25">
      <c r="A1126" t="s">
        <v>3358</v>
      </c>
      <c r="B1126" t="s">
        <v>14</v>
      </c>
      <c r="C1126">
        <v>50.15</v>
      </c>
      <c r="D1126">
        <v>50.15</v>
      </c>
      <c r="E1126">
        <v>48.5</v>
      </c>
      <c r="F1126">
        <v>48.75</v>
      </c>
      <c r="G1126">
        <v>48.65</v>
      </c>
      <c r="H1126">
        <v>49.95</v>
      </c>
      <c r="I1126">
        <v>421272</v>
      </c>
      <c r="J1126">
        <v>20739581.149999999</v>
      </c>
      <c r="K1126" s="1">
        <v>43777</v>
      </c>
      <c r="L1126">
        <v>4493</v>
      </c>
      <c r="M1126" t="s">
        <v>3360</v>
      </c>
    </row>
    <row r="1127" spans="1:13" x14ac:dyDescent="0.25">
      <c r="A1127" t="s">
        <v>3361</v>
      </c>
      <c r="B1127" t="s">
        <v>14</v>
      </c>
      <c r="C1127">
        <v>6.1</v>
      </c>
      <c r="D1127">
        <v>6.1</v>
      </c>
      <c r="E1127">
        <v>5.7</v>
      </c>
      <c r="F1127">
        <v>6.1</v>
      </c>
      <c r="G1127">
        <v>5.85</v>
      </c>
      <c r="H1127">
        <v>5.85</v>
      </c>
      <c r="I1127">
        <v>5477</v>
      </c>
      <c r="J1127">
        <v>32766.65</v>
      </c>
      <c r="K1127" s="1">
        <v>43777</v>
      </c>
      <c r="L1127">
        <v>36</v>
      </c>
      <c r="M1127" t="s">
        <v>3363</v>
      </c>
    </row>
    <row r="1128" spans="1:13" x14ac:dyDescent="0.25">
      <c r="A1128" t="s">
        <v>3364</v>
      </c>
      <c r="B1128" t="s">
        <v>14</v>
      </c>
      <c r="C1128">
        <v>153.9</v>
      </c>
      <c r="D1128">
        <v>163.30000000000001</v>
      </c>
      <c r="E1128">
        <v>145</v>
      </c>
      <c r="F1128">
        <v>148.15</v>
      </c>
      <c r="G1128">
        <v>148.5</v>
      </c>
      <c r="H1128">
        <v>147.44999999999999</v>
      </c>
      <c r="I1128">
        <v>2840123</v>
      </c>
      <c r="J1128">
        <v>444808291.85000002</v>
      </c>
      <c r="K1128" s="1">
        <v>43777</v>
      </c>
      <c r="L1128">
        <v>30434</v>
      </c>
      <c r="M1128" t="s">
        <v>3366</v>
      </c>
    </row>
    <row r="1129" spans="1:13" x14ac:dyDescent="0.25">
      <c r="A1129" t="s">
        <v>3373</v>
      </c>
      <c r="B1129" t="s">
        <v>14</v>
      </c>
      <c r="C1129">
        <v>21.15</v>
      </c>
      <c r="D1129">
        <v>22</v>
      </c>
      <c r="E1129">
        <v>21.15</v>
      </c>
      <c r="F1129">
        <v>21.3</v>
      </c>
      <c r="G1129">
        <v>21.4</v>
      </c>
      <c r="H1129">
        <v>22.25</v>
      </c>
      <c r="I1129">
        <v>30308</v>
      </c>
      <c r="J1129">
        <v>644918.94999999995</v>
      </c>
      <c r="K1129" s="1">
        <v>43777</v>
      </c>
      <c r="L1129">
        <v>349</v>
      </c>
      <c r="M1129" t="s">
        <v>3375</v>
      </c>
    </row>
    <row r="1130" spans="1:13" x14ac:dyDescent="0.25">
      <c r="A1130" t="s">
        <v>3376</v>
      </c>
      <c r="B1130" t="s">
        <v>10</v>
      </c>
      <c r="C1130">
        <v>10.15</v>
      </c>
      <c r="D1130">
        <v>10.15</v>
      </c>
      <c r="E1130">
        <v>10.15</v>
      </c>
      <c r="F1130">
        <v>10.15</v>
      </c>
      <c r="G1130">
        <v>10.15</v>
      </c>
      <c r="H1130">
        <v>9.6999999999999993</v>
      </c>
      <c r="I1130">
        <v>189851</v>
      </c>
      <c r="J1130">
        <v>1926987.65</v>
      </c>
      <c r="K1130" s="1">
        <v>43777</v>
      </c>
      <c r="L1130">
        <v>263</v>
      </c>
      <c r="M1130" t="s">
        <v>3378</v>
      </c>
    </row>
    <row r="1131" spans="1:13" x14ac:dyDescent="0.25">
      <c r="A1131" t="s">
        <v>7366</v>
      </c>
      <c r="B1131" t="s">
        <v>14</v>
      </c>
      <c r="C1131">
        <v>12.35</v>
      </c>
      <c r="D1131">
        <v>12.35</v>
      </c>
      <c r="E1131">
        <v>11.6</v>
      </c>
      <c r="F1131">
        <v>11.65</v>
      </c>
      <c r="G1131">
        <v>11.65</v>
      </c>
      <c r="H1131">
        <v>12.05</v>
      </c>
      <c r="I1131">
        <v>1286</v>
      </c>
      <c r="J1131">
        <v>15220.65</v>
      </c>
      <c r="K1131" s="1">
        <v>43777</v>
      </c>
      <c r="L1131">
        <v>33</v>
      </c>
      <c r="M1131" t="s">
        <v>7365</v>
      </c>
    </row>
    <row r="1132" spans="1:13" x14ac:dyDescent="0.25">
      <c r="A1132" t="s">
        <v>3382</v>
      </c>
      <c r="B1132" t="s">
        <v>14</v>
      </c>
      <c r="C1132">
        <v>32.299999999999997</v>
      </c>
      <c r="D1132">
        <v>34.4</v>
      </c>
      <c r="E1132">
        <v>31.45</v>
      </c>
      <c r="F1132">
        <v>32</v>
      </c>
      <c r="G1132">
        <v>32.5</v>
      </c>
      <c r="H1132">
        <v>33.25</v>
      </c>
      <c r="I1132">
        <v>23105</v>
      </c>
      <c r="J1132">
        <v>742890.05</v>
      </c>
      <c r="K1132" s="1">
        <v>43777</v>
      </c>
      <c r="L1132">
        <v>204</v>
      </c>
      <c r="M1132" t="s">
        <v>3384</v>
      </c>
    </row>
    <row r="1133" spans="1:13" x14ac:dyDescent="0.25">
      <c r="A1133" t="s">
        <v>3382</v>
      </c>
      <c r="B1133" t="s">
        <v>5847</v>
      </c>
      <c r="C1133">
        <v>5.2</v>
      </c>
      <c r="D1133">
        <v>5.2</v>
      </c>
      <c r="E1133">
        <v>5.2</v>
      </c>
      <c r="F1133">
        <v>5.2</v>
      </c>
      <c r="G1133">
        <v>5.2</v>
      </c>
      <c r="H1133">
        <v>5.3</v>
      </c>
      <c r="I1133">
        <v>104</v>
      </c>
      <c r="J1133">
        <v>540.79999999999995</v>
      </c>
      <c r="K1133" s="1">
        <v>43777</v>
      </c>
      <c r="L1133">
        <v>2</v>
      </c>
      <c r="M1133" t="s">
        <v>7364</v>
      </c>
    </row>
    <row r="1134" spans="1:13" x14ac:dyDescent="0.25">
      <c r="A1134" t="s">
        <v>3385</v>
      </c>
      <c r="B1134" t="s">
        <v>14</v>
      </c>
      <c r="C1134">
        <v>40.5</v>
      </c>
      <c r="D1134">
        <v>41.85</v>
      </c>
      <c r="E1134">
        <v>39.950000000000003</v>
      </c>
      <c r="F1134">
        <v>41.45</v>
      </c>
      <c r="G1134">
        <v>41.4</v>
      </c>
      <c r="H1134">
        <v>40.5</v>
      </c>
      <c r="I1134">
        <v>31590</v>
      </c>
      <c r="J1134">
        <v>1302808.6000000001</v>
      </c>
      <c r="K1134" s="1">
        <v>43777</v>
      </c>
      <c r="L1134">
        <v>367</v>
      </c>
      <c r="M1134" t="s">
        <v>3387</v>
      </c>
    </row>
    <row r="1135" spans="1:13" x14ac:dyDescent="0.25">
      <c r="A1135" t="s">
        <v>3388</v>
      </c>
      <c r="B1135" t="s">
        <v>14</v>
      </c>
      <c r="C1135">
        <v>46.7</v>
      </c>
      <c r="D1135">
        <v>47.5</v>
      </c>
      <c r="E1135">
        <v>45.05</v>
      </c>
      <c r="F1135">
        <v>45.55</v>
      </c>
      <c r="G1135">
        <v>45.4</v>
      </c>
      <c r="H1135">
        <v>47.05</v>
      </c>
      <c r="I1135">
        <v>119879</v>
      </c>
      <c r="J1135">
        <v>5552905.4500000002</v>
      </c>
      <c r="K1135" s="1">
        <v>43777</v>
      </c>
      <c r="L1135">
        <v>1295</v>
      </c>
      <c r="M1135" t="s">
        <v>3390</v>
      </c>
    </row>
    <row r="1136" spans="1:13" x14ac:dyDescent="0.25">
      <c r="A1136" t="s">
        <v>3391</v>
      </c>
      <c r="B1136" t="s">
        <v>14</v>
      </c>
      <c r="C1136">
        <v>133.05000000000001</v>
      </c>
      <c r="D1136">
        <v>135.85</v>
      </c>
      <c r="E1136">
        <v>131.05000000000001</v>
      </c>
      <c r="F1136">
        <v>132.35</v>
      </c>
      <c r="G1136">
        <v>135</v>
      </c>
      <c r="H1136">
        <v>134.1</v>
      </c>
      <c r="I1136">
        <v>19227</v>
      </c>
      <c r="J1136">
        <v>2576937.15</v>
      </c>
      <c r="K1136" s="1">
        <v>43777</v>
      </c>
      <c r="L1136">
        <v>352</v>
      </c>
      <c r="M1136" t="s">
        <v>3393</v>
      </c>
    </row>
    <row r="1137" spans="1:13" x14ac:dyDescent="0.25">
      <c r="A1137" t="s">
        <v>3394</v>
      </c>
      <c r="B1137" t="s">
        <v>14</v>
      </c>
      <c r="C1137">
        <v>17.2</v>
      </c>
      <c r="D1137">
        <v>17.350000000000001</v>
      </c>
      <c r="E1137">
        <v>16.2</v>
      </c>
      <c r="F1137">
        <v>16.55</v>
      </c>
      <c r="G1137">
        <v>16.25</v>
      </c>
      <c r="H1137">
        <v>17.149999999999999</v>
      </c>
      <c r="I1137">
        <v>29724</v>
      </c>
      <c r="J1137">
        <v>498939.75</v>
      </c>
      <c r="K1137" s="1">
        <v>43777</v>
      </c>
      <c r="L1137">
        <v>320</v>
      </c>
      <c r="M1137" t="s">
        <v>3396</v>
      </c>
    </row>
    <row r="1138" spans="1:13" x14ac:dyDescent="0.25">
      <c r="A1138" t="s">
        <v>3397</v>
      </c>
      <c r="B1138" t="s">
        <v>14</v>
      </c>
      <c r="C1138">
        <v>463.85</v>
      </c>
      <c r="D1138">
        <v>467.3</v>
      </c>
      <c r="E1138">
        <v>453.55</v>
      </c>
      <c r="F1138">
        <v>454.9</v>
      </c>
      <c r="G1138">
        <v>460.25</v>
      </c>
      <c r="H1138">
        <v>457.05</v>
      </c>
      <c r="I1138">
        <v>8489</v>
      </c>
      <c r="J1138">
        <v>3897748.35</v>
      </c>
      <c r="K1138" s="1">
        <v>43777</v>
      </c>
      <c r="L1138">
        <v>834</v>
      </c>
      <c r="M1138" t="s">
        <v>3399</v>
      </c>
    </row>
    <row r="1139" spans="1:13" x14ac:dyDescent="0.25">
      <c r="A1139" t="s">
        <v>3400</v>
      </c>
      <c r="B1139" t="s">
        <v>14</v>
      </c>
      <c r="C1139">
        <v>683</v>
      </c>
      <c r="D1139">
        <v>686.85</v>
      </c>
      <c r="E1139">
        <v>673.2</v>
      </c>
      <c r="F1139">
        <v>674.9</v>
      </c>
      <c r="G1139">
        <v>674.05</v>
      </c>
      <c r="H1139">
        <v>685.05</v>
      </c>
      <c r="I1139">
        <v>330246</v>
      </c>
      <c r="J1139">
        <v>224518733.55000001</v>
      </c>
      <c r="K1139" s="1">
        <v>43777</v>
      </c>
      <c r="L1139">
        <v>9609</v>
      </c>
      <c r="M1139" t="s">
        <v>3402</v>
      </c>
    </row>
    <row r="1140" spans="1:13" x14ac:dyDescent="0.25">
      <c r="A1140" t="s">
        <v>7363</v>
      </c>
      <c r="B1140" t="s">
        <v>10</v>
      </c>
      <c r="C1140">
        <v>0.1</v>
      </c>
      <c r="D1140">
        <v>0.1</v>
      </c>
      <c r="E1140">
        <v>0.05</v>
      </c>
      <c r="F1140">
        <v>0.1</v>
      </c>
      <c r="G1140">
        <v>0.1</v>
      </c>
      <c r="H1140">
        <v>0.1</v>
      </c>
      <c r="I1140">
        <v>597998</v>
      </c>
      <c r="J1140">
        <v>55448.75</v>
      </c>
      <c r="K1140" s="1">
        <v>43777</v>
      </c>
      <c r="L1140">
        <v>60</v>
      </c>
      <c r="M1140" t="s">
        <v>7362</v>
      </c>
    </row>
    <row r="1141" spans="1:13" x14ac:dyDescent="0.25">
      <c r="A1141" t="s">
        <v>7361</v>
      </c>
      <c r="B1141" t="s">
        <v>14</v>
      </c>
      <c r="C1141">
        <v>576</v>
      </c>
      <c r="D1141">
        <v>580</v>
      </c>
      <c r="E1141">
        <v>567.5</v>
      </c>
      <c r="F1141">
        <v>569.23</v>
      </c>
      <c r="G1141">
        <v>572.9</v>
      </c>
      <c r="H1141">
        <v>571.98</v>
      </c>
      <c r="I1141">
        <v>20542</v>
      </c>
      <c r="J1141">
        <v>11740568.82</v>
      </c>
      <c r="K1141" s="1">
        <v>43777</v>
      </c>
      <c r="L1141">
        <v>491</v>
      </c>
      <c r="M1141" t="s">
        <v>7360</v>
      </c>
    </row>
    <row r="1142" spans="1:13" x14ac:dyDescent="0.25">
      <c r="A1142" t="s">
        <v>6267</v>
      </c>
      <c r="B1142" t="s">
        <v>6176</v>
      </c>
      <c r="C1142">
        <v>1188</v>
      </c>
      <c r="D1142">
        <v>1193.99</v>
      </c>
      <c r="E1142">
        <v>1188</v>
      </c>
      <c r="F1142">
        <v>1189.97</v>
      </c>
      <c r="G1142">
        <v>1188.21</v>
      </c>
      <c r="H1142">
        <v>1188.98</v>
      </c>
      <c r="I1142">
        <v>2009</v>
      </c>
      <c r="J1142">
        <v>2388386.44</v>
      </c>
      <c r="K1142" s="1">
        <v>43777</v>
      </c>
      <c r="L1142">
        <v>12</v>
      </c>
      <c r="M1142" t="s">
        <v>6266</v>
      </c>
    </row>
    <row r="1143" spans="1:13" x14ac:dyDescent="0.25">
      <c r="A1143" t="s">
        <v>3406</v>
      </c>
      <c r="B1143" t="s">
        <v>14</v>
      </c>
      <c r="C1143">
        <v>27.75</v>
      </c>
      <c r="D1143">
        <v>28.05</v>
      </c>
      <c r="E1143">
        <v>27</v>
      </c>
      <c r="F1143">
        <v>27.25</v>
      </c>
      <c r="G1143">
        <v>27.5</v>
      </c>
      <c r="H1143">
        <v>27.7</v>
      </c>
      <c r="I1143">
        <v>61999</v>
      </c>
      <c r="J1143">
        <v>1707055.75</v>
      </c>
      <c r="K1143" s="1">
        <v>43777</v>
      </c>
      <c r="L1143">
        <v>308</v>
      </c>
      <c r="M1143" t="s">
        <v>3408</v>
      </c>
    </row>
    <row r="1144" spans="1:13" x14ac:dyDescent="0.25">
      <c r="A1144" t="s">
        <v>3409</v>
      </c>
      <c r="B1144" t="s">
        <v>10</v>
      </c>
      <c r="C1144">
        <v>3.95</v>
      </c>
      <c r="D1144">
        <v>3.95</v>
      </c>
      <c r="E1144">
        <v>3.95</v>
      </c>
      <c r="F1144">
        <v>3.95</v>
      </c>
      <c r="G1144">
        <v>3.95</v>
      </c>
      <c r="H1144">
        <v>3.8</v>
      </c>
      <c r="I1144">
        <v>23976</v>
      </c>
      <c r="J1144">
        <v>94705.2</v>
      </c>
      <c r="K1144" s="1">
        <v>43777</v>
      </c>
      <c r="L1144">
        <v>85</v>
      </c>
      <c r="M1144" t="s">
        <v>3411</v>
      </c>
    </row>
    <row r="1145" spans="1:13" x14ac:dyDescent="0.25">
      <c r="A1145" t="s">
        <v>7359</v>
      </c>
      <c r="B1145" t="s">
        <v>10</v>
      </c>
      <c r="C1145">
        <v>0.25</v>
      </c>
      <c r="D1145">
        <v>0.3</v>
      </c>
      <c r="E1145">
        <v>0.2</v>
      </c>
      <c r="F1145">
        <v>0.25</v>
      </c>
      <c r="G1145">
        <v>0.25</v>
      </c>
      <c r="H1145">
        <v>0.25</v>
      </c>
      <c r="I1145">
        <v>1324281</v>
      </c>
      <c r="J1145">
        <v>322615.5</v>
      </c>
      <c r="K1145" s="1">
        <v>43777</v>
      </c>
      <c r="L1145">
        <v>601</v>
      </c>
      <c r="M1145" t="s">
        <v>7358</v>
      </c>
    </row>
    <row r="1146" spans="1:13" x14ac:dyDescent="0.25">
      <c r="A1146" t="s">
        <v>3415</v>
      </c>
      <c r="B1146" t="s">
        <v>14</v>
      </c>
      <c r="C1146">
        <v>15.4</v>
      </c>
      <c r="D1146">
        <v>15.4</v>
      </c>
      <c r="E1146">
        <v>14.1</v>
      </c>
      <c r="F1146">
        <v>14.35</v>
      </c>
      <c r="G1146">
        <v>14.1</v>
      </c>
      <c r="H1146">
        <v>14.5</v>
      </c>
      <c r="I1146">
        <v>3838</v>
      </c>
      <c r="J1146">
        <v>55464.55</v>
      </c>
      <c r="K1146" s="1">
        <v>43777</v>
      </c>
      <c r="L1146">
        <v>47</v>
      </c>
      <c r="M1146" t="s">
        <v>3417</v>
      </c>
    </row>
    <row r="1147" spans="1:13" x14ac:dyDescent="0.25">
      <c r="A1147" t="s">
        <v>3418</v>
      </c>
      <c r="B1147" t="s">
        <v>14</v>
      </c>
      <c r="C1147">
        <v>74.400000000000006</v>
      </c>
      <c r="D1147">
        <v>74.400000000000006</v>
      </c>
      <c r="E1147">
        <v>71</v>
      </c>
      <c r="F1147">
        <v>71.650000000000006</v>
      </c>
      <c r="G1147">
        <v>71</v>
      </c>
      <c r="H1147">
        <v>75.849999999999994</v>
      </c>
      <c r="I1147">
        <v>1189</v>
      </c>
      <c r="J1147">
        <v>87460.5</v>
      </c>
      <c r="K1147" s="1">
        <v>43777</v>
      </c>
      <c r="L1147">
        <v>29</v>
      </c>
      <c r="M1147" t="s">
        <v>3420</v>
      </c>
    </row>
    <row r="1148" spans="1:13" x14ac:dyDescent="0.25">
      <c r="A1148" t="s">
        <v>3421</v>
      </c>
      <c r="B1148" t="s">
        <v>14</v>
      </c>
      <c r="C1148">
        <v>27.25</v>
      </c>
      <c r="D1148">
        <v>27.45</v>
      </c>
      <c r="E1148">
        <v>26.6</v>
      </c>
      <c r="F1148">
        <v>26.85</v>
      </c>
      <c r="G1148">
        <v>27.15</v>
      </c>
      <c r="H1148">
        <v>27.25</v>
      </c>
      <c r="I1148">
        <v>3892</v>
      </c>
      <c r="J1148">
        <v>104572.75</v>
      </c>
      <c r="K1148" s="1">
        <v>43777</v>
      </c>
      <c r="L1148">
        <v>157</v>
      </c>
      <c r="M1148" t="s">
        <v>3423</v>
      </c>
    </row>
    <row r="1149" spans="1:13" x14ac:dyDescent="0.25">
      <c r="A1149" t="s">
        <v>3424</v>
      </c>
      <c r="B1149" t="s">
        <v>14</v>
      </c>
      <c r="C1149">
        <v>34.4</v>
      </c>
      <c r="D1149">
        <v>35.9</v>
      </c>
      <c r="E1149">
        <v>34.35</v>
      </c>
      <c r="F1149">
        <v>35.4</v>
      </c>
      <c r="G1149">
        <v>35.9</v>
      </c>
      <c r="H1149">
        <v>35</v>
      </c>
      <c r="I1149">
        <v>938</v>
      </c>
      <c r="J1149">
        <v>32800.1</v>
      </c>
      <c r="K1149" s="1">
        <v>43777</v>
      </c>
      <c r="L1149">
        <v>19</v>
      </c>
      <c r="M1149" t="s">
        <v>3426</v>
      </c>
    </row>
    <row r="1150" spans="1:13" x14ac:dyDescent="0.25">
      <c r="A1150" t="s">
        <v>3427</v>
      </c>
      <c r="B1150" t="s">
        <v>14</v>
      </c>
      <c r="C1150">
        <v>51.6</v>
      </c>
      <c r="D1150">
        <v>52.5</v>
      </c>
      <c r="E1150">
        <v>49.5</v>
      </c>
      <c r="F1150">
        <v>50.15</v>
      </c>
      <c r="G1150">
        <v>50.95</v>
      </c>
      <c r="H1150">
        <v>51.45</v>
      </c>
      <c r="I1150">
        <v>9197</v>
      </c>
      <c r="J1150">
        <v>467064.2</v>
      </c>
      <c r="K1150" s="1">
        <v>43777</v>
      </c>
      <c r="L1150">
        <v>194</v>
      </c>
      <c r="M1150" t="s">
        <v>3429</v>
      </c>
    </row>
    <row r="1151" spans="1:13" x14ac:dyDescent="0.25">
      <c r="A1151" t="s">
        <v>7357</v>
      </c>
      <c r="B1151" t="s">
        <v>5788</v>
      </c>
      <c r="C1151">
        <v>6.05</v>
      </c>
      <c r="D1151">
        <v>6.05</v>
      </c>
      <c r="E1151">
        <v>6.05</v>
      </c>
      <c r="F1151">
        <v>6.05</v>
      </c>
      <c r="G1151">
        <v>6.05</v>
      </c>
      <c r="H1151">
        <v>6.3</v>
      </c>
      <c r="I1151">
        <v>5000</v>
      </c>
      <c r="J1151">
        <v>30250</v>
      </c>
      <c r="K1151" s="1">
        <v>43777</v>
      </c>
      <c r="L1151">
        <v>1</v>
      </c>
      <c r="M1151" t="s">
        <v>2494</v>
      </c>
    </row>
    <row r="1152" spans="1:13" x14ac:dyDescent="0.25">
      <c r="A1152" t="s">
        <v>3436</v>
      </c>
      <c r="B1152" t="s">
        <v>14</v>
      </c>
      <c r="C1152">
        <v>579.1</v>
      </c>
      <c r="D1152">
        <v>581.79999999999995</v>
      </c>
      <c r="E1152">
        <v>573.04999999999995</v>
      </c>
      <c r="F1152">
        <v>577.79999999999995</v>
      </c>
      <c r="G1152">
        <v>576.5</v>
      </c>
      <c r="H1152">
        <v>582.5</v>
      </c>
      <c r="I1152">
        <v>48779</v>
      </c>
      <c r="J1152">
        <v>28154729.050000001</v>
      </c>
      <c r="K1152" s="1">
        <v>43777</v>
      </c>
      <c r="L1152">
        <v>1556</v>
      </c>
      <c r="M1152" t="s">
        <v>3438</v>
      </c>
    </row>
    <row r="1153" spans="1:13" x14ac:dyDescent="0.25">
      <c r="A1153" t="s">
        <v>3439</v>
      </c>
      <c r="B1153" t="s">
        <v>14</v>
      </c>
      <c r="C1153">
        <v>341.95</v>
      </c>
      <c r="D1153">
        <v>367.95</v>
      </c>
      <c r="E1153">
        <v>341.95</v>
      </c>
      <c r="F1153">
        <v>353.7</v>
      </c>
      <c r="G1153">
        <v>353.55</v>
      </c>
      <c r="H1153">
        <v>342.1</v>
      </c>
      <c r="I1153">
        <v>50780</v>
      </c>
      <c r="J1153">
        <v>18248918.449999999</v>
      </c>
      <c r="K1153" s="1">
        <v>43777</v>
      </c>
      <c r="L1153">
        <v>1911</v>
      </c>
      <c r="M1153" t="s">
        <v>3441</v>
      </c>
    </row>
    <row r="1154" spans="1:13" x14ac:dyDescent="0.25">
      <c r="A1154" t="s">
        <v>3442</v>
      </c>
      <c r="B1154" t="s">
        <v>14</v>
      </c>
      <c r="C1154">
        <v>46.9</v>
      </c>
      <c r="D1154">
        <v>47.55</v>
      </c>
      <c r="E1154">
        <v>46.3</v>
      </c>
      <c r="F1154">
        <v>46.5</v>
      </c>
      <c r="G1154">
        <v>46.45</v>
      </c>
      <c r="H1154">
        <v>47.15</v>
      </c>
      <c r="I1154">
        <v>5417065</v>
      </c>
      <c r="J1154">
        <v>254114250.69999999</v>
      </c>
      <c r="K1154" s="1">
        <v>43777</v>
      </c>
      <c r="L1154">
        <v>9063</v>
      </c>
      <c r="M1154" t="s">
        <v>3444</v>
      </c>
    </row>
    <row r="1155" spans="1:13" x14ac:dyDescent="0.25">
      <c r="A1155" t="s">
        <v>7356</v>
      </c>
      <c r="B1155" t="s">
        <v>10</v>
      </c>
      <c r="C1155">
        <v>1.95</v>
      </c>
      <c r="D1155">
        <v>1.95</v>
      </c>
      <c r="E1155">
        <v>1.95</v>
      </c>
      <c r="F1155">
        <v>1.95</v>
      </c>
      <c r="G1155">
        <v>1.95</v>
      </c>
      <c r="H1155">
        <v>1.9</v>
      </c>
      <c r="I1155">
        <v>45</v>
      </c>
      <c r="J1155">
        <v>87.75</v>
      </c>
      <c r="K1155" s="1">
        <v>43777</v>
      </c>
      <c r="L1155">
        <v>1</v>
      </c>
      <c r="M1155" t="s">
        <v>7355</v>
      </c>
    </row>
    <row r="1156" spans="1:13" x14ac:dyDescent="0.25">
      <c r="A1156" t="s">
        <v>3445</v>
      </c>
      <c r="B1156" t="s">
        <v>14</v>
      </c>
      <c r="C1156">
        <v>2600</v>
      </c>
      <c r="D1156">
        <v>2625</v>
      </c>
      <c r="E1156">
        <v>2483.6999999999998</v>
      </c>
      <c r="F1156">
        <v>2515.0500000000002</v>
      </c>
      <c r="G1156">
        <v>2525.25</v>
      </c>
      <c r="H1156">
        <v>2491.5500000000002</v>
      </c>
      <c r="I1156">
        <v>931637</v>
      </c>
      <c r="J1156">
        <v>2369440838.8000002</v>
      </c>
      <c r="K1156" s="1">
        <v>43777</v>
      </c>
      <c r="L1156">
        <v>135139</v>
      </c>
      <c r="M1156" t="s">
        <v>3447</v>
      </c>
    </row>
    <row r="1157" spans="1:13" x14ac:dyDescent="0.25">
      <c r="A1157" t="s">
        <v>3451</v>
      </c>
      <c r="B1157" t="s">
        <v>14</v>
      </c>
      <c r="C1157">
        <v>870</v>
      </c>
      <c r="D1157">
        <v>899.7</v>
      </c>
      <c r="E1157">
        <v>844.05</v>
      </c>
      <c r="F1157">
        <v>859.6</v>
      </c>
      <c r="G1157">
        <v>859.5</v>
      </c>
      <c r="H1157">
        <v>851.55</v>
      </c>
      <c r="I1157">
        <v>132893</v>
      </c>
      <c r="J1157">
        <v>117259392.59999999</v>
      </c>
      <c r="K1157" s="1">
        <v>43777</v>
      </c>
      <c r="L1157">
        <v>7573</v>
      </c>
      <c r="M1157" t="s">
        <v>3453</v>
      </c>
    </row>
    <row r="1158" spans="1:13" x14ac:dyDescent="0.25">
      <c r="A1158" t="s">
        <v>3454</v>
      </c>
      <c r="B1158" t="s">
        <v>14</v>
      </c>
      <c r="C1158">
        <v>33.5</v>
      </c>
      <c r="D1158">
        <v>35.700000000000003</v>
      </c>
      <c r="E1158">
        <v>33</v>
      </c>
      <c r="F1158">
        <v>34.4</v>
      </c>
      <c r="G1158">
        <v>34.4</v>
      </c>
      <c r="H1158">
        <v>33.200000000000003</v>
      </c>
      <c r="I1158">
        <v>231762</v>
      </c>
      <c r="J1158">
        <v>8071555.25</v>
      </c>
      <c r="K1158" s="1">
        <v>43777</v>
      </c>
      <c r="L1158">
        <v>1407</v>
      </c>
      <c r="M1158" t="s">
        <v>3456</v>
      </c>
    </row>
    <row r="1159" spans="1:13" x14ac:dyDescent="0.25">
      <c r="A1159" t="s">
        <v>3457</v>
      </c>
      <c r="B1159" t="s">
        <v>14</v>
      </c>
      <c r="C1159">
        <v>100.7</v>
      </c>
      <c r="D1159">
        <v>101.1</v>
      </c>
      <c r="E1159">
        <v>97.25</v>
      </c>
      <c r="F1159">
        <v>99</v>
      </c>
      <c r="G1159">
        <v>98.55</v>
      </c>
      <c r="H1159">
        <v>99.95</v>
      </c>
      <c r="I1159">
        <v>35330</v>
      </c>
      <c r="J1159">
        <v>3500059.6</v>
      </c>
      <c r="K1159" s="1">
        <v>43777</v>
      </c>
      <c r="L1159">
        <v>1418</v>
      </c>
      <c r="M1159" t="s">
        <v>3459</v>
      </c>
    </row>
    <row r="1160" spans="1:13" x14ac:dyDescent="0.25">
      <c r="A1160" t="s">
        <v>3463</v>
      </c>
      <c r="B1160" t="s">
        <v>14</v>
      </c>
      <c r="C1160">
        <v>41.55</v>
      </c>
      <c r="D1160">
        <v>41.9</v>
      </c>
      <c r="E1160">
        <v>40.549999999999997</v>
      </c>
      <c r="F1160">
        <v>40.75</v>
      </c>
      <c r="G1160">
        <v>40.950000000000003</v>
      </c>
      <c r="H1160">
        <v>41.55</v>
      </c>
      <c r="I1160">
        <v>20478412</v>
      </c>
      <c r="J1160">
        <v>841469213.70000005</v>
      </c>
      <c r="K1160" s="1">
        <v>43777</v>
      </c>
      <c r="L1160">
        <v>40738</v>
      </c>
      <c r="M1160" t="s">
        <v>3465</v>
      </c>
    </row>
    <row r="1161" spans="1:13" x14ac:dyDescent="0.25">
      <c r="A1161" t="s">
        <v>3466</v>
      </c>
      <c r="B1161" t="s">
        <v>14</v>
      </c>
      <c r="C1161">
        <v>1504</v>
      </c>
      <c r="D1161">
        <v>1520</v>
      </c>
      <c r="E1161">
        <v>1499</v>
      </c>
      <c r="F1161">
        <v>1520</v>
      </c>
      <c r="G1161">
        <v>1520</v>
      </c>
      <c r="H1161">
        <v>1493.5</v>
      </c>
      <c r="I1161">
        <v>303</v>
      </c>
      <c r="J1161">
        <v>458520.95</v>
      </c>
      <c r="K1161" s="1">
        <v>43777</v>
      </c>
      <c r="L1161">
        <v>20</v>
      </c>
      <c r="M1161" t="s">
        <v>3468</v>
      </c>
    </row>
    <row r="1162" spans="1:13" x14ac:dyDescent="0.25">
      <c r="A1162" t="s">
        <v>7354</v>
      </c>
      <c r="B1162" t="s">
        <v>14</v>
      </c>
      <c r="C1162">
        <v>71.7</v>
      </c>
      <c r="D1162">
        <v>73.25</v>
      </c>
      <c r="E1162">
        <v>70.5</v>
      </c>
      <c r="F1162">
        <v>70.599999999999994</v>
      </c>
      <c r="G1162">
        <v>70.5</v>
      </c>
      <c r="H1162">
        <v>71.75</v>
      </c>
      <c r="I1162">
        <v>64781</v>
      </c>
      <c r="J1162">
        <v>4649382.9000000004</v>
      </c>
      <c r="K1162" s="1">
        <v>43777</v>
      </c>
      <c r="L1162">
        <v>665</v>
      </c>
      <c r="M1162" t="s">
        <v>3450</v>
      </c>
    </row>
    <row r="1163" spans="1:13" x14ac:dyDescent="0.25">
      <c r="A1163" t="s">
        <v>3469</v>
      </c>
      <c r="B1163" t="s">
        <v>14</v>
      </c>
      <c r="C1163">
        <v>55.4</v>
      </c>
      <c r="D1163">
        <v>63.45</v>
      </c>
      <c r="E1163">
        <v>54.8</v>
      </c>
      <c r="F1163">
        <v>58.45</v>
      </c>
      <c r="G1163">
        <v>58.5</v>
      </c>
      <c r="H1163">
        <v>55.55</v>
      </c>
      <c r="I1163">
        <v>42695180</v>
      </c>
      <c r="J1163">
        <v>2519607418.3000002</v>
      </c>
      <c r="K1163" s="1">
        <v>43777</v>
      </c>
      <c r="L1163">
        <v>85899</v>
      </c>
      <c r="M1163" t="s">
        <v>3471</v>
      </c>
    </row>
    <row r="1164" spans="1:13" x14ac:dyDescent="0.25">
      <c r="A1164" t="s">
        <v>3472</v>
      </c>
      <c r="B1164" t="s">
        <v>14</v>
      </c>
      <c r="C1164">
        <v>91.95</v>
      </c>
      <c r="D1164">
        <v>92.95</v>
      </c>
      <c r="E1164">
        <v>89.25</v>
      </c>
      <c r="F1164">
        <v>90</v>
      </c>
      <c r="G1164">
        <v>89.75</v>
      </c>
      <c r="H1164">
        <v>91.95</v>
      </c>
      <c r="I1164">
        <v>96013</v>
      </c>
      <c r="J1164">
        <v>8726014.1500000004</v>
      </c>
      <c r="K1164" s="1">
        <v>43777</v>
      </c>
      <c r="L1164">
        <v>1787</v>
      </c>
      <c r="M1164" t="s">
        <v>3474</v>
      </c>
    </row>
    <row r="1165" spans="1:13" x14ac:dyDescent="0.25">
      <c r="A1165" t="s">
        <v>3478</v>
      </c>
      <c r="B1165" t="s">
        <v>14</v>
      </c>
      <c r="C1165">
        <v>34</v>
      </c>
      <c r="D1165">
        <v>36.5</v>
      </c>
      <c r="E1165">
        <v>32</v>
      </c>
      <c r="F1165">
        <v>34</v>
      </c>
      <c r="G1165">
        <v>34.4</v>
      </c>
      <c r="H1165">
        <v>33.35</v>
      </c>
      <c r="I1165">
        <v>27758</v>
      </c>
      <c r="J1165">
        <v>942972.6</v>
      </c>
      <c r="K1165" s="1">
        <v>43777</v>
      </c>
      <c r="L1165">
        <v>842</v>
      </c>
      <c r="M1165" t="s">
        <v>3480</v>
      </c>
    </row>
    <row r="1166" spans="1:13" x14ac:dyDescent="0.25">
      <c r="A1166" t="s">
        <v>3487</v>
      </c>
      <c r="B1166" t="s">
        <v>14</v>
      </c>
      <c r="C1166">
        <v>31.85</v>
      </c>
      <c r="D1166">
        <v>33.5</v>
      </c>
      <c r="E1166">
        <v>30.9</v>
      </c>
      <c r="F1166">
        <v>31.85</v>
      </c>
      <c r="G1166">
        <v>31.45</v>
      </c>
      <c r="H1166">
        <v>32.200000000000003</v>
      </c>
      <c r="I1166">
        <v>30721</v>
      </c>
      <c r="J1166">
        <v>984394.65</v>
      </c>
      <c r="K1166" s="1">
        <v>43777</v>
      </c>
      <c r="L1166">
        <v>379</v>
      </c>
      <c r="M1166" t="s">
        <v>3489</v>
      </c>
    </row>
    <row r="1167" spans="1:13" x14ac:dyDescent="0.25">
      <c r="A1167" t="s">
        <v>3490</v>
      </c>
      <c r="B1167" t="s">
        <v>14</v>
      </c>
      <c r="C1167">
        <v>5.45</v>
      </c>
      <c r="D1167">
        <v>5.45</v>
      </c>
      <c r="E1167">
        <v>4.9000000000000004</v>
      </c>
      <c r="F1167">
        <v>5.2</v>
      </c>
      <c r="G1167">
        <v>5.2</v>
      </c>
      <c r="H1167">
        <v>5.15</v>
      </c>
      <c r="I1167">
        <v>12444</v>
      </c>
      <c r="J1167">
        <v>63453.2</v>
      </c>
      <c r="K1167" s="1">
        <v>43777</v>
      </c>
      <c r="L1167">
        <v>58</v>
      </c>
      <c r="M1167" t="s">
        <v>3492</v>
      </c>
    </row>
    <row r="1168" spans="1:13" x14ac:dyDescent="0.25">
      <c r="A1168" t="s">
        <v>3493</v>
      </c>
      <c r="B1168" t="s">
        <v>14</v>
      </c>
      <c r="C1168">
        <v>14.1</v>
      </c>
      <c r="D1168">
        <v>14.4</v>
      </c>
      <c r="E1168">
        <v>14</v>
      </c>
      <c r="F1168">
        <v>14.05</v>
      </c>
      <c r="G1168">
        <v>14.05</v>
      </c>
      <c r="H1168">
        <v>14.4</v>
      </c>
      <c r="I1168">
        <v>45250</v>
      </c>
      <c r="J1168">
        <v>639862.35</v>
      </c>
      <c r="K1168" s="1">
        <v>43777</v>
      </c>
      <c r="L1168">
        <v>300</v>
      </c>
      <c r="M1168" t="s">
        <v>3495</v>
      </c>
    </row>
    <row r="1169" spans="1:13" x14ac:dyDescent="0.25">
      <c r="A1169" t="s">
        <v>3496</v>
      </c>
      <c r="B1169" t="s">
        <v>14</v>
      </c>
      <c r="C1169">
        <v>43.5</v>
      </c>
      <c r="D1169">
        <v>44</v>
      </c>
      <c r="E1169">
        <v>41.75</v>
      </c>
      <c r="F1169">
        <v>42.35</v>
      </c>
      <c r="G1169">
        <v>41.8</v>
      </c>
      <c r="H1169">
        <v>43.6</v>
      </c>
      <c r="I1169">
        <v>160637</v>
      </c>
      <c r="J1169">
        <v>6850471.25</v>
      </c>
      <c r="K1169" s="1">
        <v>43777</v>
      </c>
      <c r="L1169">
        <v>2108</v>
      </c>
      <c r="M1169" t="s">
        <v>3498</v>
      </c>
    </row>
    <row r="1170" spans="1:13" x14ac:dyDescent="0.25">
      <c r="A1170" t="s">
        <v>3499</v>
      </c>
      <c r="B1170" t="s">
        <v>14</v>
      </c>
      <c r="C1170">
        <v>245.75</v>
      </c>
      <c r="D1170">
        <v>250</v>
      </c>
      <c r="E1170">
        <v>239.1</v>
      </c>
      <c r="F1170">
        <v>240.25</v>
      </c>
      <c r="G1170">
        <v>240</v>
      </c>
      <c r="H1170">
        <v>245.75</v>
      </c>
      <c r="I1170">
        <v>46379</v>
      </c>
      <c r="J1170">
        <v>11343808.85</v>
      </c>
      <c r="K1170" s="1">
        <v>43777</v>
      </c>
      <c r="L1170">
        <v>1835</v>
      </c>
      <c r="M1170" t="s">
        <v>3501</v>
      </c>
    </row>
    <row r="1171" spans="1:13" x14ac:dyDescent="0.25">
      <c r="A1171" t="s">
        <v>3502</v>
      </c>
      <c r="B1171" t="s">
        <v>14</v>
      </c>
      <c r="C1171">
        <v>384.4</v>
      </c>
      <c r="D1171">
        <v>385.8</v>
      </c>
      <c r="E1171">
        <v>376</v>
      </c>
      <c r="F1171">
        <v>376.8</v>
      </c>
      <c r="G1171">
        <v>377.05</v>
      </c>
      <c r="H1171">
        <v>381.45</v>
      </c>
      <c r="I1171">
        <v>7429</v>
      </c>
      <c r="J1171">
        <v>2810225.55</v>
      </c>
      <c r="K1171" s="1">
        <v>43777</v>
      </c>
      <c r="L1171">
        <v>346</v>
      </c>
      <c r="M1171" t="s">
        <v>3504</v>
      </c>
    </row>
    <row r="1172" spans="1:13" x14ac:dyDescent="0.25">
      <c r="A1172" t="s">
        <v>3505</v>
      </c>
      <c r="B1172" t="s">
        <v>14</v>
      </c>
      <c r="C1172">
        <v>560.95000000000005</v>
      </c>
      <c r="D1172">
        <v>568.15</v>
      </c>
      <c r="E1172">
        <v>560.95000000000005</v>
      </c>
      <c r="F1172">
        <v>562.54999999999995</v>
      </c>
      <c r="G1172">
        <v>562.25</v>
      </c>
      <c r="H1172">
        <v>560.95000000000005</v>
      </c>
      <c r="I1172">
        <v>27914</v>
      </c>
      <c r="J1172">
        <v>15730367.050000001</v>
      </c>
      <c r="K1172" s="1">
        <v>43777</v>
      </c>
      <c r="L1172">
        <v>430</v>
      </c>
      <c r="M1172" t="s">
        <v>3507</v>
      </c>
    </row>
    <row r="1173" spans="1:13" x14ac:dyDescent="0.25">
      <c r="A1173" t="s">
        <v>3508</v>
      </c>
      <c r="B1173" t="s">
        <v>14</v>
      </c>
      <c r="C1173">
        <v>14750</v>
      </c>
      <c r="D1173">
        <v>14850</v>
      </c>
      <c r="E1173">
        <v>14374</v>
      </c>
      <c r="F1173">
        <v>14471.3</v>
      </c>
      <c r="G1173">
        <v>14490</v>
      </c>
      <c r="H1173">
        <v>14711.25</v>
      </c>
      <c r="I1173">
        <v>82029</v>
      </c>
      <c r="J1173">
        <v>1200654549.1500001</v>
      </c>
      <c r="K1173" s="1">
        <v>43777</v>
      </c>
      <c r="L1173">
        <v>17259</v>
      </c>
      <c r="M1173" t="s">
        <v>3510</v>
      </c>
    </row>
    <row r="1174" spans="1:13" x14ac:dyDescent="0.25">
      <c r="A1174" t="s">
        <v>6258</v>
      </c>
      <c r="B1174" t="s">
        <v>14</v>
      </c>
      <c r="C1174">
        <v>121.91</v>
      </c>
      <c r="D1174">
        <v>122</v>
      </c>
      <c r="E1174">
        <v>120.95</v>
      </c>
      <c r="F1174">
        <v>122</v>
      </c>
      <c r="G1174">
        <v>122</v>
      </c>
      <c r="H1174">
        <v>121.91</v>
      </c>
      <c r="I1174">
        <v>133</v>
      </c>
      <c r="J1174">
        <v>16108.05</v>
      </c>
      <c r="K1174" s="1">
        <v>43777</v>
      </c>
      <c r="L1174">
        <v>5</v>
      </c>
      <c r="M1174" t="s">
        <v>6257</v>
      </c>
    </row>
    <row r="1175" spans="1:13" x14ac:dyDescent="0.25">
      <c r="A1175" t="s">
        <v>7353</v>
      </c>
      <c r="B1175" t="s">
        <v>14</v>
      </c>
      <c r="C1175">
        <v>54.76</v>
      </c>
      <c r="D1175">
        <v>54.76</v>
      </c>
      <c r="E1175">
        <v>53.8</v>
      </c>
      <c r="F1175">
        <v>53.87</v>
      </c>
      <c r="G1175">
        <v>54.22</v>
      </c>
      <c r="H1175">
        <v>54.45</v>
      </c>
      <c r="I1175">
        <v>274</v>
      </c>
      <c r="J1175">
        <v>14833.05</v>
      </c>
      <c r="K1175" s="1">
        <v>43777</v>
      </c>
      <c r="L1175">
        <v>13</v>
      </c>
      <c r="M1175" t="s">
        <v>6785</v>
      </c>
    </row>
    <row r="1176" spans="1:13" x14ac:dyDescent="0.25">
      <c r="A1176" t="s">
        <v>7352</v>
      </c>
      <c r="B1176" t="s">
        <v>14</v>
      </c>
      <c r="C1176">
        <v>30.06</v>
      </c>
      <c r="D1176">
        <v>30.06</v>
      </c>
      <c r="E1176">
        <v>30.03</v>
      </c>
      <c r="F1176">
        <v>30.03</v>
      </c>
      <c r="G1176">
        <v>30.03</v>
      </c>
      <c r="H1176">
        <v>30.57</v>
      </c>
      <c r="I1176">
        <v>125</v>
      </c>
      <c r="J1176">
        <v>3756.9</v>
      </c>
      <c r="K1176" s="1">
        <v>43777</v>
      </c>
      <c r="L1176">
        <v>3</v>
      </c>
      <c r="M1176" t="s">
        <v>6759</v>
      </c>
    </row>
    <row r="1177" spans="1:13" x14ac:dyDescent="0.25">
      <c r="A1177" t="s">
        <v>7351</v>
      </c>
      <c r="B1177" t="s">
        <v>14</v>
      </c>
      <c r="C1177">
        <v>20.100000000000001</v>
      </c>
      <c r="D1177">
        <v>20.100000000000001</v>
      </c>
      <c r="E1177">
        <v>20.05</v>
      </c>
      <c r="F1177">
        <v>20.05</v>
      </c>
      <c r="G1177">
        <v>20.05</v>
      </c>
      <c r="H1177">
        <v>20.12</v>
      </c>
      <c r="I1177">
        <v>2407</v>
      </c>
      <c r="J1177">
        <v>48278.51</v>
      </c>
      <c r="K1177" s="1">
        <v>43777</v>
      </c>
      <c r="L1177">
        <v>15</v>
      </c>
      <c r="M1177" t="s">
        <v>6345</v>
      </c>
    </row>
    <row r="1178" spans="1:13" x14ac:dyDescent="0.25">
      <c r="A1178" t="s">
        <v>7350</v>
      </c>
      <c r="B1178" t="s">
        <v>14</v>
      </c>
      <c r="C1178">
        <v>62.26</v>
      </c>
      <c r="D1178">
        <v>62.39</v>
      </c>
      <c r="E1178">
        <v>61.77</v>
      </c>
      <c r="F1178">
        <v>61.84</v>
      </c>
      <c r="G1178">
        <v>61.88</v>
      </c>
      <c r="H1178">
        <v>62.34</v>
      </c>
      <c r="I1178">
        <v>13705</v>
      </c>
      <c r="J1178">
        <v>852510.89</v>
      </c>
      <c r="K1178" s="1">
        <v>43777</v>
      </c>
      <c r="L1178">
        <v>36</v>
      </c>
      <c r="M1178" t="s">
        <v>6306</v>
      </c>
    </row>
    <row r="1179" spans="1:13" x14ac:dyDescent="0.25">
      <c r="A1179" t="s">
        <v>7349</v>
      </c>
      <c r="B1179" t="s">
        <v>14</v>
      </c>
      <c r="C1179">
        <v>125</v>
      </c>
      <c r="D1179">
        <v>125.5</v>
      </c>
      <c r="E1179">
        <v>124.18</v>
      </c>
      <c r="F1179">
        <v>124.76</v>
      </c>
      <c r="G1179">
        <v>124.76</v>
      </c>
      <c r="H1179">
        <v>124.6</v>
      </c>
      <c r="I1179">
        <v>43</v>
      </c>
      <c r="J1179">
        <v>5380.11</v>
      </c>
      <c r="K1179" s="1">
        <v>43777</v>
      </c>
      <c r="L1179">
        <v>8</v>
      </c>
      <c r="M1179" t="s">
        <v>6225</v>
      </c>
    </row>
    <row r="1180" spans="1:13" x14ac:dyDescent="0.25">
      <c r="A1180" t="s">
        <v>7348</v>
      </c>
      <c r="B1180" t="s">
        <v>14</v>
      </c>
      <c r="C1180">
        <v>593.83000000000004</v>
      </c>
      <c r="D1180">
        <v>593.83000000000004</v>
      </c>
      <c r="E1180">
        <v>586.6</v>
      </c>
      <c r="F1180">
        <v>586.79999999999995</v>
      </c>
      <c r="G1180">
        <v>586.6</v>
      </c>
      <c r="H1180">
        <v>591.73</v>
      </c>
      <c r="I1180">
        <v>175</v>
      </c>
      <c r="J1180">
        <v>103044.64</v>
      </c>
      <c r="K1180" s="1">
        <v>43777</v>
      </c>
      <c r="L1180">
        <v>20</v>
      </c>
      <c r="M1180" t="s">
        <v>7347</v>
      </c>
    </row>
    <row r="1181" spans="1:13" x14ac:dyDescent="0.25">
      <c r="A1181" t="s">
        <v>3514</v>
      </c>
      <c r="B1181" t="s">
        <v>14</v>
      </c>
      <c r="C1181">
        <v>23.8</v>
      </c>
      <c r="D1181">
        <v>23.9</v>
      </c>
      <c r="E1181">
        <v>23.25</v>
      </c>
      <c r="F1181">
        <v>23.35</v>
      </c>
      <c r="G1181">
        <v>23.25</v>
      </c>
      <c r="H1181">
        <v>23.6</v>
      </c>
      <c r="I1181">
        <v>131371</v>
      </c>
      <c r="J1181">
        <v>3092559.25</v>
      </c>
      <c r="K1181" s="1">
        <v>43777</v>
      </c>
      <c r="L1181">
        <v>541</v>
      </c>
      <c r="M1181" t="s">
        <v>3516</v>
      </c>
    </row>
    <row r="1182" spans="1:13" x14ac:dyDescent="0.25">
      <c r="A1182" t="s">
        <v>3517</v>
      </c>
      <c r="B1182" t="s">
        <v>14</v>
      </c>
      <c r="C1182">
        <v>489.65</v>
      </c>
      <c r="D1182">
        <v>506</v>
      </c>
      <c r="E1182">
        <v>489.65</v>
      </c>
      <c r="F1182">
        <v>501</v>
      </c>
      <c r="G1182">
        <v>501</v>
      </c>
      <c r="H1182">
        <v>493.85</v>
      </c>
      <c r="I1182">
        <v>19823</v>
      </c>
      <c r="J1182">
        <v>9933689.3499999996</v>
      </c>
      <c r="K1182" s="1">
        <v>43777</v>
      </c>
      <c r="L1182">
        <v>1215</v>
      </c>
      <c r="M1182" t="s">
        <v>3519</v>
      </c>
    </row>
    <row r="1183" spans="1:13" x14ac:dyDescent="0.25">
      <c r="A1183" t="s">
        <v>3520</v>
      </c>
      <c r="B1183" t="s">
        <v>14</v>
      </c>
      <c r="C1183">
        <v>202.75</v>
      </c>
      <c r="D1183">
        <v>208.65</v>
      </c>
      <c r="E1183">
        <v>199.55</v>
      </c>
      <c r="F1183">
        <v>203.3</v>
      </c>
      <c r="G1183">
        <v>199.6</v>
      </c>
      <c r="H1183">
        <v>202.1</v>
      </c>
      <c r="I1183">
        <v>77764</v>
      </c>
      <c r="J1183">
        <v>15886793</v>
      </c>
      <c r="K1183" s="1">
        <v>43777</v>
      </c>
      <c r="L1183">
        <v>2737</v>
      </c>
      <c r="M1183" t="s">
        <v>3522</v>
      </c>
    </row>
    <row r="1184" spans="1:13" x14ac:dyDescent="0.25">
      <c r="A1184" t="s">
        <v>3523</v>
      </c>
      <c r="B1184" t="s">
        <v>14</v>
      </c>
      <c r="C1184">
        <v>10.75</v>
      </c>
      <c r="D1184">
        <v>11.25</v>
      </c>
      <c r="E1184">
        <v>10.75</v>
      </c>
      <c r="F1184">
        <v>10.9</v>
      </c>
      <c r="G1184">
        <v>10.95</v>
      </c>
      <c r="H1184">
        <v>10.9</v>
      </c>
      <c r="I1184">
        <v>7958</v>
      </c>
      <c r="J1184">
        <v>86300.9</v>
      </c>
      <c r="K1184" s="1">
        <v>43777</v>
      </c>
      <c r="L1184">
        <v>83</v>
      </c>
      <c r="M1184" t="s">
        <v>3525</v>
      </c>
    </row>
    <row r="1185" spans="1:13" x14ac:dyDescent="0.25">
      <c r="A1185" t="s">
        <v>3526</v>
      </c>
      <c r="B1185" t="s">
        <v>14</v>
      </c>
      <c r="C1185">
        <v>27.1</v>
      </c>
      <c r="D1185">
        <v>28.2</v>
      </c>
      <c r="E1185">
        <v>27</v>
      </c>
      <c r="F1185">
        <v>27.1</v>
      </c>
      <c r="G1185">
        <v>27.05</v>
      </c>
      <c r="H1185">
        <v>27.25</v>
      </c>
      <c r="I1185">
        <v>436231</v>
      </c>
      <c r="J1185">
        <v>11945088.6</v>
      </c>
      <c r="K1185" s="1">
        <v>43777</v>
      </c>
      <c r="L1185">
        <v>1575</v>
      </c>
      <c r="M1185" t="s">
        <v>3528</v>
      </c>
    </row>
    <row r="1186" spans="1:13" x14ac:dyDescent="0.25">
      <c r="A1186" t="s">
        <v>3535</v>
      </c>
      <c r="B1186" t="s">
        <v>14</v>
      </c>
      <c r="C1186">
        <v>274.85000000000002</v>
      </c>
      <c r="D1186">
        <v>290</v>
      </c>
      <c r="E1186">
        <v>268.95</v>
      </c>
      <c r="F1186">
        <v>275</v>
      </c>
      <c r="G1186">
        <v>276.95</v>
      </c>
      <c r="H1186">
        <v>272.64999999999998</v>
      </c>
      <c r="I1186">
        <v>121192</v>
      </c>
      <c r="J1186">
        <v>33403373</v>
      </c>
      <c r="K1186" s="1">
        <v>43777</v>
      </c>
      <c r="L1186">
        <v>5163</v>
      </c>
      <c r="M1186" t="s">
        <v>3537</v>
      </c>
    </row>
    <row r="1187" spans="1:13" x14ac:dyDescent="0.25">
      <c r="A1187" t="s">
        <v>6241</v>
      </c>
      <c r="B1187" t="s">
        <v>5845</v>
      </c>
      <c r="C1187">
        <v>1064.99</v>
      </c>
      <c r="D1187">
        <v>1064.99</v>
      </c>
      <c r="E1187">
        <v>1060</v>
      </c>
      <c r="F1187">
        <v>1062.97</v>
      </c>
      <c r="G1187">
        <v>1063.95</v>
      </c>
      <c r="H1187">
        <v>1062</v>
      </c>
      <c r="I1187">
        <v>4467</v>
      </c>
      <c r="J1187">
        <v>4743074.5599999996</v>
      </c>
      <c r="K1187" s="1">
        <v>43777</v>
      </c>
      <c r="L1187">
        <v>106</v>
      </c>
      <c r="M1187" t="s">
        <v>7346</v>
      </c>
    </row>
    <row r="1188" spans="1:13" x14ac:dyDescent="0.25">
      <c r="A1188" t="s">
        <v>6241</v>
      </c>
      <c r="B1188" t="s">
        <v>6176</v>
      </c>
      <c r="C1188">
        <v>1158.55</v>
      </c>
      <c r="D1188">
        <v>1159.99</v>
      </c>
      <c r="E1188">
        <v>1157</v>
      </c>
      <c r="F1188">
        <v>1157.01</v>
      </c>
      <c r="G1188">
        <v>1157</v>
      </c>
      <c r="H1188">
        <v>1158</v>
      </c>
      <c r="I1188">
        <v>17273</v>
      </c>
      <c r="J1188">
        <v>19992872.109999999</v>
      </c>
      <c r="K1188" s="1">
        <v>43777</v>
      </c>
      <c r="L1188">
        <v>53</v>
      </c>
      <c r="M1188" t="s">
        <v>6252</v>
      </c>
    </row>
    <row r="1189" spans="1:13" x14ac:dyDescent="0.25">
      <c r="A1189" t="s">
        <v>6241</v>
      </c>
      <c r="B1189" t="s">
        <v>6210</v>
      </c>
      <c r="C1189">
        <v>1215</v>
      </c>
      <c r="D1189">
        <v>1215</v>
      </c>
      <c r="E1189">
        <v>1215</v>
      </c>
      <c r="F1189">
        <v>1215</v>
      </c>
      <c r="G1189">
        <v>1215</v>
      </c>
      <c r="H1189">
        <v>1215</v>
      </c>
      <c r="I1189">
        <v>20</v>
      </c>
      <c r="J1189">
        <v>24300</v>
      </c>
      <c r="K1189" s="1">
        <v>43777</v>
      </c>
      <c r="L1189">
        <v>1</v>
      </c>
      <c r="M1189" t="s">
        <v>6251</v>
      </c>
    </row>
    <row r="1190" spans="1:13" x14ac:dyDescent="0.25">
      <c r="A1190" t="s">
        <v>6241</v>
      </c>
      <c r="B1190" t="s">
        <v>5843</v>
      </c>
      <c r="C1190">
        <v>1280</v>
      </c>
      <c r="D1190">
        <v>1285</v>
      </c>
      <c r="E1190">
        <v>1280</v>
      </c>
      <c r="F1190">
        <v>1284.17</v>
      </c>
      <c r="G1190">
        <v>1285</v>
      </c>
      <c r="H1190">
        <v>1279</v>
      </c>
      <c r="I1190">
        <v>914</v>
      </c>
      <c r="J1190">
        <v>1172435.6000000001</v>
      </c>
      <c r="K1190" s="1">
        <v>43777</v>
      </c>
      <c r="L1190">
        <v>49</v>
      </c>
      <c r="M1190" t="s">
        <v>6250</v>
      </c>
    </row>
    <row r="1191" spans="1:13" x14ac:dyDescent="0.25">
      <c r="A1191" t="s">
        <v>6241</v>
      </c>
      <c r="B1191" t="s">
        <v>6247</v>
      </c>
      <c r="C1191">
        <v>1183.0999999999999</v>
      </c>
      <c r="D1191">
        <v>1187</v>
      </c>
      <c r="E1191">
        <v>1183.0999999999999</v>
      </c>
      <c r="F1191">
        <v>1186.22</v>
      </c>
      <c r="G1191">
        <v>1186.22</v>
      </c>
      <c r="H1191">
        <v>1188</v>
      </c>
      <c r="I1191">
        <v>5030</v>
      </c>
      <c r="J1191">
        <v>5965871.7999999998</v>
      </c>
      <c r="K1191" s="1">
        <v>43777</v>
      </c>
      <c r="L1191">
        <v>20</v>
      </c>
      <c r="M1191" t="s">
        <v>6246</v>
      </c>
    </row>
    <row r="1192" spans="1:13" x14ac:dyDescent="0.25">
      <c r="A1192" t="s">
        <v>6241</v>
      </c>
      <c r="B1192" t="s">
        <v>6240</v>
      </c>
      <c r="C1192">
        <v>1159.96</v>
      </c>
      <c r="D1192">
        <v>1159.96</v>
      </c>
      <c r="E1192">
        <v>1154.2</v>
      </c>
      <c r="F1192">
        <v>1155.3900000000001</v>
      </c>
      <c r="G1192">
        <v>1156</v>
      </c>
      <c r="H1192">
        <v>1157.56</v>
      </c>
      <c r="I1192">
        <v>3919</v>
      </c>
      <c r="J1192">
        <v>4527085.5199999996</v>
      </c>
      <c r="K1192" s="1">
        <v>43777</v>
      </c>
      <c r="L1192">
        <v>30</v>
      </c>
      <c r="M1192" t="s">
        <v>6239</v>
      </c>
    </row>
    <row r="1193" spans="1:13" x14ac:dyDescent="0.25">
      <c r="A1193" t="s">
        <v>6238</v>
      </c>
      <c r="B1193" t="s">
        <v>6174</v>
      </c>
      <c r="C1193">
        <v>6660</v>
      </c>
      <c r="D1193">
        <v>6660</v>
      </c>
      <c r="E1193">
        <v>6506</v>
      </c>
      <c r="F1193">
        <v>6506</v>
      </c>
      <c r="G1193">
        <v>6506</v>
      </c>
      <c r="H1193">
        <v>6666</v>
      </c>
      <c r="I1193">
        <v>14</v>
      </c>
      <c r="J1193">
        <v>91859</v>
      </c>
      <c r="K1193" s="1">
        <v>43777</v>
      </c>
      <c r="L1193">
        <v>3</v>
      </c>
      <c r="M1193" t="s">
        <v>7345</v>
      </c>
    </row>
    <row r="1194" spans="1:13" x14ac:dyDescent="0.25">
      <c r="A1194" t="s">
        <v>6238</v>
      </c>
      <c r="B1194" t="s">
        <v>5843</v>
      </c>
      <c r="C1194">
        <v>7000</v>
      </c>
      <c r="D1194">
        <v>7027.9</v>
      </c>
      <c r="E1194">
        <v>7000</v>
      </c>
      <c r="F1194">
        <v>7027.9</v>
      </c>
      <c r="G1194">
        <v>7027.9</v>
      </c>
      <c r="H1194">
        <v>7005</v>
      </c>
      <c r="I1194">
        <v>21</v>
      </c>
      <c r="J1194">
        <v>147558</v>
      </c>
      <c r="K1194" s="1">
        <v>43777</v>
      </c>
      <c r="L1194">
        <v>2</v>
      </c>
      <c r="M1194" t="s">
        <v>6237</v>
      </c>
    </row>
    <row r="1195" spans="1:13" x14ac:dyDescent="0.25">
      <c r="A1195" t="s">
        <v>6236</v>
      </c>
      <c r="B1195" t="s">
        <v>5843</v>
      </c>
      <c r="C1195">
        <v>6470</v>
      </c>
      <c r="D1195">
        <v>6470</v>
      </c>
      <c r="E1195">
        <v>6470</v>
      </c>
      <c r="F1195">
        <v>6470</v>
      </c>
      <c r="G1195">
        <v>6470</v>
      </c>
      <c r="H1195">
        <v>6499.5</v>
      </c>
      <c r="I1195">
        <v>1</v>
      </c>
      <c r="J1195">
        <v>6470</v>
      </c>
      <c r="K1195" s="1">
        <v>43777</v>
      </c>
      <c r="L1195">
        <v>1</v>
      </c>
      <c r="M1195" t="s">
        <v>6235</v>
      </c>
    </row>
    <row r="1196" spans="1:13" x14ac:dyDescent="0.25">
      <c r="A1196" t="s">
        <v>3538</v>
      </c>
      <c r="B1196" t="s">
        <v>14</v>
      </c>
      <c r="C1196">
        <v>23.45</v>
      </c>
      <c r="D1196">
        <v>23.5</v>
      </c>
      <c r="E1196">
        <v>23.2</v>
      </c>
      <c r="F1196">
        <v>23.35</v>
      </c>
      <c r="G1196">
        <v>23.35</v>
      </c>
      <c r="H1196">
        <v>23.55</v>
      </c>
      <c r="I1196">
        <v>1965883</v>
      </c>
      <c r="J1196">
        <v>45898749.549999997</v>
      </c>
      <c r="K1196" s="1">
        <v>43777</v>
      </c>
      <c r="L1196">
        <v>4200</v>
      </c>
      <c r="M1196" t="s">
        <v>3540</v>
      </c>
    </row>
    <row r="1197" spans="1:13" x14ac:dyDescent="0.25">
      <c r="A1197" t="s">
        <v>3541</v>
      </c>
      <c r="B1197" t="s">
        <v>14</v>
      </c>
      <c r="C1197">
        <v>152.05000000000001</v>
      </c>
      <c r="D1197">
        <v>156</v>
      </c>
      <c r="E1197">
        <v>144.44999999999999</v>
      </c>
      <c r="F1197">
        <v>145.05000000000001</v>
      </c>
      <c r="G1197">
        <v>145</v>
      </c>
      <c r="H1197">
        <v>152.05000000000001</v>
      </c>
      <c r="I1197">
        <v>410903</v>
      </c>
      <c r="J1197">
        <v>61604742.600000001</v>
      </c>
      <c r="K1197" s="1">
        <v>43777</v>
      </c>
      <c r="L1197">
        <v>7753</v>
      </c>
      <c r="M1197" t="s">
        <v>3543</v>
      </c>
    </row>
    <row r="1198" spans="1:13" x14ac:dyDescent="0.25">
      <c r="A1198" t="s">
        <v>3544</v>
      </c>
      <c r="B1198" t="s">
        <v>10</v>
      </c>
      <c r="C1198">
        <v>7.5</v>
      </c>
      <c r="D1198">
        <v>8</v>
      </c>
      <c r="E1198">
        <v>7.3</v>
      </c>
      <c r="F1198">
        <v>7.3</v>
      </c>
      <c r="G1198">
        <v>7.3</v>
      </c>
      <c r="H1198">
        <v>7.65</v>
      </c>
      <c r="I1198">
        <v>4076</v>
      </c>
      <c r="J1198">
        <v>29919.05</v>
      </c>
      <c r="K1198" s="1">
        <v>43777</v>
      </c>
      <c r="L1198">
        <v>17</v>
      </c>
      <c r="M1198" t="s">
        <v>3546</v>
      </c>
    </row>
    <row r="1199" spans="1:13" x14ac:dyDescent="0.25">
      <c r="A1199" t="s">
        <v>6222</v>
      </c>
      <c r="B1199" t="s">
        <v>14</v>
      </c>
      <c r="C1199">
        <v>1266.9000000000001</v>
      </c>
      <c r="D1199">
        <v>1275</v>
      </c>
      <c r="E1199">
        <v>1258.76</v>
      </c>
      <c r="F1199">
        <v>1260.6199999999999</v>
      </c>
      <c r="G1199">
        <v>1261.75</v>
      </c>
      <c r="H1199">
        <v>1269.79</v>
      </c>
      <c r="I1199">
        <v>79178</v>
      </c>
      <c r="J1199">
        <v>100232051.47</v>
      </c>
      <c r="K1199" s="1">
        <v>43777</v>
      </c>
      <c r="L1199">
        <v>2009</v>
      </c>
      <c r="M1199" t="s">
        <v>7344</v>
      </c>
    </row>
    <row r="1200" spans="1:13" x14ac:dyDescent="0.25">
      <c r="A1200" t="s">
        <v>7343</v>
      </c>
      <c r="B1200" t="s">
        <v>14</v>
      </c>
      <c r="C1200">
        <v>15200</v>
      </c>
      <c r="D1200">
        <v>15500</v>
      </c>
      <c r="E1200">
        <v>15200</v>
      </c>
      <c r="F1200">
        <v>15500</v>
      </c>
      <c r="G1200">
        <v>15500</v>
      </c>
      <c r="H1200">
        <v>15200</v>
      </c>
      <c r="I1200">
        <v>5</v>
      </c>
      <c r="J1200">
        <v>76600</v>
      </c>
      <c r="K1200" s="1">
        <v>43777</v>
      </c>
      <c r="L1200">
        <v>3</v>
      </c>
      <c r="M1200" t="s">
        <v>7342</v>
      </c>
    </row>
    <row r="1201" spans="1:13" x14ac:dyDescent="0.25">
      <c r="A1201" t="s">
        <v>3547</v>
      </c>
      <c r="B1201" t="s">
        <v>14</v>
      </c>
      <c r="C1201">
        <v>100</v>
      </c>
      <c r="D1201">
        <v>102</v>
      </c>
      <c r="E1201">
        <v>100</v>
      </c>
      <c r="F1201">
        <v>100.4</v>
      </c>
      <c r="G1201">
        <v>100</v>
      </c>
      <c r="H1201">
        <v>100.45</v>
      </c>
      <c r="I1201">
        <v>436371</v>
      </c>
      <c r="J1201">
        <v>44106113.100000001</v>
      </c>
      <c r="K1201" s="1">
        <v>43777</v>
      </c>
      <c r="L1201">
        <v>5235</v>
      </c>
      <c r="M1201" t="s">
        <v>3549</v>
      </c>
    </row>
    <row r="1202" spans="1:13" x14ac:dyDescent="0.25">
      <c r="A1202" t="s">
        <v>7341</v>
      </c>
      <c r="B1202" t="s">
        <v>14</v>
      </c>
      <c r="C1202">
        <v>1570</v>
      </c>
      <c r="D1202">
        <v>1588</v>
      </c>
      <c r="E1202">
        <v>1534.95</v>
      </c>
      <c r="F1202">
        <v>1540.4</v>
      </c>
      <c r="G1202">
        <v>1535.1</v>
      </c>
      <c r="H1202">
        <v>1574</v>
      </c>
      <c r="I1202">
        <v>123434</v>
      </c>
      <c r="J1202">
        <v>192795093.05000001</v>
      </c>
      <c r="K1202" s="1">
        <v>43777</v>
      </c>
      <c r="L1202">
        <v>5430</v>
      </c>
      <c r="M1202" t="s">
        <v>1054</v>
      </c>
    </row>
    <row r="1203" spans="1:13" x14ac:dyDescent="0.25">
      <c r="A1203" t="s">
        <v>3553</v>
      </c>
      <c r="B1203" t="s">
        <v>14</v>
      </c>
      <c r="C1203">
        <v>5.55</v>
      </c>
      <c r="D1203">
        <v>5.8</v>
      </c>
      <c r="E1203">
        <v>5</v>
      </c>
      <c r="F1203">
        <v>5.2</v>
      </c>
      <c r="G1203">
        <v>5.2</v>
      </c>
      <c r="H1203">
        <v>5.3</v>
      </c>
      <c r="I1203">
        <v>599876</v>
      </c>
      <c r="J1203">
        <v>3214004.8</v>
      </c>
      <c r="K1203" s="1">
        <v>43777</v>
      </c>
      <c r="L1203">
        <v>724</v>
      </c>
      <c r="M1203" t="s">
        <v>3555</v>
      </c>
    </row>
    <row r="1204" spans="1:13" x14ac:dyDescent="0.25">
      <c r="A1204" t="s">
        <v>3556</v>
      </c>
      <c r="B1204" t="s">
        <v>14</v>
      </c>
      <c r="C1204">
        <v>1.3</v>
      </c>
      <c r="D1204">
        <v>1.35</v>
      </c>
      <c r="E1204">
        <v>1.3</v>
      </c>
      <c r="F1204">
        <v>1.3</v>
      </c>
      <c r="G1204">
        <v>1.3</v>
      </c>
      <c r="H1204">
        <v>1.35</v>
      </c>
      <c r="I1204">
        <v>78588</v>
      </c>
      <c r="J1204">
        <v>103648.1</v>
      </c>
      <c r="K1204" s="1">
        <v>43777</v>
      </c>
      <c r="L1204">
        <v>59</v>
      </c>
      <c r="M1204" t="s">
        <v>3558</v>
      </c>
    </row>
    <row r="1205" spans="1:13" x14ac:dyDescent="0.25">
      <c r="A1205" t="s">
        <v>3559</v>
      </c>
      <c r="B1205" t="s">
        <v>14</v>
      </c>
      <c r="C1205">
        <v>1220</v>
      </c>
      <c r="D1205">
        <v>1274.8499999999999</v>
      </c>
      <c r="E1205">
        <v>1220</v>
      </c>
      <c r="F1205">
        <v>1247.05</v>
      </c>
      <c r="G1205">
        <v>1245.1500000000001</v>
      </c>
      <c r="H1205">
        <v>1238.8499999999999</v>
      </c>
      <c r="I1205">
        <v>9757</v>
      </c>
      <c r="J1205">
        <v>12156186.1</v>
      </c>
      <c r="K1205" s="1">
        <v>43777</v>
      </c>
      <c r="L1205">
        <v>1167</v>
      </c>
      <c r="M1205" t="s">
        <v>3561</v>
      </c>
    </row>
    <row r="1206" spans="1:13" x14ac:dyDescent="0.25">
      <c r="A1206" t="s">
        <v>3565</v>
      </c>
      <c r="B1206" t="s">
        <v>14</v>
      </c>
      <c r="C1206">
        <v>446.05</v>
      </c>
      <c r="D1206">
        <v>448.05</v>
      </c>
      <c r="E1206">
        <v>438.1</v>
      </c>
      <c r="F1206">
        <v>440.75</v>
      </c>
      <c r="G1206">
        <v>438.3</v>
      </c>
      <c r="H1206">
        <v>444.65</v>
      </c>
      <c r="I1206">
        <v>234</v>
      </c>
      <c r="J1206">
        <v>103666.75</v>
      </c>
      <c r="K1206" s="1">
        <v>43777</v>
      </c>
      <c r="L1206">
        <v>55</v>
      </c>
      <c r="M1206" t="s">
        <v>7340</v>
      </c>
    </row>
    <row r="1207" spans="1:13" x14ac:dyDescent="0.25">
      <c r="A1207" t="s">
        <v>3574</v>
      </c>
      <c r="B1207" t="s">
        <v>14</v>
      </c>
      <c r="C1207">
        <v>23.3</v>
      </c>
      <c r="D1207">
        <v>23.85</v>
      </c>
      <c r="E1207">
        <v>22.6</v>
      </c>
      <c r="F1207">
        <v>22.8</v>
      </c>
      <c r="G1207">
        <v>22.85</v>
      </c>
      <c r="H1207">
        <v>23.45</v>
      </c>
      <c r="I1207">
        <v>78187</v>
      </c>
      <c r="J1207">
        <v>1812912.5</v>
      </c>
      <c r="K1207" s="1">
        <v>43777</v>
      </c>
      <c r="L1207">
        <v>512</v>
      </c>
      <c r="M1207" t="s">
        <v>3576</v>
      </c>
    </row>
    <row r="1208" spans="1:13" x14ac:dyDescent="0.25">
      <c r="A1208" t="s">
        <v>7339</v>
      </c>
      <c r="B1208" t="s">
        <v>786</v>
      </c>
      <c r="C1208">
        <v>0.4</v>
      </c>
      <c r="D1208">
        <v>0.5</v>
      </c>
      <c r="E1208">
        <v>0.4</v>
      </c>
      <c r="F1208">
        <v>0.5</v>
      </c>
      <c r="G1208">
        <v>0.5</v>
      </c>
      <c r="H1208">
        <v>0.45</v>
      </c>
      <c r="I1208">
        <v>44785</v>
      </c>
      <c r="J1208">
        <v>21874.65</v>
      </c>
      <c r="K1208" s="1">
        <v>43777</v>
      </c>
      <c r="L1208">
        <v>40</v>
      </c>
      <c r="M1208" t="s">
        <v>7338</v>
      </c>
    </row>
    <row r="1209" spans="1:13" x14ac:dyDescent="0.25">
      <c r="A1209" t="s">
        <v>3577</v>
      </c>
      <c r="B1209" t="s">
        <v>14</v>
      </c>
      <c r="C1209">
        <v>56.7</v>
      </c>
      <c r="D1209">
        <v>56.7</v>
      </c>
      <c r="E1209">
        <v>53.5</v>
      </c>
      <c r="F1209">
        <v>54.1</v>
      </c>
      <c r="G1209">
        <v>54.45</v>
      </c>
      <c r="H1209">
        <v>55.2</v>
      </c>
      <c r="I1209">
        <v>26119</v>
      </c>
      <c r="J1209">
        <v>1418894.7</v>
      </c>
      <c r="K1209" s="1">
        <v>43777</v>
      </c>
      <c r="L1209">
        <v>592</v>
      </c>
      <c r="M1209" t="s">
        <v>3579</v>
      </c>
    </row>
    <row r="1210" spans="1:13" x14ac:dyDescent="0.25">
      <c r="A1210" t="s">
        <v>3583</v>
      </c>
      <c r="B1210" t="s">
        <v>10</v>
      </c>
      <c r="C1210">
        <v>23.5</v>
      </c>
      <c r="D1210">
        <v>23.65</v>
      </c>
      <c r="E1210">
        <v>23.5</v>
      </c>
      <c r="F1210">
        <v>23.6</v>
      </c>
      <c r="G1210">
        <v>23.6</v>
      </c>
      <c r="H1210">
        <v>24.7</v>
      </c>
      <c r="I1210">
        <v>1325</v>
      </c>
      <c r="J1210">
        <v>31278.5</v>
      </c>
      <c r="K1210" s="1">
        <v>43777</v>
      </c>
      <c r="L1210">
        <v>9</v>
      </c>
      <c r="M1210" t="s">
        <v>3585</v>
      </c>
    </row>
    <row r="1211" spans="1:13" x14ac:dyDescent="0.25">
      <c r="A1211" t="s">
        <v>3586</v>
      </c>
      <c r="B1211" t="s">
        <v>14</v>
      </c>
      <c r="C1211">
        <v>55.2</v>
      </c>
      <c r="D1211">
        <v>56.35</v>
      </c>
      <c r="E1211">
        <v>54.35</v>
      </c>
      <c r="F1211">
        <v>54.65</v>
      </c>
      <c r="G1211">
        <v>54.8</v>
      </c>
      <c r="H1211">
        <v>55.35</v>
      </c>
      <c r="I1211">
        <v>467667</v>
      </c>
      <c r="J1211">
        <v>25880720.149999999</v>
      </c>
      <c r="K1211" s="1">
        <v>43777</v>
      </c>
      <c r="L1211">
        <v>4247</v>
      </c>
      <c r="M1211" t="s">
        <v>3588</v>
      </c>
    </row>
    <row r="1212" spans="1:13" x14ac:dyDescent="0.25">
      <c r="A1212" t="s">
        <v>3589</v>
      </c>
      <c r="B1212" t="s">
        <v>14</v>
      </c>
      <c r="C1212">
        <v>106.6</v>
      </c>
      <c r="D1212">
        <v>109</v>
      </c>
      <c r="E1212">
        <v>103.4</v>
      </c>
      <c r="F1212">
        <v>103.75</v>
      </c>
      <c r="G1212">
        <v>103.7</v>
      </c>
      <c r="H1212">
        <v>107.5</v>
      </c>
      <c r="I1212">
        <v>6384271</v>
      </c>
      <c r="J1212">
        <v>673130495.54999995</v>
      </c>
      <c r="K1212" s="1">
        <v>43777</v>
      </c>
      <c r="L1212">
        <v>28989</v>
      </c>
      <c r="M1212" t="s">
        <v>3591</v>
      </c>
    </row>
    <row r="1213" spans="1:13" x14ac:dyDescent="0.25">
      <c r="A1213" t="s">
        <v>3592</v>
      </c>
      <c r="B1213" t="s">
        <v>14</v>
      </c>
      <c r="C1213">
        <v>110.35</v>
      </c>
      <c r="D1213">
        <v>113.65</v>
      </c>
      <c r="E1213">
        <v>107.2</v>
      </c>
      <c r="F1213">
        <v>107.85</v>
      </c>
      <c r="G1213">
        <v>108.3</v>
      </c>
      <c r="H1213">
        <v>110.75</v>
      </c>
      <c r="I1213">
        <v>1104464</v>
      </c>
      <c r="J1213">
        <v>122374707.75</v>
      </c>
      <c r="K1213" s="1">
        <v>43777</v>
      </c>
      <c r="L1213">
        <v>8393</v>
      </c>
      <c r="M1213" t="s">
        <v>3594</v>
      </c>
    </row>
    <row r="1214" spans="1:13" x14ac:dyDescent="0.25">
      <c r="A1214" t="s">
        <v>3595</v>
      </c>
      <c r="B1214" t="s">
        <v>10</v>
      </c>
      <c r="C1214">
        <v>4.25</v>
      </c>
      <c r="D1214">
        <v>4.25</v>
      </c>
      <c r="E1214">
        <v>4.05</v>
      </c>
      <c r="F1214">
        <v>4.1500000000000004</v>
      </c>
      <c r="G1214">
        <v>4.1500000000000004</v>
      </c>
      <c r="H1214">
        <v>4.25</v>
      </c>
      <c r="I1214">
        <v>21550</v>
      </c>
      <c r="J1214">
        <v>87481.45</v>
      </c>
      <c r="K1214" s="1">
        <v>43777</v>
      </c>
      <c r="L1214">
        <v>60</v>
      </c>
      <c r="M1214" t="s">
        <v>3597</v>
      </c>
    </row>
    <row r="1215" spans="1:13" x14ac:dyDescent="0.25">
      <c r="A1215" t="s">
        <v>3598</v>
      </c>
      <c r="B1215" t="s">
        <v>14</v>
      </c>
      <c r="C1215">
        <v>3.8</v>
      </c>
      <c r="D1215">
        <v>3.9</v>
      </c>
      <c r="E1215">
        <v>3.8</v>
      </c>
      <c r="F1215">
        <v>3.9</v>
      </c>
      <c r="G1215">
        <v>3.9</v>
      </c>
      <c r="H1215">
        <v>3.9</v>
      </c>
      <c r="I1215">
        <v>252</v>
      </c>
      <c r="J1215">
        <v>962.8</v>
      </c>
      <c r="K1215" s="1">
        <v>43777</v>
      </c>
      <c r="L1215">
        <v>3</v>
      </c>
      <c r="M1215" t="s">
        <v>3600</v>
      </c>
    </row>
    <row r="1216" spans="1:13" x14ac:dyDescent="0.25">
      <c r="A1216" t="s">
        <v>6214</v>
      </c>
      <c r="B1216" t="s">
        <v>14</v>
      </c>
      <c r="C1216">
        <v>172.26</v>
      </c>
      <c r="D1216">
        <v>174.64</v>
      </c>
      <c r="E1216">
        <v>171.21</v>
      </c>
      <c r="F1216">
        <v>171.95</v>
      </c>
      <c r="G1216">
        <v>171.95</v>
      </c>
      <c r="H1216">
        <v>170.82</v>
      </c>
      <c r="I1216">
        <v>1203</v>
      </c>
      <c r="J1216">
        <v>207526.53</v>
      </c>
      <c r="K1216" s="1">
        <v>43777</v>
      </c>
      <c r="L1216">
        <v>17</v>
      </c>
      <c r="M1216" t="s">
        <v>6213</v>
      </c>
    </row>
    <row r="1217" spans="1:13" x14ac:dyDescent="0.25">
      <c r="A1217" t="s">
        <v>3601</v>
      </c>
      <c r="B1217" t="s">
        <v>14</v>
      </c>
      <c r="C1217">
        <v>227.9</v>
      </c>
      <c r="D1217">
        <v>230</v>
      </c>
      <c r="E1217">
        <v>222</v>
      </c>
      <c r="F1217">
        <v>222.1</v>
      </c>
      <c r="G1217">
        <v>222</v>
      </c>
      <c r="H1217">
        <v>227.85</v>
      </c>
      <c r="I1217">
        <v>7689</v>
      </c>
      <c r="J1217">
        <v>1726723.85</v>
      </c>
      <c r="K1217" s="1">
        <v>43777</v>
      </c>
      <c r="L1217">
        <v>675</v>
      </c>
      <c r="M1217" t="s">
        <v>3603</v>
      </c>
    </row>
    <row r="1218" spans="1:13" x14ac:dyDescent="0.25">
      <c r="A1218" t="s">
        <v>3604</v>
      </c>
      <c r="B1218" t="s">
        <v>14</v>
      </c>
      <c r="C1218">
        <v>105.8</v>
      </c>
      <c r="D1218">
        <v>105.8</v>
      </c>
      <c r="E1218">
        <v>103.05</v>
      </c>
      <c r="F1218">
        <v>105.05</v>
      </c>
      <c r="G1218">
        <v>105</v>
      </c>
      <c r="H1218">
        <v>104.1</v>
      </c>
      <c r="I1218">
        <v>67467</v>
      </c>
      <c r="J1218">
        <v>7058045.75</v>
      </c>
      <c r="K1218" s="1">
        <v>43777</v>
      </c>
      <c r="L1218">
        <v>1139</v>
      </c>
      <c r="M1218" t="s">
        <v>3606</v>
      </c>
    </row>
    <row r="1219" spans="1:13" x14ac:dyDescent="0.25">
      <c r="A1219" t="s">
        <v>3610</v>
      </c>
      <c r="B1219" t="s">
        <v>14</v>
      </c>
      <c r="C1219">
        <v>844.3</v>
      </c>
      <c r="D1219">
        <v>870</v>
      </c>
      <c r="E1219">
        <v>815</v>
      </c>
      <c r="F1219">
        <v>856.95</v>
      </c>
      <c r="G1219">
        <v>870</v>
      </c>
      <c r="H1219">
        <v>807.55</v>
      </c>
      <c r="I1219">
        <v>1082</v>
      </c>
      <c r="J1219">
        <v>912321.6</v>
      </c>
      <c r="K1219" s="1">
        <v>43777</v>
      </c>
      <c r="L1219">
        <v>201</v>
      </c>
      <c r="M1219" t="s">
        <v>3612</v>
      </c>
    </row>
    <row r="1220" spans="1:13" x14ac:dyDescent="0.25">
      <c r="A1220" t="s">
        <v>7337</v>
      </c>
      <c r="B1220" t="s">
        <v>10</v>
      </c>
      <c r="C1220">
        <v>0.35</v>
      </c>
      <c r="D1220">
        <v>0.4</v>
      </c>
      <c r="E1220">
        <v>0.35</v>
      </c>
      <c r="F1220">
        <v>0.35</v>
      </c>
      <c r="G1220">
        <v>0.35</v>
      </c>
      <c r="H1220">
        <v>0.4</v>
      </c>
      <c r="I1220">
        <v>26514</v>
      </c>
      <c r="J1220">
        <v>10560.45</v>
      </c>
      <c r="K1220" s="1">
        <v>43777</v>
      </c>
      <c r="L1220">
        <v>13</v>
      </c>
      <c r="M1220" t="s">
        <v>7336</v>
      </c>
    </row>
    <row r="1221" spans="1:13" x14ac:dyDescent="0.25">
      <c r="A1221" t="s">
        <v>3616</v>
      </c>
      <c r="B1221" t="s">
        <v>14</v>
      </c>
      <c r="C1221">
        <v>119.1</v>
      </c>
      <c r="D1221">
        <v>119.35</v>
      </c>
      <c r="E1221">
        <v>117</v>
      </c>
      <c r="F1221">
        <v>117.4</v>
      </c>
      <c r="G1221">
        <v>117.3</v>
      </c>
      <c r="H1221">
        <v>119.55</v>
      </c>
      <c r="I1221">
        <v>9771715</v>
      </c>
      <c r="J1221">
        <v>1153369984.8</v>
      </c>
      <c r="K1221" s="1">
        <v>43777</v>
      </c>
      <c r="L1221">
        <v>54854</v>
      </c>
      <c r="M1221" t="s">
        <v>3618</v>
      </c>
    </row>
    <row r="1222" spans="1:13" x14ac:dyDescent="0.25">
      <c r="A1222" t="s">
        <v>3616</v>
      </c>
      <c r="B1222" t="s">
        <v>5843</v>
      </c>
      <c r="C1222">
        <v>1400.26</v>
      </c>
      <c r="D1222">
        <v>1405</v>
      </c>
      <c r="E1222">
        <v>1400.26</v>
      </c>
      <c r="F1222">
        <v>1405</v>
      </c>
      <c r="G1222">
        <v>1405</v>
      </c>
      <c r="H1222">
        <v>1405</v>
      </c>
      <c r="I1222">
        <v>300</v>
      </c>
      <c r="J1222">
        <v>420318</v>
      </c>
      <c r="K1222" s="1">
        <v>43777</v>
      </c>
      <c r="L1222">
        <v>5</v>
      </c>
      <c r="M1222" t="s">
        <v>6208</v>
      </c>
    </row>
    <row r="1223" spans="1:13" x14ac:dyDescent="0.25">
      <c r="A1223" t="s">
        <v>3616</v>
      </c>
      <c r="B1223" t="s">
        <v>6207</v>
      </c>
      <c r="C1223">
        <v>13.48</v>
      </c>
      <c r="D1223">
        <v>13.53</v>
      </c>
      <c r="E1223">
        <v>13.48</v>
      </c>
      <c r="F1223">
        <v>13.5</v>
      </c>
      <c r="G1223">
        <v>13.51</v>
      </c>
      <c r="H1223">
        <v>13.5</v>
      </c>
      <c r="I1223">
        <v>18846</v>
      </c>
      <c r="J1223">
        <v>254426.88</v>
      </c>
      <c r="K1223" s="1">
        <v>43777</v>
      </c>
      <c r="L1223">
        <v>76</v>
      </c>
      <c r="M1223" t="s">
        <v>6206</v>
      </c>
    </row>
    <row r="1224" spans="1:13" x14ac:dyDescent="0.25">
      <c r="A1224" t="s">
        <v>3616</v>
      </c>
      <c r="B1224" t="s">
        <v>6611</v>
      </c>
      <c r="C1224">
        <v>1074.0999999999999</v>
      </c>
      <c r="D1224">
        <v>1074.0999999999999</v>
      </c>
      <c r="E1224">
        <v>1074.0999999999999</v>
      </c>
      <c r="F1224">
        <v>1074.0999999999999</v>
      </c>
      <c r="G1224">
        <v>1074.0999999999999</v>
      </c>
      <c r="H1224">
        <v>1072.6099999999999</v>
      </c>
      <c r="I1224">
        <v>4</v>
      </c>
      <c r="J1224">
        <v>4296.3999999999996</v>
      </c>
      <c r="K1224" s="1">
        <v>43777</v>
      </c>
      <c r="L1224">
        <v>1</v>
      </c>
      <c r="M1224" t="s">
        <v>7335</v>
      </c>
    </row>
    <row r="1225" spans="1:13" x14ac:dyDescent="0.25">
      <c r="A1225" t="s">
        <v>3616</v>
      </c>
      <c r="B1225" t="s">
        <v>6245</v>
      </c>
      <c r="C1225">
        <v>1120.21</v>
      </c>
      <c r="D1225">
        <v>1120.21</v>
      </c>
      <c r="E1225">
        <v>1120.21</v>
      </c>
      <c r="F1225">
        <v>1120.21</v>
      </c>
      <c r="G1225">
        <v>1120.21</v>
      </c>
      <c r="H1225">
        <v>1120.22</v>
      </c>
      <c r="I1225">
        <v>16</v>
      </c>
      <c r="J1225">
        <v>17923.36</v>
      </c>
      <c r="K1225" s="1">
        <v>43777</v>
      </c>
      <c r="L1225">
        <v>1</v>
      </c>
      <c r="M1225" t="s">
        <v>7334</v>
      </c>
    </row>
    <row r="1226" spans="1:13" x14ac:dyDescent="0.25">
      <c r="A1226" t="s">
        <v>3616</v>
      </c>
      <c r="B1226" t="s">
        <v>6243</v>
      </c>
      <c r="C1226">
        <v>1185.81</v>
      </c>
      <c r="D1226">
        <v>1185.81</v>
      </c>
      <c r="E1226">
        <v>1185.81</v>
      </c>
      <c r="F1226">
        <v>1185.81</v>
      </c>
      <c r="G1226">
        <v>1185.81</v>
      </c>
      <c r="H1226">
        <v>1249</v>
      </c>
      <c r="I1226">
        <v>63</v>
      </c>
      <c r="J1226">
        <v>74706.03</v>
      </c>
      <c r="K1226" s="1">
        <v>43777</v>
      </c>
      <c r="L1226">
        <v>1</v>
      </c>
      <c r="M1226" t="s">
        <v>7333</v>
      </c>
    </row>
    <row r="1227" spans="1:13" x14ac:dyDescent="0.25">
      <c r="A1227" t="s">
        <v>3619</v>
      </c>
      <c r="B1227" t="s">
        <v>14</v>
      </c>
      <c r="C1227">
        <v>304.89999999999998</v>
      </c>
      <c r="D1227">
        <v>312</v>
      </c>
      <c r="E1227">
        <v>300.10000000000002</v>
      </c>
      <c r="F1227">
        <v>308.45</v>
      </c>
      <c r="G1227">
        <v>306.14999999999998</v>
      </c>
      <c r="H1227">
        <v>304.89999999999998</v>
      </c>
      <c r="I1227">
        <v>12453</v>
      </c>
      <c r="J1227">
        <v>3828581.05</v>
      </c>
      <c r="K1227" s="1">
        <v>43777</v>
      </c>
      <c r="L1227">
        <v>1077</v>
      </c>
      <c r="M1227" t="s">
        <v>3621</v>
      </c>
    </row>
    <row r="1228" spans="1:13" x14ac:dyDescent="0.25">
      <c r="A1228" t="s">
        <v>3634</v>
      </c>
      <c r="B1228" t="s">
        <v>14</v>
      </c>
      <c r="C1228">
        <v>204</v>
      </c>
      <c r="D1228">
        <v>204</v>
      </c>
      <c r="E1228">
        <v>199</v>
      </c>
      <c r="F1228">
        <v>200.1</v>
      </c>
      <c r="G1228">
        <v>201.9</v>
      </c>
      <c r="H1228">
        <v>199.95</v>
      </c>
      <c r="I1228">
        <v>3442</v>
      </c>
      <c r="J1228">
        <v>695067.85</v>
      </c>
      <c r="K1228" s="1">
        <v>43777</v>
      </c>
      <c r="L1228">
        <v>54</v>
      </c>
      <c r="M1228" t="s">
        <v>3636</v>
      </c>
    </row>
    <row r="1229" spans="1:13" x14ac:dyDescent="0.25">
      <c r="A1229" t="s">
        <v>3640</v>
      </c>
      <c r="B1229" t="s">
        <v>14</v>
      </c>
      <c r="C1229">
        <v>507.4</v>
      </c>
      <c r="D1229">
        <v>516.79999999999995</v>
      </c>
      <c r="E1229">
        <v>503.55</v>
      </c>
      <c r="F1229">
        <v>515.04999999999995</v>
      </c>
      <c r="G1229">
        <v>514.95000000000005</v>
      </c>
      <c r="H1229">
        <v>509.45</v>
      </c>
      <c r="I1229">
        <v>191156</v>
      </c>
      <c r="J1229">
        <v>98104286.349999994</v>
      </c>
      <c r="K1229" s="1">
        <v>43777</v>
      </c>
      <c r="L1229">
        <v>13500</v>
      </c>
      <c r="M1229" t="s">
        <v>3642</v>
      </c>
    </row>
    <row r="1230" spans="1:13" x14ac:dyDescent="0.25">
      <c r="A1230" t="s">
        <v>3643</v>
      </c>
      <c r="B1230" t="s">
        <v>14</v>
      </c>
      <c r="C1230">
        <v>1014.9</v>
      </c>
      <c r="D1230">
        <v>1014.9</v>
      </c>
      <c r="E1230">
        <v>991</v>
      </c>
      <c r="F1230">
        <v>996.05</v>
      </c>
      <c r="G1230">
        <v>998</v>
      </c>
      <c r="H1230">
        <v>999.6</v>
      </c>
      <c r="I1230">
        <v>2922</v>
      </c>
      <c r="J1230">
        <v>2915902.1</v>
      </c>
      <c r="K1230" s="1">
        <v>43777</v>
      </c>
      <c r="L1230">
        <v>177</v>
      </c>
      <c r="M1230" t="s">
        <v>3645</v>
      </c>
    </row>
    <row r="1231" spans="1:13" x14ac:dyDescent="0.25">
      <c r="A1231" t="s">
        <v>3646</v>
      </c>
      <c r="B1231" t="s">
        <v>14</v>
      </c>
      <c r="C1231">
        <v>3134.9</v>
      </c>
      <c r="D1231">
        <v>3145.4</v>
      </c>
      <c r="E1231">
        <v>3109.7</v>
      </c>
      <c r="F1231">
        <v>3126.1</v>
      </c>
      <c r="G1231">
        <v>3119.35</v>
      </c>
      <c r="H1231">
        <v>3120.55</v>
      </c>
      <c r="I1231">
        <v>7250</v>
      </c>
      <c r="J1231">
        <v>22668203.199999999</v>
      </c>
      <c r="K1231" s="1">
        <v>43777</v>
      </c>
      <c r="L1231">
        <v>1351</v>
      </c>
      <c r="M1231" t="s">
        <v>3648</v>
      </c>
    </row>
    <row r="1232" spans="1:13" x14ac:dyDescent="0.25">
      <c r="A1232" t="s">
        <v>3649</v>
      </c>
      <c r="B1232" t="s">
        <v>14</v>
      </c>
      <c r="C1232">
        <v>166.6</v>
      </c>
      <c r="D1232">
        <v>168</v>
      </c>
      <c r="E1232">
        <v>164.65</v>
      </c>
      <c r="F1232">
        <v>165.55</v>
      </c>
      <c r="G1232">
        <v>165.05</v>
      </c>
      <c r="H1232">
        <v>167</v>
      </c>
      <c r="I1232">
        <v>334833</v>
      </c>
      <c r="J1232">
        <v>55831244.75</v>
      </c>
      <c r="K1232" s="1">
        <v>43777</v>
      </c>
      <c r="L1232">
        <v>3819</v>
      </c>
      <c r="M1232" t="s">
        <v>3651</v>
      </c>
    </row>
    <row r="1233" spans="1:13" x14ac:dyDescent="0.25">
      <c r="A1233" t="s">
        <v>3652</v>
      </c>
      <c r="B1233" t="s">
        <v>14</v>
      </c>
      <c r="C1233">
        <v>6.4</v>
      </c>
      <c r="D1233">
        <v>6.7</v>
      </c>
      <c r="E1233">
        <v>6.25</v>
      </c>
      <c r="F1233">
        <v>6.45</v>
      </c>
      <c r="G1233">
        <v>6.5</v>
      </c>
      <c r="H1233">
        <v>6.4</v>
      </c>
      <c r="I1233">
        <v>5687</v>
      </c>
      <c r="J1233">
        <v>36671.15</v>
      </c>
      <c r="K1233" s="1">
        <v>43777</v>
      </c>
      <c r="L1233">
        <v>59</v>
      </c>
      <c r="M1233" t="s">
        <v>3654</v>
      </c>
    </row>
    <row r="1234" spans="1:13" x14ac:dyDescent="0.25">
      <c r="A1234" t="s">
        <v>7332</v>
      </c>
      <c r="B1234" t="s">
        <v>14</v>
      </c>
      <c r="C1234">
        <v>4.5</v>
      </c>
      <c r="D1234">
        <v>4.5999999999999996</v>
      </c>
      <c r="E1234">
        <v>4.3499999999999996</v>
      </c>
      <c r="F1234">
        <v>4.5</v>
      </c>
      <c r="G1234">
        <v>4.5</v>
      </c>
      <c r="H1234">
        <v>4.5</v>
      </c>
      <c r="I1234">
        <v>8806</v>
      </c>
      <c r="J1234">
        <v>39643.949999999997</v>
      </c>
      <c r="K1234" s="1">
        <v>43777</v>
      </c>
      <c r="L1234">
        <v>40</v>
      </c>
      <c r="M1234" t="s">
        <v>7331</v>
      </c>
    </row>
    <row r="1235" spans="1:13" x14ac:dyDescent="0.25">
      <c r="A1235" t="s">
        <v>3655</v>
      </c>
      <c r="B1235" t="s">
        <v>14</v>
      </c>
      <c r="C1235">
        <v>193.05</v>
      </c>
      <c r="D1235">
        <v>195.45</v>
      </c>
      <c r="E1235">
        <v>190.65</v>
      </c>
      <c r="F1235">
        <v>194.25</v>
      </c>
      <c r="G1235">
        <v>195</v>
      </c>
      <c r="H1235">
        <v>192.3</v>
      </c>
      <c r="I1235">
        <v>27792</v>
      </c>
      <c r="J1235">
        <v>5385363.3499999996</v>
      </c>
      <c r="K1235" s="1">
        <v>43777</v>
      </c>
      <c r="L1235">
        <v>932</v>
      </c>
      <c r="M1235" t="s">
        <v>3657</v>
      </c>
    </row>
    <row r="1236" spans="1:13" x14ac:dyDescent="0.25">
      <c r="A1236" t="s">
        <v>3658</v>
      </c>
      <c r="B1236" t="s">
        <v>14</v>
      </c>
      <c r="C1236">
        <v>47.95</v>
      </c>
      <c r="D1236">
        <v>49.8</v>
      </c>
      <c r="E1236">
        <v>44.25</v>
      </c>
      <c r="F1236">
        <v>45.75</v>
      </c>
      <c r="G1236">
        <v>45.25</v>
      </c>
      <c r="H1236">
        <v>48.65</v>
      </c>
      <c r="I1236">
        <v>31365</v>
      </c>
      <c r="J1236">
        <v>1448050.55</v>
      </c>
      <c r="K1236" s="1">
        <v>43777</v>
      </c>
      <c r="L1236">
        <v>346</v>
      </c>
      <c r="M1236" t="s">
        <v>3660</v>
      </c>
    </row>
    <row r="1237" spans="1:13" x14ac:dyDescent="0.25">
      <c r="A1237" t="s">
        <v>3661</v>
      </c>
      <c r="B1237" t="s">
        <v>14</v>
      </c>
      <c r="C1237">
        <v>183.4</v>
      </c>
      <c r="D1237">
        <v>186.3</v>
      </c>
      <c r="E1237">
        <v>182.2</v>
      </c>
      <c r="F1237">
        <v>185.8</v>
      </c>
      <c r="G1237">
        <v>185.7</v>
      </c>
      <c r="H1237">
        <v>183.15</v>
      </c>
      <c r="I1237">
        <v>212387</v>
      </c>
      <c r="J1237">
        <v>39029269.049999997</v>
      </c>
      <c r="K1237" s="1">
        <v>43777</v>
      </c>
      <c r="L1237">
        <v>1889</v>
      </c>
      <c r="M1237" t="s">
        <v>3663</v>
      </c>
    </row>
    <row r="1238" spans="1:13" x14ac:dyDescent="0.25">
      <c r="A1238" t="s">
        <v>3667</v>
      </c>
      <c r="B1238" t="s">
        <v>10</v>
      </c>
      <c r="C1238">
        <v>5.0999999999999996</v>
      </c>
      <c r="D1238">
        <v>5.3</v>
      </c>
      <c r="E1238">
        <v>4.8</v>
      </c>
      <c r="F1238">
        <v>5.0999999999999996</v>
      </c>
      <c r="G1238">
        <v>5.25</v>
      </c>
      <c r="H1238">
        <v>5.05</v>
      </c>
      <c r="I1238">
        <v>31758</v>
      </c>
      <c r="J1238">
        <v>162694.9</v>
      </c>
      <c r="K1238" s="1">
        <v>43777</v>
      </c>
      <c r="L1238">
        <v>83</v>
      </c>
      <c r="M1238" t="s">
        <v>3669</v>
      </c>
    </row>
    <row r="1239" spans="1:13" x14ac:dyDescent="0.25">
      <c r="A1239" t="s">
        <v>7330</v>
      </c>
      <c r="B1239" t="s">
        <v>14</v>
      </c>
      <c r="C1239">
        <v>20.6</v>
      </c>
      <c r="D1239">
        <v>25.05</v>
      </c>
      <c r="E1239">
        <v>20.6</v>
      </c>
      <c r="F1239">
        <v>24.95</v>
      </c>
      <c r="G1239">
        <v>25.05</v>
      </c>
      <c r="H1239">
        <v>20.9</v>
      </c>
      <c r="I1239">
        <v>309056</v>
      </c>
      <c r="J1239">
        <v>7472474.9000000004</v>
      </c>
      <c r="K1239" s="1">
        <v>43777</v>
      </c>
      <c r="L1239">
        <v>1754</v>
      </c>
      <c r="M1239" t="s">
        <v>3666</v>
      </c>
    </row>
    <row r="1240" spans="1:13" x14ac:dyDescent="0.25">
      <c r="A1240" t="s">
        <v>3670</v>
      </c>
      <c r="B1240" t="s">
        <v>14</v>
      </c>
      <c r="C1240">
        <v>6.6</v>
      </c>
      <c r="D1240">
        <v>6.6</v>
      </c>
      <c r="E1240">
        <v>6.6</v>
      </c>
      <c r="F1240">
        <v>6.6</v>
      </c>
      <c r="G1240">
        <v>6.6</v>
      </c>
      <c r="H1240">
        <v>6.3</v>
      </c>
      <c r="I1240">
        <v>31</v>
      </c>
      <c r="J1240">
        <v>204.6</v>
      </c>
      <c r="K1240" s="1">
        <v>43777</v>
      </c>
      <c r="L1240">
        <v>3</v>
      </c>
      <c r="M1240" t="s">
        <v>3672</v>
      </c>
    </row>
    <row r="1241" spans="1:13" x14ac:dyDescent="0.25">
      <c r="A1241" t="s">
        <v>3673</v>
      </c>
      <c r="B1241" t="s">
        <v>14</v>
      </c>
      <c r="C1241">
        <v>15.35</v>
      </c>
      <c r="D1241">
        <v>15.35</v>
      </c>
      <c r="E1241">
        <v>11.5</v>
      </c>
      <c r="F1241">
        <v>13.65</v>
      </c>
      <c r="G1241">
        <v>13.45</v>
      </c>
      <c r="H1241">
        <v>13.25</v>
      </c>
      <c r="I1241">
        <v>4480</v>
      </c>
      <c r="J1241">
        <v>57486.1</v>
      </c>
      <c r="K1241" s="1">
        <v>43777</v>
      </c>
      <c r="L1241">
        <v>98</v>
      </c>
      <c r="M1241" t="s">
        <v>7329</v>
      </c>
    </row>
    <row r="1242" spans="1:13" x14ac:dyDescent="0.25">
      <c r="A1242" t="s">
        <v>3676</v>
      </c>
      <c r="B1242" t="s">
        <v>14</v>
      </c>
      <c r="C1242">
        <v>141.94999999999999</v>
      </c>
      <c r="D1242">
        <v>143.5</v>
      </c>
      <c r="E1242">
        <v>137.6</v>
      </c>
      <c r="F1242">
        <v>138.30000000000001</v>
      </c>
      <c r="G1242">
        <v>138</v>
      </c>
      <c r="H1242">
        <v>142.05000000000001</v>
      </c>
      <c r="I1242">
        <v>8252930</v>
      </c>
      <c r="J1242">
        <v>1157935355.4000001</v>
      </c>
      <c r="K1242" s="1">
        <v>43777</v>
      </c>
      <c r="L1242">
        <v>38232</v>
      </c>
      <c r="M1242" t="s">
        <v>3678</v>
      </c>
    </row>
    <row r="1243" spans="1:13" x14ac:dyDescent="0.25">
      <c r="A1243" t="s">
        <v>3679</v>
      </c>
      <c r="B1243" t="s">
        <v>14</v>
      </c>
      <c r="C1243">
        <v>39.299999999999997</v>
      </c>
      <c r="D1243">
        <v>39.299999999999997</v>
      </c>
      <c r="E1243">
        <v>37.049999999999997</v>
      </c>
      <c r="F1243">
        <v>37.15</v>
      </c>
      <c r="G1243">
        <v>37.200000000000003</v>
      </c>
      <c r="H1243">
        <v>38.950000000000003</v>
      </c>
      <c r="I1243">
        <v>80933</v>
      </c>
      <c r="J1243">
        <v>3044177.1</v>
      </c>
      <c r="K1243" s="1">
        <v>43777</v>
      </c>
      <c r="L1243">
        <v>590</v>
      </c>
      <c r="M1243" t="s">
        <v>3681</v>
      </c>
    </row>
    <row r="1244" spans="1:13" x14ac:dyDescent="0.25">
      <c r="A1244" t="s">
        <v>3682</v>
      </c>
      <c r="B1244" t="s">
        <v>14</v>
      </c>
      <c r="C1244">
        <v>68.05</v>
      </c>
      <c r="D1244">
        <v>68.7</v>
      </c>
      <c r="E1244">
        <v>65.45</v>
      </c>
      <c r="F1244">
        <v>65.95</v>
      </c>
      <c r="G1244">
        <v>65.5</v>
      </c>
      <c r="H1244">
        <v>68</v>
      </c>
      <c r="I1244">
        <v>4895</v>
      </c>
      <c r="J1244">
        <v>326811.34999999998</v>
      </c>
      <c r="K1244" s="1">
        <v>43777</v>
      </c>
      <c r="L1244">
        <v>84</v>
      </c>
      <c r="M1244" t="s">
        <v>3684</v>
      </c>
    </row>
    <row r="1245" spans="1:13" x14ac:dyDescent="0.25">
      <c r="A1245" t="s">
        <v>3685</v>
      </c>
      <c r="B1245" t="s">
        <v>10</v>
      </c>
      <c r="C1245">
        <v>41.9</v>
      </c>
      <c r="D1245">
        <v>41.9</v>
      </c>
      <c r="E1245">
        <v>41.9</v>
      </c>
      <c r="F1245">
        <v>41.9</v>
      </c>
      <c r="G1245">
        <v>41.9</v>
      </c>
      <c r="H1245">
        <v>44.1</v>
      </c>
      <c r="I1245">
        <v>1253</v>
      </c>
      <c r="J1245">
        <v>52500.7</v>
      </c>
      <c r="K1245" s="1">
        <v>43777</v>
      </c>
      <c r="L1245">
        <v>6</v>
      </c>
      <c r="M1245" t="s">
        <v>3687</v>
      </c>
    </row>
    <row r="1246" spans="1:13" x14ac:dyDescent="0.25">
      <c r="A1246" t="s">
        <v>7328</v>
      </c>
      <c r="B1246" t="s">
        <v>14</v>
      </c>
      <c r="C1246">
        <v>4</v>
      </c>
      <c r="D1246">
        <v>4.1500000000000004</v>
      </c>
      <c r="E1246">
        <v>3.85</v>
      </c>
      <c r="F1246">
        <v>3.95</v>
      </c>
      <c r="G1246">
        <v>3.95</v>
      </c>
      <c r="H1246">
        <v>4</v>
      </c>
      <c r="I1246">
        <v>296568</v>
      </c>
      <c r="J1246">
        <v>1171956.6000000001</v>
      </c>
      <c r="K1246" s="1">
        <v>43777</v>
      </c>
      <c r="L1246">
        <v>220</v>
      </c>
      <c r="M1246" t="s">
        <v>7327</v>
      </c>
    </row>
    <row r="1247" spans="1:13" x14ac:dyDescent="0.25">
      <c r="A1247" t="s">
        <v>3688</v>
      </c>
      <c r="B1247" t="s">
        <v>14</v>
      </c>
      <c r="C1247">
        <v>87.05</v>
      </c>
      <c r="D1247">
        <v>89</v>
      </c>
      <c r="E1247">
        <v>85.1</v>
      </c>
      <c r="F1247">
        <v>85.75</v>
      </c>
      <c r="G1247">
        <v>85.15</v>
      </c>
      <c r="H1247">
        <v>88.4</v>
      </c>
      <c r="I1247">
        <v>4577</v>
      </c>
      <c r="J1247">
        <v>394302.55</v>
      </c>
      <c r="K1247" s="1">
        <v>43777</v>
      </c>
      <c r="L1247">
        <v>343</v>
      </c>
      <c r="M1247" t="s">
        <v>3690</v>
      </c>
    </row>
    <row r="1248" spans="1:13" x14ac:dyDescent="0.25">
      <c r="A1248" t="s">
        <v>3694</v>
      </c>
      <c r="B1248" t="s">
        <v>14</v>
      </c>
      <c r="C1248">
        <v>19.8</v>
      </c>
      <c r="D1248">
        <v>20.6</v>
      </c>
      <c r="E1248">
        <v>19.350000000000001</v>
      </c>
      <c r="F1248">
        <v>20.2</v>
      </c>
      <c r="G1248">
        <v>20.25</v>
      </c>
      <c r="H1248">
        <v>19.899999999999999</v>
      </c>
      <c r="I1248">
        <v>32988</v>
      </c>
      <c r="J1248">
        <v>666566.15</v>
      </c>
      <c r="K1248" s="1">
        <v>43777</v>
      </c>
      <c r="L1248">
        <v>144</v>
      </c>
      <c r="M1248" t="s">
        <v>3696</v>
      </c>
    </row>
    <row r="1249" spans="1:13" x14ac:dyDescent="0.25">
      <c r="A1249" t="s">
        <v>7326</v>
      </c>
      <c r="B1249" t="s">
        <v>14</v>
      </c>
      <c r="C1249">
        <v>19.5</v>
      </c>
      <c r="D1249">
        <v>19.95</v>
      </c>
      <c r="E1249">
        <v>18.649999999999999</v>
      </c>
      <c r="F1249">
        <v>18.899999999999999</v>
      </c>
      <c r="G1249">
        <v>18.7</v>
      </c>
      <c r="H1249">
        <v>19.600000000000001</v>
      </c>
      <c r="I1249">
        <v>29299</v>
      </c>
      <c r="J1249">
        <v>559573.44999999995</v>
      </c>
      <c r="K1249" s="1">
        <v>43777</v>
      </c>
      <c r="L1249">
        <v>507</v>
      </c>
      <c r="M1249" t="s">
        <v>3708</v>
      </c>
    </row>
    <row r="1250" spans="1:13" x14ac:dyDescent="0.25">
      <c r="A1250" t="s">
        <v>3697</v>
      </c>
      <c r="B1250" t="s">
        <v>14</v>
      </c>
      <c r="C1250">
        <v>13.4</v>
      </c>
      <c r="D1250">
        <v>13.75</v>
      </c>
      <c r="E1250">
        <v>13.2</v>
      </c>
      <c r="F1250">
        <v>13.25</v>
      </c>
      <c r="G1250">
        <v>13.25</v>
      </c>
      <c r="H1250">
        <v>13.25</v>
      </c>
      <c r="I1250">
        <v>48712</v>
      </c>
      <c r="J1250">
        <v>645372.44999999995</v>
      </c>
      <c r="K1250" s="1">
        <v>43777</v>
      </c>
      <c r="L1250">
        <v>53</v>
      </c>
      <c r="M1250" t="s">
        <v>3699</v>
      </c>
    </row>
    <row r="1251" spans="1:13" x14ac:dyDescent="0.25">
      <c r="A1251" t="s">
        <v>7325</v>
      </c>
      <c r="B1251" t="s">
        <v>14</v>
      </c>
      <c r="C1251">
        <v>53.3</v>
      </c>
      <c r="D1251">
        <v>53.75</v>
      </c>
      <c r="E1251">
        <v>52.6</v>
      </c>
      <c r="F1251">
        <v>52.85</v>
      </c>
      <c r="G1251">
        <v>52.85</v>
      </c>
      <c r="H1251">
        <v>53.6</v>
      </c>
      <c r="I1251">
        <v>424351</v>
      </c>
      <c r="J1251">
        <v>22569260.199999999</v>
      </c>
      <c r="K1251" s="1">
        <v>43777</v>
      </c>
      <c r="L1251">
        <v>2452</v>
      </c>
      <c r="M1251" t="s">
        <v>7324</v>
      </c>
    </row>
    <row r="1252" spans="1:13" x14ac:dyDescent="0.25">
      <c r="A1252" t="s">
        <v>3700</v>
      </c>
      <c r="B1252" t="s">
        <v>14</v>
      </c>
      <c r="C1252">
        <v>130.1</v>
      </c>
      <c r="D1252">
        <v>131.69999999999999</v>
      </c>
      <c r="E1252">
        <v>124</v>
      </c>
      <c r="F1252">
        <v>124.65</v>
      </c>
      <c r="G1252">
        <v>124.95</v>
      </c>
      <c r="H1252">
        <v>131.75</v>
      </c>
      <c r="I1252">
        <v>13923</v>
      </c>
      <c r="J1252">
        <v>1760836.95</v>
      </c>
      <c r="K1252" s="1">
        <v>43777</v>
      </c>
      <c r="L1252">
        <v>4904</v>
      </c>
      <c r="M1252" t="s">
        <v>3702</v>
      </c>
    </row>
    <row r="1253" spans="1:13" x14ac:dyDescent="0.25">
      <c r="A1253" t="s">
        <v>3703</v>
      </c>
      <c r="B1253" t="s">
        <v>14</v>
      </c>
      <c r="C1253">
        <v>79.349999999999994</v>
      </c>
      <c r="D1253">
        <v>81.150000000000006</v>
      </c>
      <c r="E1253">
        <v>79.05</v>
      </c>
      <c r="F1253">
        <v>79.650000000000006</v>
      </c>
      <c r="G1253">
        <v>79.8</v>
      </c>
      <c r="H1253">
        <v>79.849999999999994</v>
      </c>
      <c r="I1253">
        <v>74775</v>
      </c>
      <c r="J1253">
        <v>5996956.5499999998</v>
      </c>
      <c r="K1253" s="1">
        <v>43777</v>
      </c>
      <c r="L1253">
        <v>2057</v>
      </c>
      <c r="M1253" t="s">
        <v>3705</v>
      </c>
    </row>
    <row r="1254" spans="1:13" x14ac:dyDescent="0.25">
      <c r="A1254" t="s">
        <v>3709</v>
      </c>
      <c r="B1254" t="s">
        <v>14</v>
      </c>
      <c r="C1254">
        <v>189.95</v>
      </c>
      <c r="D1254">
        <v>198.3</v>
      </c>
      <c r="E1254">
        <v>189.95</v>
      </c>
      <c r="F1254">
        <v>191.95</v>
      </c>
      <c r="G1254">
        <v>191.9</v>
      </c>
      <c r="H1254">
        <v>187.2</v>
      </c>
      <c r="I1254">
        <v>209448</v>
      </c>
      <c r="J1254">
        <v>40492576.799999997</v>
      </c>
      <c r="K1254" s="1">
        <v>43777</v>
      </c>
      <c r="L1254">
        <v>5344</v>
      </c>
      <c r="M1254" t="s">
        <v>3711</v>
      </c>
    </row>
    <row r="1255" spans="1:13" x14ac:dyDescent="0.25">
      <c r="A1255" t="s">
        <v>3712</v>
      </c>
      <c r="B1255" t="s">
        <v>14</v>
      </c>
      <c r="C1255">
        <v>36.75</v>
      </c>
      <c r="D1255">
        <v>36.85</v>
      </c>
      <c r="E1255">
        <v>36</v>
      </c>
      <c r="F1255">
        <v>36.549999999999997</v>
      </c>
      <c r="G1255">
        <v>36.65</v>
      </c>
      <c r="H1255">
        <v>36.1</v>
      </c>
      <c r="I1255">
        <v>13556</v>
      </c>
      <c r="J1255">
        <v>492131.6</v>
      </c>
      <c r="K1255" s="1">
        <v>43777</v>
      </c>
      <c r="L1255">
        <v>131</v>
      </c>
      <c r="M1255" t="s">
        <v>3714</v>
      </c>
    </row>
    <row r="1256" spans="1:13" x14ac:dyDescent="0.25">
      <c r="A1256" t="s">
        <v>3715</v>
      </c>
      <c r="B1256" t="s">
        <v>14</v>
      </c>
      <c r="C1256">
        <v>103.95</v>
      </c>
      <c r="D1256">
        <v>108.7</v>
      </c>
      <c r="E1256">
        <v>98.85</v>
      </c>
      <c r="F1256">
        <v>100.75</v>
      </c>
      <c r="G1256">
        <v>108.5</v>
      </c>
      <c r="H1256">
        <v>103.45</v>
      </c>
      <c r="I1256">
        <v>559</v>
      </c>
      <c r="J1256">
        <v>55835.15</v>
      </c>
      <c r="K1256" s="1">
        <v>43777</v>
      </c>
      <c r="L1256">
        <v>31</v>
      </c>
      <c r="M1256" t="s">
        <v>3717</v>
      </c>
    </row>
    <row r="1257" spans="1:13" x14ac:dyDescent="0.25">
      <c r="A1257" t="s">
        <v>3718</v>
      </c>
      <c r="B1257" t="s">
        <v>14</v>
      </c>
      <c r="C1257">
        <v>27.15</v>
      </c>
      <c r="D1257">
        <v>27.15</v>
      </c>
      <c r="E1257">
        <v>26.55</v>
      </c>
      <c r="F1257">
        <v>26.75</v>
      </c>
      <c r="G1257">
        <v>26.55</v>
      </c>
      <c r="H1257">
        <v>27.05</v>
      </c>
      <c r="I1257">
        <v>126142</v>
      </c>
      <c r="J1257">
        <v>3387795.3</v>
      </c>
      <c r="K1257" s="1">
        <v>43777</v>
      </c>
      <c r="L1257">
        <v>786</v>
      </c>
      <c r="M1257" t="s">
        <v>3720</v>
      </c>
    </row>
    <row r="1258" spans="1:13" x14ac:dyDescent="0.25">
      <c r="A1258" t="s">
        <v>7323</v>
      </c>
      <c r="B1258" t="s">
        <v>14</v>
      </c>
      <c r="C1258">
        <v>216</v>
      </c>
      <c r="D1258">
        <v>221.75</v>
      </c>
      <c r="E1258">
        <v>214</v>
      </c>
      <c r="F1258">
        <v>215.35</v>
      </c>
      <c r="G1258">
        <v>220</v>
      </c>
      <c r="H1258">
        <v>216.25</v>
      </c>
      <c r="I1258">
        <v>14886</v>
      </c>
      <c r="J1258">
        <v>3204189.9</v>
      </c>
      <c r="K1258" s="1">
        <v>43777</v>
      </c>
      <c r="L1258">
        <v>835</v>
      </c>
      <c r="M1258" t="s">
        <v>4221</v>
      </c>
    </row>
    <row r="1259" spans="1:13" x14ac:dyDescent="0.25">
      <c r="A1259" t="s">
        <v>3721</v>
      </c>
      <c r="B1259" t="s">
        <v>14</v>
      </c>
      <c r="C1259">
        <v>1450</v>
      </c>
      <c r="D1259">
        <v>1490</v>
      </c>
      <c r="E1259">
        <v>1414</v>
      </c>
      <c r="F1259">
        <v>1446.8</v>
      </c>
      <c r="G1259">
        <v>1449</v>
      </c>
      <c r="H1259">
        <v>1437.95</v>
      </c>
      <c r="I1259">
        <v>59693</v>
      </c>
      <c r="J1259">
        <v>86846789.349999994</v>
      </c>
      <c r="K1259" s="1">
        <v>43777</v>
      </c>
      <c r="L1259">
        <v>6006</v>
      </c>
      <c r="M1259" t="s">
        <v>3723</v>
      </c>
    </row>
    <row r="1260" spans="1:13" x14ac:dyDescent="0.25">
      <c r="A1260" t="s">
        <v>3724</v>
      </c>
      <c r="B1260" t="s">
        <v>786</v>
      </c>
      <c r="C1260">
        <v>0.5</v>
      </c>
      <c r="D1260">
        <v>0.5</v>
      </c>
      <c r="E1260">
        <v>0.5</v>
      </c>
      <c r="F1260">
        <v>0.5</v>
      </c>
      <c r="G1260">
        <v>0.5</v>
      </c>
      <c r="H1260">
        <v>0.45</v>
      </c>
      <c r="I1260">
        <v>67354</v>
      </c>
      <c r="J1260">
        <v>33677</v>
      </c>
      <c r="K1260" s="1">
        <v>43777</v>
      </c>
      <c r="L1260">
        <v>46</v>
      </c>
      <c r="M1260" t="s">
        <v>3726</v>
      </c>
    </row>
    <row r="1261" spans="1:13" x14ac:dyDescent="0.25">
      <c r="A1261" t="s">
        <v>7322</v>
      </c>
      <c r="B1261" t="s">
        <v>14</v>
      </c>
      <c r="C1261">
        <v>10.5</v>
      </c>
      <c r="D1261">
        <v>10.5</v>
      </c>
      <c r="E1261">
        <v>9.75</v>
      </c>
      <c r="F1261">
        <v>10</v>
      </c>
      <c r="G1261">
        <v>10</v>
      </c>
      <c r="H1261">
        <v>10.3</v>
      </c>
      <c r="I1261">
        <v>1220</v>
      </c>
      <c r="J1261">
        <v>12330.3</v>
      </c>
      <c r="K1261" s="1">
        <v>43777</v>
      </c>
      <c r="L1261">
        <v>10</v>
      </c>
      <c r="M1261" t="s">
        <v>7321</v>
      </c>
    </row>
    <row r="1262" spans="1:13" x14ac:dyDescent="0.25">
      <c r="A1262" t="s">
        <v>3733</v>
      </c>
      <c r="B1262" t="s">
        <v>14</v>
      </c>
      <c r="C1262">
        <v>5.9</v>
      </c>
      <c r="D1262">
        <v>6</v>
      </c>
      <c r="E1262">
        <v>5.45</v>
      </c>
      <c r="F1262">
        <v>5.65</v>
      </c>
      <c r="G1262">
        <v>5.8</v>
      </c>
      <c r="H1262">
        <v>5.6</v>
      </c>
      <c r="I1262">
        <v>8180</v>
      </c>
      <c r="J1262">
        <v>46040.05</v>
      </c>
      <c r="K1262" s="1">
        <v>43777</v>
      </c>
      <c r="L1262">
        <v>114</v>
      </c>
      <c r="M1262" t="s">
        <v>3735</v>
      </c>
    </row>
    <row r="1263" spans="1:13" x14ac:dyDescent="0.25">
      <c r="A1263" t="s">
        <v>7320</v>
      </c>
      <c r="B1263" t="s">
        <v>10</v>
      </c>
      <c r="C1263">
        <v>3.5</v>
      </c>
      <c r="D1263">
        <v>3.5</v>
      </c>
      <c r="E1263">
        <v>3.5</v>
      </c>
      <c r="F1263">
        <v>3.5</v>
      </c>
      <c r="G1263">
        <v>3.5</v>
      </c>
      <c r="H1263">
        <v>3.65</v>
      </c>
      <c r="I1263">
        <v>1620</v>
      </c>
      <c r="J1263">
        <v>5670</v>
      </c>
      <c r="K1263" s="1">
        <v>43777</v>
      </c>
      <c r="L1263">
        <v>18</v>
      </c>
      <c r="M1263" t="s">
        <v>7319</v>
      </c>
    </row>
    <row r="1264" spans="1:13" x14ac:dyDescent="0.25">
      <c r="A1264" t="s">
        <v>3742</v>
      </c>
      <c r="B1264" t="s">
        <v>14</v>
      </c>
      <c r="C1264">
        <v>23950</v>
      </c>
      <c r="D1264">
        <v>24899.9</v>
      </c>
      <c r="E1264">
        <v>23917.35</v>
      </c>
      <c r="F1264">
        <v>24403.1</v>
      </c>
      <c r="G1264">
        <v>24352</v>
      </c>
      <c r="H1264">
        <v>24037.45</v>
      </c>
      <c r="I1264">
        <v>34309</v>
      </c>
      <c r="J1264">
        <v>839327846.85000002</v>
      </c>
      <c r="K1264" s="1">
        <v>43777</v>
      </c>
      <c r="L1264">
        <v>11054</v>
      </c>
      <c r="M1264" t="s">
        <v>3744</v>
      </c>
    </row>
    <row r="1265" spans="1:13" x14ac:dyDescent="0.25">
      <c r="A1265" t="s">
        <v>3745</v>
      </c>
      <c r="B1265" t="s">
        <v>14</v>
      </c>
      <c r="C1265">
        <v>455.1</v>
      </c>
      <c r="D1265">
        <v>462.1</v>
      </c>
      <c r="E1265">
        <v>453</v>
      </c>
      <c r="F1265">
        <v>457.85</v>
      </c>
      <c r="G1265">
        <v>457.5</v>
      </c>
      <c r="H1265">
        <v>457.5</v>
      </c>
      <c r="I1265">
        <v>30941</v>
      </c>
      <c r="J1265">
        <v>14209339.449999999</v>
      </c>
      <c r="K1265" s="1">
        <v>43777</v>
      </c>
      <c r="L1265">
        <v>298</v>
      </c>
      <c r="M1265" t="s">
        <v>7318</v>
      </c>
    </row>
    <row r="1266" spans="1:13" x14ac:dyDescent="0.25">
      <c r="A1266" t="s">
        <v>3751</v>
      </c>
      <c r="B1266" t="s">
        <v>14</v>
      </c>
      <c r="C1266">
        <v>30.75</v>
      </c>
      <c r="D1266">
        <v>33.4</v>
      </c>
      <c r="E1266">
        <v>30.75</v>
      </c>
      <c r="F1266">
        <v>32.450000000000003</v>
      </c>
      <c r="G1266">
        <v>32.5</v>
      </c>
      <c r="H1266">
        <v>33.4</v>
      </c>
      <c r="I1266">
        <v>95</v>
      </c>
      <c r="J1266">
        <v>3096.75</v>
      </c>
      <c r="K1266" s="1">
        <v>43777</v>
      </c>
      <c r="L1266">
        <v>4</v>
      </c>
      <c r="M1266" t="s">
        <v>3753</v>
      </c>
    </row>
    <row r="1267" spans="1:13" x14ac:dyDescent="0.25">
      <c r="A1267" t="s">
        <v>3754</v>
      </c>
      <c r="B1267" t="s">
        <v>10</v>
      </c>
      <c r="C1267">
        <v>21</v>
      </c>
      <c r="D1267">
        <v>21</v>
      </c>
      <c r="E1267">
        <v>20.5</v>
      </c>
      <c r="F1267">
        <v>20.55</v>
      </c>
      <c r="G1267">
        <v>20.5</v>
      </c>
      <c r="H1267">
        <v>21.05</v>
      </c>
      <c r="I1267">
        <v>692</v>
      </c>
      <c r="J1267">
        <v>14326.4</v>
      </c>
      <c r="K1267" s="1">
        <v>43777</v>
      </c>
      <c r="L1267">
        <v>12</v>
      </c>
      <c r="M1267" t="s">
        <v>3756</v>
      </c>
    </row>
    <row r="1268" spans="1:13" x14ac:dyDescent="0.25">
      <c r="A1268" t="s">
        <v>3757</v>
      </c>
      <c r="B1268" t="s">
        <v>14</v>
      </c>
      <c r="C1268">
        <v>136.1</v>
      </c>
      <c r="D1268">
        <v>139.15</v>
      </c>
      <c r="E1268">
        <v>136</v>
      </c>
      <c r="F1268">
        <v>137</v>
      </c>
      <c r="G1268">
        <v>137</v>
      </c>
      <c r="H1268">
        <v>137.25</v>
      </c>
      <c r="I1268">
        <v>27661</v>
      </c>
      <c r="J1268">
        <v>3803173.75</v>
      </c>
      <c r="K1268" s="1">
        <v>43777</v>
      </c>
      <c r="L1268">
        <v>730</v>
      </c>
      <c r="M1268" t="s">
        <v>3759</v>
      </c>
    </row>
    <row r="1269" spans="1:13" x14ac:dyDescent="0.25">
      <c r="A1269" t="s">
        <v>3763</v>
      </c>
      <c r="B1269" t="s">
        <v>14</v>
      </c>
      <c r="C1269">
        <v>70.099999999999994</v>
      </c>
      <c r="D1269">
        <v>73.7</v>
      </c>
      <c r="E1269">
        <v>68.099999999999994</v>
      </c>
      <c r="F1269">
        <v>68.55</v>
      </c>
      <c r="G1269">
        <v>68.55</v>
      </c>
      <c r="H1269">
        <v>70.75</v>
      </c>
      <c r="I1269">
        <v>30298</v>
      </c>
      <c r="J1269">
        <v>2123624.9500000002</v>
      </c>
      <c r="K1269" s="1">
        <v>43777</v>
      </c>
      <c r="L1269">
        <v>497</v>
      </c>
      <c r="M1269" t="s">
        <v>3765</v>
      </c>
    </row>
    <row r="1270" spans="1:13" x14ac:dyDescent="0.25">
      <c r="A1270" t="s">
        <v>7317</v>
      </c>
      <c r="B1270" t="s">
        <v>14</v>
      </c>
      <c r="C1270">
        <v>248.95</v>
      </c>
      <c r="D1270">
        <v>255.05</v>
      </c>
      <c r="E1270">
        <v>247</v>
      </c>
      <c r="F1270">
        <v>251.9</v>
      </c>
      <c r="G1270">
        <v>252</v>
      </c>
      <c r="H1270">
        <v>247.15</v>
      </c>
      <c r="I1270">
        <v>19167</v>
      </c>
      <c r="J1270">
        <v>4817421.05</v>
      </c>
      <c r="K1270" s="1">
        <v>43777</v>
      </c>
      <c r="L1270">
        <v>546</v>
      </c>
      <c r="M1270" t="s">
        <v>2179</v>
      </c>
    </row>
    <row r="1271" spans="1:13" x14ac:dyDescent="0.25">
      <c r="A1271" t="s">
        <v>3769</v>
      </c>
      <c r="B1271" t="s">
        <v>5788</v>
      </c>
      <c r="C1271">
        <v>43.1</v>
      </c>
      <c r="D1271">
        <v>44.9</v>
      </c>
      <c r="E1271">
        <v>43.1</v>
      </c>
      <c r="F1271">
        <v>44.9</v>
      </c>
      <c r="G1271">
        <v>44.9</v>
      </c>
      <c r="H1271">
        <v>44</v>
      </c>
      <c r="I1271">
        <v>4000</v>
      </c>
      <c r="J1271">
        <v>176000</v>
      </c>
      <c r="K1271" s="1">
        <v>43777</v>
      </c>
      <c r="L1271">
        <v>2</v>
      </c>
      <c r="M1271" t="s">
        <v>3771</v>
      </c>
    </row>
    <row r="1272" spans="1:13" x14ac:dyDescent="0.25">
      <c r="A1272" t="s">
        <v>7316</v>
      </c>
      <c r="B1272" t="s">
        <v>10</v>
      </c>
      <c r="C1272">
        <v>1.35</v>
      </c>
      <c r="D1272">
        <v>1.35</v>
      </c>
      <c r="E1272">
        <v>1.35</v>
      </c>
      <c r="F1272">
        <v>1.35</v>
      </c>
      <c r="G1272">
        <v>1.35</v>
      </c>
      <c r="H1272">
        <v>1.3</v>
      </c>
      <c r="I1272">
        <v>8244</v>
      </c>
      <c r="J1272">
        <v>11129.4</v>
      </c>
      <c r="K1272" s="1">
        <v>43777</v>
      </c>
      <c r="L1272">
        <v>10</v>
      </c>
      <c r="M1272" t="s">
        <v>7315</v>
      </c>
    </row>
    <row r="1273" spans="1:13" x14ac:dyDescent="0.25">
      <c r="A1273" t="s">
        <v>3772</v>
      </c>
      <c r="B1273" t="s">
        <v>14</v>
      </c>
      <c r="C1273">
        <v>9.1999999999999993</v>
      </c>
      <c r="D1273">
        <v>9.6999999999999993</v>
      </c>
      <c r="E1273">
        <v>8.8000000000000007</v>
      </c>
      <c r="F1273">
        <v>8.9499999999999993</v>
      </c>
      <c r="G1273">
        <v>9</v>
      </c>
      <c r="H1273">
        <v>9.15</v>
      </c>
      <c r="I1273">
        <v>153253</v>
      </c>
      <c r="J1273">
        <v>1439086.55</v>
      </c>
      <c r="K1273" s="1">
        <v>43777</v>
      </c>
      <c r="L1273">
        <v>335</v>
      </c>
      <c r="M1273" t="s">
        <v>3774</v>
      </c>
    </row>
    <row r="1274" spans="1:13" x14ac:dyDescent="0.25">
      <c r="A1274" t="s">
        <v>3778</v>
      </c>
      <c r="B1274" t="s">
        <v>14</v>
      </c>
      <c r="C1274">
        <v>135</v>
      </c>
      <c r="D1274">
        <v>139.19999999999999</v>
      </c>
      <c r="E1274">
        <v>132.94999999999999</v>
      </c>
      <c r="F1274">
        <v>134.15</v>
      </c>
      <c r="G1274">
        <v>133.9</v>
      </c>
      <c r="H1274">
        <v>134.44999999999999</v>
      </c>
      <c r="I1274">
        <v>280777</v>
      </c>
      <c r="J1274">
        <v>38019399.049999997</v>
      </c>
      <c r="K1274" s="1">
        <v>43777</v>
      </c>
      <c r="L1274">
        <v>3678</v>
      </c>
      <c r="M1274" t="s">
        <v>3780</v>
      </c>
    </row>
    <row r="1275" spans="1:13" x14ac:dyDescent="0.25">
      <c r="A1275" t="s">
        <v>3787</v>
      </c>
      <c r="B1275" t="s">
        <v>14</v>
      </c>
      <c r="C1275">
        <v>2.4</v>
      </c>
      <c r="D1275">
        <v>2.4500000000000002</v>
      </c>
      <c r="E1275">
        <v>2.2999999999999998</v>
      </c>
      <c r="F1275">
        <v>2.35</v>
      </c>
      <c r="G1275">
        <v>2.2999999999999998</v>
      </c>
      <c r="H1275">
        <v>2.4</v>
      </c>
      <c r="I1275">
        <v>302701</v>
      </c>
      <c r="J1275">
        <v>719734.25</v>
      </c>
      <c r="K1275" s="1">
        <v>43777</v>
      </c>
      <c r="L1275">
        <v>279</v>
      </c>
      <c r="M1275" t="s">
        <v>3789</v>
      </c>
    </row>
    <row r="1276" spans="1:13" x14ac:dyDescent="0.25">
      <c r="A1276" t="s">
        <v>3796</v>
      </c>
      <c r="B1276" t="s">
        <v>14</v>
      </c>
      <c r="C1276">
        <v>16</v>
      </c>
      <c r="D1276">
        <v>16</v>
      </c>
      <c r="E1276">
        <v>16</v>
      </c>
      <c r="F1276">
        <v>16</v>
      </c>
      <c r="G1276">
        <v>16</v>
      </c>
      <c r="H1276">
        <v>16.8</v>
      </c>
      <c r="I1276">
        <v>47771</v>
      </c>
      <c r="J1276">
        <v>764336</v>
      </c>
      <c r="K1276" s="1">
        <v>43777</v>
      </c>
      <c r="L1276">
        <v>103</v>
      </c>
      <c r="M1276" t="s">
        <v>3798</v>
      </c>
    </row>
    <row r="1277" spans="1:13" x14ac:dyDescent="0.25">
      <c r="A1277" t="s">
        <v>3799</v>
      </c>
      <c r="B1277" t="s">
        <v>14</v>
      </c>
      <c r="C1277">
        <v>22.75</v>
      </c>
      <c r="D1277">
        <v>22.95</v>
      </c>
      <c r="E1277">
        <v>21.85</v>
      </c>
      <c r="F1277">
        <v>22.1</v>
      </c>
      <c r="G1277">
        <v>22.2</v>
      </c>
      <c r="H1277">
        <v>23</v>
      </c>
      <c r="I1277">
        <v>14011</v>
      </c>
      <c r="J1277">
        <v>313335.40000000002</v>
      </c>
      <c r="K1277" s="1">
        <v>43777</v>
      </c>
      <c r="L1277">
        <v>92</v>
      </c>
      <c r="M1277" t="s">
        <v>3801</v>
      </c>
    </row>
    <row r="1278" spans="1:13" x14ac:dyDescent="0.25">
      <c r="A1278" t="s">
        <v>7314</v>
      </c>
      <c r="B1278" t="s">
        <v>14</v>
      </c>
      <c r="C1278">
        <v>6.05</v>
      </c>
      <c r="D1278">
        <v>7</v>
      </c>
      <c r="E1278">
        <v>5.85</v>
      </c>
      <c r="F1278">
        <v>6.1</v>
      </c>
      <c r="G1278">
        <v>5.85</v>
      </c>
      <c r="H1278">
        <v>6.15</v>
      </c>
      <c r="I1278">
        <v>4515</v>
      </c>
      <c r="J1278">
        <v>28424.6</v>
      </c>
      <c r="K1278" s="1">
        <v>43777</v>
      </c>
      <c r="L1278">
        <v>37</v>
      </c>
      <c r="M1278" t="s">
        <v>7313</v>
      </c>
    </row>
    <row r="1279" spans="1:13" x14ac:dyDescent="0.25">
      <c r="A1279" t="s">
        <v>3811</v>
      </c>
      <c r="B1279" t="s">
        <v>14</v>
      </c>
      <c r="C1279">
        <v>36.049999999999997</v>
      </c>
      <c r="D1279">
        <v>36.35</v>
      </c>
      <c r="E1279">
        <v>35.1</v>
      </c>
      <c r="F1279">
        <v>35.35</v>
      </c>
      <c r="G1279">
        <v>35.15</v>
      </c>
      <c r="H1279">
        <v>36.049999999999997</v>
      </c>
      <c r="I1279">
        <v>7742815</v>
      </c>
      <c r="J1279">
        <v>276129325.64999998</v>
      </c>
      <c r="K1279" s="1">
        <v>43777</v>
      </c>
      <c r="L1279">
        <v>17721</v>
      </c>
      <c r="M1279" t="s">
        <v>3813</v>
      </c>
    </row>
    <row r="1280" spans="1:13" x14ac:dyDescent="0.25">
      <c r="A1280" t="s">
        <v>3814</v>
      </c>
      <c r="B1280" t="s">
        <v>14</v>
      </c>
      <c r="C1280">
        <v>15.35</v>
      </c>
      <c r="D1280">
        <v>16.649999999999999</v>
      </c>
      <c r="E1280">
        <v>15.35</v>
      </c>
      <c r="F1280">
        <v>16.25</v>
      </c>
      <c r="G1280">
        <v>16.649999999999999</v>
      </c>
      <c r="H1280">
        <v>15.9</v>
      </c>
      <c r="I1280">
        <v>34878</v>
      </c>
      <c r="J1280">
        <v>559418.94999999995</v>
      </c>
      <c r="K1280" s="1">
        <v>43777</v>
      </c>
      <c r="L1280">
        <v>254</v>
      </c>
      <c r="M1280" t="s">
        <v>3816</v>
      </c>
    </row>
    <row r="1281" spans="1:13" x14ac:dyDescent="0.25">
      <c r="A1281" t="s">
        <v>7312</v>
      </c>
      <c r="B1281" t="s">
        <v>10</v>
      </c>
      <c r="C1281">
        <v>2.4500000000000002</v>
      </c>
      <c r="D1281">
        <v>2.5499999999999998</v>
      </c>
      <c r="E1281">
        <v>2.4500000000000002</v>
      </c>
      <c r="F1281">
        <v>2.5499999999999998</v>
      </c>
      <c r="G1281">
        <v>2.5499999999999998</v>
      </c>
      <c r="H1281">
        <v>2.5499999999999998</v>
      </c>
      <c r="I1281">
        <v>202</v>
      </c>
      <c r="J1281">
        <v>495.1</v>
      </c>
      <c r="K1281" s="1">
        <v>43777</v>
      </c>
      <c r="L1281">
        <v>3</v>
      </c>
      <c r="M1281" t="s">
        <v>7311</v>
      </c>
    </row>
    <row r="1282" spans="1:13" x14ac:dyDescent="0.25">
      <c r="A1282" t="s">
        <v>7310</v>
      </c>
      <c r="B1282" t="s">
        <v>14</v>
      </c>
      <c r="C1282">
        <v>331</v>
      </c>
      <c r="D1282">
        <v>331</v>
      </c>
      <c r="E1282">
        <v>313.45</v>
      </c>
      <c r="F1282">
        <v>314.95</v>
      </c>
      <c r="G1282">
        <v>315</v>
      </c>
      <c r="H1282">
        <v>321</v>
      </c>
      <c r="I1282">
        <v>12863</v>
      </c>
      <c r="J1282">
        <v>4053245.95</v>
      </c>
      <c r="K1282" s="1">
        <v>43777</v>
      </c>
      <c r="L1282">
        <v>249</v>
      </c>
      <c r="M1282" t="s">
        <v>7309</v>
      </c>
    </row>
    <row r="1283" spans="1:13" x14ac:dyDescent="0.25">
      <c r="A1283" t="s">
        <v>3820</v>
      </c>
      <c r="B1283" t="s">
        <v>10</v>
      </c>
      <c r="C1283">
        <v>9.9</v>
      </c>
      <c r="D1283">
        <v>9.9499999999999993</v>
      </c>
      <c r="E1283">
        <v>9.9</v>
      </c>
      <c r="F1283">
        <v>9.9499999999999993</v>
      </c>
      <c r="G1283">
        <v>9.9499999999999993</v>
      </c>
      <c r="H1283">
        <v>9.5</v>
      </c>
      <c r="I1283">
        <v>21645</v>
      </c>
      <c r="J1283">
        <v>215360.5</v>
      </c>
      <c r="K1283" s="1">
        <v>43777</v>
      </c>
      <c r="L1283">
        <v>7</v>
      </c>
      <c r="M1283" t="s">
        <v>3822</v>
      </c>
    </row>
    <row r="1284" spans="1:13" x14ac:dyDescent="0.25">
      <c r="A1284" t="s">
        <v>3823</v>
      </c>
      <c r="B1284" t="s">
        <v>14</v>
      </c>
      <c r="C1284">
        <v>1782.5</v>
      </c>
      <c r="D1284">
        <v>1819</v>
      </c>
      <c r="E1284">
        <v>1767.35</v>
      </c>
      <c r="F1284">
        <v>1776.55</v>
      </c>
      <c r="G1284">
        <v>1775.8</v>
      </c>
      <c r="H1284">
        <v>1799.9</v>
      </c>
      <c r="I1284">
        <v>1342725</v>
      </c>
      <c r="J1284">
        <v>2405848979.0999999</v>
      </c>
      <c r="K1284" s="1">
        <v>43777</v>
      </c>
      <c r="L1284">
        <v>41363</v>
      </c>
      <c r="M1284" t="s">
        <v>3825</v>
      </c>
    </row>
    <row r="1285" spans="1:13" x14ac:dyDescent="0.25">
      <c r="A1285" t="s">
        <v>3826</v>
      </c>
      <c r="B1285" t="s">
        <v>14</v>
      </c>
      <c r="C1285">
        <v>29.9</v>
      </c>
      <c r="D1285">
        <v>30.1</v>
      </c>
      <c r="E1285">
        <v>27.45</v>
      </c>
      <c r="F1285">
        <v>27.65</v>
      </c>
      <c r="G1285">
        <v>27.65</v>
      </c>
      <c r="H1285">
        <v>29.1</v>
      </c>
      <c r="I1285">
        <v>415750</v>
      </c>
      <c r="J1285">
        <v>11931186.800000001</v>
      </c>
      <c r="K1285" s="1">
        <v>43777</v>
      </c>
      <c r="L1285">
        <v>1985</v>
      </c>
      <c r="M1285" t="s">
        <v>3828</v>
      </c>
    </row>
    <row r="1286" spans="1:13" x14ac:dyDescent="0.25">
      <c r="A1286" t="s">
        <v>3829</v>
      </c>
      <c r="B1286" t="s">
        <v>14</v>
      </c>
      <c r="C1286">
        <v>5.4</v>
      </c>
      <c r="D1286">
        <v>5.6</v>
      </c>
      <c r="E1286">
        <v>4.9000000000000004</v>
      </c>
      <c r="F1286">
        <v>5.15</v>
      </c>
      <c r="G1286">
        <v>5.15</v>
      </c>
      <c r="H1286">
        <v>5.4</v>
      </c>
      <c r="I1286">
        <v>894823</v>
      </c>
      <c r="J1286">
        <v>4723889.5999999996</v>
      </c>
      <c r="K1286" s="1">
        <v>43777</v>
      </c>
      <c r="L1286">
        <v>1211</v>
      </c>
      <c r="M1286" t="s">
        <v>3831</v>
      </c>
    </row>
    <row r="1287" spans="1:13" x14ac:dyDescent="0.25">
      <c r="A1287" t="s">
        <v>7308</v>
      </c>
      <c r="B1287" t="s">
        <v>5788</v>
      </c>
      <c r="C1287">
        <v>34</v>
      </c>
      <c r="D1287">
        <v>34</v>
      </c>
      <c r="E1287">
        <v>34</v>
      </c>
      <c r="F1287">
        <v>34</v>
      </c>
      <c r="G1287">
        <v>34</v>
      </c>
      <c r="H1287">
        <v>35.75</v>
      </c>
      <c r="I1287">
        <v>150000</v>
      </c>
      <c r="J1287">
        <v>5100000</v>
      </c>
      <c r="K1287" s="1">
        <v>43777</v>
      </c>
      <c r="L1287">
        <v>6</v>
      </c>
      <c r="M1287" t="s">
        <v>7307</v>
      </c>
    </row>
    <row r="1288" spans="1:13" x14ac:dyDescent="0.25">
      <c r="A1288" t="s">
        <v>3832</v>
      </c>
      <c r="B1288" t="s">
        <v>14</v>
      </c>
      <c r="C1288">
        <v>610</v>
      </c>
      <c r="D1288">
        <v>622</v>
      </c>
      <c r="E1288">
        <v>602.25</v>
      </c>
      <c r="F1288">
        <v>615.04999999999995</v>
      </c>
      <c r="G1288">
        <v>615.25</v>
      </c>
      <c r="H1288">
        <v>612.1</v>
      </c>
      <c r="I1288">
        <v>118527</v>
      </c>
      <c r="J1288">
        <v>73164165.349999994</v>
      </c>
      <c r="K1288" s="1">
        <v>43777</v>
      </c>
      <c r="L1288">
        <v>3970</v>
      </c>
      <c r="M1288" t="s">
        <v>3834</v>
      </c>
    </row>
    <row r="1289" spans="1:13" x14ac:dyDescent="0.25">
      <c r="A1289" t="s">
        <v>7306</v>
      </c>
      <c r="B1289" t="s">
        <v>10</v>
      </c>
      <c r="C1289">
        <v>6.85</v>
      </c>
      <c r="D1289">
        <v>6.85</v>
      </c>
      <c r="E1289">
        <v>6.85</v>
      </c>
      <c r="F1289">
        <v>6.85</v>
      </c>
      <c r="G1289">
        <v>6.85</v>
      </c>
      <c r="H1289">
        <v>6.85</v>
      </c>
      <c r="I1289">
        <v>164</v>
      </c>
      <c r="J1289">
        <v>1123.4000000000001</v>
      </c>
      <c r="K1289" s="1">
        <v>43777</v>
      </c>
      <c r="L1289">
        <v>4</v>
      </c>
      <c r="M1289" t="s">
        <v>7305</v>
      </c>
    </row>
    <row r="1290" spans="1:13" x14ac:dyDescent="0.25">
      <c r="A1290" t="s">
        <v>3835</v>
      </c>
      <c r="B1290" t="s">
        <v>14</v>
      </c>
      <c r="C1290">
        <v>284.89999999999998</v>
      </c>
      <c r="D1290">
        <v>286.3</v>
      </c>
      <c r="E1290">
        <v>282.64999999999998</v>
      </c>
      <c r="F1290">
        <v>283.39999999999998</v>
      </c>
      <c r="G1290">
        <v>283.25</v>
      </c>
      <c r="H1290">
        <v>284.64999999999998</v>
      </c>
      <c r="I1290">
        <v>1710718</v>
      </c>
      <c r="J1290">
        <v>485767242.85000002</v>
      </c>
      <c r="K1290" s="1">
        <v>43777</v>
      </c>
      <c r="L1290">
        <v>19279</v>
      </c>
      <c r="M1290" t="s">
        <v>3837</v>
      </c>
    </row>
    <row r="1291" spans="1:13" x14ac:dyDescent="0.25">
      <c r="A1291" t="s">
        <v>3838</v>
      </c>
      <c r="B1291" t="s">
        <v>14</v>
      </c>
      <c r="C1291">
        <v>113.55</v>
      </c>
      <c r="D1291">
        <v>113.9</v>
      </c>
      <c r="E1291">
        <v>110.65</v>
      </c>
      <c r="F1291">
        <v>111.05</v>
      </c>
      <c r="G1291">
        <v>111</v>
      </c>
      <c r="H1291">
        <v>113.35</v>
      </c>
      <c r="I1291">
        <v>4512934</v>
      </c>
      <c r="J1291">
        <v>505288353.75</v>
      </c>
      <c r="K1291" s="1">
        <v>43777</v>
      </c>
      <c r="L1291">
        <v>13551</v>
      </c>
      <c r="M1291" t="s">
        <v>3840</v>
      </c>
    </row>
    <row r="1292" spans="1:13" x14ac:dyDescent="0.25">
      <c r="A1292" t="s">
        <v>3838</v>
      </c>
      <c r="B1292" t="s">
        <v>6210</v>
      </c>
      <c r="C1292">
        <v>1059</v>
      </c>
      <c r="D1292">
        <v>1060</v>
      </c>
      <c r="E1292">
        <v>1056.01</v>
      </c>
      <c r="F1292">
        <v>1057.07</v>
      </c>
      <c r="G1292">
        <v>1056.01</v>
      </c>
      <c r="H1292">
        <v>1059</v>
      </c>
      <c r="I1292">
        <v>1219</v>
      </c>
      <c r="J1292">
        <v>1289862.2</v>
      </c>
      <c r="K1292" s="1">
        <v>43777</v>
      </c>
      <c r="L1292">
        <v>8</v>
      </c>
      <c r="M1292" t="s">
        <v>7304</v>
      </c>
    </row>
    <row r="1293" spans="1:13" x14ac:dyDescent="0.25">
      <c r="A1293" t="s">
        <v>3838</v>
      </c>
      <c r="B1293" t="s">
        <v>6174</v>
      </c>
      <c r="C1293">
        <v>1152.2</v>
      </c>
      <c r="D1293">
        <v>1152.7</v>
      </c>
      <c r="E1293">
        <v>1152</v>
      </c>
      <c r="F1293">
        <v>1152.1400000000001</v>
      </c>
      <c r="G1293">
        <v>1152</v>
      </c>
      <c r="H1293">
        <v>1159.9000000000001</v>
      </c>
      <c r="I1293">
        <v>675</v>
      </c>
      <c r="J1293">
        <v>777701</v>
      </c>
      <c r="K1293" s="1">
        <v>43777</v>
      </c>
      <c r="L1293">
        <v>8</v>
      </c>
      <c r="M1293" t="s">
        <v>6173</v>
      </c>
    </row>
    <row r="1294" spans="1:13" x14ac:dyDescent="0.25">
      <c r="A1294" t="s">
        <v>3838</v>
      </c>
      <c r="B1294" t="s">
        <v>5874</v>
      </c>
      <c r="C1294">
        <v>1312.99</v>
      </c>
      <c r="D1294">
        <v>1317.99</v>
      </c>
      <c r="E1294">
        <v>1312.3</v>
      </c>
      <c r="F1294">
        <v>1314.74</v>
      </c>
      <c r="G1294">
        <v>1315</v>
      </c>
      <c r="H1294">
        <v>1309.99</v>
      </c>
      <c r="I1294">
        <v>835</v>
      </c>
      <c r="J1294">
        <v>1098338.5</v>
      </c>
      <c r="K1294" s="1">
        <v>43777</v>
      </c>
      <c r="L1294">
        <v>10</v>
      </c>
      <c r="M1294" t="s">
        <v>7303</v>
      </c>
    </row>
    <row r="1295" spans="1:13" x14ac:dyDescent="0.25">
      <c r="A1295" t="s">
        <v>3841</v>
      </c>
      <c r="B1295" t="s">
        <v>14</v>
      </c>
      <c r="C1295">
        <v>4039.8</v>
      </c>
      <c r="D1295">
        <v>4074.65</v>
      </c>
      <c r="E1295">
        <v>3996.55</v>
      </c>
      <c r="F1295">
        <v>4025.2</v>
      </c>
      <c r="G1295">
        <v>4025.3</v>
      </c>
      <c r="H1295">
        <v>4037.45</v>
      </c>
      <c r="I1295">
        <v>21710</v>
      </c>
      <c r="J1295">
        <v>87281556.049999997</v>
      </c>
      <c r="K1295" s="1">
        <v>43777</v>
      </c>
      <c r="L1295">
        <v>2814</v>
      </c>
      <c r="M1295" t="s">
        <v>3843</v>
      </c>
    </row>
    <row r="1296" spans="1:13" x14ac:dyDescent="0.25">
      <c r="A1296" t="s">
        <v>3844</v>
      </c>
      <c r="B1296" t="s">
        <v>14</v>
      </c>
      <c r="C1296">
        <v>79.95</v>
      </c>
      <c r="D1296">
        <v>85.5</v>
      </c>
      <c r="E1296">
        <v>75.2</v>
      </c>
      <c r="F1296">
        <v>84.15</v>
      </c>
      <c r="G1296">
        <v>83</v>
      </c>
      <c r="H1296">
        <v>80.400000000000006</v>
      </c>
      <c r="I1296">
        <v>683603</v>
      </c>
      <c r="J1296">
        <v>56532071.100000001</v>
      </c>
      <c r="K1296" s="1">
        <v>43777</v>
      </c>
      <c r="L1296">
        <v>5266</v>
      </c>
      <c r="M1296" t="s">
        <v>3846</v>
      </c>
    </row>
    <row r="1297" spans="1:13" x14ac:dyDescent="0.25">
      <c r="A1297" t="s">
        <v>3847</v>
      </c>
      <c r="B1297" t="s">
        <v>14</v>
      </c>
      <c r="C1297">
        <v>13.15</v>
      </c>
      <c r="D1297">
        <v>13.55</v>
      </c>
      <c r="E1297">
        <v>13.05</v>
      </c>
      <c r="F1297">
        <v>13.15</v>
      </c>
      <c r="G1297">
        <v>13.15</v>
      </c>
      <c r="H1297">
        <v>13.2</v>
      </c>
      <c r="I1297">
        <v>385155</v>
      </c>
      <c r="J1297">
        <v>5106730.55</v>
      </c>
      <c r="K1297" s="1">
        <v>43777</v>
      </c>
      <c r="L1297">
        <v>857</v>
      </c>
      <c r="M1297" t="s">
        <v>3849</v>
      </c>
    </row>
    <row r="1298" spans="1:13" x14ac:dyDescent="0.25">
      <c r="A1298" t="s">
        <v>3850</v>
      </c>
      <c r="B1298" t="s">
        <v>14</v>
      </c>
      <c r="C1298">
        <v>40.65</v>
      </c>
      <c r="D1298">
        <v>40.950000000000003</v>
      </c>
      <c r="E1298">
        <v>39.1</v>
      </c>
      <c r="F1298">
        <v>39.35</v>
      </c>
      <c r="G1298">
        <v>39.5</v>
      </c>
      <c r="H1298">
        <v>40.049999999999997</v>
      </c>
      <c r="I1298">
        <v>47234</v>
      </c>
      <c r="J1298">
        <v>1888605.8</v>
      </c>
      <c r="K1298" s="1">
        <v>43777</v>
      </c>
      <c r="L1298">
        <v>472</v>
      </c>
      <c r="M1298" t="s">
        <v>3852</v>
      </c>
    </row>
    <row r="1299" spans="1:13" x14ac:dyDescent="0.25">
      <c r="A1299" t="s">
        <v>3853</v>
      </c>
      <c r="B1299" t="s">
        <v>14</v>
      </c>
      <c r="C1299">
        <v>11666</v>
      </c>
      <c r="D1299">
        <v>11713.5</v>
      </c>
      <c r="E1299">
        <v>11309</v>
      </c>
      <c r="F1299">
        <v>11379.9</v>
      </c>
      <c r="G1299">
        <v>11330</v>
      </c>
      <c r="H1299">
        <v>11639.7</v>
      </c>
      <c r="I1299">
        <v>3063</v>
      </c>
      <c r="J1299">
        <v>35204557.950000003</v>
      </c>
      <c r="K1299" s="1">
        <v>43777</v>
      </c>
      <c r="L1299">
        <v>1286</v>
      </c>
      <c r="M1299" t="s">
        <v>3855</v>
      </c>
    </row>
    <row r="1300" spans="1:13" x14ac:dyDescent="0.25">
      <c r="A1300" t="s">
        <v>3856</v>
      </c>
      <c r="B1300" t="s">
        <v>14</v>
      </c>
      <c r="C1300">
        <v>4545.1499999999996</v>
      </c>
      <c r="D1300">
        <v>4549.8500000000004</v>
      </c>
      <c r="E1300">
        <v>4350</v>
      </c>
      <c r="F1300">
        <v>4357.8500000000004</v>
      </c>
      <c r="G1300">
        <v>4359</v>
      </c>
      <c r="H1300">
        <v>4655.1499999999996</v>
      </c>
      <c r="I1300">
        <v>56166</v>
      </c>
      <c r="J1300">
        <v>246838597.5</v>
      </c>
      <c r="K1300" s="1">
        <v>43777</v>
      </c>
      <c r="L1300">
        <v>10149</v>
      </c>
      <c r="M1300" t="s">
        <v>3858</v>
      </c>
    </row>
    <row r="1301" spans="1:13" x14ac:dyDescent="0.25">
      <c r="A1301" t="s">
        <v>3859</v>
      </c>
      <c r="B1301" t="s">
        <v>14</v>
      </c>
      <c r="C1301">
        <v>179</v>
      </c>
      <c r="D1301">
        <v>189.4</v>
      </c>
      <c r="E1301">
        <v>176.6</v>
      </c>
      <c r="F1301">
        <v>181.8</v>
      </c>
      <c r="G1301">
        <v>183.1</v>
      </c>
      <c r="H1301">
        <v>174.9</v>
      </c>
      <c r="I1301">
        <v>69753</v>
      </c>
      <c r="J1301">
        <v>12882070.699999999</v>
      </c>
      <c r="K1301" s="1">
        <v>43777</v>
      </c>
      <c r="L1301">
        <v>568</v>
      </c>
      <c r="M1301" t="s">
        <v>3861</v>
      </c>
    </row>
    <row r="1302" spans="1:13" x14ac:dyDescent="0.25">
      <c r="A1302" t="s">
        <v>7302</v>
      </c>
      <c r="B1302" t="s">
        <v>14</v>
      </c>
      <c r="C1302">
        <v>126.55</v>
      </c>
      <c r="D1302">
        <v>129</v>
      </c>
      <c r="E1302">
        <v>123.55</v>
      </c>
      <c r="F1302">
        <v>124.3</v>
      </c>
      <c r="G1302">
        <v>123.9</v>
      </c>
      <c r="H1302">
        <v>126.85</v>
      </c>
      <c r="I1302">
        <v>1088750</v>
      </c>
      <c r="J1302">
        <v>137976362.34999999</v>
      </c>
      <c r="K1302" s="1">
        <v>43777</v>
      </c>
      <c r="L1302">
        <v>12544</v>
      </c>
      <c r="M1302" t="s">
        <v>7301</v>
      </c>
    </row>
    <row r="1303" spans="1:13" x14ac:dyDescent="0.25">
      <c r="A1303" t="s">
        <v>3862</v>
      </c>
      <c r="B1303" t="s">
        <v>14</v>
      </c>
      <c r="C1303">
        <v>721</v>
      </c>
      <c r="D1303">
        <v>750</v>
      </c>
      <c r="E1303">
        <v>715</v>
      </c>
      <c r="F1303">
        <v>731.75</v>
      </c>
      <c r="G1303">
        <v>734</v>
      </c>
      <c r="H1303">
        <v>715.55</v>
      </c>
      <c r="I1303">
        <v>45640</v>
      </c>
      <c r="J1303">
        <v>33518118.699999999</v>
      </c>
      <c r="K1303" s="1">
        <v>43777</v>
      </c>
      <c r="L1303">
        <v>3821</v>
      </c>
      <c r="M1303" t="s">
        <v>3864</v>
      </c>
    </row>
    <row r="1304" spans="1:13" x14ac:dyDescent="0.25">
      <c r="A1304" t="s">
        <v>3865</v>
      </c>
      <c r="B1304" t="s">
        <v>14</v>
      </c>
      <c r="C1304">
        <v>1382.1</v>
      </c>
      <c r="D1304">
        <v>1388.7</v>
      </c>
      <c r="E1304">
        <v>1345.5</v>
      </c>
      <c r="F1304">
        <v>1354.15</v>
      </c>
      <c r="G1304">
        <v>1349.85</v>
      </c>
      <c r="H1304">
        <v>1382.6</v>
      </c>
      <c r="I1304">
        <v>422960</v>
      </c>
      <c r="J1304">
        <v>578024802.20000005</v>
      </c>
      <c r="K1304" s="1">
        <v>43777</v>
      </c>
      <c r="L1304">
        <v>17227</v>
      </c>
      <c r="M1304" t="s">
        <v>3867</v>
      </c>
    </row>
    <row r="1305" spans="1:13" x14ac:dyDescent="0.25">
      <c r="A1305" t="s">
        <v>3871</v>
      </c>
      <c r="B1305" t="s">
        <v>14</v>
      </c>
      <c r="C1305">
        <v>1395</v>
      </c>
      <c r="D1305">
        <v>1415</v>
      </c>
      <c r="E1305">
        <v>1389.05</v>
      </c>
      <c r="F1305">
        <v>1400.25</v>
      </c>
      <c r="G1305">
        <v>1400</v>
      </c>
      <c r="H1305">
        <v>1396.05</v>
      </c>
      <c r="I1305">
        <v>71407</v>
      </c>
      <c r="J1305">
        <v>100203916.95</v>
      </c>
      <c r="K1305" s="1">
        <v>43777</v>
      </c>
      <c r="L1305">
        <v>6157</v>
      </c>
      <c r="M1305" t="s">
        <v>3873</v>
      </c>
    </row>
    <row r="1306" spans="1:13" x14ac:dyDescent="0.25">
      <c r="A1306" t="s">
        <v>3874</v>
      </c>
      <c r="B1306" t="s">
        <v>14</v>
      </c>
      <c r="C1306">
        <v>1799.95</v>
      </c>
      <c r="D1306">
        <v>1799.95</v>
      </c>
      <c r="E1306">
        <v>1781</v>
      </c>
      <c r="F1306">
        <v>1792.7</v>
      </c>
      <c r="G1306">
        <v>1785</v>
      </c>
      <c r="H1306">
        <v>1795.7</v>
      </c>
      <c r="I1306">
        <v>10516</v>
      </c>
      <c r="J1306">
        <v>18828971</v>
      </c>
      <c r="K1306" s="1">
        <v>43777</v>
      </c>
      <c r="L1306">
        <v>107</v>
      </c>
      <c r="M1306" t="s">
        <v>3876</v>
      </c>
    </row>
    <row r="1307" spans="1:13" x14ac:dyDescent="0.25">
      <c r="A1307" t="s">
        <v>3877</v>
      </c>
      <c r="B1307" t="s">
        <v>14</v>
      </c>
      <c r="C1307">
        <v>5.95</v>
      </c>
      <c r="D1307">
        <v>5.95</v>
      </c>
      <c r="E1307">
        <v>5.6</v>
      </c>
      <c r="F1307">
        <v>5.6</v>
      </c>
      <c r="G1307">
        <v>5.7</v>
      </c>
      <c r="H1307">
        <v>5.8</v>
      </c>
      <c r="I1307">
        <v>95428</v>
      </c>
      <c r="J1307">
        <v>543152.94999999995</v>
      </c>
      <c r="K1307" s="1">
        <v>43777</v>
      </c>
      <c r="L1307">
        <v>87</v>
      </c>
      <c r="M1307" t="s">
        <v>3879</v>
      </c>
    </row>
    <row r="1308" spans="1:13" x14ac:dyDescent="0.25">
      <c r="A1308" t="s">
        <v>7300</v>
      </c>
      <c r="B1308" t="s">
        <v>14</v>
      </c>
      <c r="C1308">
        <v>140.5</v>
      </c>
      <c r="D1308">
        <v>144.4</v>
      </c>
      <c r="E1308">
        <v>138.5</v>
      </c>
      <c r="F1308">
        <v>139.65</v>
      </c>
      <c r="G1308">
        <v>140</v>
      </c>
      <c r="H1308">
        <v>140.9</v>
      </c>
      <c r="I1308">
        <v>10813</v>
      </c>
      <c r="J1308">
        <v>1535516.85</v>
      </c>
      <c r="K1308" s="1">
        <v>43777</v>
      </c>
      <c r="L1308">
        <v>345</v>
      </c>
      <c r="M1308" t="s">
        <v>7299</v>
      </c>
    </row>
    <row r="1309" spans="1:13" x14ac:dyDescent="0.25">
      <c r="A1309" t="s">
        <v>3880</v>
      </c>
      <c r="B1309" t="s">
        <v>14</v>
      </c>
      <c r="C1309">
        <v>28</v>
      </c>
      <c r="D1309">
        <v>28.4</v>
      </c>
      <c r="E1309">
        <v>25.75</v>
      </c>
      <c r="F1309">
        <v>27.45</v>
      </c>
      <c r="G1309">
        <v>27.5</v>
      </c>
      <c r="H1309">
        <v>27.95</v>
      </c>
      <c r="I1309">
        <v>6514</v>
      </c>
      <c r="J1309">
        <v>178471.65</v>
      </c>
      <c r="K1309" s="1">
        <v>43777</v>
      </c>
      <c r="L1309">
        <v>400</v>
      </c>
      <c r="M1309" t="s">
        <v>3882</v>
      </c>
    </row>
    <row r="1310" spans="1:13" x14ac:dyDescent="0.25">
      <c r="A1310" t="s">
        <v>7298</v>
      </c>
      <c r="B1310" t="s">
        <v>10</v>
      </c>
      <c r="C1310">
        <v>24.4</v>
      </c>
      <c r="D1310">
        <v>24.4</v>
      </c>
      <c r="E1310">
        <v>23.55</v>
      </c>
      <c r="F1310">
        <v>24.4</v>
      </c>
      <c r="G1310">
        <v>24.4</v>
      </c>
      <c r="H1310">
        <v>23.25</v>
      </c>
      <c r="I1310">
        <v>4739</v>
      </c>
      <c r="J1310">
        <v>115465.60000000001</v>
      </c>
      <c r="K1310" s="1">
        <v>43777</v>
      </c>
      <c r="L1310">
        <v>20</v>
      </c>
      <c r="M1310" t="s">
        <v>7297</v>
      </c>
    </row>
    <row r="1311" spans="1:13" x14ac:dyDescent="0.25">
      <c r="A1311" t="s">
        <v>3883</v>
      </c>
      <c r="B1311" t="s">
        <v>14</v>
      </c>
      <c r="C1311">
        <v>42.3</v>
      </c>
      <c r="D1311">
        <v>43.45</v>
      </c>
      <c r="E1311">
        <v>38.65</v>
      </c>
      <c r="F1311">
        <v>40.200000000000003</v>
      </c>
      <c r="G1311">
        <v>40.9</v>
      </c>
      <c r="H1311">
        <v>42.45</v>
      </c>
      <c r="I1311">
        <v>78217</v>
      </c>
      <c r="J1311">
        <v>3237360.2</v>
      </c>
      <c r="K1311" s="1">
        <v>43777</v>
      </c>
      <c r="L1311">
        <v>1736</v>
      </c>
      <c r="M1311" t="s">
        <v>3885</v>
      </c>
    </row>
    <row r="1312" spans="1:13" x14ac:dyDescent="0.25">
      <c r="A1312" t="s">
        <v>3892</v>
      </c>
      <c r="B1312" t="s">
        <v>14</v>
      </c>
      <c r="C1312">
        <v>175</v>
      </c>
      <c r="D1312">
        <v>181.95</v>
      </c>
      <c r="E1312">
        <v>172.35</v>
      </c>
      <c r="F1312">
        <v>176.9</v>
      </c>
      <c r="G1312">
        <v>178.15</v>
      </c>
      <c r="H1312">
        <v>170.4</v>
      </c>
      <c r="I1312">
        <v>8094</v>
      </c>
      <c r="J1312">
        <v>1435867.55</v>
      </c>
      <c r="K1312" s="1">
        <v>43777</v>
      </c>
      <c r="L1312">
        <v>342</v>
      </c>
      <c r="M1312" t="s">
        <v>3894</v>
      </c>
    </row>
    <row r="1313" spans="1:13" x14ac:dyDescent="0.25">
      <c r="A1313" t="s">
        <v>3898</v>
      </c>
      <c r="B1313" t="s">
        <v>14</v>
      </c>
      <c r="C1313">
        <v>61.85</v>
      </c>
      <c r="D1313">
        <v>62.6</v>
      </c>
      <c r="E1313">
        <v>61.1</v>
      </c>
      <c r="F1313">
        <v>61.45</v>
      </c>
      <c r="G1313">
        <v>61.4</v>
      </c>
      <c r="H1313">
        <v>61.95</v>
      </c>
      <c r="I1313">
        <v>18136704</v>
      </c>
      <c r="J1313">
        <v>1123302418.3499999</v>
      </c>
      <c r="K1313" s="1">
        <v>43777</v>
      </c>
      <c r="L1313">
        <v>45537</v>
      </c>
      <c r="M1313" t="s">
        <v>3900</v>
      </c>
    </row>
    <row r="1314" spans="1:13" x14ac:dyDescent="0.25">
      <c r="A1314" t="s">
        <v>3901</v>
      </c>
      <c r="B1314" t="s">
        <v>14</v>
      </c>
      <c r="C1314">
        <v>28.5</v>
      </c>
      <c r="D1314">
        <v>28.95</v>
      </c>
      <c r="E1314">
        <v>28.25</v>
      </c>
      <c r="F1314">
        <v>28.45</v>
      </c>
      <c r="G1314">
        <v>28.4</v>
      </c>
      <c r="H1314">
        <v>28.6</v>
      </c>
      <c r="I1314">
        <v>94466</v>
      </c>
      <c r="J1314">
        <v>2701790.6</v>
      </c>
      <c r="K1314" s="1">
        <v>43777</v>
      </c>
      <c r="L1314">
        <v>378</v>
      </c>
      <c r="M1314" t="s">
        <v>3903</v>
      </c>
    </row>
    <row r="1315" spans="1:13" x14ac:dyDescent="0.25">
      <c r="A1315" t="s">
        <v>3904</v>
      </c>
      <c r="B1315" t="s">
        <v>14</v>
      </c>
      <c r="C1315">
        <v>584.25</v>
      </c>
      <c r="D1315">
        <v>585.75</v>
      </c>
      <c r="E1315">
        <v>558.25</v>
      </c>
      <c r="F1315">
        <v>570.5</v>
      </c>
      <c r="G1315">
        <v>574.79999999999995</v>
      </c>
      <c r="H1315">
        <v>580.70000000000005</v>
      </c>
      <c r="I1315">
        <v>636469</v>
      </c>
      <c r="J1315">
        <v>367237789.80000001</v>
      </c>
      <c r="K1315" s="1">
        <v>43777</v>
      </c>
      <c r="L1315">
        <v>20676</v>
      </c>
      <c r="M1315" t="s">
        <v>3906</v>
      </c>
    </row>
    <row r="1316" spans="1:13" x14ac:dyDescent="0.25">
      <c r="A1316" t="s">
        <v>3907</v>
      </c>
      <c r="B1316" t="s">
        <v>14</v>
      </c>
      <c r="C1316">
        <v>14.5</v>
      </c>
      <c r="D1316">
        <v>14.55</v>
      </c>
      <c r="E1316">
        <v>13.6</v>
      </c>
      <c r="F1316">
        <v>13.95</v>
      </c>
      <c r="G1316">
        <v>13.95</v>
      </c>
      <c r="H1316">
        <v>14.7</v>
      </c>
      <c r="I1316">
        <v>10618</v>
      </c>
      <c r="J1316">
        <v>148194.5</v>
      </c>
      <c r="K1316" s="1">
        <v>43777</v>
      </c>
      <c r="L1316">
        <v>166</v>
      </c>
      <c r="M1316" t="s">
        <v>3909</v>
      </c>
    </row>
    <row r="1317" spans="1:13" x14ac:dyDescent="0.25">
      <c r="A1317" t="s">
        <v>3910</v>
      </c>
      <c r="B1317" t="s">
        <v>14</v>
      </c>
      <c r="C1317">
        <v>177.9</v>
      </c>
      <c r="D1317">
        <v>179.9</v>
      </c>
      <c r="E1317">
        <v>173.5</v>
      </c>
      <c r="F1317">
        <v>174.75</v>
      </c>
      <c r="G1317">
        <v>173.9</v>
      </c>
      <c r="H1317">
        <v>174.85</v>
      </c>
      <c r="I1317">
        <v>137804</v>
      </c>
      <c r="J1317">
        <v>24177972.649999999</v>
      </c>
      <c r="K1317" s="1">
        <v>43777</v>
      </c>
      <c r="L1317">
        <v>3040</v>
      </c>
      <c r="M1317" t="s">
        <v>3912</v>
      </c>
    </row>
    <row r="1318" spans="1:13" x14ac:dyDescent="0.25">
      <c r="A1318" t="s">
        <v>3916</v>
      </c>
      <c r="B1318" t="s">
        <v>10</v>
      </c>
      <c r="C1318">
        <v>372</v>
      </c>
      <c r="D1318">
        <v>390</v>
      </c>
      <c r="E1318">
        <v>372</v>
      </c>
      <c r="F1318">
        <v>373</v>
      </c>
      <c r="G1318">
        <v>373</v>
      </c>
      <c r="H1318">
        <v>372</v>
      </c>
      <c r="I1318">
        <v>59</v>
      </c>
      <c r="J1318">
        <v>22156.2</v>
      </c>
      <c r="K1318" s="1">
        <v>43777</v>
      </c>
      <c r="L1318">
        <v>7</v>
      </c>
      <c r="M1318" t="s">
        <v>3918</v>
      </c>
    </row>
    <row r="1319" spans="1:13" x14ac:dyDescent="0.25">
      <c r="A1319" t="s">
        <v>3919</v>
      </c>
      <c r="B1319" t="s">
        <v>14</v>
      </c>
      <c r="C1319">
        <v>184.95</v>
      </c>
      <c r="D1319">
        <v>192.9</v>
      </c>
      <c r="E1319">
        <v>181.6</v>
      </c>
      <c r="F1319">
        <v>184.15</v>
      </c>
      <c r="G1319">
        <v>182</v>
      </c>
      <c r="H1319">
        <v>181.8</v>
      </c>
      <c r="I1319">
        <v>9182</v>
      </c>
      <c r="J1319">
        <v>1725032.5</v>
      </c>
      <c r="K1319" s="1">
        <v>43777</v>
      </c>
      <c r="L1319">
        <v>405</v>
      </c>
      <c r="M1319" t="s">
        <v>3921</v>
      </c>
    </row>
    <row r="1320" spans="1:13" x14ac:dyDescent="0.25">
      <c r="A1320" t="s">
        <v>3922</v>
      </c>
      <c r="B1320" t="s">
        <v>14</v>
      </c>
      <c r="C1320">
        <v>169.05</v>
      </c>
      <c r="D1320">
        <v>170.95</v>
      </c>
      <c r="E1320">
        <v>165.6</v>
      </c>
      <c r="F1320">
        <v>168.6</v>
      </c>
      <c r="G1320">
        <v>170.95</v>
      </c>
      <c r="H1320">
        <v>169.8</v>
      </c>
      <c r="I1320">
        <v>17383</v>
      </c>
      <c r="J1320">
        <v>2918076.6</v>
      </c>
      <c r="K1320" s="1">
        <v>43777</v>
      </c>
      <c r="L1320">
        <v>481</v>
      </c>
      <c r="M1320" t="s">
        <v>3924</v>
      </c>
    </row>
    <row r="1321" spans="1:13" x14ac:dyDescent="0.25">
      <c r="A1321" t="s">
        <v>3928</v>
      </c>
      <c r="B1321" t="s">
        <v>14</v>
      </c>
      <c r="C1321">
        <v>861</v>
      </c>
      <c r="D1321">
        <v>918</v>
      </c>
      <c r="E1321">
        <v>861</v>
      </c>
      <c r="F1321">
        <v>889.35</v>
      </c>
      <c r="G1321">
        <v>894</v>
      </c>
      <c r="H1321">
        <v>853.35</v>
      </c>
      <c r="I1321">
        <v>555841</v>
      </c>
      <c r="J1321">
        <v>496384425.5</v>
      </c>
      <c r="K1321" s="1">
        <v>43777</v>
      </c>
      <c r="L1321">
        <v>30611</v>
      </c>
      <c r="M1321" t="s">
        <v>3930</v>
      </c>
    </row>
    <row r="1322" spans="1:13" x14ac:dyDescent="0.25">
      <c r="A1322" t="s">
        <v>3931</v>
      </c>
      <c r="B1322" t="s">
        <v>14</v>
      </c>
      <c r="C1322">
        <v>207</v>
      </c>
      <c r="D1322">
        <v>207</v>
      </c>
      <c r="E1322">
        <v>198</v>
      </c>
      <c r="F1322">
        <v>200.15</v>
      </c>
      <c r="G1322">
        <v>199</v>
      </c>
      <c r="H1322">
        <v>205</v>
      </c>
      <c r="I1322">
        <v>332886</v>
      </c>
      <c r="J1322">
        <v>67223069.650000006</v>
      </c>
      <c r="K1322" s="1">
        <v>43777</v>
      </c>
      <c r="L1322">
        <v>827</v>
      </c>
      <c r="M1322" t="s">
        <v>3933</v>
      </c>
    </row>
    <row r="1323" spans="1:13" x14ac:dyDescent="0.25">
      <c r="A1323" t="s">
        <v>3934</v>
      </c>
      <c r="B1323" t="s">
        <v>14</v>
      </c>
      <c r="C1323">
        <v>490.05</v>
      </c>
      <c r="D1323">
        <v>509.8</v>
      </c>
      <c r="E1323">
        <v>490.05</v>
      </c>
      <c r="F1323">
        <v>493.2</v>
      </c>
      <c r="G1323">
        <v>492.05</v>
      </c>
      <c r="H1323">
        <v>497.65</v>
      </c>
      <c r="I1323">
        <v>32380</v>
      </c>
      <c r="J1323">
        <v>16202184.85</v>
      </c>
      <c r="K1323" s="1">
        <v>43777</v>
      </c>
      <c r="L1323">
        <v>1360</v>
      </c>
      <c r="M1323" t="s">
        <v>3936</v>
      </c>
    </row>
    <row r="1324" spans="1:13" x14ac:dyDescent="0.25">
      <c r="A1324" t="s">
        <v>3937</v>
      </c>
      <c r="B1324" t="s">
        <v>14</v>
      </c>
      <c r="C1324">
        <v>121.85</v>
      </c>
      <c r="D1324">
        <v>132.85</v>
      </c>
      <c r="E1324">
        <v>119</v>
      </c>
      <c r="F1324">
        <v>123.1</v>
      </c>
      <c r="G1324">
        <v>127</v>
      </c>
      <c r="H1324">
        <v>127.85</v>
      </c>
      <c r="I1324">
        <v>1224</v>
      </c>
      <c r="J1324">
        <v>151427.25</v>
      </c>
      <c r="K1324" s="1">
        <v>43777</v>
      </c>
      <c r="L1324">
        <v>99</v>
      </c>
      <c r="M1324" t="s">
        <v>3939</v>
      </c>
    </row>
    <row r="1325" spans="1:13" x14ac:dyDescent="0.25">
      <c r="A1325" t="s">
        <v>7296</v>
      </c>
      <c r="B1325" t="s">
        <v>5788</v>
      </c>
      <c r="C1325">
        <v>4.9000000000000004</v>
      </c>
      <c r="D1325">
        <v>4.9000000000000004</v>
      </c>
      <c r="E1325">
        <v>4.9000000000000004</v>
      </c>
      <c r="F1325">
        <v>4.9000000000000004</v>
      </c>
      <c r="G1325">
        <v>4.9000000000000004</v>
      </c>
      <c r="H1325">
        <v>4.9000000000000004</v>
      </c>
      <c r="I1325">
        <v>2000</v>
      </c>
      <c r="J1325">
        <v>9800</v>
      </c>
      <c r="K1325" s="1">
        <v>43777</v>
      </c>
      <c r="L1325">
        <v>1</v>
      </c>
      <c r="M1325" t="s">
        <v>7295</v>
      </c>
    </row>
    <row r="1326" spans="1:13" x14ac:dyDescent="0.25">
      <c r="A1326" t="s">
        <v>3943</v>
      </c>
      <c r="B1326" t="s">
        <v>14</v>
      </c>
      <c r="C1326">
        <v>195.25</v>
      </c>
      <c r="D1326">
        <v>195.4</v>
      </c>
      <c r="E1326">
        <v>190.85</v>
      </c>
      <c r="F1326">
        <v>191.65</v>
      </c>
      <c r="G1326">
        <v>191.4</v>
      </c>
      <c r="H1326">
        <v>194.2</v>
      </c>
      <c r="I1326">
        <v>6616268</v>
      </c>
      <c r="J1326">
        <v>1272270619.75</v>
      </c>
      <c r="K1326" s="1">
        <v>43777</v>
      </c>
      <c r="L1326">
        <v>69195</v>
      </c>
      <c r="M1326" t="s">
        <v>3945</v>
      </c>
    </row>
    <row r="1327" spans="1:13" x14ac:dyDescent="0.25">
      <c r="A1327" t="s">
        <v>3949</v>
      </c>
      <c r="B1327" t="s">
        <v>14</v>
      </c>
      <c r="C1327">
        <v>697</v>
      </c>
      <c r="D1327">
        <v>720</v>
      </c>
      <c r="E1327">
        <v>683.6</v>
      </c>
      <c r="F1327">
        <v>702.05</v>
      </c>
      <c r="G1327">
        <v>704</v>
      </c>
      <c r="H1327">
        <v>694.25</v>
      </c>
      <c r="I1327">
        <v>15947</v>
      </c>
      <c r="J1327">
        <v>11186471.199999999</v>
      </c>
      <c r="K1327" s="1">
        <v>43777</v>
      </c>
      <c r="L1327">
        <v>1430</v>
      </c>
      <c r="M1327" t="s">
        <v>3951</v>
      </c>
    </row>
    <row r="1328" spans="1:13" x14ac:dyDescent="0.25">
      <c r="A1328" t="s">
        <v>3952</v>
      </c>
      <c r="B1328" t="s">
        <v>14</v>
      </c>
      <c r="C1328">
        <v>180.75</v>
      </c>
      <c r="D1328">
        <v>183</v>
      </c>
      <c r="E1328">
        <v>175</v>
      </c>
      <c r="F1328">
        <v>177.3</v>
      </c>
      <c r="G1328">
        <v>175</v>
      </c>
      <c r="H1328">
        <v>176.3</v>
      </c>
      <c r="I1328">
        <v>11810</v>
      </c>
      <c r="J1328">
        <v>2109128.6</v>
      </c>
      <c r="K1328" s="1">
        <v>43777</v>
      </c>
      <c r="L1328">
        <v>452</v>
      </c>
      <c r="M1328" t="s">
        <v>3954</v>
      </c>
    </row>
    <row r="1329" spans="1:13" x14ac:dyDescent="0.25">
      <c r="A1329" t="s">
        <v>3955</v>
      </c>
      <c r="B1329" t="s">
        <v>14</v>
      </c>
      <c r="C1329">
        <v>79</v>
      </c>
      <c r="D1329">
        <v>79.95</v>
      </c>
      <c r="E1329">
        <v>78.25</v>
      </c>
      <c r="F1329">
        <v>78.849999999999994</v>
      </c>
      <c r="G1329">
        <v>79.05</v>
      </c>
      <c r="H1329">
        <v>79.95</v>
      </c>
      <c r="I1329">
        <v>27830</v>
      </c>
      <c r="J1329">
        <v>2195015.15</v>
      </c>
      <c r="K1329" s="1">
        <v>43777</v>
      </c>
      <c r="L1329">
        <v>986</v>
      </c>
      <c r="M1329" t="s">
        <v>3957</v>
      </c>
    </row>
    <row r="1330" spans="1:13" x14ac:dyDescent="0.25">
      <c r="A1330" t="s">
        <v>7294</v>
      </c>
      <c r="B1330" t="s">
        <v>14</v>
      </c>
      <c r="C1330">
        <v>85.2</v>
      </c>
      <c r="D1330">
        <v>89.35</v>
      </c>
      <c r="E1330">
        <v>85.2</v>
      </c>
      <c r="F1330">
        <v>88.05</v>
      </c>
      <c r="G1330">
        <v>88</v>
      </c>
      <c r="H1330">
        <v>87.35</v>
      </c>
      <c r="I1330">
        <v>129456</v>
      </c>
      <c r="J1330">
        <v>11352276.449999999</v>
      </c>
      <c r="K1330" s="1">
        <v>43777</v>
      </c>
      <c r="L1330">
        <v>288</v>
      </c>
      <c r="M1330" t="s">
        <v>7293</v>
      </c>
    </row>
    <row r="1331" spans="1:13" x14ac:dyDescent="0.25">
      <c r="A1331" t="s">
        <v>7292</v>
      </c>
      <c r="B1331" t="s">
        <v>10</v>
      </c>
      <c r="C1331">
        <v>0.45</v>
      </c>
      <c r="D1331">
        <v>0.55000000000000004</v>
      </c>
      <c r="E1331">
        <v>0.45</v>
      </c>
      <c r="F1331">
        <v>0.55000000000000004</v>
      </c>
      <c r="G1331">
        <v>0.55000000000000004</v>
      </c>
      <c r="H1331">
        <v>0.5</v>
      </c>
      <c r="I1331">
        <v>1296</v>
      </c>
      <c r="J1331">
        <v>619.29999999999995</v>
      </c>
      <c r="K1331" s="1">
        <v>43777</v>
      </c>
      <c r="L1331">
        <v>8</v>
      </c>
      <c r="M1331" t="s">
        <v>7291</v>
      </c>
    </row>
    <row r="1332" spans="1:13" x14ac:dyDescent="0.25">
      <c r="A1332" t="s">
        <v>3961</v>
      </c>
      <c r="B1332" t="s">
        <v>14</v>
      </c>
      <c r="C1332">
        <v>7.6</v>
      </c>
      <c r="D1332">
        <v>8</v>
      </c>
      <c r="E1332">
        <v>7.35</v>
      </c>
      <c r="F1332">
        <v>7.6</v>
      </c>
      <c r="G1332">
        <v>7.7</v>
      </c>
      <c r="H1332">
        <v>7.7</v>
      </c>
      <c r="I1332">
        <v>21403</v>
      </c>
      <c r="J1332">
        <v>165279.1</v>
      </c>
      <c r="K1332" s="1">
        <v>43777</v>
      </c>
      <c r="L1332">
        <v>89</v>
      </c>
      <c r="M1332" t="s">
        <v>3963</v>
      </c>
    </row>
    <row r="1333" spans="1:13" x14ac:dyDescent="0.25">
      <c r="A1333" t="s">
        <v>3964</v>
      </c>
      <c r="B1333" t="s">
        <v>14</v>
      </c>
      <c r="C1333">
        <v>113.9</v>
      </c>
      <c r="D1333">
        <v>113.9</v>
      </c>
      <c r="E1333">
        <v>110.85</v>
      </c>
      <c r="F1333">
        <v>111.2</v>
      </c>
      <c r="G1333">
        <v>111.3</v>
      </c>
      <c r="H1333">
        <v>113.8</v>
      </c>
      <c r="I1333">
        <v>526080</v>
      </c>
      <c r="J1333">
        <v>59127520.100000001</v>
      </c>
      <c r="K1333" s="1">
        <v>43777</v>
      </c>
      <c r="L1333">
        <v>5454</v>
      </c>
      <c r="M1333" t="s">
        <v>3966</v>
      </c>
    </row>
    <row r="1334" spans="1:13" x14ac:dyDescent="0.25">
      <c r="A1334" t="s">
        <v>3967</v>
      </c>
      <c r="B1334" t="s">
        <v>14</v>
      </c>
      <c r="C1334">
        <v>55.35</v>
      </c>
      <c r="D1334">
        <v>55.8</v>
      </c>
      <c r="E1334">
        <v>51.5</v>
      </c>
      <c r="F1334">
        <v>51.9</v>
      </c>
      <c r="G1334">
        <v>51.75</v>
      </c>
      <c r="H1334">
        <v>55.35</v>
      </c>
      <c r="I1334">
        <v>969316</v>
      </c>
      <c r="J1334">
        <v>51330417.5</v>
      </c>
      <c r="K1334" s="1">
        <v>43777</v>
      </c>
      <c r="L1334">
        <v>11446</v>
      </c>
      <c r="M1334" t="s">
        <v>3969</v>
      </c>
    </row>
    <row r="1335" spans="1:13" x14ac:dyDescent="0.25">
      <c r="A1335" t="s">
        <v>3970</v>
      </c>
      <c r="B1335" t="s">
        <v>14</v>
      </c>
      <c r="C1335">
        <v>0.25</v>
      </c>
      <c r="D1335">
        <v>0.25</v>
      </c>
      <c r="E1335">
        <v>0.2</v>
      </c>
      <c r="F1335">
        <v>0.2</v>
      </c>
      <c r="G1335">
        <v>0.2</v>
      </c>
      <c r="H1335">
        <v>0.2</v>
      </c>
      <c r="I1335">
        <v>13734</v>
      </c>
      <c r="J1335">
        <v>3146.8</v>
      </c>
      <c r="K1335" s="1">
        <v>43777</v>
      </c>
      <c r="L1335">
        <v>11</v>
      </c>
      <c r="M1335" t="s">
        <v>3972</v>
      </c>
    </row>
    <row r="1336" spans="1:13" x14ac:dyDescent="0.25">
      <c r="A1336" t="s">
        <v>3973</v>
      </c>
      <c r="B1336" t="s">
        <v>10</v>
      </c>
      <c r="C1336">
        <v>64</v>
      </c>
      <c r="D1336">
        <v>64.2</v>
      </c>
      <c r="E1336">
        <v>62.5</v>
      </c>
      <c r="F1336">
        <v>64</v>
      </c>
      <c r="G1336">
        <v>64</v>
      </c>
      <c r="H1336">
        <v>65.599999999999994</v>
      </c>
      <c r="I1336">
        <v>1676</v>
      </c>
      <c r="J1336">
        <v>105536.5</v>
      </c>
      <c r="K1336" s="1">
        <v>43777</v>
      </c>
      <c r="L1336">
        <v>35</v>
      </c>
      <c r="M1336" t="s">
        <v>3975</v>
      </c>
    </row>
    <row r="1337" spans="1:13" x14ac:dyDescent="0.25">
      <c r="A1337" t="s">
        <v>3976</v>
      </c>
      <c r="B1337" t="s">
        <v>14</v>
      </c>
      <c r="C1337">
        <v>29.7</v>
      </c>
      <c r="D1337">
        <v>30.5</v>
      </c>
      <c r="E1337">
        <v>28.25</v>
      </c>
      <c r="F1337">
        <v>30.3</v>
      </c>
      <c r="G1337">
        <v>30.5</v>
      </c>
      <c r="H1337">
        <v>29.7</v>
      </c>
      <c r="I1337">
        <v>97870</v>
      </c>
      <c r="J1337">
        <v>2914664.3</v>
      </c>
      <c r="K1337" s="1">
        <v>43777</v>
      </c>
      <c r="L1337">
        <v>666</v>
      </c>
      <c r="M1337" t="s">
        <v>3978</v>
      </c>
    </row>
    <row r="1338" spans="1:13" x14ac:dyDescent="0.25">
      <c r="A1338" t="s">
        <v>3979</v>
      </c>
      <c r="B1338" t="s">
        <v>14</v>
      </c>
      <c r="C1338">
        <v>29.95</v>
      </c>
      <c r="D1338">
        <v>30</v>
      </c>
      <c r="E1338">
        <v>27.3</v>
      </c>
      <c r="F1338">
        <v>29.85</v>
      </c>
      <c r="G1338">
        <v>28.5</v>
      </c>
      <c r="H1338">
        <v>28.05</v>
      </c>
      <c r="I1338">
        <v>1369</v>
      </c>
      <c r="J1338">
        <v>40282.300000000003</v>
      </c>
      <c r="K1338" s="1">
        <v>43777</v>
      </c>
      <c r="L1338">
        <v>21</v>
      </c>
      <c r="M1338" t="s">
        <v>3981</v>
      </c>
    </row>
    <row r="1339" spans="1:13" x14ac:dyDescent="0.25">
      <c r="A1339" t="s">
        <v>3982</v>
      </c>
      <c r="B1339" t="s">
        <v>14</v>
      </c>
      <c r="C1339">
        <v>185.05</v>
      </c>
      <c r="D1339">
        <v>188.15</v>
      </c>
      <c r="E1339">
        <v>180.35</v>
      </c>
      <c r="F1339">
        <v>183.4</v>
      </c>
      <c r="G1339">
        <v>186</v>
      </c>
      <c r="H1339">
        <v>187</v>
      </c>
      <c r="I1339">
        <v>5505</v>
      </c>
      <c r="J1339">
        <v>1016998.35</v>
      </c>
      <c r="K1339" s="1">
        <v>43777</v>
      </c>
      <c r="L1339">
        <v>546</v>
      </c>
      <c r="M1339" t="s">
        <v>7290</v>
      </c>
    </row>
    <row r="1340" spans="1:13" x14ac:dyDescent="0.25">
      <c r="A1340" t="s">
        <v>3985</v>
      </c>
      <c r="B1340" t="s">
        <v>14</v>
      </c>
      <c r="C1340">
        <v>165.3</v>
      </c>
      <c r="D1340">
        <v>175</v>
      </c>
      <c r="E1340">
        <v>165.05</v>
      </c>
      <c r="F1340">
        <v>165.45</v>
      </c>
      <c r="G1340">
        <v>165.05</v>
      </c>
      <c r="H1340">
        <v>167.1</v>
      </c>
      <c r="I1340">
        <v>12508</v>
      </c>
      <c r="J1340">
        <v>2106492.5499999998</v>
      </c>
      <c r="K1340" s="1">
        <v>43777</v>
      </c>
      <c r="L1340">
        <v>292</v>
      </c>
      <c r="M1340" t="s">
        <v>3987</v>
      </c>
    </row>
    <row r="1341" spans="1:13" x14ac:dyDescent="0.25">
      <c r="A1341" t="s">
        <v>7289</v>
      </c>
      <c r="B1341" t="s">
        <v>10</v>
      </c>
      <c r="C1341">
        <v>2.15</v>
      </c>
      <c r="D1341">
        <v>2.15</v>
      </c>
      <c r="E1341">
        <v>2.1</v>
      </c>
      <c r="F1341">
        <v>2.15</v>
      </c>
      <c r="G1341">
        <v>2.15</v>
      </c>
      <c r="H1341">
        <v>2.15</v>
      </c>
      <c r="I1341">
        <v>1803</v>
      </c>
      <c r="J1341">
        <v>3805.2</v>
      </c>
      <c r="K1341" s="1">
        <v>43777</v>
      </c>
      <c r="L1341">
        <v>4</v>
      </c>
      <c r="M1341" t="s">
        <v>7288</v>
      </c>
    </row>
    <row r="1342" spans="1:13" x14ac:dyDescent="0.25">
      <c r="A1342" t="s">
        <v>3988</v>
      </c>
      <c r="B1342" t="s">
        <v>14</v>
      </c>
      <c r="C1342">
        <v>18.2</v>
      </c>
      <c r="D1342">
        <v>18.2</v>
      </c>
      <c r="E1342">
        <v>17.55</v>
      </c>
      <c r="F1342">
        <v>18</v>
      </c>
      <c r="G1342">
        <v>18</v>
      </c>
      <c r="H1342">
        <v>18.149999999999999</v>
      </c>
      <c r="I1342">
        <v>980</v>
      </c>
      <c r="J1342">
        <v>17690.900000000001</v>
      </c>
      <c r="K1342" s="1">
        <v>43777</v>
      </c>
      <c r="L1342">
        <v>25</v>
      </c>
      <c r="M1342" t="s">
        <v>3990</v>
      </c>
    </row>
    <row r="1343" spans="1:13" x14ac:dyDescent="0.25">
      <c r="A1343" t="s">
        <v>7287</v>
      </c>
      <c r="B1343" t="s">
        <v>14</v>
      </c>
      <c r="C1343">
        <v>20.65</v>
      </c>
      <c r="D1343">
        <v>21.7</v>
      </c>
      <c r="E1343">
        <v>20.149999999999999</v>
      </c>
      <c r="F1343">
        <v>21.05</v>
      </c>
      <c r="G1343">
        <v>21.2</v>
      </c>
      <c r="H1343">
        <v>20.95</v>
      </c>
      <c r="I1343">
        <v>3274</v>
      </c>
      <c r="J1343">
        <v>68820.649999999994</v>
      </c>
      <c r="K1343" s="1">
        <v>43777</v>
      </c>
      <c r="L1343">
        <v>60</v>
      </c>
      <c r="M1343" t="s">
        <v>7286</v>
      </c>
    </row>
    <row r="1344" spans="1:13" x14ac:dyDescent="0.25">
      <c r="A1344" t="s">
        <v>3991</v>
      </c>
      <c r="B1344" t="s">
        <v>14</v>
      </c>
      <c r="C1344">
        <v>311</v>
      </c>
      <c r="D1344">
        <v>314.60000000000002</v>
      </c>
      <c r="E1344">
        <v>306</v>
      </c>
      <c r="F1344">
        <v>310.3</v>
      </c>
      <c r="G1344">
        <v>313</v>
      </c>
      <c r="H1344">
        <v>311.8</v>
      </c>
      <c r="I1344">
        <v>252933</v>
      </c>
      <c r="J1344">
        <v>78607886.299999997</v>
      </c>
      <c r="K1344" s="1">
        <v>43777</v>
      </c>
      <c r="L1344">
        <v>4121</v>
      </c>
      <c r="M1344" t="s">
        <v>3993</v>
      </c>
    </row>
    <row r="1345" spans="1:13" x14ac:dyDescent="0.25">
      <c r="A1345" t="s">
        <v>3994</v>
      </c>
      <c r="B1345" t="s">
        <v>14</v>
      </c>
      <c r="C1345">
        <v>34.200000000000003</v>
      </c>
      <c r="D1345">
        <v>34.799999999999997</v>
      </c>
      <c r="E1345">
        <v>33.200000000000003</v>
      </c>
      <c r="F1345">
        <v>33.700000000000003</v>
      </c>
      <c r="G1345">
        <v>33.200000000000003</v>
      </c>
      <c r="H1345">
        <v>34.450000000000003</v>
      </c>
      <c r="I1345">
        <v>43754</v>
      </c>
      <c r="J1345">
        <v>1494674.05</v>
      </c>
      <c r="K1345" s="1">
        <v>43777</v>
      </c>
      <c r="L1345">
        <v>401</v>
      </c>
      <c r="M1345" t="s">
        <v>3996</v>
      </c>
    </row>
    <row r="1346" spans="1:13" x14ac:dyDescent="0.25">
      <c r="A1346" t="s">
        <v>3997</v>
      </c>
      <c r="B1346" t="s">
        <v>14</v>
      </c>
      <c r="C1346">
        <v>47.1</v>
      </c>
      <c r="D1346">
        <v>49.5</v>
      </c>
      <c r="E1346">
        <v>46.25</v>
      </c>
      <c r="F1346">
        <v>48.65</v>
      </c>
      <c r="G1346">
        <v>48.85</v>
      </c>
      <c r="H1346">
        <v>47.3</v>
      </c>
      <c r="I1346">
        <v>33152</v>
      </c>
      <c r="J1346">
        <v>1606023.05</v>
      </c>
      <c r="K1346" s="1">
        <v>43777</v>
      </c>
      <c r="L1346">
        <v>380</v>
      </c>
      <c r="M1346" t="s">
        <v>3999</v>
      </c>
    </row>
    <row r="1347" spans="1:13" x14ac:dyDescent="0.25">
      <c r="A1347" t="s">
        <v>7285</v>
      </c>
      <c r="B1347" t="s">
        <v>10</v>
      </c>
      <c r="C1347">
        <v>0.4</v>
      </c>
      <c r="D1347">
        <v>0.4</v>
      </c>
      <c r="E1347">
        <v>0.3</v>
      </c>
      <c r="F1347">
        <v>0.3</v>
      </c>
      <c r="G1347">
        <v>0.3</v>
      </c>
      <c r="H1347">
        <v>0.35</v>
      </c>
      <c r="I1347">
        <v>90510</v>
      </c>
      <c r="J1347">
        <v>34051.5</v>
      </c>
      <c r="K1347" s="1">
        <v>43777</v>
      </c>
      <c r="L1347">
        <v>69</v>
      </c>
      <c r="M1347" t="s">
        <v>7284</v>
      </c>
    </row>
    <row r="1348" spans="1:13" x14ac:dyDescent="0.25">
      <c r="A1348" t="s">
        <v>7283</v>
      </c>
      <c r="B1348" t="s">
        <v>10</v>
      </c>
      <c r="C1348">
        <v>0.8</v>
      </c>
      <c r="D1348">
        <v>0.8</v>
      </c>
      <c r="E1348">
        <v>0.8</v>
      </c>
      <c r="F1348">
        <v>0.8</v>
      </c>
      <c r="G1348">
        <v>0.8</v>
      </c>
      <c r="H1348">
        <v>0.85</v>
      </c>
      <c r="I1348">
        <v>27728</v>
      </c>
      <c r="J1348">
        <v>22182.400000000001</v>
      </c>
      <c r="K1348" s="1">
        <v>43777</v>
      </c>
      <c r="L1348">
        <v>63</v>
      </c>
      <c r="M1348" t="s">
        <v>7282</v>
      </c>
    </row>
    <row r="1349" spans="1:13" x14ac:dyDescent="0.25">
      <c r="A1349" t="s">
        <v>7281</v>
      </c>
      <c r="B1349" t="s">
        <v>10</v>
      </c>
      <c r="C1349">
        <v>20.75</v>
      </c>
      <c r="D1349">
        <v>21.6</v>
      </c>
      <c r="E1349">
        <v>20</v>
      </c>
      <c r="F1349">
        <v>21.25</v>
      </c>
      <c r="G1349">
        <v>21.4</v>
      </c>
      <c r="H1349">
        <v>21</v>
      </c>
      <c r="I1349">
        <v>9994</v>
      </c>
      <c r="J1349">
        <v>208853.55</v>
      </c>
      <c r="K1349" s="1">
        <v>43777</v>
      </c>
      <c r="L1349">
        <v>56</v>
      </c>
      <c r="M1349" t="s">
        <v>4014</v>
      </c>
    </row>
    <row r="1350" spans="1:13" x14ac:dyDescent="0.25">
      <c r="A1350" t="s">
        <v>4015</v>
      </c>
      <c r="B1350" t="s">
        <v>14</v>
      </c>
      <c r="C1350">
        <v>74.5</v>
      </c>
      <c r="D1350">
        <v>75</v>
      </c>
      <c r="E1350">
        <v>73</v>
      </c>
      <c r="F1350">
        <v>73.2</v>
      </c>
      <c r="G1350">
        <v>73.3</v>
      </c>
      <c r="H1350">
        <v>74.400000000000006</v>
      </c>
      <c r="I1350">
        <v>124182</v>
      </c>
      <c r="J1350">
        <v>9158013.25</v>
      </c>
      <c r="K1350" s="1">
        <v>43777</v>
      </c>
      <c r="L1350">
        <v>1140</v>
      </c>
      <c r="M1350" t="s">
        <v>4017</v>
      </c>
    </row>
    <row r="1351" spans="1:13" x14ac:dyDescent="0.25">
      <c r="A1351" t="s">
        <v>4021</v>
      </c>
      <c r="B1351" t="s">
        <v>14</v>
      </c>
      <c r="C1351">
        <v>19.8</v>
      </c>
      <c r="D1351">
        <v>20</v>
      </c>
      <c r="E1351">
        <v>19.5</v>
      </c>
      <c r="F1351">
        <v>19.600000000000001</v>
      </c>
      <c r="G1351">
        <v>19.649999999999999</v>
      </c>
      <c r="H1351">
        <v>19.8</v>
      </c>
      <c r="I1351">
        <v>57892</v>
      </c>
      <c r="J1351">
        <v>1141572.8</v>
      </c>
      <c r="K1351" s="1">
        <v>43777</v>
      </c>
      <c r="L1351">
        <v>271</v>
      </c>
      <c r="M1351" t="s">
        <v>4023</v>
      </c>
    </row>
    <row r="1352" spans="1:13" x14ac:dyDescent="0.25">
      <c r="A1352" t="s">
        <v>7280</v>
      </c>
      <c r="B1352" t="s">
        <v>14</v>
      </c>
      <c r="C1352">
        <v>0.75</v>
      </c>
      <c r="D1352">
        <v>0.75</v>
      </c>
      <c r="E1352">
        <v>0.65</v>
      </c>
      <c r="F1352">
        <v>0.7</v>
      </c>
      <c r="G1352">
        <v>0.7</v>
      </c>
      <c r="H1352">
        <v>0.7</v>
      </c>
      <c r="I1352">
        <v>1308</v>
      </c>
      <c r="J1352">
        <v>875.65</v>
      </c>
      <c r="K1352" s="1">
        <v>43777</v>
      </c>
      <c r="L1352">
        <v>11</v>
      </c>
      <c r="M1352" t="s">
        <v>7279</v>
      </c>
    </row>
    <row r="1353" spans="1:13" x14ac:dyDescent="0.25">
      <c r="A1353" t="s">
        <v>4024</v>
      </c>
      <c r="B1353" t="s">
        <v>14</v>
      </c>
      <c r="C1353">
        <v>540</v>
      </c>
      <c r="D1353">
        <v>546</v>
      </c>
      <c r="E1353">
        <v>536</v>
      </c>
      <c r="F1353">
        <v>540.20000000000005</v>
      </c>
      <c r="G1353">
        <v>541</v>
      </c>
      <c r="H1353">
        <v>539.70000000000005</v>
      </c>
      <c r="I1353">
        <v>15611</v>
      </c>
      <c r="J1353">
        <v>8431184.9000000004</v>
      </c>
      <c r="K1353" s="1">
        <v>43777</v>
      </c>
      <c r="L1353">
        <v>621</v>
      </c>
      <c r="M1353" t="s">
        <v>4026</v>
      </c>
    </row>
    <row r="1354" spans="1:13" x14ac:dyDescent="0.25">
      <c r="A1354" t="s">
        <v>6149</v>
      </c>
      <c r="B1354" t="s">
        <v>14</v>
      </c>
      <c r="C1354">
        <v>273.2</v>
      </c>
      <c r="D1354">
        <v>273.87</v>
      </c>
      <c r="E1354">
        <v>267.5</v>
      </c>
      <c r="F1354">
        <v>268.11</v>
      </c>
      <c r="G1354">
        <v>269.06</v>
      </c>
      <c r="H1354">
        <v>273.33999999999997</v>
      </c>
      <c r="I1354">
        <v>2772</v>
      </c>
      <c r="J1354">
        <v>750290.57</v>
      </c>
      <c r="K1354" s="1">
        <v>43777</v>
      </c>
      <c r="L1354">
        <v>116</v>
      </c>
      <c r="M1354" t="s">
        <v>7278</v>
      </c>
    </row>
    <row r="1355" spans="1:13" x14ac:dyDescent="0.25">
      <c r="A1355" t="s">
        <v>4027</v>
      </c>
      <c r="B1355" t="s">
        <v>14</v>
      </c>
      <c r="C1355">
        <v>57.6</v>
      </c>
      <c r="D1355">
        <v>58.45</v>
      </c>
      <c r="E1355">
        <v>57.3</v>
      </c>
      <c r="F1355">
        <v>57.6</v>
      </c>
      <c r="G1355">
        <v>58</v>
      </c>
      <c r="H1355">
        <v>58.15</v>
      </c>
      <c r="I1355">
        <v>529165</v>
      </c>
      <c r="J1355">
        <v>30623572.350000001</v>
      </c>
      <c r="K1355" s="1">
        <v>43777</v>
      </c>
      <c r="L1355">
        <v>4304</v>
      </c>
      <c r="M1355" t="s">
        <v>4029</v>
      </c>
    </row>
    <row r="1356" spans="1:13" x14ac:dyDescent="0.25">
      <c r="A1356" t="s">
        <v>4033</v>
      </c>
      <c r="B1356" t="s">
        <v>14</v>
      </c>
      <c r="C1356">
        <v>35.299999999999997</v>
      </c>
      <c r="D1356">
        <v>37.4</v>
      </c>
      <c r="E1356">
        <v>35.299999999999997</v>
      </c>
      <c r="F1356">
        <v>37.1</v>
      </c>
      <c r="G1356">
        <v>37.15</v>
      </c>
      <c r="H1356">
        <v>37.200000000000003</v>
      </c>
      <c r="I1356">
        <v>21754</v>
      </c>
      <c r="J1356">
        <v>794220.7</v>
      </c>
      <c r="K1356" s="1">
        <v>43777</v>
      </c>
      <c r="L1356">
        <v>162</v>
      </c>
      <c r="M1356" t="s">
        <v>7277</v>
      </c>
    </row>
    <row r="1357" spans="1:13" x14ac:dyDescent="0.25">
      <c r="A1357" t="s">
        <v>4036</v>
      </c>
      <c r="B1357" t="s">
        <v>14</v>
      </c>
      <c r="C1357">
        <v>534</v>
      </c>
      <c r="D1357">
        <v>542.85</v>
      </c>
      <c r="E1357">
        <v>524.95000000000005</v>
      </c>
      <c r="F1357">
        <v>528.5</v>
      </c>
      <c r="G1357">
        <v>525</v>
      </c>
      <c r="H1357">
        <v>540</v>
      </c>
      <c r="I1357">
        <v>749</v>
      </c>
      <c r="J1357">
        <v>397498.6</v>
      </c>
      <c r="K1357" s="1">
        <v>43777</v>
      </c>
      <c r="L1357">
        <v>211</v>
      </c>
      <c r="M1357" t="s">
        <v>4038</v>
      </c>
    </row>
    <row r="1358" spans="1:13" x14ac:dyDescent="0.25">
      <c r="A1358" t="s">
        <v>7276</v>
      </c>
      <c r="B1358" t="s">
        <v>786</v>
      </c>
      <c r="C1358">
        <v>1.25</v>
      </c>
      <c r="D1358">
        <v>1.25</v>
      </c>
      <c r="E1358">
        <v>1.25</v>
      </c>
      <c r="F1358">
        <v>1.25</v>
      </c>
      <c r="G1358">
        <v>1.25</v>
      </c>
      <c r="H1358">
        <v>1.2</v>
      </c>
      <c r="I1358">
        <v>228555</v>
      </c>
      <c r="J1358">
        <v>285693.75</v>
      </c>
      <c r="K1358" s="1">
        <v>43777</v>
      </c>
      <c r="L1358">
        <v>109</v>
      </c>
      <c r="M1358" t="s">
        <v>7275</v>
      </c>
    </row>
    <row r="1359" spans="1:13" x14ac:dyDescent="0.25">
      <c r="A1359" t="s">
        <v>4039</v>
      </c>
      <c r="B1359" t="s">
        <v>14</v>
      </c>
      <c r="C1359">
        <v>65.099999999999994</v>
      </c>
      <c r="D1359">
        <v>67</v>
      </c>
      <c r="E1359">
        <v>63.25</v>
      </c>
      <c r="F1359">
        <v>64.05</v>
      </c>
      <c r="G1359">
        <v>63.85</v>
      </c>
      <c r="H1359">
        <v>65.75</v>
      </c>
      <c r="I1359">
        <v>150085</v>
      </c>
      <c r="J1359">
        <v>9834626.9499999993</v>
      </c>
      <c r="K1359" s="1">
        <v>43777</v>
      </c>
      <c r="L1359">
        <v>1369</v>
      </c>
      <c r="M1359" t="s">
        <v>4041</v>
      </c>
    </row>
    <row r="1360" spans="1:13" x14ac:dyDescent="0.25">
      <c r="A1360" t="s">
        <v>7274</v>
      </c>
      <c r="B1360" t="s">
        <v>14</v>
      </c>
      <c r="C1360">
        <v>1743.65</v>
      </c>
      <c r="D1360">
        <v>1784.75</v>
      </c>
      <c r="E1360">
        <v>1743.65</v>
      </c>
      <c r="F1360">
        <v>1759.5</v>
      </c>
      <c r="G1360">
        <v>1756.9</v>
      </c>
      <c r="H1360">
        <v>1758.35</v>
      </c>
      <c r="I1360">
        <v>215429</v>
      </c>
      <c r="J1360">
        <v>380814683.80000001</v>
      </c>
      <c r="K1360" s="1">
        <v>43777</v>
      </c>
      <c r="L1360">
        <v>8706</v>
      </c>
      <c r="M1360" t="s">
        <v>4047</v>
      </c>
    </row>
    <row r="1361" spans="1:13" x14ac:dyDescent="0.25">
      <c r="A1361" t="s">
        <v>6143</v>
      </c>
      <c r="B1361" t="s">
        <v>14</v>
      </c>
      <c r="C1361">
        <v>1677</v>
      </c>
      <c r="D1361">
        <v>1678</v>
      </c>
      <c r="E1361">
        <v>1669</v>
      </c>
      <c r="F1361">
        <v>1670.8</v>
      </c>
      <c r="G1361">
        <v>1670</v>
      </c>
      <c r="H1361">
        <v>1682.55</v>
      </c>
      <c r="I1361">
        <v>466</v>
      </c>
      <c r="J1361">
        <v>779327.9</v>
      </c>
      <c r="K1361" s="1">
        <v>43777</v>
      </c>
      <c r="L1361">
        <v>43</v>
      </c>
      <c r="M1361" t="s">
        <v>7273</v>
      </c>
    </row>
    <row r="1362" spans="1:13" x14ac:dyDescent="0.25">
      <c r="A1362" t="s">
        <v>6139</v>
      </c>
      <c r="B1362" t="s">
        <v>14</v>
      </c>
      <c r="C1362">
        <v>1225.5</v>
      </c>
      <c r="D1362">
        <v>1225.5</v>
      </c>
      <c r="E1362">
        <v>1225.5</v>
      </c>
      <c r="F1362">
        <v>1225.5</v>
      </c>
      <c r="G1362">
        <v>1225.5</v>
      </c>
      <c r="H1362">
        <v>1230</v>
      </c>
      <c r="I1362">
        <v>9</v>
      </c>
      <c r="J1362">
        <v>11029.5</v>
      </c>
      <c r="K1362" s="1">
        <v>43777</v>
      </c>
      <c r="L1362">
        <v>9</v>
      </c>
      <c r="M1362" t="s">
        <v>6138</v>
      </c>
    </row>
    <row r="1363" spans="1:13" x14ac:dyDescent="0.25">
      <c r="A1363" t="s">
        <v>4051</v>
      </c>
      <c r="B1363" t="s">
        <v>14</v>
      </c>
      <c r="C1363">
        <v>514.79999999999995</v>
      </c>
      <c r="D1363">
        <v>533</v>
      </c>
      <c r="E1363">
        <v>510.5</v>
      </c>
      <c r="F1363">
        <v>526.95000000000005</v>
      </c>
      <c r="G1363">
        <v>533</v>
      </c>
      <c r="H1363">
        <v>516.75</v>
      </c>
      <c r="I1363">
        <v>156171</v>
      </c>
      <c r="J1363">
        <v>81853918.200000003</v>
      </c>
      <c r="K1363" s="1">
        <v>43777</v>
      </c>
      <c r="L1363">
        <v>6288</v>
      </c>
      <c r="M1363" t="s">
        <v>4053</v>
      </c>
    </row>
    <row r="1364" spans="1:13" x14ac:dyDescent="0.25">
      <c r="A1364" t="s">
        <v>4054</v>
      </c>
      <c r="B1364" t="s">
        <v>14</v>
      </c>
      <c r="C1364">
        <v>137.6</v>
      </c>
      <c r="D1364">
        <v>146.30000000000001</v>
      </c>
      <c r="E1364">
        <v>137.05000000000001</v>
      </c>
      <c r="F1364">
        <v>139.55000000000001</v>
      </c>
      <c r="G1364">
        <v>139</v>
      </c>
      <c r="H1364">
        <v>139.4</v>
      </c>
      <c r="I1364">
        <v>431098</v>
      </c>
      <c r="J1364">
        <v>61151378.700000003</v>
      </c>
      <c r="K1364" s="1">
        <v>43777</v>
      </c>
      <c r="L1364">
        <v>7424</v>
      </c>
      <c r="M1364" t="s">
        <v>4056</v>
      </c>
    </row>
    <row r="1365" spans="1:13" x14ac:dyDescent="0.25">
      <c r="A1365" t="s">
        <v>4069</v>
      </c>
      <c r="B1365" t="s">
        <v>14</v>
      </c>
      <c r="C1365">
        <v>323.5</v>
      </c>
      <c r="D1365">
        <v>338.4</v>
      </c>
      <c r="E1365">
        <v>320</v>
      </c>
      <c r="F1365">
        <v>330.4</v>
      </c>
      <c r="G1365">
        <v>331.2</v>
      </c>
      <c r="H1365">
        <v>323.89999999999998</v>
      </c>
      <c r="I1365">
        <v>1319733</v>
      </c>
      <c r="J1365">
        <v>438982370.5</v>
      </c>
      <c r="K1365" s="1">
        <v>43777</v>
      </c>
      <c r="L1365">
        <v>33900</v>
      </c>
      <c r="M1365" t="s">
        <v>4071</v>
      </c>
    </row>
    <row r="1366" spans="1:13" x14ac:dyDescent="0.25">
      <c r="A1366" t="s">
        <v>4072</v>
      </c>
      <c r="B1366" t="s">
        <v>14</v>
      </c>
      <c r="C1366">
        <v>30.25</v>
      </c>
      <c r="D1366">
        <v>30.65</v>
      </c>
      <c r="E1366">
        <v>29.1</v>
      </c>
      <c r="F1366">
        <v>29.8</v>
      </c>
      <c r="G1366">
        <v>29.65</v>
      </c>
      <c r="H1366">
        <v>29.2</v>
      </c>
      <c r="I1366">
        <v>83374</v>
      </c>
      <c r="J1366">
        <v>2489349.15</v>
      </c>
      <c r="K1366" s="1">
        <v>43777</v>
      </c>
      <c r="L1366">
        <v>453</v>
      </c>
      <c r="M1366" t="s">
        <v>4074</v>
      </c>
    </row>
    <row r="1367" spans="1:13" x14ac:dyDescent="0.25">
      <c r="A1367" t="s">
        <v>4078</v>
      </c>
      <c r="B1367" t="s">
        <v>14</v>
      </c>
      <c r="C1367">
        <v>103.5</v>
      </c>
      <c r="D1367">
        <v>109.6</v>
      </c>
      <c r="E1367">
        <v>103.1</v>
      </c>
      <c r="F1367">
        <v>103.95</v>
      </c>
      <c r="G1367">
        <v>103.85</v>
      </c>
      <c r="H1367">
        <v>104</v>
      </c>
      <c r="I1367">
        <v>3000537</v>
      </c>
      <c r="J1367">
        <v>319860250.55000001</v>
      </c>
      <c r="K1367" s="1">
        <v>43777</v>
      </c>
      <c r="L1367">
        <v>18492</v>
      </c>
      <c r="M1367" t="s">
        <v>4080</v>
      </c>
    </row>
    <row r="1368" spans="1:13" x14ac:dyDescent="0.25">
      <c r="A1368" t="s">
        <v>4084</v>
      </c>
      <c r="B1368" t="s">
        <v>14</v>
      </c>
      <c r="C1368">
        <v>675</v>
      </c>
      <c r="D1368">
        <v>682.15</v>
      </c>
      <c r="E1368">
        <v>673.5</v>
      </c>
      <c r="F1368">
        <v>674.9</v>
      </c>
      <c r="G1368">
        <v>675.35</v>
      </c>
      <c r="H1368">
        <v>675.5</v>
      </c>
      <c r="I1368">
        <v>120720</v>
      </c>
      <c r="J1368">
        <v>81810929.25</v>
      </c>
      <c r="K1368" s="1">
        <v>43777</v>
      </c>
      <c r="L1368">
        <v>2723</v>
      </c>
      <c r="M1368" t="s">
        <v>4086</v>
      </c>
    </row>
    <row r="1369" spans="1:13" x14ac:dyDescent="0.25">
      <c r="A1369" t="s">
        <v>7272</v>
      </c>
      <c r="B1369" t="s">
        <v>786</v>
      </c>
      <c r="C1369">
        <v>0.05</v>
      </c>
      <c r="D1369">
        <v>0.05</v>
      </c>
      <c r="E1369">
        <v>0.05</v>
      </c>
      <c r="F1369">
        <v>0.05</v>
      </c>
      <c r="G1369">
        <v>0.05</v>
      </c>
      <c r="H1369">
        <v>0.05</v>
      </c>
      <c r="I1369">
        <v>177430</v>
      </c>
      <c r="J1369">
        <v>8871.5</v>
      </c>
      <c r="K1369" s="1">
        <v>43777</v>
      </c>
      <c r="L1369">
        <v>19</v>
      </c>
      <c r="M1369" t="s">
        <v>7271</v>
      </c>
    </row>
    <row r="1370" spans="1:13" x14ac:dyDescent="0.25">
      <c r="A1370" t="s">
        <v>4096</v>
      </c>
      <c r="B1370" t="s">
        <v>14</v>
      </c>
      <c r="C1370">
        <v>17.7</v>
      </c>
      <c r="D1370">
        <v>17.7</v>
      </c>
      <c r="E1370">
        <v>16.8</v>
      </c>
      <c r="F1370">
        <v>17</v>
      </c>
      <c r="G1370">
        <v>17.149999999999999</v>
      </c>
      <c r="H1370">
        <v>17.399999999999999</v>
      </c>
      <c r="I1370">
        <v>5942</v>
      </c>
      <c r="J1370">
        <v>101925.8</v>
      </c>
      <c r="K1370" s="1">
        <v>43777</v>
      </c>
      <c r="L1370">
        <v>65</v>
      </c>
      <c r="M1370" t="s">
        <v>4098</v>
      </c>
    </row>
    <row r="1371" spans="1:13" x14ac:dyDescent="0.25">
      <c r="A1371" t="s">
        <v>4099</v>
      </c>
      <c r="B1371" t="s">
        <v>14</v>
      </c>
      <c r="C1371">
        <v>43.5</v>
      </c>
      <c r="D1371">
        <v>43.5</v>
      </c>
      <c r="E1371">
        <v>40.5</v>
      </c>
      <c r="F1371">
        <v>42.9</v>
      </c>
      <c r="G1371">
        <v>42.9</v>
      </c>
      <c r="H1371">
        <v>42.5</v>
      </c>
      <c r="I1371">
        <v>8593</v>
      </c>
      <c r="J1371">
        <v>367445.15</v>
      </c>
      <c r="K1371" s="1">
        <v>43777</v>
      </c>
      <c r="L1371">
        <v>51</v>
      </c>
      <c r="M1371" t="s">
        <v>4101</v>
      </c>
    </row>
    <row r="1372" spans="1:13" x14ac:dyDescent="0.25">
      <c r="A1372" t="s">
        <v>4102</v>
      </c>
      <c r="B1372" t="s">
        <v>14</v>
      </c>
      <c r="C1372">
        <v>170.55</v>
      </c>
      <c r="D1372">
        <v>172.4</v>
      </c>
      <c r="E1372">
        <v>166.6</v>
      </c>
      <c r="F1372">
        <v>167.35</v>
      </c>
      <c r="G1372">
        <v>167.15</v>
      </c>
      <c r="H1372">
        <v>168</v>
      </c>
      <c r="I1372">
        <v>94019</v>
      </c>
      <c r="J1372">
        <v>15914836.800000001</v>
      </c>
      <c r="K1372" s="1">
        <v>43777</v>
      </c>
      <c r="L1372">
        <v>1830</v>
      </c>
      <c r="M1372" t="s">
        <v>4104</v>
      </c>
    </row>
    <row r="1373" spans="1:13" x14ac:dyDescent="0.25">
      <c r="A1373" t="s">
        <v>4105</v>
      </c>
      <c r="B1373" t="s">
        <v>14</v>
      </c>
      <c r="C1373">
        <v>15.85</v>
      </c>
      <c r="D1373">
        <v>15.85</v>
      </c>
      <c r="E1373">
        <v>15.2</v>
      </c>
      <c r="F1373">
        <v>15.5</v>
      </c>
      <c r="G1373">
        <v>15.4</v>
      </c>
      <c r="H1373">
        <v>15.65</v>
      </c>
      <c r="I1373">
        <v>2864</v>
      </c>
      <c r="J1373">
        <v>44466.85</v>
      </c>
      <c r="K1373" s="1">
        <v>43777</v>
      </c>
      <c r="L1373">
        <v>140</v>
      </c>
      <c r="M1373" t="s">
        <v>4107</v>
      </c>
    </row>
    <row r="1374" spans="1:13" x14ac:dyDescent="0.25">
      <c r="A1374" t="s">
        <v>4111</v>
      </c>
      <c r="B1374" t="s">
        <v>14</v>
      </c>
      <c r="C1374">
        <v>48.9</v>
      </c>
      <c r="D1374">
        <v>48.9</v>
      </c>
      <c r="E1374">
        <v>46.2</v>
      </c>
      <c r="F1374">
        <v>47.65</v>
      </c>
      <c r="G1374">
        <v>48.5</v>
      </c>
      <c r="H1374">
        <v>47</v>
      </c>
      <c r="I1374">
        <v>4259</v>
      </c>
      <c r="J1374">
        <v>202734.5</v>
      </c>
      <c r="K1374" s="1">
        <v>43777</v>
      </c>
      <c r="L1374">
        <v>156</v>
      </c>
      <c r="M1374" t="s">
        <v>7270</v>
      </c>
    </row>
    <row r="1375" spans="1:13" x14ac:dyDescent="0.25">
      <c r="A1375" t="s">
        <v>4114</v>
      </c>
      <c r="B1375" t="s">
        <v>14</v>
      </c>
      <c r="C1375">
        <v>803</v>
      </c>
      <c r="D1375">
        <v>812.6</v>
      </c>
      <c r="E1375">
        <v>789.3</v>
      </c>
      <c r="F1375">
        <v>796.2</v>
      </c>
      <c r="G1375">
        <v>791</v>
      </c>
      <c r="H1375">
        <v>802.2</v>
      </c>
      <c r="I1375">
        <v>169654</v>
      </c>
      <c r="J1375">
        <v>136352550.44999999</v>
      </c>
      <c r="K1375" s="1">
        <v>43777</v>
      </c>
      <c r="L1375">
        <v>4312</v>
      </c>
      <c r="M1375" t="s">
        <v>4116</v>
      </c>
    </row>
    <row r="1376" spans="1:13" x14ac:dyDescent="0.25">
      <c r="A1376" t="s">
        <v>4117</v>
      </c>
      <c r="B1376" t="s">
        <v>14</v>
      </c>
      <c r="C1376">
        <v>189.5</v>
      </c>
      <c r="D1376">
        <v>190.8</v>
      </c>
      <c r="E1376">
        <v>187.25</v>
      </c>
      <c r="F1376">
        <v>187.8</v>
      </c>
      <c r="G1376">
        <v>187.25</v>
      </c>
      <c r="H1376">
        <v>189.6</v>
      </c>
      <c r="I1376">
        <v>13495</v>
      </c>
      <c r="J1376">
        <v>2545528.2000000002</v>
      </c>
      <c r="K1376" s="1">
        <v>43777</v>
      </c>
      <c r="L1376">
        <v>672</v>
      </c>
      <c r="M1376" t="s">
        <v>4119</v>
      </c>
    </row>
    <row r="1377" spans="1:13" x14ac:dyDescent="0.25">
      <c r="A1377" t="s">
        <v>4120</v>
      </c>
      <c r="B1377" t="s">
        <v>14</v>
      </c>
      <c r="C1377">
        <v>152.6</v>
      </c>
      <c r="D1377">
        <v>154.15</v>
      </c>
      <c r="E1377">
        <v>148.30000000000001</v>
      </c>
      <c r="F1377">
        <v>149.65</v>
      </c>
      <c r="G1377">
        <v>149</v>
      </c>
      <c r="H1377">
        <v>153.5</v>
      </c>
      <c r="I1377">
        <v>19958</v>
      </c>
      <c r="J1377">
        <v>3021629.35</v>
      </c>
      <c r="K1377" s="1">
        <v>43777</v>
      </c>
      <c r="L1377">
        <v>732</v>
      </c>
      <c r="M1377" t="s">
        <v>4122</v>
      </c>
    </row>
    <row r="1378" spans="1:13" x14ac:dyDescent="0.25">
      <c r="A1378" t="s">
        <v>4123</v>
      </c>
      <c r="B1378" t="s">
        <v>14</v>
      </c>
      <c r="C1378">
        <v>47.75</v>
      </c>
      <c r="D1378">
        <v>47.75</v>
      </c>
      <c r="E1378">
        <v>46</v>
      </c>
      <c r="F1378">
        <v>46</v>
      </c>
      <c r="G1378">
        <v>46</v>
      </c>
      <c r="H1378">
        <v>48.4</v>
      </c>
      <c r="I1378">
        <v>45818</v>
      </c>
      <c r="J1378">
        <v>2146233.9</v>
      </c>
      <c r="K1378" s="1">
        <v>43777</v>
      </c>
      <c r="L1378">
        <v>388</v>
      </c>
      <c r="M1378" t="s">
        <v>4125</v>
      </c>
    </row>
    <row r="1379" spans="1:13" x14ac:dyDescent="0.25">
      <c r="A1379" t="s">
        <v>4129</v>
      </c>
      <c r="B1379" t="s">
        <v>14</v>
      </c>
      <c r="C1379">
        <v>2.5</v>
      </c>
      <c r="D1379">
        <v>2.65</v>
      </c>
      <c r="E1379">
        <v>2.5</v>
      </c>
      <c r="F1379">
        <v>2.6</v>
      </c>
      <c r="G1379">
        <v>2.5499999999999998</v>
      </c>
      <c r="H1379">
        <v>2.5499999999999998</v>
      </c>
      <c r="I1379">
        <v>205900</v>
      </c>
      <c r="J1379">
        <v>531162.1</v>
      </c>
      <c r="K1379" s="1">
        <v>43777</v>
      </c>
      <c r="L1379">
        <v>156</v>
      </c>
      <c r="M1379" t="s">
        <v>4131</v>
      </c>
    </row>
    <row r="1380" spans="1:13" x14ac:dyDescent="0.25">
      <c r="A1380" t="s">
        <v>4132</v>
      </c>
      <c r="B1380" t="s">
        <v>14</v>
      </c>
      <c r="C1380">
        <v>216</v>
      </c>
      <c r="D1380">
        <v>217.85</v>
      </c>
      <c r="E1380">
        <v>206.25</v>
      </c>
      <c r="F1380">
        <v>211.1</v>
      </c>
      <c r="G1380">
        <v>209.5</v>
      </c>
      <c r="H1380">
        <v>211.85</v>
      </c>
      <c r="I1380">
        <v>1225</v>
      </c>
      <c r="J1380">
        <v>261462.05</v>
      </c>
      <c r="K1380" s="1">
        <v>43777</v>
      </c>
      <c r="L1380">
        <v>183</v>
      </c>
      <c r="M1380" t="s">
        <v>4134</v>
      </c>
    </row>
    <row r="1381" spans="1:13" x14ac:dyDescent="0.25">
      <c r="A1381" t="s">
        <v>4135</v>
      </c>
      <c r="B1381" t="s">
        <v>14</v>
      </c>
      <c r="C1381">
        <v>884.55</v>
      </c>
      <c r="D1381">
        <v>909.9</v>
      </c>
      <c r="E1381">
        <v>870</v>
      </c>
      <c r="F1381">
        <v>877.25</v>
      </c>
      <c r="G1381">
        <v>875.15</v>
      </c>
      <c r="H1381">
        <v>886.35</v>
      </c>
      <c r="I1381">
        <v>7041</v>
      </c>
      <c r="J1381">
        <v>6232834.8499999996</v>
      </c>
      <c r="K1381" s="1">
        <v>43777</v>
      </c>
      <c r="L1381">
        <v>739</v>
      </c>
      <c r="M1381" t="s">
        <v>4137</v>
      </c>
    </row>
    <row r="1382" spans="1:13" x14ac:dyDescent="0.25">
      <c r="A1382" t="s">
        <v>4141</v>
      </c>
      <c r="B1382" t="s">
        <v>14</v>
      </c>
      <c r="C1382">
        <v>968.65</v>
      </c>
      <c r="D1382">
        <v>973</v>
      </c>
      <c r="E1382">
        <v>940</v>
      </c>
      <c r="F1382">
        <v>950.3</v>
      </c>
      <c r="G1382">
        <v>944.45</v>
      </c>
      <c r="H1382">
        <v>959.35</v>
      </c>
      <c r="I1382">
        <v>12062</v>
      </c>
      <c r="J1382">
        <v>11582429.75</v>
      </c>
      <c r="K1382" s="1">
        <v>43777</v>
      </c>
      <c r="L1382">
        <v>1524</v>
      </c>
      <c r="M1382" t="s">
        <v>4143</v>
      </c>
    </row>
    <row r="1383" spans="1:13" x14ac:dyDescent="0.25">
      <c r="A1383" t="s">
        <v>4147</v>
      </c>
      <c r="B1383" t="s">
        <v>14</v>
      </c>
      <c r="C1383">
        <v>700</v>
      </c>
      <c r="D1383">
        <v>808</v>
      </c>
      <c r="E1383">
        <v>700</v>
      </c>
      <c r="F1383">
        <v>808</v>
      </c>
      <c r="G1383">
        <v>808</v>
      </c>
      <c r="H1383">
        <v>673.35</v>
      </c>
      <c r="I1383">
        <v>8443463</v>
      </c>
      <c r="J1383">
        <v>6518320396.1000004</v>
      </c>
      <c r="K1383" s="1">
        <v>43777</v>
      </c>
      <c r="L1383">
        <v>139921</v>
      </c>
      <c r="M1383" t="s">
        <v>4149</v>
      </c>
    </row>
    <row r="1384" spans="1:13" x14ac:dyDescent="0.25">
      <c r="A1384" t="s">
        <v>4153</v>
      </c>
      <c r="B1384" t="s">
        <v>14</v>
      </c>
      <c r="C1384">
        <v>512.54999999999995</v>
      </c>
      <c r="D1384">
        <v>517.95000000000005</v>
      </c>
      <c r="E1384">
        <v>510</v>
      </c>
      <c r="F1384">
        <v>511.4</v>
      </c>
      <c r="G1384">
        <v>513</v>
      </c>
      <c r="H1384">
        <v>512.54999999999995</v>
      </c>
      <c r="I1384">
        <v>7306</v>
      </c>
      <c r="J1384">
        <v>3747307.6</v>
      </c>
      <c r="K1384" s="1">
        <v>43777</v>
      </c>
      <c r="L1384">
        <v>407</v>
      </c>
      <c r="M1384" t="s">
        <v>4155</v>
      </c>
    </row>
    <row r="1385" spans="1:13" x14ac:dyDescent="0.25">
      <c r="A1385" t="s">
        <v>4156</v>
      </c>
      <c r="B1385" t="s">
        <v>14</v>
      </c>
      <c r="C1385">
        <v>308</v>
      </c>
      <c r="D1385">
        <v>332.75</v>
      </c>
      <c r="E1385">
        <v>305.35000000000002</v>
      </c>
      <c r="F1385">
        <v>323.89999999999998</v>
      </c>
      <c r="G1385">
        <v>323.10000000000002</v>
      </c>
      <c r="H1385">
        <v>308.45</v>
      </c>
      <c r="I1385">
        <v>23684769</v>
      </c>
      <c r="J1385">
        <v>7649805449.1999998</v>
      </c>
      <c r="K1385" s="1">
        <v>43777</v>
      </c>
      <c r="L1385">
        <v>219502</v>
      </c>
      <c r="M1385" t="s">
        <v>4158</v>
      </c>
    </row>
    <row r="1386" spans="1:13" x14ac:dyDescent="0.25">
      <c r="A1386" t="s">
        <v>4159</v>
      </c>
      <c r="B1386" t="s">
        <v>14</v>
      </c>
      <c r="C1386">
        <v>52.75</v>
      </c>
      <c r="D1386">
        <v>54.9</v>
      </c>
      <c r="E1386">
        <v>50.35</v>
      </c>
      <c r="F1386">
        <v>52.05</v>
      </c>
      <c r="G1386">
        <v>51.4</v>
      </c>
      <c r="H1386">
        <v>53.2</v>
      </c>
      <c r="I1386">
        <v>1661471</v>
      </c>
      <c r="J1386">
        <v>88139690.549999997</v>
      </c>
      <c r="K1386" s="1">
        <v>43777</v>
      </c>
      <c r="L1386">
        <v>6472</v>
      </c>
      <c r="M1386" t="s">
        <v>4161</v>
      </c>
    </row>
    <row r="1387" spans="1:13" x14ac:dyDescent="0.25">
      <c r="A1387" t="s">
        <v>4162</v>
      </c>
      <c r="B1387" t="s">
        <v>14</v>
      </c>
      <c r="C1387">
        <v>0.6</v>
      </c>
      <c r="D1387">
        <v>0.7</v>
      </c>
      <c r="E1387">
        <v>0.6</v>
      </c>
      <c r="F1387">
        <v>0.7</v>
      </c>
      <c r="G1387">
        <v>0.7</v>
      </c>
      <c r="H1387">
        <v>0.65</v>
      </c>
      <c r="I1387">
        <v>34438984</v>
      </c>
      <c r="J1387">
        <v>22279845.850000001</v>
      </c>
      <c r="K1387" s="1">
        <v>43777</v>
      </c>
      <c r="L1387">
        <v>4522</v>
      </c>
      <c r="M1387" t="s">
        <v>4164</v>
      </c>
    </row>
    <row r="1388" spans="1:13" x14ac:dyDescent="0.25">
      <c r="A1388" t="s">
        <v>4165</v>
      </c>
      <c r="B1388" t="s">
        <v>14</v>
      </c>
      <c r="C1388">
        <v>142.5</v>
      </c>
      <c r="D1388">
        <v>143</v>
      </c>
      <c r="E1388">
        <v>138.44999999999999</v>
      </c>
      <c r="F1388">
        <v>138.75</v>
      </c>
      <c r="G1388">
        <v>138.6</v>
      </c>
      <c r="H1388">
        <v>142.80000000000001</v>
      </c>
      <c r="I1388">
        <v>5053187</v>
      </c>
      <c r="J1388">
        <v>710121947.39999998</v>
      </c>
      <c r="K1388" s="1">
        <v>43777</v>
      </c>
      <c r="L1388">
        <v>30150</v>
      </c>
      <c r="M1388" t="s">
        <v>4167</v>
      </c>
    </row>
    <row r="1389" spans="1:13" x14ac:dyDescent="0.25">
      <c r="A1389" t="s">
        <v>4165</v>
      </c>
      <c r="B1389" t="s">
        <v>5845</v>
      </c>
      <c r="C1389">
        <v>1102.01</v>
      </c>
      <c r="D1389">
        <v>1102.01</v>
      </c>
      <c r="E1389">
        <v>1102.01</v>
      </c>
      <c r="F1389">
        <v>1102.01</v>
      </c>
      <c r="G1389">
        <v>1102.01</v>
      </c>
      <c r="H1389">
        <v>1118.97</v>
      </c>
      <c r="I1389">
        <v>500</v>
      </c>
      <c r="J1389">
        <v>551005</v>
      </c>
      <c r="K1389" s="1">
        <v>43777</v>
      </c>
      <c r="L1389">
        <v>1</v>
      </c>
      <c r="M1389" t="s">
        <v>7269</v>
      </c>
    </row>
    <row r="1390" spans="1:13" x14ac:dyDescent="0.25">
      <c r="A1390" t="s">
        <v>4165</v>
      </c>
      <c r="B1390" t="s">
        <v>6176</v>
      </c>
      <c r="C1390">
        <v>1170</v>
      </c>
      <c r="D1390">
        <v>1170</v>
      </c>
      <c r="E1390">
        <v>1167.55</v>
      </c>
      <c r="F1390">
        <v>1169.6300000000001</v>
      </c>
      <c r="G1390">
        <v>1170</v>
      </c>
      <c r="H1390">
        <v>1174.9000000000001</v>
      </c>
      <c r="I1390">
        <v>153</v>
      </c>
      <c r="J1390">
        <v>179000.2</v>
      </c>
      <c r="K1390" s="1">
        <v>43777</v>
      </c>
      <c r="L1390">
        <v>8</v>
      </c>
      <c r="M1390" t="s">
        <v>7268</v>
      </c>
    </row>
    <row r="1391" spans="1:13" x14ac:dyDescent="0.25">
      <c r="A1391" t="s">
        <v>4165</v>
      </c>
      <c r="B1391" t="s">
        <v>5843</v>
      </c>
      <c r="C1391">
        <v>1270</v>
      </c>
      <c r="D1391">
        <v>1270</v>
      </c>
      <c r="E1391">
        <v>1270</v>
      </c>
      <c r="F1391">
        <v>1270</v>
      </c>
      <c r="G1391">
        <v>1270</v>
      </c>
      <c r="H1391">
        <v>1270</v>
      </c>
      <c r="I1391">
        <v>310</v>
      </c>
      <c r="J1391">
        <v>393700</v>
      </c>
      <c r="K1391" s="1">
        <v>43777</v>
      </c>
      <c r="L1391">
        <v>2</v>
      </c>
      <c r="M1391" t="s">
        <v>7267</v>
      </c>
    </row>
    <row r="1392" spans="1:13" x14ac:dyDescent="0.25">
      <c r="A1392" t="s">
        <v>4165</v>
      </c>
      <c r="B1392" t="s">
        <v>5874</v>
      </c>
      <c r="C1392">
        <v>1180</v>
      </c>
      <c r="D1392">
        <v>1195.8</v>
      </c>
      <c r="E1392">
        <v>1180</v>
      </c>
      <c r="F1392">
        <v>1195.8</v>
      </c>
      <c r="G1392">
        <v>1195.8</v>
      </c>
      <c r="H1392">
        <v>1155.25</v>
      </c>
      <c r="I1392">
        <v>575</v>
      </c>
      <c r="J1392">
        <v>682252.55</v>
      </c>
      <c r="K1392" s="1">
        <v>43777</v>
      </c>
      <c r="L1392">
        <v>6</v>
      </c>
      <c r="M1392" t="s">
        <v>7266</v>
      </c>
    </row>
    <row r="1393" spans="1:13" x14ac:dyDescent="0.25">
      <c r="A1393" t="s">
        <v>4165</v>
      </c>
      <c r="B1393" t="s">
        <v>6130</v>
      </c>
      <c r="C1393">
        <v>1284</v>
      </c>
      <c r="D1393">
        <v>1299</v>
      </c>
      <c r="E1393">
        <v>1284</v>
      </c>
      <c r="F1393">
        <v>1288.1300000000001</v>
      </c>
      <c r="G1393">
        <v>1290</v>
      </c>
      <c r="H1393">
        <v>1284</v>
      </c>
      <c r="I1393">
        <v>380</v>
      </c>
      <c r="J1393">
        <v>489490</v>
      </c>
      <c r="K1393" s="1">
        <v>43777</v>
      </c>
      <c r="L1393">
        <v>6</v>
      </c>
      <c r="M1393" t="s">
        <v>6129</v>
      </c>
    </row>
    <row r="1394" spans="1:13" x14ac:dyDescent="0.25">
      <c r="A1394" t="s">
        <v>4165</v>
      </c>
      <c r="B1394" t="s">
        <v>5872</v>
      </c>
      <c r="C1394">
        <v>1256.76</v>
      </c>
      <c r="D1394">
        <v>1256.76</v>
      </c>
      <c r="E1394">
        <v>1256.76</v>
      </c>
      <c r="F1394">
        <v>1256.76</v>
      </c>
      <c r="G1394">
        <v>1256.76</v>
      </c>
      <c r="H1394">
        <v>1275</v>
      </c>
      <c r="I1394">
        <v>69</v>
      </c>
      <c r="J1394">
        <v>86716.44</v>
      </c>
      <c r="K1394" s="1">
        <v>43777</v>
      </c>
      <c r="L1394">
        <v>1</v>
      </c>
      <c r="M1394" t="s">
        <v>7265</v>
      </c>
    </row>
    <row r="1395" spans="1:13" x14ac:dyDescent="0.25">
      <c r="A1395" t="s">
        <v>4165</v>
      </c>
      <c r="B1395" t="s">
        <v>3535</v>
      </c>
      <c r="C1395">
        <v>1245</v>
      </c>
      <c r="D1395">
        <v>1245</v>
      </c>
      <c r="E1395">
        <v>1240</v>
      </c>
      <c r="F1395">
        <v>1240</v>
      </c>
      <c r="G1395">
        <v>1240</v>
      </c>
      <c r="H1395">
        <v>1255</v>
      </c>
      <c r="I1395">
        <v>225</v>
      </c>
      <c r="J1395">
        <v>279050</v>
      </c>
      <c r="K1395" s="1">
        <v>43777</v>
      </c>
      <c r="L1395">
        <v>2</v>
      </c>
      <c r="M1395" t="s">
        <v>7264</v>
      </c>
    </row>
    <row r="1396" spans="1:13" x14ac:dyDescent="0.25">
      <c r="A1396" t="s">
        <v>4165</v>
      </c>
      <c r="B1396" t="s">
        <v>6383</v>
      </c>
      <c r="C1396">
        <v>1175</v>
      </c>
      <c r="D1396">
        <v>1175</v>
      </c>
      <c r="E1396">
        <v>1166.01</v>
      </c>
      <c r="F1396">
        <v>1166.01</v>
      </c>
      <c r="G1396">
        <v>1166.01</v>
      </c>
      <c r="H1396">
        <v>1167.1099999999999</v>
      </c>
      <c r="I1396">
        <v>140</v>
      </c>
      <c r="J1396">
        <v>163613.44</v>
      </c>
      <c r="K1396" s="1">
        <v>43777</v>
      </c>
      <c r="L1396">
        <v>4</v>
      </c>
      <c r="M1396" t="s">
        <v>7263</v>
      </c>
    </row>
    <row r="1397" spans="1:13" x14ac:dyDescent="0.25">
      <c r="A1397" t="s">
        <v>4168</v>
      </c>
      <c r="B1397" t="s">
        <v>14</v>
      </c>
      <c r="C1397">
        <v>115.4</v>
      </c>
      <c r="D1397">
        <v>115.4</v>
      </c>
      <c r="E1397">
        <v>110.5</v>
      </c>
      <c r="F1397">
        <v>114.25</v>
      </c>
      <c r="G1397">
        <v>115</v>
      </c>
      <c r="H1397">
        <v>113.55</v>
      </c>
      <c r="I1397">
        <v>133040</v>
      </c>
      <c r="J1397">
        <v>15090520.550000001</v>
      </c>
      <c r="K1397" s="1">
        <v>43777</v>
      </c>
      <c r="L1397">
        <v>2109</v>
      </c>
      <c r="M1397" t="s">
        <v>4170</v>
      </c>
    </row>
    <row r="1398" spans="1:13" x14ac:dyDescent="0.25">
      <c r="A1398" t="s">
        <v>4174</v>
      </c>
      <c r="B1398" t="s">
        <v>14</v>
      </c>
      <c r="C1398">
        <v>48</v>
      </c>
      <c r="D1398">
        <v>49.45</v>
      </c>
      <c r="E1398">
        <v>47.25</v>
      </c>
      <c r="F1398">
        <v>49.45</v>
      </c>
      <c r="G1398">
        <v>49.45</v>
      </c>
      <c r="H1398">
        <v>47.1</v>
      </c>
      <c r="I1398">
        <v>145952</v>
      </c>
      <c r="J1398">
        <v>7162568.0999999996</v>
      </c>
      <c r="K1398" s="1">
        <v>43777</v>
      </c>
      <c r="L1398">
        <v>780</v>
      </c>
      <c r="M1398" t="s">
        <v>4176</v>
      </c>
    </row>
    <row r="1399" spans="1:13" x14ac:dyDescent="0.25">
      <c r="A1399" t="s">
        <v>4177</v>
      </c>
      <c r="B1399" t="s">
        <v>10</v>
      </c>
      <c r="C1399">
        <v>1.75</v>
      </c>
      <c r="D1399">
        <v>1.75</v>
      </c>
      <c r="E1399">
        <v>1.7</v>
      </c>
      <c r="F1399">
        <v>1.7</v>
      </c>
      <c r="G1399">
        <v>1.7</v>
      </c>
      <c r="H1399">
        <v>1.75</v>
      </c>
      <c r="I1399">
        <v>207</v>
      </c>
      <c r="J1399">
        <v>361.9</v>
      </c>
      <c r="K1399" s="1">
        <v>43777</v>
      </c>
      <c r="L1399">
        <v>3</v>
      </c>
      <c r="M1399" t="s">
        <v>4179</v>
      </c>
    </row>
    <row r="1400" spans="1:13" x14ac:dyDescent="0.25">
      <c r="A1400" t="s">
        <v>4180</v>
      </c>
      <c r="B1400" t="s">
        <v>14</v>
      </c>
      <c r="C1400">
        <v>560.54999999999995</v>
      </c>
      <c r="D1400">
        <v>566.65</v>
      </c>
      <c r="E1400">
        <v>550.15</v>
      </c>
      <c r="F1400">
        <v>550.75</v>
      </c>
      <c r="G1400">
        <v>550.29999999999995</v>
      </c>
      <c r="H1400">
        <v>560.79999999999995</v>
      </c>
      <c r="I1400">
        <v>113482</v>
      </c>
      <c r="J1400">
        <v>62951987</v>
      </c>
      <c r="K1400" s="1">
        <v>43777</v>
      </c>
      <c r="L1400">
        <v>9488</v>
      </c>
      <c r="M1400" t="s">
        <v>4182</v>
      </c>
    </row>
    <row r="1401" spans="1:13" x14ac:dyDescent="0.25">
      <c r="A1401" t="s">
        <v>7262</v>
      </c>
      <c r="B1401" t="s">
        <v>14</v>
      </c>
      <c r="C1401">
        <v>25.75</v>
      </c>
      <c r="D1401">
        <v>25.75</v>
      </c>
      <c r="E1401">
        <v>25.75</v>
      </c>
      <c r="F1401">
        <v>25.75</v>
      </c>
      <c r="G1401">
        <v>25.75</v>
      </c>
      <c r="H1401">
        <v>24.55</v>
      </c>
      <c r="I1401">
        <v>517816</v>
      </c>
      <c r="J1401">
        <v>13333762</v>
      </c>
      <c r="K1401" s="1">
        <v>43777</v>
      </c>
      <c r="L1401">
        <v>970</v>
      </c>
      <c r="M1401" t="s">
        <v>7261</v>
      </c>
    </row>
    <row r="1402" spans="1:13" x14ac:dyDescent="0.25">
      <c r="A1402" t="s">
        <v>4186</v>
      </c>
      <c r="B1402" t="s">
        <v>14</v>
      </c>
      <c r="C1402">
        <v>1449</v>
      </c>
      <c r="D1402">
        <v>1459.65</v>
      </c>
      <c r="E1402">
        <v>1441.3</v>
      </c>
      <c r="F1402">
        <v>1445.5</v>
      </c>
      <c r="G1402">
        <v>1446</v>
      </c>
      <c r="H1402">
        <v>1458.6</v>
      </c>
      <c r="I1402">
        <v>5494844</v>
      </c>
      <c r="J1402">
        <v>7959284446.4499998</v>
      </c>
      <c r="K1402" s="1">
        <v>43777</v>
      </c>
      <c r="L1402">
        <v>141759</v>
      </c>
      <c r="M1402" t="s">
        <v>4188</v>
      </c>
    </row>
    <row r="1403" spans="1:13" x14ac:dyDescent="0.25">
      <c r="A1403" t="s">
        <v>4189</v>
      </c>
      <c r="B1403" t="s">
        <v>14</v>
      </c>
      <c r="C1403">
        <v>59.35</v>
      </c>
      <c r="D1403">
        <v>59.35</v>
      </c>
      <c r="E1403">
        <v>54.8</v>
      </c>
      <c r="F1403">
        <v>55.35</v>
      </c>
      <c r="G1403">
        <v>57</v>
      </c>
      <c r="H1403">
        <v>57.65</v>
      </c>
      <c r="I1403">
        <v>544847</v>
      </c>
      <c r="J1403">
        <v>30952161.699999999</v>
      </c>
      <c r="K1403" s="1">
        <v>43777</v>
      </c>
      <c r="L1403">
        <v>3231</v>
      </c>
      <c r="M1403" t="s">
        <v>4191</v>
      </c>
    </row>
    <row r="1404" spans="1:13" x14ac:dyDescent="0.25">
      <c r="A1404" t="s">
        <v>4192</v>
      </c>
      <c r="B1404" t="s">
        <v>14</v>
      </c>
      <c r="C1404">
        <v>46.75</v>
      </c>
      <c r="D1404">
        <v>46.75</v>
      </c>
      <c r="E1404">
        <v>46.75</v>
      </c>
      <c r="F1404">
        <v>46.75</v>
      </c>
      <c r="G1404">
        <v>46.75</v>
      </c>
      <c r="H1404">
        <v>44.55</v>
      </c>
      <c r="I1404">
        <v>292180</v>
      </c>
      <c r="J1404">
        <v>13659415</v>
      </c>
      <c r="K1404" s="1">
        <v>43777</v>
      </c>
      <c r="L1404">
        <v>914</v>
      </c>
      <c r="M1404" t="s">
        <v>4194</v>
      </c>
    </row>
    <row r="1405" spans="1:13" x14ac:dyDescent="0.25">
      <c r="A1405" t="s">
        <v>4195</v>
      </c>
      <c r="B1405" t="s">
        <v>14</v>
      </c>
      <c r="C1405">
        <v>86</v>
      </c>
      <c r="D1405">
        <v>86</v>
      </c>
      <c r="E1405">
        <v>81.150000000000006</v>
      </c>
      <c r="F1405">
        <v>82.8</v>
      </c>
      <c r="G1405">
        <v>81.8</v>
      </c>
      <c r="H1405">
        <v>83.35</v>
      </c>
      <c r="I1405">
        <v>9233</v>
      </c>
      <c r="J1405">
        <v>776306.6</v>
      </c>
      <c r="K1405" s="1">
        <v>43777</v>
      </c>
      <c r="L1405">
        <v>147</v>
      </c>
      <c r="M1405" t="s">
        <v>4197</v>
      </c>
    </row>
    <row r="1406" spans="1:13" x14ac:dyDescent="0.25">
      <c r="A1406" t="s">
        <v>4198</v>
      </c>
      <c r="B1406" t="s">
        <v>14</v>
      </c>
      <c r="C1406">
        <v>8.15</v>
      </c>
      <c r="D1406">
        <v>8.15</v>
      </c>
      <c r="E1406">
        <v>8</v>
      </c>
      <c r="F1406">
        <v>8.1</v>
      </c>
      <c r="G1406">
        <v>8.15</v>
      </c>
      <c r="H1406">
        <v>8.1</v>
      </c>
      <c r="I1406">
        <v>389205</v>
      </c>
      <c r="J1406">
        <v>3136103.7</v>
      </c>
      <c r="K1406" s="1">
        <v>43777</v>
      </c>
      <c r="L1406">
        <v>522</v>
      </c>
      <c r="M1406" t="s">
        <v>4200</v>
      </c>
    </row>
    <row r="1407" spans="1:13" x14ac:dyDescent="0.25">
      <c r="A1407" t="s">
        <v>4201</v>
      </c>
      <c r="B1407" t="s">
        <v>14</v>
      </c>
      <c r="C1407">
        <v>305</v>
      </c>
      <c r="D1407">
        <v>308.5</v>
      </c>
      <c r="E1407">
        <v>298.10000000000002</v>
      </c>
      <c r="F1407">
        <v>300.14999999999998</v>
      </c>
      <c r="G1407">
        <v>299.75</v>
      </c>
      <c r="H1407">
        <v>305</v>
      </c>
      <c r="I1407">
        <v>35522</v>
      </c>
      <c r="J1407">
        <v>10735240.449999999</v>
      </c>
      <c r="K1407" s="1">
        <v>43777</v>
      </c>
      <c r="L1407">
        <v>1603</v>
      </c>
      <c r="M1407" t="s">
        <v>4203</v>
      </c>
    </row>
    <row r="1408" spans="1:13" x14ac:dyDescent="0.25">
      <c r="A1408" t="s">
        <v>4204</v>
      </c>
      <c r="B1408" t="s">
        <v>5788</v>
      </c>
      <c r="C1408">
        <v>23.5</v>
      </c>
      <c r="D1408">
        <v>23.5</v>
      </c>
      <c r="E1408">
        <v>23.5</v>
      </c>
      <c r="F1408">
        <v>23.5</v>
      </c>
      <c r="G1408">
        <v>23.5</v>
      </c>
      <c r="H1408">
        <v>24.5</v>
      </c>
      <c r="I1408">
        <v>3000</v>
      </c>
      <c r="J1408">
        <v>70500</v>
      </c>
      <c r="K1408" s="1">
        <v>43777</v>
      </c>
      <c r="L1408">
        <v>1</v>
      </c>
      <c r="M1408" t="s">
        <v>4206</v>
      </c>
    </row>
    <row r="1409" spans="1:13" x14ac:dyDescent="0.25">
      <c r="A1409" t="s">
        <v>4207</v>
      </c>
      <c r="B1409" t="s">
        <v>14</v>
      </c>
      <c r="C1409">
        <v>641.85</v>
      </c>
      <c r="D1409">
        <v>647.04999999999995</v>
      </c>
      <c r="E1409">
        <v>633</v>
      </c>
      <c r="F1409">
        <v>640.15</v>
      </c>
      <c r="G1409">
        <v>645</v>
      </c>
      <c r="H1409">
        <v>650.54999999999995</v>
      </c>
      <c r="I1409">
        <v>3793</v>
      </c>
      <c r="J1409">
        <v>2434195.7999999998</v>
      </c>
      <c r="K1409" s="1">
        <v>43777</v>
      </c>
      <c r="L1409">
        <v>253</v>
      </c>
      <c r="M1409" t="s">
        <v>4209</v>
      </c>
    </row>
    <row r="1410" spans="1:13" x14ac:dyDescent="0.25">
      <c r="A1410" t="s">
        <v>4210</v>
      </c>
      <c r="B1410" t="s">
        <v>14</v>
      </c>
      <c r="C1410">
        <v>92.85</v>
      </c>
      <c r="D1410">
        <v>93.25</v>
      </c>
      <c r="E1410">
        <v>91.15</v>
      </c>
      <c r="F1410">
        <v>91.9</v>
      </c>
      <c r="G1410">
        <v>91.25</v>
      </c>
      <c r="H1410">
        <v>93.65</v>
      </c>
      <c r="I1410">
        <v>136401</v>
      </c>
      <c r="J1410">
        <v>12585737.949999999</v>
      </c>
      <c r="K1410" s="1">
        <v>43777</v>
      </c>
      <c r="L1410">
        <v>1733</v>
      </c>
      <c r="M1410" t="s">
        <v>4212</v>
      </c>
    </row>
    <row r="1411" spans="1:13" x14ac:dyDescent="0.25">
      <c r="A1411" t="s">
        <v>7260</v>
      </c>
      <c r="B1411" t="s">
        <v>14</v>
      </c>
      <c r="C1411">
        <v>398.35</v>
      </c>
      <c r="D1411">
        <v>398.35</v>
      </c>
      <c r="E1411">
        <v>372.1</v>
      </c>
      <c r="F1411">
        <v>373.9</v>
      </c>
      <c r="G1411">
        <v>372.1</v>
      </c>
      <c r="H1411">
        <v>383.3</v>
      </c>
      <c r="I1411">
        <v>50</v>
      </c>
      <c r="J1411">
        <v>18717.900000000001</v>
      </c>
      <c r="K1411" s="1">
        <v>43777</v>
      </c>
      <c r="L1411">
        <v>12</v>
      </c>
      <c r="M1411" t="s">
        <v>4524</v>
      </c>
    </row>
    <row r="1412" spans="1:13" x14ac:dyDescent="0.25">
      <c r="A1412" t="s">
        <v>4213</v>
      </c>
      <c r="B1412" t="s">
        <v>14</v>
      </c>
      <c r="C1412">
        <v>249</v>
      </c>
      <c r="D1412">
        <v>253.9</v>
      </c>
      <c r="E1412">
        <v>245.05</v>
      </c>
      <c r="F1412">
        <v>249</v>
      </c>
      <c r="G1412">
        <v>245.05</v>
      </c>
      <c r="H1412">
        <v>250.2</v>
      </c>
      <c r="I1412">
        <v>1199</v>
      </c>
      <c r="J1412">
        <v>299685.59999999998</v>
      </c>
      <c r="K1412" s="1">
        <v>43777</v>
      </c>
      <c r="L1412">
        <v>38</v>
      </c>
      <c r="M1412" t="s">
        <v>7259</v>
      </c>
    </row>
    <row r="1413" spans="1:13" x14ac:dyDescent="0.25">
      <c r="A1413" t="s">
        <v>4216</v>
      </c>
      <c r="B1413" t="s">
        <v>14</v>
      </c>
      <c r="C1413">
        <v>6.3</v>
      </c>
      <c r="D1413">
        <v>6.3</v>
      </c>
      <c r="E1413">
        <v>5.7</v>
      </c>
      <c r="F1413">
        <v>6.2</v>
      </c>
      <c r="G1413">
        <v>6.2</v>
      </c>
      <c r="H1413">
        <v>6</v>
      </c>
      <c r="I1413">
        <v>5096707</v>
      </c>
      <c r="J1413">
        <v>31678942.199999999</v>
      </c>
      <c r="K1413" s="1">
        <v>43777</v>
      </c>
      <c r="L1413">
        <v>3452</v>
      </c>
      <c r="M1413" t="s">
        <v>4218</v>
      </c>
    </row>
    <row r="1414" spans="1:13" x14ac:dyDescent="0.25">
      <c r="A1414" t="s">
        <v>4216</v>
      </c>
      <c r="B1414" t="s">
        <v>6176</v>
      </c>
      <c r="C1414">
        <v>300</v>
      </c>
      <c r="D1414">
        <v>350</v>
      </c>
      <c r="E1414">
        <v>281.01</v>
      </c>
      <c r="F1414">
        <v>346.95</v>
      </c>
      <c r="G1414">
        <v>350</v>
      </c>
      <c r="H1414">
        <v>311</v>
      </c>
      <c r="I1414">
        <v>685</v>
      </c>
      <c r="J1414">
        <v>216606.83</v>
      </c>
      <c r="K1414" s="1">
        <v>43777</v>
      </c>
      <c r="L1414">
        <v>14</v>
      </c>
      <c r="M1414" t="s">
        <v>7258</v>
      </c>
    </row>
    <row r="1415" spans="1:13" x14ac:dyDescent="0.25">
      <c r="A1415" t="s">
        <v>4216</v>
      </c>
      <c r="B1415" t="s">
        <v>6210</v>
      </c>
      <c r="C1415">
        <v>290</v>
      </c>
      <c r="D1415">
        <v>290</v>
      </c>
      <c r="E1415">
        <v>290</v>
      </c>
      <c r="F1415">
        <v>290</v>
      </c>
      <c r="G1415">
        <v>290</v>
      </c>
      <c r="H1415">
        <v>286</v>
      </c>
      <c r="I1415">
        <v>5</v>
      </c>
      <c r="J1415">
        <v>1450</v>
      </c>
      <c r="K1415" s="1">
        <v>43777</v>
      </c>
      <c r="L1415">
        <v>1</v>
      </c>
      <c r="M1415" t="s">
        <v>7257</v>
      </c>
    </row>
    <row r="1416" spans="1:13" x14ac:dyDescent="0.25">
      <c r="A1416" t="s">
        <v>4216</v>
      </c>
      <c r="B1416" t="s">
        <v>5843</v>
      </c>
      <c r="C1416">
        <v>270</v>
      </c>
      <c r="D1416">
        <v>294.99</v>
      </c>
      <c r="E1416">
        <v>251</v>
      </c>
      <c r="F1416">
        <v>251</v>
      </c>
      <c r="G1416">
        <v>251</v>
      </c>
      <c r="H1416">
        <v>270</v>
      </c>
      <c r="I1416">
        <v>54</v>
      </c>
      <c r="J1416">
        <v>15816.49</v>
      </c>
      <c r="K1416" s="1">
        <v>43777</v>
      </c>
      <c r="L1416">
        <v>4</v>
      </c>
      <c r="M1416" t="s">
        <v>7256</v>
      </c>
    </row>
    <row r="1417" spans="1:13" x14ac:dyDescent="0.25">
      <c r="A1417" t="s">
        <v>4216</v>
      </c>
      <c r="B1417" t="s">
        <v>5874</v>
      </c>
      <c r="C1417">
        <v>181</v>
      </c>
      <c r="D1417">
        <v>181</v>
      </c>
      <c r="E1417">
        <v>181</v>
      </c>
      <c r="F1417">
        <v>181</v>
      </c>
      <c r="G1417">
        <v>181</v>
      </c>
      <c r="H1417">
        <v>180</v>
      </c>
      <c r="I1417">
        <v>1</v>
      </c>
      <c r="J1417">
        <v>181</v>
      </c>
      <c r="K1417" s="1">
        <v>43777</v>
      </c>
      <c r="L1417">
        <v>1</v>
      </c>
      <c r="M1417" t="s">
        <v>7255</v>
      </c>
    </row>
    <row r="1418" spans="1:13" x14ac:dyDescent="0.25">
      <c r="A1418" t="s">
        <v>4225</v>
      </c>
      <c r="B1418" t="s">
        <v>14</v>
      </c>
      <c r="C1418">
        <v>49.05</v>
      </c>
      <c r="D1418">
        <v>50.8</v>
      </c>
      <c r="E1418">
        <v>46.1</v>
      </c>
      <c r="F1418">
        <v>47</v>
      </c>
      <c r="G1418">
        <v>47.25</v>
      </c>
      <c r="H1418">
        <v>49.45</v>
      </c>
      <c r="I1418">
        <v>346414</v>
      </c>
      <c r="J1418">
        <v>16832613.949999999</v>
      </c>
      <c r="K1418" s="1">
        <v>43777</v>
      </c>
      <c r="L1418">
        <v>2908</v>
      </c>
      <c r="M1418" t="s">
        <v>4227</v>
      </c>
    </row>
    <row r="1419" spans="1:13" x14ac:dyDescent="0.25">
      <c r="A1419" t="s">
        <v>4228</v>
      </c>
      <c r="B1419" t="s">
        <v>14</v>
      </c>
      <c r="C1419">
        <v>328</v>
      </c>
      <c r="D1419">
        <v>335.85</v>
      </c>
      <c r="E1419">
        <v>317.5</v>
      </c>
      <c r="F1419">
        <v>319.75</v>
      </c>
      <c r="G1419">
        <v>318.10000000000002</v>
      </c>
      <c r="H1419">
        <v>330.85</v>
      </c>
      <c r="I1419">
        <v>700441</v>
      </c>
      <c r="J1419">
        <v>228564287.75</v>
      </c>
      <c r="K1419" s="1">
        <v>43777</v>
      </c>
      <c r="L1419">
        <v>15413</v>
      </c>
      <c r="M1419" t="s">
        <v>4230</v>
      </c>
    </row>
    <row r="1420" spans="1:13" x14ac:dyDescent="0.25">
      <c r="A1420" t="s">
        <v>4237</v>
      </c>
      <c r="B1420" t="s">
        <v>14</v>
      </c>
      <c r="C1420">
        <v>284.7</v>
      </c>
      <c r="D1420">
        <v>299</v>
      </c>
      <c r="E1420">
        <v>283.10000000000002</v>
      </c>
      <c r="F1420">
        <v>287.3</v>
      </c>
      <c r="G1420">
        <v>286.39999999999998</v>
      </c>
      <c r="H1420">
        <v>286.3</v>
      </c>
      <c r="I1420">
        <v>934314</v>
      </c>
      <c r="J1420">
        <v>271815256.44999999</v>
      </c>
      <c r="K1420" s="1">
        <v>43777</v>
      </c>
      <c r="L1420">
        <v>14666</v>
      </c>
      <c r="M1420" t="s">
        <v>4239</v>
      </c>
    </row>
    <row r="1421" spans="1:13" x14ac:dyDescent="0.25">
      <c r="A1421" t="s">
        <v>4240</v>
      </c>
      <c r="B1421" t="s">
        <v>10</v>
      </c>
      <c r="C1421">
        <v>6.2</v>
      </c>
      <c r="D1421">
        <v>6.45</v>
      </c>
      <c r="E1421">
        <v>6.15</v>
      </c>
      <c r="F1421">
        <v>6.3</v>
      </c>
      <c r="G1421">
        <v>6.3</v>
      </c>
      <c r="H1421">
        <v>6.2</v>
      </c>
      <c r="I1421">
        <v>5589</v>
      </c>
      <c r="J1421">
        <v>34993.550000000003</v>
      </c>
      <c r="K1421" s="1">
        <v>43777</v>
      </c>
      <c r="L1421">
        <v>20</v>
      </c>
      <c r="M1421" t="s">
        <v>4242</v>
      </c>
    </row>
    <row r="1422" spans="1:13" x14ac:dyDescent="0.25">
      <c r="A1422" t="s">
        <v>4243</v>
      </c>
      <c r="B1422" t="s">
        <v>5788</v>
      </c>
      <c r="C1422">
        <v>41.45</v>
      </c>
      <c r="D1422">
        <v>41.5</v>
      </c>
      <c r="E1422">
        <v>41.45</v>
      </c>
      <c r="F1422">
        <v>41.45</v>
      </c>
      <c r="G1422">
        <v>41.45</v>
      </c>
      <c r="H1422">
        <v>40.75</v>
      </c>
      <c r="I1422">
        <v>10000</v>
      </c>
      <c r="J1422">
        <v>414600</v>
      </c>
      <c r="K1422" s="1">
        <v>43777</v>
      </c>
      <c r="L1422">
        <v>5</v>
      </c>
      <c r="M1422" t="s">
        <v>4245</v>
      </c>
    </row>
    <row r="1423" spans="1:13" x14ac:dyDescent="0.25">
      <c r="A1423" t="s">
        <v>4246</v>
      </c>
      <c r="B1423" t="s">
        <v>14</v>
      </c>
      <c r="C1423">
        <v>302.89999999999998</v>
      </c>
      <c r="D1423">
        <v>302.89999999999998</v>
      </c>
      <c r="E1423">
        <v>288</v>
      </c>
      <c r="F1423">
        <v>289.64999999999998</v>
      </c>
      <c r="G1423">
        <v>288</v>
      </c>
      <c r="H1423">
        <v>297.8</v>
      </c>
      <c r="I1423">
        <v>193645</v>
      </c>
      <c r="J1423">
        <v>56256243.950000003</v>
      </c>
      <c r="K1423" s="1">
        <v>43777</v>
      </c>
      <c r="L1423">
        <v>1192</v>
      </c>
      <c r="M1423" t="s">
        <v>7254</v>
      </c>
    </row>
    <row r="1424" spans="1:13" x14ac:dyDescent="0.25">
      <c r="A1424" t="s">
        <v>4249</v>
      </c>
      <c r="B1424" t="s">
        <v>14</v>
      </c>
      <c r="C1424">
        <v>3.95</v>
      </c>
      <c r="D1424">
        <v>4.1500000000000004</v>
      </c>
      <c r="E1424">
        <v>3.85</v>
      </c>
      <c r="F1424">
        <v>3.85</v>
      </c>
      <c r="G1424">
        <v>3.85</v>
      </c>
      <c r="H1424">
        <v>4.05</v>
      </c>
      <c r="I1424">
        <v>279516</v>
      </c>
      <c r="J1424">
        <v>1103087.2</v>
      </c>
      <c r="K1424" s="1">
        <v>43777</v>
      </c>
      <c r="L1424">
        <v>208</v>
      </c>
      <c r="M1424" t="s">
        <v>4251</v>
      </c>
    </row>
    <row r="1425" spans="1:13" x14ac:dyDescent="0.25">
      <c r="A1425" t="s">
        <v>6118</v>
      </c>
      <c r="B1425" t="s">
        <v>5788</v>
      </c>
      <c r="C1425">
        <v>16.5</v>
      </c>
      <c r="D1425">
        <v>17</v>
      </c>
      <c r="E1425">
        <v>16.5</v>
      </c>
      <c r="F1425">
        <v>17</v>
      </c>
      <c r="G1425">
        <v>17</v>
      </c>
      <c r="H1425">
        <v>17.149999999999999</v>
      </c>
      <c r="I1425">
        <v>4000</v>
      </c>
      <c r="J1425">
        <v>67000</v>
      </c>
      <c r="K1425" s="1">
        <v>43777</v>
      </c>
      <c r="L1425">
        <v>2</v>
      </c>
      <c r="M1425" t="s">
        <v>6117</v>
      </c>
    </row>
    <row r="1426" spans="1:13" x14ac:dyDescent="0.25">
      <c r="A1426" t="s">
        <v>4252</v>
      </c>
      <c r="B1426" t="s">
        <v>14</v>
      </c>
      <c r="C1426">
        <v>258</v>
      </c>
      <c r="D1426">
        <v>258.05</v>
      </c>
      <c r="E1426">
        <v>248.55</v>
      </c>
      <c r="F1426">
        <v>250.7</v>
      </c>
      <c r="G1426">
        <v>248.55</v>
      </c>
      <c r="H1426">
        <v>256.60000000000002</v>
      </c>
      <c r="I1426">
        <v>6258</v>
      </c>
      <c r="J1426">
        <v>1586349.75</v>
      </c>
      <c r="K1426" s="1">
        <v>43777</v>
      </c>
      <c r="L1426">
        <v>329</v>
      </c>
      <c r="M1426" t="s">
        <v>4254</v>
      </c>
    </row>
    <row r="1427" spans="1:13" x14ac:dyDescent="0.25">
      <c r="A1427" t="s">
        <v>7253</v>
      </c>
      <c r="B1427" t="s">
        <v>14</v>
      </c>
      <c r="C1427">
        <v>336.5</v>
      </c>
      <c r="D1427">
        <v>338.9</v>
      </c>
      <c r="E1427">
        <v>316.25</v>
      </c>
      <c r="F1427">
        <v>318.95</v>
      </c>
      <c r="G1427">
        <v>319.25</v>
      </c>
      <c r="H1427">
        <v>335.35</v>
      </c>
      <c r="I1427">
        <v>3038431</v>
      </c>
      <c r="J1427">
        <v>996931141.39999998</v>
      </c>
      <c r="K1427" s="1">
        <v>43777</v>
      </c>
      <c r="L1427">
        <v>59283</v>
      </c>
      <c r="M1427" t="s">
        <v>3432</v>
      </c>
    </row>
    <row r="1428" spans="1:13" x14ac:dyDescent="0.25">
      <c r="A1428" t="s">
        <v>7252</v>
      </c>
      <c r="B1428" t="s">
        <v>10</v>
      </c>
      <c r="C1428">
        <v>4.45</v>
      </c>
      <c r="D1428">
        <v>4.45</v>
      </c>
      <c r="E1428">
        <v>4.1500000000000004</v>
      </c>
      <c r="F1428">
        <v>4.45</v>
      </c>
      <c r="G1428">
        <v>4.45</v>
      </c>
      <c r="H1428">
        <v>4.25</v>
      </c>
      <c r="I1428">
        <v>2048622</v>
      </c>
      <c r="J1428">
        <v>9046362.6500000004</v>
      </c>
      <c r="K1428" s="1">
        <v>43777</v>
      </c>
      <c r="L1428">
        <v>1381</v>
      </c>
      <c r="M1428" t="s">
        <v>7251</v>
      </c>
    </row>
    <row r="1429" spans="1:13" x14ac:dyDescent="0.25">
      <c r="A1429" t="s">
        <v>7250</v>
      </c>
      <c r="B1429" t="s">
        <v>10</v>
      </c>
      <c r="C1429">
        <v>0.75</v>
      </c>
      <c r="D1429">
        <v>0.75</v>
      </c>
      <c r="E1429">
        <v>0.75</v>
      </c>
      <c r="F1429">
        <v>0.75</v>
      </c>
      <c r="G1429">
        <v>0.75</v>
      </c>
      <c r="H1429">
        <v>0.7</v>
      </c>
      <c r="I1429">
        <v>750</v>
      </c>
      <c r="J1429">
        <v>562.5</v>
      </c>
      <c r="K1429" s="1">
        <v>43777</v>
      </c>
      <c r="L1429">
        <v>2</v>
      </c>
      <c r="M1429" t="s">
        <v>7249</v>
      </c>
    </row>
    <row r="1430" spans="1:13" x14ac:dyDescent="0.25">
      <c r="A1430" t="s">
        <v>4255</v>
      </c>
      <c r="B1430" t="s">
        <v>14</v>
      </c>
      <c r="C1430">
        <v>81.05</v>
      </c>
      <c r="D1430">
        <v>82.7</v>
      </c>
      <c r="E1430">
        <v>73.150000000000006</v>
      </c>
      <c r="F1430">
        <v>77</v>
      </c>
      <c r="G1430">
        <v>77</v>
      </c>
      <c r="H1430">
        <v>82.1</v>
      </c>
      <c r="I1430">
        <v>73657</v>
      </c>
      <c r="J1430">
        <v>5683221.8499999996</v>
      </c>
      <c r="K1430" s="1">
        <v>43777</v>
      </c>
      <c r="L1430">
        <v>1701</v>
      </c>
      <c r="M1430" t="s">
        <v>4257</v>
      </c>
    </row>
    <row r="1431" spans="1:13" x14ac:dyDescent="0.25">
      <c r="A1431" t="s">
        <v>4261</v>
      </c>
      <c r="B1431" t="s">
        <v>10</v>
      </c>
      <c r="C1431">
        <v>2.0499999999999998</v>
      </c>
      <c r="D1431">
        <v>2.0499999999999998</v>
      </c>
      <c r="E1431">
        <v>2</v>
      </c>
      <c r="F1431">
        <v>2</v>
      </c>
      <c r="G1431">
        <v>2</v>
      </c>
      <c r="H1431">
        <v>2.1</v>
      </c>
      <c r="I1431">
        <v>2976</v>
      </c>
      <c r="J1431">
        <v>5955</v>
      </c>
      <c r="K1431" s="1">
        <v>43777</v>
      </c>
      <c r="L1431">
        <v>8</v>
      </c>
      <c r="M1431" t="s">
        <v>4263</v>
      </c>
    </row>
    <row r="1432" spans="1:13" x14ac:dyDescent="0.25">
      <c r="A1432" t="s">
        <v>7248</v>
      </c>
      <c r="B1432" t="s">
        <v>10</v>
      </c>
      <c r="C1432">
        <v>5.6</v>
      </c>
      <c r="D1432">
        <v>5.65</v>
      </c>
      <c r="E1432">
        <v>5.4</v>
      </c>
      <c r="F1432">
        <v>5.65</v>
      </c>
      <c r="G1432">
        <v>5.65</v>
      </c>
      <c r="H1432">
        <v>5.4</v>
      </c>
      <c r="I1432">
        <v>329691</v>
      </c>
      <c r="J1432">
        <v>1850010.65</v>
      </c>
      <c r="K1432" s="1">
        <v>43777</v>
      </c>
      <c r="L1432">
        <v>405</v>
      </c>
      <c r="M1432" t="s">
        <v>7247</v>
      </c>
    </row>
    <row r="1433" spans="1:13" x14ac:dyDescent="0.25">
      <c r="A1433" t="s">
        <v>4270</v>
      </c>
      <c r="B1433" t="s">
        <v>14</v>
      </c>
      <c r="C1433">
        <v>65</v>
      </c>
      <c r="D1433">
        <v>65</v>
      </c>
      <c r="E1433">
        <v>63</v>
      </c>
      <c r="F1433">
        <v>63.1</v>
      </c>
      <c r="G1433">
        <v>63.05</v>
      </c>
      <c r="H1433">
        <v>64.8</v>
      </c>
      <c r="I1433">
        <v>2944</v>
      </c>
      <c r="J1433">
        <v>186171.95</v>
      </c>
      <c r="K1433" s="1">
        <v>43777</v>
      </c>
      <c r="L1433">
        <v>70</v>
      </c>
      <c r="M1433" t="s">
        <v>4272</v>
      </c>
    </row>
    <row r="1434" spans="1:13" x14ac:dyDescent="0.25">
      <c r="A1434" t="s">
        <v>4279</v>
      </c>
      <c r="B1434" t="s">
        <v>14</v>
      </c>
      <c r="C1434">
        <v>291.7</v>
      </c>
      <c r="D1434">
        <v>304.89999999999998</v>
      </c>
      <c r="E1434">
        <v>285.5</v>
      </c>
      <c r="F1434">
        <v>290</v>
      </c>
      <c r="G1434">
        <v>288.60000000000002</v>
      </c>
      <c r="H1434">
        <v>290.89999999999998</v>
      </c>
      <c r="I1434">
        <v>78902</v>
      </c>
      <c r="J1434">
        <v>23440138.550000001</v>
      </c>
      <c r="K1434" s="1">
        <v>43777</v>
      </c>
      <c r="L1434">
        <v>3005</v>
      </c>
      <c r="M1434" t="s">
        <v>4281</v>
      </c>
    </row>
    <row r="1435" spans="1:13" x14ac:dyDescent="0.25">
      <c r="A1435" t="s">
        <v>4282</v>
      </c>
      <c r="B1435" t="s">
        <v>14</v>
      </c>
      <c r="C1435">
        <v>4.8</v>
      </c>
      <c r="D1435">
        <v>4.8</v>
      </c>
      <c r="E1435">
        <v>4.6500000000000004</v>
      </c>
      <c r="F1435">
        <v>4.8</v>
      </c>
      <c r="G1435">
        <v>4.8</v>
      </c>
      <c r="H1435">
        <v>4.5999999999999996</v>
      </c>
      <c r="I1435">
        <v>16407456</v>
      </c>
      <c r="J1435">
        <v>78434536.849999994</v>
      </c>
      <c r="K1435" s="1">
        <v>43777</v>
      </c>
      <c r="L1435">
        <v>7893</v>
      </c>
      <c r="M1435" t="s">
        <v>4284</v>
      </c>
    </row>
    <row r="1436" spans="1:13" x14ac:dyDescent="0.25">
      <c r="A1436" t="s">
        <v>4285</v>
      </c>
      <c r="B1436" t="s">
        <v>14</v>
      </c>
      <c r="C1436">
        <v>86</v>
      </c>
      <c r="D1436">
        <v>92.95</v>
      </c>
      <c r="E1436">
        <v>84.6</v>
      </c>
      <c r="F1436">
        <v>92.25</v>
      </c>
      <c r="G1436">
        <v>92.95</v>
      </c>
      <c r="H1436">
        <v>88.75</v>
      </c>
      <c r="I1436">
        <v>26179</v>
      </c>
      <c r="J1436">
        <v>2412080.35</v>
      </c>
      <c r="K1436" s="1">
        <v>43777</v>
      </c>
      <c r="L1436">
        <v>219</v>
      </c>
      <c r="M1436" t="s">
        <v>4287</v>
      </c>
    </row>
    <row r="1437" spans="1:13" x14ac:dyDescent="0.25">
      <c r="A1437" t="s">
        <v>4288</v>
      </c>
      <c r="B1437" t="s">
        <v>5788</v>
      </c>
      <c r="C1437">
        <v>75.25</v>
      </c>
      <c r="D1437">
        <v>75.25</v>
      </c>
      <c r="E1437">
        <v>75.25</v>
      </c>
      <c r="F1437">
        <v>75.25</v>
      </c>
      <c r="G1437">
        <v>75.25</v>
      </c>
      <c r="H1437">
        <v>81.95</v>
      </c>
      <c r="I1437">
        <v>1000</v>
      </c>
      <c r="J1437">
        <v>75250</v>
      </c>
      <c r="K1437" s="1">
        <v>43777</v>
      </c>
      <c r="L1437">
        <v>1</v>
      </c>
      <c r="M1437" t="s">
        <v>4290</v>
      </c>
    </row>
    <row r="1438" spans="1:13" x14ac:dyDescent="0.25">
      <c r="A1438" t="s">
        <v>4297</v>
      </c>
      <c r="B1438" t="s">
        <v>10</v>
      </c>
      <c r="C1438">
        <v>22.6</v>
      </c>
      <c r="D1438">
        <v>22.7</v>
      </c>
      <c r="E1438">
        <v>21</v>
      </c>
      <c r="F1438">
        <v>22.4</v>
      </c>
      <c r="G1438">
        <v>22.7</v>
      </c>
      <c r="H1438">
        <v>21.65</v>
      </c>
      <c r="I1438">
        <v>22172</v>
      </c>
      <c r="J1438">
        <v>491201.9</v>
      </c>
      <c r="K1438" s="1">
        <v>43777</v>
      </c>
      <c r="L1438">
        <v>87</v>
      </c>
      <c r="M1438" t="s">
        <v>4299</v>
      </c>
    </row>
    <row r="1439" spans="1:13" x14ac:dyDescent="0.25">
      <c r="A1439" t="s">
        <v>4300</v>
      </c>
      <c r="B1439" t="s">
        <v>14</v>
      </c>
      <c r="C1439">
        <v>105.4</v>
      </c>
      <c r="D1439">
        <v>106.15</v>
      </c>
      <c r="E1439">
        <v>101.6</v>
      </c>
      <c r="F1439">
        <v>103.75</v>
      </c>
      <c r="G1439">
        <v>103</v>
      </c>
      <c r="H1439">
        <v>105.15</v>
      </c>
      <c r="I1439">
        <v>20819</v>
      </c>
      <c r="J1439">
        <v>2171122.6</v>
      </c>
      <c r="K1439" s="1">
        <v>43777</v>
      </c>
      <c r="L1439">
        <v>937</v>
      </c>
      <c r="M1439" t="s">
        <v>4302</v>
      </c>
    </row>
    <row r="1440" spans="1:13" x14ac:dyDescent="0.25">
      <c r="A1440" t="s">
        <v>4303</v>
      </c>
      <c r="B1440" t="s">
        <v>14</v>
      </c>
      <c r="C1440">
        <v>51.1</v>
      </c>
      <c r="D1440">
        <v>52</v>
      </c>
      <c r="E1440">
        <v>49</v>
      </c>
      <c r="F1440">
        <v>49.8</v>
      </c>
      <c r="G1440">
        <v>49.55</v>
      </c>
      <c r="H1440">
        <v>51</v>
      </c>
      <c r="I1440">
        <v>19965</v>
      </c>
      <c r="J1440">
        <v>1015900.75</v>
      </c>
      <c r="K1440" s="1">
        <v>43777</v>
      </c>
      <c r="L1440">
        <v>219</v>
      </c>
      <c r="M1440" t="s">
        <v>4305</v>
      </c>
    </row>
    <row r="1441" spans="1:13" x14ac:dyDescent="0.25">
      <c r="A1441" t="s">
        <v>7246</v>
      </c>
      <c r="B1441" t="s">
        <v>14</v>
      </c>
      <c r="C1441">
        <v>1.6</v>
      </c>
      <c r="D1441">
        <v>1.6</v>
      </c>
      <c r="E1441">
        <v>1.6</v>
      </c>
      <c r="F1441">
        <v>1.6</v>
      </c>
      <c r="G1441">
        <v>1.6</v>
      </c>
      <c r="H1441">
        <v>1.55</v>
      </c>
      <c r="I1441">
        <v>89603</v>
      </c>
      <c r="J1441">
        <v>143364.79999999999</v>
      </c>
      <c r="K1441" s="1">
        <v>43777</v>
      </c>
      <c r="L1441">
        <v>104</v>
      </c>
      <c r="M1441" t="s">
        <v>4308</v>
      </c>
    </row>
    <row r="1442" spans="1:13" x14ac:dyDescent="0.25">
      <c r="A1442" t="s">
        <v>4309</v>
      </c>
      <c r="B1442" t="s">
        <v>10</v>
      </c>
      <c r="C1442">
        <v>1.75</v>
      </c>
      <c r="D1442">
        <v>1.75</v>
      </c>
      <c r="E1442">
        <v>1.65</v>
      </c>
      <c r="F1442">
        <v>1.65</v>
      </c>
      <c r="G1442">
        <v>1.65</v>
      </c>
      <c r="H1442">
        <v>1.7</v>
      </c>
      <c r="I1442">
        <v>805332</v>
      </c>
      <c r="J1442">
        <v>1350353.05</v>
      </c>
      <c r="K1442" s="1">
        <v>43777</v>
      </c>
      <c r="L1442">
        <v>207</v>
      </c>
      <c r="M1442" t="s">
        <v>4311</v>
      </c>
    </row>
    <row r="1443" spans="1:13" x14ac:dyDescent="0.25">
      <c r="A1443" t="s">
        <v>4312</v>
      </c>
      <c r="B1443" t="s">
        <v>10</v>
      </c>
      <c r="C1443">
        <v>188</v>
      </c>
      <c r="D1443">
        <v>188</v>
      </c>
      <c r="E1443">
        <v>181</v>
      </c>
      <c r="F1443">
        <v>186.4</v>
      </c>
      <c r="G1443">
        <v>186.5</v>
      </c>
      <c r="H1443">
        <v>183.35</v>
      </c>
      <c r="I1443">
        <v>651</v>
      </c>
      <c r="J1443">
        <v>120768.05</v>
      </c>
      <c r="K1443" s="1">
        <v>43777</v>
      </c>
      <c r="L1443">
        <v>28</v>
      </c>
      <c r="M1443" t="s">
        <v>4314</v>
      </c>
    </row>
    <row r="1444" spans="1:13" x14ac:dyDescent="0.25">
      <c r="A1444" t="s">
        <v>4315</v>
      </c>
      <c r="B1444" t="s">
        <v>10</v>
      </c>
      <c r="C1444">
        <v>1.95</v>
      </c>
      <c r="D1444">
        <v>2.1</v>
      </c>
      <c r="E1444">
        <v>1.95</v>
      </c>
      <c r="F1444">
        <v>2.0499999999999998</v>
      </c>
      <c r="G1444">
        <v>2.0499999999999998</v>
      </c>
      <c r="H1444">
        <v>2</v>
      </c>
      <c r="I1444">
        <v>8523</v>
      </c>
      <c r="J1444">
        <v>17430.900000000001</v>
      </c>
      <c r="K1444" s="1">
        <v>43777</v>
      </c>
      <c r="L1444">
        <v>23</v>
      </c>
      <c r="M1444" t="s">
        <v>4317</v>
      </c>
    </row>
    <row r="1445" spans="1:13" x14ac:dyDescent="0.25">
      <c r="A1445" t="s">
        <v>4318</v>
      </c>
      <c r="B1445" t="s">
        <v>14</v>
      </c>
      <c r="C1445">
        <v>82.7</v>
      </c>
      <c r="D1445">
        <v>82.7</v>
      </c>
      <c r="E1445">
        <v>79.5</v>
      </c>
      <c r="F1445">
        <v>80.349999999999994</v>
      </c>
      <c r="G1445">
        <v>80.7</v>
      </c>
      <c r="H1445">
        <v>82.1</v>
      </c>
      <c r="I1445">
        <v>30613</v>
      </c>
      <c r="J1445">
        <v>2468844.9500000002</v>
      </c>
      <c r="K1445" s="1">
        <v>43777</v>
      </c>
      <c r="L1445">
        <v>472</v>
      </c>
      <c r="M1445" t="s">
        <v>4320</v>
      </c>
    </row>
    <row r="1446" spans="1:13" x14ac:dyDescent="0.25">
      <c r="A1446" t="s">
        <v>7245</v>
      </c>
      <c r="B1446" t="s">
        <v>14</v>
      </c>
      <c r="C1446">
        <v>3.5</v>
      </c>
      <c r="D1446">
        <v>3.6</v>
      </c>
      <c r="E1446">
        <v>3.45</v>
      </c>
      <c r="F1446">
        <v>3.55</v>
      </c>
      <c r="G1446">
        <v>3.6</v>
      </c>
      <c r="H1446">
        <v>3.6</v>
      </c>
      <c r="I1446">
        <v>3976237</v>
      </c>
      <c r="J1446">
        <v>13806405.85</v>
      </c>
      <c r="K1446" s="1">
        <v>43777</v>
      </c>
      <c r="L1446">
        <v>1978</v>
      </c>
      <c r="M1446" t="s">
        <v>7244</v>
      </c>
    </row>
    <row r="1447" spans="1:13" x14ac:dyDescent="0.25">
      <c r="A1447" t="s">
        <v>4321</v>
      </c>
      <c r="B1447" t="s">
        <v>14</v>
      </c>
      <c r="C1447">
        <v>177.85</v>
      </c>
      <c r="D1447">
        <v>185</v>
      </c>
      <c r="E1447">
        <v>176.25</v>
      </c>
      <c r="F1447">
        <v>177.8</v>
      </c>
      <c r="G1447">
        <v>178</v>
      </c>
      <c r="H1447">
        <v>178.35</v>
      </c>
      <c r="I1447">
        <v>37801</v>
      </c>
      <c r="J1447">
        <v>6833186.5999999996</v>
      </c>
      <c r="K1447" s="1">
        <v>43777</v>
      </c>
      <c r="L1447">
        <v>1032</v>
      </c>
      <c r="M1447" t="s">
        <v>4323</v>
      </c>
    </row>
    <row r="1448" spans="1:13" x14ac:dyDescent="0.25">
      <c r="A1448" t="s">
        <v>4324</v>
      </c>
      <c r="B1448" t="s">
        <v>14</v>
      </c>
      <c r="C1448">
        <v>106.85</v>
      </c>
      <c r="D1448">
        <v>108.55</v>
      </c>
      <c r="E1448">
        <v>103.7</v>
      </c>
      <c r="F1448">
        <v>108.55</v>
      </c>
      <c r="G1448">
        <v>108.55</v>
      </c>
      <c r="H1448">
        <v>103.4</v>
      </c>
      <c r="I1448">
        <v>29999</v>
      </c>
      <c r="J1448">
        <v>3234619.95</v>
      </c>
      <c r="K1448" s="1">
        <v>43777</v>
      </c>
      <c r="L1448">
        <v>1045</v>
      </c>
      <c r="M1448" t="s">
        <v>4326</v>
      </c>
    </row>
    <row r="1449" spans="1:13" x14ac:dyDescent="0.25">
      <c r="A1449" t="s">
        <v>4333</v>
      </c>
      <c r="B1449" t="s">
        <v>14</v>
      </c>
      <c r="C1449">
        <v>23.85</v>
      </c>
      <c r="D1449">
        <v>24.45</v>
      </c>
      <c r="E1449">
        <v>23.8</v>
      </c>
      <c r="F1449">
        <v>23.85</v>
      </c>
      <c r="G1449">
        <v>23.9</v>
      </c>
      <c r="H1449">
        <v>23.95</v>
      </c>
      <c r="I1449">
        <v>6360245</v>
      </c>
      <c r="J1449">
        <v>152877179.94999999</v>
      </c>
      <c r="K1449" s="1">
        <v>43777</v>
      </c>
      <c r="L1449">
        <v>16393</v>
      </c>
      <c r="M1449" t="s">
        <v>4335</v>
      </c>
    </row>
    <row r="1450" spans="1:13" x14ac:dyDescent="0.25">
      <c r="A1450" t="s">
        <v>7243</v>
      </c>
      <c r="B1450" t="s">
        <v>10</v>
      </c>
      <c r="C1450">
        <v>1.55</v>
      </c>
      <c r="D1450">
        <v>1.55</v>
      </c>
      <c r="E1450">
        <v>1.55</v>
      </c>
      <c r="F1450">
        <v>1.55</v>
      </c>
      <c r="G1450">
        <v>1.55</v>
      </c>
      <c r="H1450">
        <v>1.5</v>
      </c>
      <c r="I1450">
        <v>3586</v>
      </c>
      <c r="J1450">
        <v>5558.3</v>
      </c>
      <c r="K1450" s="1">
        <v>43777</v>
      </c>
      <c r="L1450">
        <v>5</v>
      </c>
      <c r="M1450" t="s">
        <v>7242</v>
      </c>
    </row>
    <row r="1451" spans="1:13" x14ac:dyDescent="0.25">
      <c r="A1451" t="s">
        <v>4342</v>
      </c>
      <c r="B1451" t="s">
        <v>14</v>
      </c>
      <c r="C1451">
        <v>129.15</v>
      </c>
      <c r="D1451">
        <v>133.15</v>
      </c>
      <c r="E1451">
        <v>121.9</v>
      </c>
      <c r="F1451">
        <v>124.95</v>
      </c>
      <c r="G1451">
        <v>124.9</v>
      </c>
      <c r="H1451">
        <v>130.5</v>
      </c>
      <c r="I1451">
        <v>135656</v>
      </c>
      <c r="J1451">
        <v>17054310.75</v>
      </c>
      <c r="K1451" s="1">
        <v>43777</v>
      </c>
      <c r="L1451">
        <v>2499</v>
      </c>
      <c r="M1451" t="s">
        <v>4344</v>
      </c>
    </row>
    <row r="1452" spans="1:13" x14ac:dyDescent="0.25">
      <c r="A1452" t="s">
        <v>4345</v>
      </c>
      <c r="B1452" t="s">
        <v>14</v>
      </c>
      <c r="C1452">
        <v>40.049999999999997</v>
      </c>
      <c r="D1452">
        <v>41.2</v>
      </c>
      <c r="E1452">
        <v>39</v>
      </c>
      <c r="F1452">
        <v>40.25</v>
      </c>
      <c r="G1452">
        <v>40.200000000000003</v>
      </c>
      <c r="H1452">
        <v>40.25</v>
      </c>
      <c r="I1452">
        <v>4843</v>
      </c>
      <c r="J1452">
        <v>193168.55</v>
      </c>
      <c r="K1452" s="1">
        <v>43777</v>
      </c>
      <c r="L1452">
        <v>126</v>
      </c>
      <c r="M1452" t="s">
        <v>4347</v>
      </c>
    </row>
    <row r="1453" spans="1:13" x14ac:dyDescent="0.25">
      <c r="A1453" t="s">
        <v>4351</v>
      </c>
      <c r="B1453" t="s">
        <v>14</v>
      </c>
      <c r="C1453">
        <v>568.9</v>
      </c>
      <c r="D1453">
        <v>573</v>
      </c>
      <c r="E1453">
        <v>551</v>
      </c>
      <c r="F1453">
        <v>552.4</v>
      </c>
      <c r="G1453">
        <v>551.5</v>
      </c>
      <c r="H1453">
        <v>555.29999999999995</v>
      </c>
      <c r="I1453">
        <v>4156</v>
      </c>
      <c r="J1453">
        <v>2329361.6</v>
      </c>
      <c r="K1453" s="1">
        <v>43777</v>
      </c>
      <c r="L1453">
        <v>641</v>
      </c>
      <c r="M1453" t="s">
        <v>4353</v>
      </c>
    </row>
    <row r="1454" spans="1:13" x14ac:dyDescent="0.25">
      <c r="A1454" t="s">
        <v>4354</v>
      </c>
      <c r="B1454" t="s">
        <v>10</v>
      </c>
      <c r="C1454">
        <v>65</v>
      </c>
      <c r="D1454">
        <v>65.650000000000006</v>
      </c>
      <c r="E1454">
        <v>63</v>
      </c>
      <c r="F1454">
        <v>64.099999999999994</v>
      </c>
      <c r="G1454">
        <v>65.5</v>
      </c>
      <c r="H1454">
        <v>62.6</v>
      </c>
      <c r="I1454">
        <v>6620</v>
      </c>
      <c r="J1454">
        <v>422872.65</v>
      </c>
      <c r="K1454" s="1">
        <v>43777</v>
      </c>
      <c r="L1454">
        <v>46</v>
      </c>
      <c r="M1454" t="s">
        <v>4356</v>
      </c>
    </row>
    <row r="1455" spans="1:13" x14ac:dyDescent="0.25">
      <c r="A1455" t="s">
        <v>4357</v>
      </c>
      <c r="B1455" t="s">
        <v>14</v>
      </c>
      <c r="C1455">
        <v>575.85</v>
      </c>
      <c r="D1455">
        <v>583.95000000000005</v>
      </c>
      <c r="E1455">
        <v>565</v>
      </c>
      <c r="F1455">
        <v>575.04999999999995</v>
      </c>
      <c r="G1455">
        <v>575</v>
      </c>
      <c r="H1455">
        <v>575.79999999999995</v>
      </c>
      <c r="I1455">
        <v>2731</v>
      </c>
      <c r="J1455">
        <v>1568863.9</v>
      </c>
      <c r="K1455" s="1">
        <v>43777</v>
      </c>
      <c r="L1455">
        <v>510</v>
      </c>
      <c r="M1455" t="s">
        <v>7241</v>
      </c>
    </row>
    <row r="1456" spans="1:13" x14ac:dyDescent="0.25">
      <c r="A1456" t="s">
        <v>4366</v>
      </c>
      <c r="B1456" t="s">
        <v>14</v>
      </c>
      <c r="C1456">
        <v>39.85</v>
      </c>
      <c r="D1456">
        <v>39.950000000000003</v>
      </c>
      <c r="E1456">
        <v>38.549999999999997</v>
      </c>
      <c r="F1456">
        <v>38.700000000000003</v>
      </c>
      <c r="G1456">
        <v>38.700000000000003</v>
      </c>
      <c r="H1456">
        <v>39.950000000000003</v>
      </c>
      <c r="I1456">
        <v>27026861</v>
      </c>
      <c r="J1456">
        <v>1061472191.45</v>
      </c>
      <c r="K1456" s="1">
        <v>43777</v>
      </c>
      <c r="L1456">
        <v>30088</v>
      </c>
      <c r="M1456" t="s">
        <v>4368</v>
      </c>
    </row>
    <row r="1457" spans="1:13" x14ac:dyDescent="0.25">
      <c r="A1457" t="s">
        <v>4369</v>
      </c>
      <c r="B1457" t="s">
        <v>10</v>
      </c>
      <c r="C1457">
        <v>51.75</v>
      </c>
      <c r="D1457">
        <v>51.9</v>
      </c>
      <c r="E1457">
        <v>51.5</v>
      </c>
      <c r="F1457">
        <v>51.9</v>
      </c>
      <c r="G1457">
        <v>51.9</v>
      </c>
      <c r="H1457">
        <v>52.4</v>
      </c>
      <c r="I1457">
        <v>11288</v>
      </c>
      <c r="J1457">
        <v>583500.25</v>
      </c>
      <c r="K1457" s="1">
        <v>43777</v>
      </c>
      <c r="L1457">
        <v>10</v>
      </c>
      <c r="M1457" t="s">
        <v>4371</v>
      </c>
    </row>
    <row r="1458" spans="1:13" x14ac:dyDescent="0.25">
      <c r="A1458" t="s">
        <v>7240</v>
      </c>
      <c r="B1458" t="s">
        <v>5788</v>
      </c>
      <c r="C1458">
        <v>125</v>
      </c>
      <c r="D1458">
        <v>125</v>
      </c>
      <c r="E1458">
        <v>125</v>
      </c>
      <c r="F1458">
        <v>125</v>
      </c>
      <c r="G1458">
        <v>125</v>
      </c>
      <c r="H1458">
        <v>126</v>
      </c>
      <c r="I1458">
        <v>12000</v>
      </c>
      <c r="J1458">
        <v>1500000</v>
      </c>
      <c r="K1458" s="1">
        <v>43777</v>
      </c>
      <c r="L1458">
        <v>1</v>
      </c>
      <c r="M1458" t="s">
        <v>5150</v>
      </c>
    </row>
    <row r="1459" spans="1:13" x14ac:dyDescent="0.25">
      <c r="A1459" t="s">
        <v>4372</v>
      </c>
      <c r="B1459" t="s">
        <v>14</v>
      </c>
      <c r="C1459">
        <v>9.25</v>
      </c>
      <c r="D1459">
        <v>9.25</v>
      </c>
      <c r="E1459">
        <v>8.5500000000000007</v>
      </c>
      <c r="F1459">
        <v>8.6</v>
      </c>
      <c r="G1459">
        <v>8.6</v>
      </c>
      <c r="H1459">
        <v>8.8000000000000007</v>
      </c>
      <c r="I1459">
        <v>40274</v>
      </c>
      <c r="J1459">
        <v>351398.45</v>
      </c>
      <c r="K1459" s="1">
        <v>43777</v>
      </c>
      <c r="L1459">
        <v>161</v>
      </c>
      <c r="M1459" t="s">
        <v>4374</v>
      </c>
    </row>
    <row r="1460" spans="1:13" x14ac:dyDescent="0.25">
      <c r="A1460" t="s">
        <v>4375</v>
      </c>
      <c r="B1460" t="s">
        <v>14</v>
      </c>
      <c r="C1460">
        <v>227.35</v>
      </c>
      <c r="D1460">
        <v>241.8</v>
      </c>
      <c r="E1460">
        <v>227.35</v>
      </c>
      <c r="F1460">
        <v>240</v>
      </c>
      <c r="G1460">
        <v>240</v>
      </c>
      <c r="H1460">
        <v>240.15</v>
      </c>
      <c r="I1460">
        <v>3927</v>
      </c>
      <c r="J1460">
        <v>942742.3</v>
      </c>
      <c r="K1460" s="1">
        <v>43777</v>
      </c>
      <c r="L1460">
        <v>1722</v>
      </c>
      <c r="M1460" t="s">
        <v>7239</v>
      </c>
    </row>
    <row r="1461" spans="1:13" x14ac:dyDescent="0.25">
      <c r="A1461" t="s">
        <v>4378</v>
      </c>
      <c r="B1461" t="s">
        <v>14</v>
      </c>
      <c r="C1461">
        <v>7.1</v>
      </c>
      <c r="D1461">
        <v>7.1</v>
      </c>
      <c r="E1461">
        <v>7</v>
      </c>
      <c r="F1461">
        <v>7.1</v>
      </c>
      <c r="G1461">
        <v>7.05</v>
      </c>
      <c r="H1461">
        <v>7.05</v>
      </c>
      <c r="I1461">
        <v>148911</v>
      </c>
      <c r="J1461">
        <v>1050545.95</v>
      </c>
      <c r="K1461" s="1">
        <v>43777</v>
      </c>
      <c r="L1461">
        <v>259</v>
      </c>
      <c r="M1461" t="s">
        <v>4380</v>
      </c>
    </row>
    <row r="1462" spans="1:13" x14ac:dyDescent="0.25">
      <c r="A1462" t="s">
        <v>4381</v>
      </c>
      <c r="B1462" t="s">
        <v>14</v>
      </c>
      <c r="C1462">
        <v>131.9</v>
      </c>
      <c r="D1462">
        <v>135</v>
      </c>
      <c r="E1462">
        <v>125</v>
      </c>
      <c r="F1462">
        <v>126.4</v>
      </c>
      <c r="G1462">
        <v>126.5</v>
      </c>
      <c r="H1462">
        <v>130.55000000000001</v>
      </c>
      <c r="I1462">
        <v>36284</v>
      </c>
      <c r="J1462">
        <v>4730299.8499999996</v>
      </c>
      <c r="K1462" s="1">
        <v>43777</v>
      </c>
      <c r="L1462">
        <v>580</v>
      </c>
      <c r="M1462" t="s">
        <v>7238</v>
      </c>
    </row>
    <row r="1463" spans="1:13" x14ac:dyDescent="0.25">
      <c r="A1463" t="s">
        <v>4384</v>
      </c>
      <c r="B1463" t="s">
        <v>14</v>
      </c>
      <c r="C1463">
        <v>66.2</v>
      </c>
      <c r="D1463">
        <v>66.55</v>
      </c>
      <c r="E1463">
        <v>66.2</v>
      </c>
      <c r="F1463">
        <v>66.5</v>
      </c>
      <c r="G1463">
        <v>66.5</v>
      </c>
      <c r="H1463">
        <v>69.900000000000006</v>
      </c>
      <c r="I1463">
        <v>20</v>
      </c>
      <c r="J1463">
        <v>1328.8</v>
      </c>
      <c r="K1463" s="1">
        <v>43777</v>
      </c>
      <c r="L1463">
        <v>5</v>
      </c>
      <c r="M1463" t="s">
        <v>4386</v>
      </c>
    </row>
    <row r="1464" spans="1:13" x14ac:dyDescent="0.25">
      <c r="A1464" t="s">
        <v>4387</v>
      </c>
      <c r="B1464" t="s">
        <v>10</v>
      </c>
      <c r="C1464">
        <v>2.5499999999999998</v>
      </c>
      <c r="D1464">
        <v>2.6</v>
      </c>
      <c r="E1464">
        <v>2.5</v>
      </c>
      <c r="F1464">
        <v>2.5499999999999998</v>
      </c>
      <c r="G1464">
        <v>2.5499999999999998</v>
      </c>
      <c r="H1464">
        <v>2.6</v>
      </c>
      <c r="I1464">
        <v>13927</v>
      </c>
      <c r="J1464">
        <v>35197.599999999999</v>
      </c>
      <c r="K1464" s="1">
        <v>43777</v>
      </c>
      <c r="L1464">
        <v>31</v>
      </c>
      <c r="M1464" t="s">
        <v>4389</v>
      </c>
    </row>
    <row r="1465" spans="1:13" x14ac:dyDescent="0.25">
      <c r="A1465" t="s">
        <v>4390</v>
      </c>
      <c r="B1465" t="s">
        <v>14</v>
      </c>
      <c r="C1465">
        <v>126.05</v>
      </c>
      <c r="D1465">
        <v>131</v>
      </c>
      <c r="E1465">
        <v>126</v>
      </c>
      <c r="F1465">
        <v>127.45</v>
      </c>
      <c r="G1465">
        <v>128</v>
      </c>
      <c r="H1465">
        <v>126.65</v>
      </c>
      <c r="I1465">
        <v>5219</v>
      </c>
      <c r="J1465">
        <v>668470.05000000005</v>
      </c>
      <c r="K1465" s="1">
        <v>43777</v>
      </c>
      <c r="L1465">
        <v>215</v>
      </c>
      <c r="M1465" t="s">
        <v>4392</v>
      </c>
    </row>
    <row r="1466" spans="1:13" x14ac:dyDescent="0.25">
      <c r="A1466" t="s">
        <v>4393</v>
      </c>
      <c r="B1466" t="s">
        <v>14</v>
      </c>
      <c r="C1466">
        <v>3.75</v>
      </c>
      <c r="D1466">
        <v>3.75</v>
      </c>
      <c r="E1466">
        <v>3.3</v>
      </c>
      <c r="F1466">
        <v>3.75</v>
      </c>
      <c r="G1466">
        <v>3.7</v>
      </c>
      <c r="H1466">
        <v>3.45</v>
      </c>
      <c r="I1466">
        <v>67887</v>
      </c>
      <c r="J1466">
        <v>246850.25</v>
      </c>
      <c r="K1466" s="1">
        <v>43777</v>
      </c>
      <c r="L1466">
        <v>230</v>
      </c>
      <c r="M1466" t="s">
        <v>4395</v>
      </c>
    </row>
    <row r="1467" spans="1:13" x14ac:dyDescent="0.25">
      <c r="A1467" t="s">
        <v>4402</v>
      </c>
      <c r="B1467" t="s">
        <v>14</v>
      </c>
      <c r="C1467">
        <v>16.5</v>
      </c>
      <c r="D1467">
        <v>16.600000000000001</v>
      </c>
      <c r="E1467">
        <v>15.7</v>
      </c>
      <c r="F1467">
        <v>15.95</v>
      </c>
      <c r="G1467">
        <v>16</v>
      </c>
      <c r="H1467">
        <v>16.2</v>
      </c>
      <c r="I1467">
        <v>124476</v>
      </c>
      <c r="J1467">
        <v>1985752.65</v>
      </c>
      <c r="K1467" s="1">
        <v>43777</v>
      </c>
      <c r="L1467">
        <v>421</v>
      </c>
      <c r="M1467" t="s">
        <v>4404</v>
      </c>
    </row>
    <row r="1468" spans="1:13" x14ac:dyDescent="0.25">
      <c r="A1468" t="s">
        <v>4405</v>
      </c>
      <c r="B1468" t="s">
        <v>14</v>
      </c>
      <c r="C1468">
        <v>600.04999999999995</v>
      </c>
      <c r="D1468">
        <v>609.9</v>
      </c>
      <c r="E1468">
        <v>591.1</v>
      </c>
      <c r="F1468">
        <v>601.20000000000005</v>
      </c>
      <c r="G1468">
        <v>600.1</v>
      </c>
      <c r="H1468">
        <v>608.95000000000005</v>
      </c>
      <c r="I1468">
        <v>20155</v>
      </c>
      <c r="J1468">
        <v>12165304.050000001</v>
      </c>
      <c r="K1468" s="1">
        <v>43777</v>
      </c>
      <c r="L1468">
        <v>146</v>
      </c>
      <c r="M1468" t="s">
        <v>4407</v>
      </c>
    </row>
    <row r="1469" spans="1:13" x14ac:dyDescent="0.25">
      <c r="A1469" t="s">
        <v>4408</v>
      </c>
      <c r="B1469" t="s">
        <v>14</v>
      </c>
      <c r="C1469">
        <v>239.7</v>
      </c>
      <c r="D1469">
        <v>243.05</v>
      </c>
      <c r="E1469">
        <v>238.1</v>
      </c>
      <c r="F1469">
        <v>239.45</v>
      </c>
      <c r="G1469">
        <v>240</v>
      </c>
      <c r="H1469">
        <v>240</v>
      </c>
      <c r="I1469">
        <v>3516</v>
      </c>
      <c r="J1469">
        <v>843265.7</v>
      </c>
      <c r="K1469" s="1">
        <v>43777</v>
      </c>
      <c r="L1469">
        <v>303</v>
      </c>
      <c r="M1469" t="s">
        <v>4410</v>
      </c>
    </row>
    <row r="1470" spans="1:13" x14ac:dyDescent="0.25">
      <c r="A1470" t="s">
        <v>4414</v>
      </c>
      <c r="B1470" t="s">
        <v>14</v>
      </c>
      <c r="C1470">
        <v>52.1</v>
      </c>
      <c r="D1470">
        <v>56</v>
      </c>
      <c r="E1470">
        <v>51.1</v>
      </c>
      <c r="F1470">
        <v>53.55</v>
      </c>
      <c r="G1470">
        <v>53</v>
      </c>
      <c r="H1470">
        <v>52.15</v>
      </c>
      <c r="I1470">
        <v>42530</v>
      </c>
      <c r="J1470">
        <v>2308595.65</v>
      </c>
      <c r="K1470" s="1">
        <v>43777</v>
      </c>
      <c r="L1470">
        <v>581</v>
      </c>
      <c r="M1470" t="s">
        <v>4416</v>
      </c>
    </row>
    <row r="1471" spans="1:13" x14ac:dyDescent="0.25">
      <c r="A1471" t="s">
        <v>4417</v>
      </c>
      <c r="B1471" t="s">
        <v>14</v>
      </c>
      <c r="C1471">
        <v>44.1</v>
      </c>
      <c r="D1471">
        <v>44.4</v>
      </c>
      <c r="E1471">
        <v>41.75</v>
      </c>
      <c r="F1471">
        <v>41.85</v>
      </c>
      <c r="G1471">
        <v>41.95</v>
      </c>
      <c r="H1471">
        <v>44.05</v>
      </c>
      <c r="I1471">
        <v>234663</v>
      </c>
      <c r="J1471">
        <v>9926717.5999999996</v>
      </c>
      <c r="K1471" s="1">
        <v>43777</v>
      </c>
      <c r="L1471">
        <v>1837</v>
      </c>
      <c r="M1471" t="s">
        <v>4419</v>
      </c>
    </row>
    <row r="1472" spans="1:13" x14ac:dyDescent="0.25">
      <c r="A1472" t="s">
        <v>7237</v>
      </c>
      <c r="B1472" t="s">
        <v>10</v>
      </c>
      <c r="C1472">
        <v>30.75</v>
      </c>
      <c r="D1472">
        <v>30.75</v>
      </c>
      <c r="E1472">
        <v>30.75</v>
      </c>
      <c r="F1472">
        <v>30.75</v>
      </c>
      <c r="G1472">
        <v>30.75</v>
      </c>
      <c r="H1472">
        <v>32.35</v>
      </c>
      <c r="I1472">
        <v>70</v>
      </c>
      <c r="J1472">
        <v>2152.5</v>
      </c>
      <c r="K1472" s="1">
        <v>43777</v>
      </c>
      <c r="L1472">
        <v>4</v>
      </c>
      <c r="M1472" t="s">
        <v>7236</v>
      </c>
    </row>
    <row r="1473" spans="1:13" x14ac:dyDescent="0.25">
      <c r="A1473" t="s">
        <v>4420</v>
      </c>
      <c r="B1473" t="s">
        <v>14</v>
      </c>
      <c r="C1473">
        <v>75.849999999999994</v>
      </c>
      <c r="D1473">
        <v>75.849999999999994</v>
      </c>
      <c r="E1473">
        <v>73.099999999999994</v>
      </c>
      <c r="F1473">
        <v>73.400000000000006</v>
      </c>
      <c r="G1473">
        <v>73.2</v>
      </c>
      <c r="H1473">
        <v>74.05</v>
      </c>
      <c r="I1473">
        <v>10448</v>
      </c>
      <c r="J1473">
        <v>778110.05</v>
      </c>
      <c r="K1473" s="1">
        <v>43777</v>
      </c>
      <c r="L1473">
        <v>178</v>
      </c>
      <c r="M1473" t="s">
        <v>4422</v>
      </c>
    </row>
    <row r="1474" spans="1:13" x14ac:dyDescent="0.25">
      <c r="A1474" t="s">
        <v>4423</v>
      </c>
      <c r="B1474" t="s">
        <v>14</v>
      </c>
      <c r="C1474">
        <v>151</v>
      </c>
      <c r="D1474">
        <v>151</v>
      </c>
      <c r="E1474">
        <v>140.85</v>
      </c>
      <c r="F1474">
        <v>146.6</v>
      </c>
      <c r="G1474">
        <v>147</v>
      </c>
      <c r="H1474">
        <v>147.1</v>
      </c>
      <c r="I1474">
        <v>98502</v>
      </c>
      <c r="J1474">
        <v>14567289.449999999</v>
      </c>
      <c r="K1474" s="1">
        <v>43777</v>
      </c>
      <c r="L1474">
        <v>474</v>
      </c>
      <c r="M1474" t="s">
        <v>4425</v>
      </c>
    </row>
    <row r="1475" spans="1:13" x14ac:dyDescent="0.25">
      <c r="A1475" t="s">
        <v>4426</v>
      </c>
      <c r="B1475" t="s">
        <v>14</v>
      </c>
      <c r="C1475">
        <v>6502</v>
      </c>
      <c r="D1475">
        <v>6578.5</v>
      </c>
      <c r="E1475">
        <v>6400</v>
      </c>
      <c r="F1475">
        <v>6466.9</v>
      </c>
      <c r="G1475">
        <v>6420</v>
      </c>
      <c r="H1475">
        <v>6497.95</v>
      </c>
      <c r="I1475">
        <v>4000</v>
      </c>
      <c r="J1475">
        <v>25990067.800000001</v>
      </c>
      <c r="K1475" s="1">
        <v>43777</v>
      </c>
      <c r="L1475">
        <v>1505</v>
      </c>
      <c r="M1475" t="s">
        <v>4428</v>
      </c>
    </row>
    <row r="1476" spans="1:13" x14ac:dyDescent="0.25">
      <c r="A1476" t="s">
        <v>7235</v>
      </c>
      <c r="B1476" t="s">
        <v>14</v>
      </c>
      <c r="C1476">
        <v>2.2000000000000002</v>
      </c>
      <c r="D1476">
        <v>2.25</v>
      </c>
      <c r="E1476">
        <v>2.2000000000000002</v>
      </c>
      <c r="F1476">
        <v>2.25</v>
      </c>
      <c r="G1476">
        <v>2.25</v>
      </c>
      <c r="H1476">
        <v>2.15</v>
      </c>
      <c r="I1476">
        <v>6764457</v>
      </c>
      <c r="J1476">
        <v>15179613.25</v>
      </c>
      <c r="K1476" s="1">
        <v>43777</v>
      </c>
      <c r="L1476">
        <v>1381</v>
      </c>
      <c r="M1476" t="s">
        <v>7234</v>
      </c>
    </row>
    <row r="1477" spans="1:13" x14ac:dyDescent="0.25">
      <c r="A1477" t="s">
        <v>4435</v>
      </c>
      <c r="B1477" t="s">
        <v>14</v>
      </c>
      <c r="C1477">
        <v>190.7</v>
      </c>
      <c r="D1477">
        <v>195.95</v>
      </c>
      <c r="E1477">
        <v>186.65</v>
      </c>
      <c r="F1477">
        <v>187.8</v>
      </c>
      <c r="G1477">
        <v>186.65</v>
      </c>
      <c r="H1477">
        <v>191</v>
      </c>
      <c r="I1477">
        <v>66396</v>
      </c>
      <c r="J1477">
        <v>12731919.1</v>
      </c>
      <c r="K1477" s="1">
        <v>43777</v>
      </c>
      <c r="L1477">
        <v>1490</v>
      </c>
      <c r="M1477" t="s">
        <v>7233</v>
      </c>
    </row>
    <row r="1478" spans="1:13" x14ac:dyDescent="0.25">
      <c r="A1478" t="s">
        <v>4438</v>
      </c>
      <c r="B1478" t="s">
        <v>14</v>
      </c>
      <c r="C1478">
        <v>402.15</v>
      </c>
      <c r="D1478">
        <v>420</v>
      </c>
      <c r="E1478">
        <v>402.1</v>
      </c>
      <c r="F1478">
        <v>411</v>
      </c>
      <c r="G1478">
        <v>411.1</v>
      </c>
      <c r="H1478">
        <v>407.05</v>
      </c>
      <c r="I1478">
        <v>12463</v>
      </c>
      <c r="J1478">
        <v>5121948.9000000004</v>
      </c>
      <c r="K1478" s="1">
        <v>43777</v>
      </c>
      <c r="L1478">
        <v>852</v>
      </c>
      <c r="M1478" t="s">
        <v>7232</v>
      </c>
    </row>
    <row r="1479" spans="1:13" x14ac:dyDescent="0.25">
      <c r="A1479" t="s">
        <v>4441</v>
      </c>
      <c r="B1479" t="s">
        <v>14</v>
      </c>
      <c r="C1479">
        <v>20.45</v>
      </c>
      <c r="D1479">
        <v>24.05</v>
      </c>
      <c r="E1479">
        <v>20</v>
      </c>
      <c r="F1479">
        <v>23.35</v>
      </c>
      <c r="G1479">
        <v>23.3</v>
      </c>
      <c r="H1479">
        <v>20.05</v>
      </c>
      <c r="I1479">
        <v>355777</v>
      </c>
      <c r="J1479">
        <v>8093592.75</v>
      </c>
      <c r="K1479" s="1">
        <v>43777</v>
      </c>
      <c r="L1479">
        <v>1554</v>
      </c>
      <c r="M1479" t="s">
        <v>4443</v>
      </c>
    </row>
    <row r="1480" spans="1:13" x14ac:dyDescent="0.25">
      <c r="A1480" t="s">
        <v>4447</v>
      </c>
      <c r="B1480" t="s">
        <v>14</v>
      </c>
      <c r="C1480">
        <v>638.9</v>
      </c>
      <c r="D1480">
        <v>638.9</v>
      </c>
      <c r="E1480">
        <v>630.65</v>
      </c>
      <c r="F1480">
        <v>632.70000000000005</v>
      </c>
      <c r="G1480">
        <v>633.5</v>
      </c>
      <c r="H1480">
        <v>633.95000000000005</v>
      </c>
      <c r="I1480">
        <v>13684</v>
      </c>
      <c r="J1480">
        <v>8651200.1999999993</v>
      </c>
      <c r="K1480" s="1">
        <v>43777</v>
      </c>
      <c r="L1480">
        <v>884</v>
      </c>
      <c r="M1480" t="s">
        <v>4449</v>
      </c>
    </row>
    <row r="1481" spans="1:13" x14ac:dyDescent="0.25">
      <c r="A1481" t="s">
        <v>4450</v>
      </c>
      <c r="B1481" t="s">
        <v>14</v>
      </c>
      <c r="C1481">
        <v>83.15</v>
      </c>
      <c r="D1481">
        <v>90</v>
      </c>
      <c r="E1481">
        <v>83.15</v>
      </c>
      <c r="F1481">
        <v>85.55</v>
      </c>
      <c r="G1481">
        <v>85.5</v>
      </c>
      <c r="H1481">
        <v>86.65</v>
      </c>
      <c r="I1481">
        <v>1218</v>
      </c>
      <c r="J1481">
        <v>105488.05</v>
      </c>
      <c r="K1481" s="1">
        <v>43777</v>
      </c>
      <c r="L1481">
        <v>192</v>
      </c>
      <c r="M1481" t="s">
        <v>4452</v>
      </c>
    </row>
    <row r="1482" spans="1:13" x14ac:dyDescent="0.25">
      <c r="A1482" t="s">
        <v>7231</v>
      </c>
      <c r="B1482" t="s">
        <v>10</v>
      </c>
      <c r="C1482">
        <v>3.2</v>
      </c>
      <c r="D1482">
        <v>3.2</v>
      </c>
      <c r="E1482">
        <v>3</v>
      </c>
      <c r="F1482">
        <v>3.2</v>
      </c>
      <c r="G1482">
        <v>3.2</v>
      </c>
      <c r="H1482">
        <v>3.15</v>
      </c>
      <c r="I1482">
        <v>15576</v>
      </c>
      <c r="J1482">
        <v>49243.199999999997</v>
      </c>
      <c r="K1482" s="1">
        <v>43777</v>
      </c>
      <c r="L1482">
        <v>13</v>
      </c>
      <c r="M1482" t="s">
        <v>7230</v>
      </c>
    </row>
    <row r="1483" spans="1:13" x14ac:dyDescent="0.25">
      <c r="A1483" t="s">
        <v>4453</v>
      </c>
      <c r="B1483" t="s">
        <v>14</v>
      </c>
      <c r="C1483">
        <v>77</v>
      </c>
      <c r="D1483">
        <v>83.35</v>
      </c>
      <c r="E1483">
        <v>77</v>
      </c>
      <c r="F1483">
        <v>79.45</v>
      </c>
      <c r="G1483">
        <v>79</v>
      </c>
      <c r="H1483">
        <v>79.150000000000006</v>
      </c>
      <c r="I1483">
        <v>49933</v>
      </c>
      <c r="J1483">
        <v>3977474.7</v>
      </c>
      <c r="K1483" s="1">
        <v>43777</v>
      </c>
      <c r="L1483">
        <v>368</v>
      </c>
      <c r="M1483" t="s">
        <v>4455</v>
      </c>
    </row>
    <row r="1484" spans="1:13" x14ac:dyDescent="0.25">
      <c r="A1484" t="s">
        <v>4456</v>
      </c>
      <c r="B1484" t="s">
        <v>14</v>
      </c>
      <c r="C1484">
        <v>232.7</v>
      </c>
      <c r="D1484">
        <v>244.7</v>
      </c>
      <c r="E1484">
        <v>229</v>
      </c>
      <c r="F1484">
        <v>236.6</v>
      </c>
      <c r="G1484">
        <v>237</v>
      </c>
      <c r="H1484">
        <v>228.8</v>
      </c>
      <c r="I1484">
        <v>51217</v>
      </c>
      <c r="J1484">
        <v>12132968.699999999</v>
      </c>
      <c r="K1484" s="1">
        <v>43777</v>
      </c>
      <c r="L1484">
        <v>2033</v>
      </c>
      <c r="M1484" t="s">
        <v>4458</v>
      </c>
    </row>
    <row r="1485" spans="1:13" x14ac:dyDescent="0.25">
      <c r="A1485" t="s">
        <v>6098</v>
      </c>
      <c r="B1485" t="s">
        <v>14</v>
      </c>
      <c r="C1485">
        <v>101.65</v>
      </c>
      <c r="D1485">
        <v>102.69</v>
      </c>
      <c r="E1485">
        <v>101</v>
      </c>
      <c r="F1485">
        <v>101.5</v>
      </c>
      <c r="G1485">
        <v>101.5</v>
      </c>
      <c r="H1485">
        <v>101.96</v>
      </c>
      <c r="I1485">
        <v>2520</v>
      </c>
      <c r="J1485">
        <v>257419.11</v>
      </c>
      <c r="K1485" s="1">
        <v>43777</v>
      </c>
      <c r="L1485">
        <v>64</v>
      </c>
      <c r="M1485" t="s">
        <v>6097</v>
      </c>
    </row>
    <row r="1486" spans="1:13" x14ac:dyDescent="0.25">
      <c r="A1486" t="s">
        <v>4477</v>
      </c>
      <c r="B1486" t="s">
        <v>14</v>
      </c>
      <c r="C1486">
        <v>1006</v>
      </c>
      <c r="D1486">
        <v>1022</v>
      </c>
      <c r="E1486">
        <v>976.5</v>
      </c>
      <c r="F1486">
        <v>982.2</v>
      </c>
      <c r="G1486">
        <v>983.5</v>
      </c>
      <c r="H1486">
        <v>986.45</v>
      </c>
      <c r="I1486">
        <v>5656687</v>
      </c>
      <c r="J1486">
        <v>5625922773</v>
      </c>
      <c r="K1486" s="1">
        <v>43777</v>
      </c>
      <c r="L1486">
        <v>277773</v>
      </c>
      <c r="M1486" t="s">
        <v>4479</v>
      </c>
    </row>
    <row r="1487" spans="1:13" x14ac:dyDescent="0.25">
      <c r="A1487" t="s">
        <v>4480</v>
      </c>
      <c r="B1487" t="s">
        <v>14</v>
      </c>
      <c r="C1487">
        <v>316.2</v>
      </c>
      <c r="D1487">
        <v>321</v>
      </c>
      <c r="E1487">
        <v>314.5</v>
      </c>
      <c r="F1487">
        <v>316</v>
      </c>
      <c r="G1487">
        <v>316.35000000000002</v>
      </c>
      <c r="H1487">
        <v>318.14999999999998</v>
      </c>
      <c r="I1487">
        <v>25423362</v>
      </c>
      <c r="J1487">
        <v>8071058812.6499996</v>
      </c>
      <c r="K1487" s="1">
        <v>43777</v>
      </c>
      <c r="L1487">
        <v>175265</v>
      </c>
      <c r="M1487" t="s">
        <v>4482</v>
      </c>
    </row>
    <row r="1488" spans="1:13" x14ac:dyDescent="0.25">
      <c r="A1488" t="s">
        <v>4480</v>
      </c>
      <c r="B1488" t="s">
        <v>6176</v>
      </c>
      <c r="C1488">
        <v>11490</v>
      </c>
      <c r="D1488">
        <v>11525</v>
      </c>
      <c r="E1488">
        <v>11490</v>
      </c>
      <c r="F1488">
        <v>11516</v>
      </c>
      <c r="G1488">
        <v>11516</v>
      </c>
      <c r="H1488">
        <v>11461</v>
      </c>
      <c r="I1488">
        <v>5</v>
      </c>
      <c r="J1488">
        <v>57563</v>
      </c>
      <c r="K1488" s="1">
        <v>43777</v>
      </c>
      <c r="L1488">
        <v>4</v>
      </c>
      <c r="M1488" t="s">
        <v>7229</v>
      </c>
    </row>
    <row r="1489" spans="1:13" x14ac:dyDescent="0.25">
      <c r="A1489" t="s">
        <v>4480</v>
      </c>
      <c r="B1489" t="s">
        <v>6174</v>
      </c>
      <c r="C1489">
        <v>11225</v>
      </c>
      <c r="D1489">
        <v>11825</v>
      </c>
      <c r="E1489">
        <v>11010.1</v>
      </c>
      <c r="F1489">
        <v>11786.14</v>
      </c>
      <c r="G1489">
        <v>11766</v>
      </c>
      <c r="H1489">
        <v>11755.51</v>
      </c>
      <c r="I1489">
        <v>214</v>
      </c>
      <c r="J1489">
        <v>2505390.1</v>
      </c>
      <c r="K1489" s="1">
        <v>43777</v>
      </c>
      <c r="L1489">
        <v>41</v>
      </c>
      <c r="M1489" t="s">
        <v>7228</v>
      </c>
    </row>
    <row r="1490" spans="1:13" x14ac:dyDescent="0.25">
      <c r="A1490" t="s">
        <v>4480</v>
      </c>
      <c r="B1490" t="s">
        <v>5843</v>
      </c>
      <c r="C1490">
        <v>11389.5</v>
      </c>
      <c r="D1490">
        <v>11425</v>
      </c>
      <c r="E1490">
        <v>11389</v>
      </c>
      <c r="F1490">
        <v>11419.44</v>
      </c>
      <c r="G1490">
        <v>11425</v>
      </c>
      <c r="H1490">
        <v>11390</v>
      </c>
      <c r="I1490">
        <v>30</v>
      </c>
      <c r="J1490">
        <v>341958.2</v>
      </c>
      <c r="K1490" s="1">
        <v>43777</v>
      </c>
      <c r="L1490">
        <v>17</v>
      </c>
      <c r="M1490" t="s">
        <v>7227</v>
      </c>
    </row>
    <row r="1491" spans="1:13" x14ac:dyDescent="0.25">
      <c r="A1491" t="s">
        <v>7226</v>
      </c>
      <c r="B1491" t="s">
        <v>10</v>
      </c>
      <c r="C1491">
        <v>0.45</v>
      </c>
      <c r="D1491">
        <v>0.45</v>
      </c>
      <c r="E1491">
        <v>0.45</v>
      </c>
      <c r="F1491">
        <v>0.45</v>
      </c>
      <c r="G1491">
        <v>0.45</v>
      </c>
      <c r="H1491">
        <v>0.5</v>
      </c>
      <c r="I1491">
        <v>2338</v>
      </c>
      <c r="J1491">
        <v>1052.0999999999999</v>
      </c>
      <c r="K1491" s="1">
        <v>43777</v>
      </c>
      <c r="L1491">
        <v>5</v>
      </c>
      <c r="M1491" t="s">
        <v>1678</v>
      </c>
    </row>
    <row r="1492" spans="1:13" x14ac:dyDescent="0.25">
      <c r="A1492" t="s">
        <v>4483</v>
      </c>
      <c r="B1492" t="s">
        <v>14</v>
      </c>
      <c r="C1492">
        <v>4387</v>
      </c>
      <c r="D1492">
        <v>4387</v>
      </c>
      <c r="E1492">
        <v>4251</v>
      </c>
      <c r="F1492">
        <v>4282.75</v>
      </c>
      <c r="G1492">
        <v>4257</v>
      </c>
      <c r="H1492">
        <v>4305.3</v>
      </c>
      <c r="I1492">
        <v>4233</v>
      </c>
      <c r="J1492">
        <v>18283778.199999999</v>
      </c>
      <c r="K1492" s="1">
        <v>43777</v>
      </c>
      <c r="L1492">
        <v>2387</v>
      </c>
      <c r="M1492" t="s">
        <v>7225</v>
      </c>
    </row>
    <row r="1493" spans="1:13" x14ac:dyDescent="0.25">
      <c r="A1493" t="s">
        <v>4486</v>
      </c>
      <c r="B1493" t="s">
        <v>14</v>
      </c>
      <c r="C1493">
        <v>65.349999999999994</v>
      </c>
      <c r="D1493">
        <v>72</v>
      </c>
      <c r="E1493">
        <v>62.3</v>
      </c>
      <c r="F1493">
        <v>71.599999999999994</v>
      </c>
      <c r="G1493">
        <v>71.95</v>
      </c>
      <c r="H1493">
        <v>65.349999999999994</v>
      </c>
      <c r="I1493">
        <v>87815</v>
      </c>
      <c r="J1493">
        <v>6076410.8499999996</v>
      </c>
      <c r="K1493" s="1">
        <v>43777</v>
      </c>
      <c r="L1493">
        <v>904</v>
      </c>
      <c r="M1493" t="s">
        <v>4488</v>
      </c>
    </row>
    <row r="1494" spans="1:13" x14ac:dyDescent="0.25">
      <c r="A1494" t="s">
        <v>4489</v>
      </c>
      <c r="B1494" t="s">
        <v>14</v>
      </c>
      <c r="C1494">
        <v>68.8</v>
      </c>
      <c r="D1494">
        <v>70.75</v>
      </c>
      <c r="E1494">
        <v>68.45</v>
      </c>
      <c r="F1494">
        <v>69.25</v>
      </c>
      <c r="G1494">
        <v>69.2</v>
      </c>
      <c r="H1494">
        <v>69</v>
      </c>
      <c r="I1494">
        <v>86892</v>
      </c>
      <c r="J1494">
        <v>6058865.7000000002</v>
      </c>
      <c r="K1494" s="1">
        <v>43777</v>
      </c>
      <c r="L1494">
        <v>1512</v>
      </c>
      <c r="M1494" t="s">
        <v>4491</v>
      </c>
    </row>
    <row r="1495" spans="1:13" x14ac:dyDescent="0.25">
      <c r="A1495" t="s">
        <v>4492</v>
      </c>
      <c r="B1495" t="s">
        <v>14</v>
      </c>
      <c r="C1495">
        <v>57.25</v>
      </c>
      <c r="D1495">
        <v>59.45</v>
      </c>
      <c r="E1495">
        <v>55.6</v>
      </c>
      <c r="F1495">
        <v>57.6</v>
      </c>
      <c r="G1495">
        <v>57.75</v>
      </c>
      <c r="H1495">
        <v>57.5</v>
      </c>
      <c r="I1495">
        <v>5082562</v>
      </c>
      <c r="J1495">
        <v>291434052.60000002</v>
      </c>
      <c r="K1495" s="1">
        <v>43777</v>
      </c>
      <c r="L1495">
        <v>18931</v>
      </c>
      <c r="M1495" t="s">
        <v>4494</v>
      </c>
    </row>
    <row r="1496" spans="1:13" x14ac:dyDescent="0.25">
      <c r="A1496" t="s">
        <v>4498</v>
      </c>
      <c r="B1496" t="s">
        <v>10</v>
      </c>
      <c r="C1496">
        <v>115.8</v>
      </c>
      <c r="D1496">
        <v>118</v>
      </c>
      <c r="E1496">
        <v>114.4</v>
      </c>
      <c r="F1496">
        <v>115.75</v>
      </c>
      <c r="G1496">
        <v>116</v>
      </c>
      <c r="H1496">
        <v>120.4</v>
      </c>
      <c r="I1496">
        <v>18443</v>
      </c>
      <c r="J1496">
        <v>2129359.25</v>
      </c>
      <c r="K1496" s="1">
        <v>43777</v>
      </c>
      <c r="L1496">
        <v>323</v>
      </c>
      <c r="M1496" t="s">
        <v>7224</v>
      </c>
    </row>
    <row r="1497" spans="1:13" x14ac:dyDescent="0.25">
      <c r="A1497" t="s">
        <v>4501</v>
      </c>
      <c r="B1497" t="s">
        <v>14</v>
      </c>
      <c r="C1497">
        <v>464.2</v>
      </c>
      <c r="D1497">
        <v>464.2</v>
      </c>
      <c r="E1497">
        <v>427</v>
      </c>
      <c r="F1497">
        <v>429.9</v>
      </c>
      <c r="G1497">
        <v>432</v>
      </c>
      <c r="H1497">
        <v>464.2</v>
      </c>
      <c r="I1497">
        <v>10441</v>
      </c>
      <c r="J1497">
        <v>4619832</v>
      </c>
      <c r="K1497" s="1">
        <v>43777</v>
      </c>
      <c r="L1497">
        <v>693</v>
      </c>
      <c r="M1497" t="s">
        <v>4503</v>
      </c>
    </row>
    <row r="1498" spans="1:13" x14ac:dyDescent="0.25">
      <c r="A1498" t="s">
        <v>6090</v>
      </c>
      <c r="B1498" t="s">
        <v>5788</v>
      </c>
      <c r="C1498">
        <v>55</v>
      </c>
      <c r="D1498">
        <v>55</v>
      </c>
      <c r="E1498">
        <v>55</v>
      </c>
      <c r="F1498">
        <v>55</v>
      </c>
      <c r="G1498">
        <v>55</v>
      </c>
      <c r="H1498">
        <v>55.2</v>
      </c>
      <c r="I1498">
        <v>6000</v>
      </c>
      <c r="J1498">
        <v>330000</v>
      </c>
      <c r="K1498" s="1">
        <v>43777</v>
      </c>
      <c r="L1498">
        <v>2</v>
      </c>
      <c r="M1498" t="s">
        <v>7223</v>
      </c>
    </row>
    <row r="1499" spans="1:13" x14ac:dyDescent="0.25">
      <c r="A1499" t="s">
        <v>4507</v>
      </c>
      <c r="B1499" t="s">
        <v>5788</v>
      </c>
      <c r="C1499">
        <v>45.4</v>
      </c>
      <c r="D1499">
        <v>45.4</v>
      </c>
      <c r="E1499">
        <v>42</v>
      </c>
      <c r="F1499">
        <v>42</v>
      </c>
      <c r="G1499">
        <v>42</v>
      </c>
      <c r="H1499">
        <v>43.25</v>
      </c>
      <c r="I1499">
        <v>1200</v>
      </c>
      <c r="J1499">
        <v>52440</v>
      </c>
      <c r="K1499" s="1">
        <v>43777</v>
      </c>
      <c r="L1499">
        <v>2</v>
      </c>
      <c r="M1499" t="s">
        <v>4509</v>
      </c>
    </row>
    <row r="1500" spans="1:13" x14ac:dyDescent="0.25">
      <c r="A1500" t="s">
        <v>4516</v>
      </c>
      <c r="B1500" t="s">
        <v>14</v>
      </c>
      <c r="C1500">
        <v>154.5</v>
      </c>
      <c r="D1500">
        <v>177</v>
      </c>
      <c r="E1500">
        <v>153</v>
      </c>
      <c r="F1500">
        <v>164.25</v>
      </c>
      <c r="G1500">
        <v>163.80000000000001</v>
      </c>
      <c r="H1500">
        <v>153.05000000000001</v>
      </c>
      <c r="I1500">
        <v>711852</v>
      </c>
      <c r="J1500">
        <v>120749674.84999999</v>
      </c>
      <c r="K1500" s="1">
        <v>43777</v>
      </c>
      <c r="L1500">
        <v>12675</v>
      </c>
      <c r="M1500" t="s">
        <v>4518</v>
      </c>
    </row>
    <row r="1501" spans="1:13" x14ac:dyDescent="0.25">
      <c r="A1501" t="s">
        <v>7222</v>
      </c>
      <c r="B1501" t="s">
        <v>14</v>
      </c>
      <c r="C1501">
        <v>0.75</v>
      </c>
      <c r="D1501">
        <v>0.8</v>
      </c>
      <c r="E1501">
        <v>0.75</v>
      </c>
      <c r="F1501">
        <v>0.8</v>
      </c>
      <c r="G1501">
        <v>0.8</v>
      </c>
      <c r="H1501">
        <v>0.75</v>
      </c>
      <c r="I1501">
        <v>42773</v>
      </c>
      <c r="J1501">
        <v>33697.199999999997</v>
      </c>
      <c r="K1501" s="1">
        <v>43777</v>
      </c>
      <c r="L1501">
        <v>45</v>
      </c>
      <c r="M1501" t="s">
        <v>7221</v>
      </c>
    </row>
    <row r="1502" spans="1:13" x14ac:dyDescent="0.25">
      <c r="A1502" t="s">
        <v>7220</v>
      </c>
      <c r="B1502" t="s">
        <v>14</v>
      </c>
      <c r="C1502">
        <v>3.55</v>
      </c>
      <c r="D1502">
        <v>3.55</v>
      </c>
      <c r="E1502">
        <v>3.2</v>
      </c>
      <c r="F1502">
        <v>3.3</v>
      </c>
      <c r="G1502">
        <v>3.3</v>
      </c>
      <c r="H1502">
        <v>3.25</v>
      </c>
      <c r="I1502">
        <v>14217</v>
      </c>
      <c r="J1502">
        <v>47921.95</v>
      </c>
      <c r="K1502" s="1">
        <v>43777</v>
      </c>
      <c r="L1502">
        <v>17</v>
      </c>
      <c r="M1502" t="s">
        <v>4401</v>
      </c>
    </row>
    <row r="1503" spans="1:13" x14ac:dyDescent="0.25">
      <c r="A1503" t="s">
        <v>4531</v>
      </c>
      <c r="B1503" t="s">
        <v>14</v>
      </c>
      <c r="C1503">
        <v>73.8</v>
      </c>
      <c r="D1503">
        <v>74.849999999999994</v>
      </c>
      <c r="E1503">
        <v>70.349999999999994</v>
      </c>
      <c r="F1503">
        <v>70.75</v>
      </c>
      <c r="G1503">
        <v>70.7</v>
      </c>
      <c r="H1503">
        <v>73.349999999999994</v>
      </c>
      <c r="I1503">
        <v>339584</v>
      </c>
      <c r="J1503">
        <v>24282420.649999999</v>
      </c>
      <c r="K1503" s="1">
        <v>43777</v>
      </c>
      <c r="L1503">
        <v>1159</v>
      </c>
      <c r="M1503" t="s">
        <v>4533</v>
      </c>
    </row>
    <row r="1504" spans="1:13" x14ac:dyDescent="0.25">
      <c r="A1504" t="s">
        <v>4537</v>
      </c>
      <c r="B1504" t="s">
        <v>14</v>
      </c>
      <c r="C1504">
        <v>178.9</v>
      </c>
      <c r="D1504">
        <v>182.8</v>
      </c>
      <c r="E1504">
        <v>177</v>
      </c>
      <c r="F1504">
        <v>178.05</v>
      </c>
      <c r="G1504">
        <v>178</v>
      </c>
      <c r="H1504">
        <v>178.9</v>
      </c>
      <c r="I1504">
        <v>82585</v>
      </c>
      <c r="J1504">
        <v>14721594.4</v>
      </c>
      <c r="K1504" s="1">
        <v>43777</v>
      </c>
      <c r="L1504">
        <v>392</v>
      </c>
      <c r="M1504" t="s">
        <v>4539</v>
      </c>
    </row>
    <row r="1505" spans="1:13" x14ac:dyDescent="0.25">
      <c r="A1505" t="s">
        <v>4540</v>
      </c>
      <c r="B1505" t="s">
        <v>14</v>
      </c>
      <c r="C1505">
        <v>15.25</v>
      </c>
      <c r="D1505">
        <v>15.4</v>
      </c>
      <c r="E1505">
        <v>14.85</v>
      </c>
      <c r="F1505">
        <v>14.95</v>
      </c>
      <c r="G1505">
        <v>15</v>
      </c>
      <c r="H1505">
        <v>15.25</v>
      </c>
      <c r="I1505">
        <v>85090</v>
      </c>
      <c r="J1505">
        <v>1282465.5</v>
      </c>
      <c r="K1505" s="1">
        <v>43777</v>
      </c>
      <c r="L1505">
        <v>501</v>
      </c>
      <c r="M1505" t="s">
        <v>4542</v>
      </c>
    </row>
    <row r="1506" spans="1:13" x14ac:dyDescent="0.25">
      <c r="A1506" t="s">
        <v>6084</v>
      </c>
      <c r="B1506" t="s">
        <v>14</v>
      </c>
      <c r="C1506">
        <v>187</v>
      </c>
      <c r="D1506">
        <v>189.19</v>
      </c>
      <c r="E1506">
        <v>186</v>
      </c>
      <c r="F1506">
        <v>186</v>
      </c>
      <c r="G1506">
        <v>186</v>
      </c>
      <c r="H1506">
        <v>187</v>
      </c>
      <c r="I1506">
        <v>5035</v>
      </c>
      <c r="J1506">
        <v>936555.95</v>
      </c>
      <c r="K1506" s="1">
        <v>43777</v>
      </c>
      <c r="L1506">
        <v>3</v>
      </c>
      <c r="M1506" t="s">
        <v>6083</v>
      </c>
    </row>
    <row r="1507" spans="1:13" x14ac:dyDescent="0.25">
      <c r="A1507" t="s">
        <v>6082</v>
      </c>
      <c r="B1507" t="s">
        <v>14</v>
      </c>
      <c r="C1507">
        <v>3450</v>
      </c>
      <c r="D1507">
        <v>3459</v>
      </c>
      <c r="E1507">
        <v>3430</v>
      </c>
      <c r="F1507">
        <v>3436.8</v>
      </c>
      <c r="G1507">
        <v>3440</v>
      </c>
      <c r="H1507">
        <v>3468.7</v>
      </c>
      <c r="I1507">
        <v>1709</v>
      </c>
      <c r="J1507">
        <v>5878409.2999999998</v>
      </c>
      <c r="K1507" s="1">
        <v>43777</v>
      </c>
      <c r="L1507">
        <v>247</v>
      </c>
      <c r="M1507" t="s">
        <v>7219</v>
      </c>
    </row>
    <row r="1508" spans="1:13" x14ac:dyDescent="0.25">
      <c r="A1508" t="s">
        <v>6080</v>
      </c>
      <c r="B1508" t="s">
        <v>14</v>
      </c>
      <c r="C1508">
        <v>123</v>
      </c>
      <c r="D1508">
        <v>123.7</v>
      </c>
      <c r="E1508">
        <v>122.39</v>
      </c>
      <c r="F1508">
        <v>122.63</v>
      </c>
      <c r="G1508">
        <v>122.9</v>
      </c>
      <c r="H1508">
        <v>123.34</v>
      </c>
      <c r="I1508">
        <v>117268</v>
      </c>
      <c r="J1508">
        <v>14442960.779999999</v>
      </c>
      <c r="K1508" s="1">
        <v>43777</v>
      </c>
      <c r="L1508">
        <v>552</v>
      </c>
      <c r="M1508" t="s">
        <v>6079</v>
      </c>
    </row>
    <row r="1509" spans="1:13" x14ac:dyDescent="0.25">
      <c r="A1509" t="s">
        <v>6078</v>
      </c>
      <c r="B1509" t="s">
        <v>14</v>
      </c>
      <c r="C1509">
        <v>308.97000000000003</v>
      </c>
      <c r="D1509">
        <v>314.06</v>
      </c>
      <c r="E1509">
        <v>308.5</v>
      </c>
      <c r="F1509">
        <v>309.22000000000003</v>
      </c>
      <c r="G1509">
        <v>310</v>
      </c>
      <c r="H1509">
        <v>308.97000000000003</v>
      </c>
      <c r="I1509">
        <v>303415</v>
      </c>
      <c r="J1509">
        <v>94260680.709999993</v>
      </c>
      <c r="K1509" s="1">
        <v>43777</v>
      </c>
      <c r="L1509">
        <v>1748</v>
      </c>
      <c r="M1509" t="s">
        <v>6077</v>
      </c>
    </row>
    <row r="1510" spans="1:13" x14ac:dyDescent="0.25">
      <c r="A1510" t="s">
        <v>6076</v>
      </c>
      <c r="B1510" t="s">
        <v>14</v>
      </c>
      <c r="C1510">
        <v>300</v>
      </c>
      <c r="D1510">
        <v>300</v>
      </c>
      <c r="E1510">
        <v>289.2</v>
      </c>
      <c r="F1510">
        <v>292.33999999999997</v>
      </c>
      <c r="G1510">
        <v>292.5</v>
      </c>
      <c r="H1510">
        <v>294.52</v>
      </c>
      <c r="I1510">
        <v>4763</v>
      </c>
      <c r="J1510">
        <v>1398763.98</v>
      </c>
      <c r="K1510" s="1">
        <v>43777</v>
      </c>
      <c r="L1510">
        <v>113</v>
      </c>
      <c r="M1510" t="s">
        <v>6075</v>
      </c>
    </row>
    <row r="1511" spans="1:13" x14ac:dyDescent="0.25">
      <c r="A1511" t="s">
        <v>7218</v>
      </c>
      <c r="B1511" t="s">
        <v>10</v>
      </c>
      <c r="C1511">
        <v>1.4</v>
      </c>
      <c r="D1511">
        <v>1.5</v>
      </c>
      <c r="E1511">
        <v>1.4</v>
      </c>
      <c r="F1511">
        <v>1.5</v>
      </c>
      <c r="G1511">
        <v>1.5</v>
      </c>
      <c r="H1511">
        <v>1.45</v>
      </c>
      <c r="I1511">
        <v>100661</v>
      </c>
      <c r="J1511">
        <v>144861.70000000001</v>
      </c>
      <c r="K1511" s="1">
        <v>43777</v>
      </c>
      <c r="L1511">
        <v>64</v>
      </c>
      <c r="M1511" t="s">
        <v>7217</v>
      </c>
    </row>
    <row r="1512" spans="1:13" x14ac:dyDescent="0.25">
      <c r="A1512" t="s">
        <v>4543</v>
      </c>
      <c r="B1512" t="s">
        <v>14</v>
      </c>
      <c r="C1512">
        <v>184.9</v>
      </c>
      <c r="D1512">
        <v>184.9</v>
      </c>
      <c r="E1512">
        <v>172</v>
      </c>
      <c r="F1512">
        <v>176</v>
      </c>
      <c r="G1512">
        <v>177</v>
      </c>
      <c r="H1512">
        <v>182.15</v>
      </c>
      <c r="I1512">
        <v>13435</v>
      </c>
      <c r="J1512">
        <v>2367478.9500000002</v>
      </c>
      <c r="K1512" s="1">
        <v>43777</v>
      </c>
      <c r="L1512">
        <v>427</v>
      </c>
      <c r="M1512" t="s">
        <v>4545</v>
      </c>
    </row>
    <row r="1513" spans="1:13" x14ac:dyDescent="0.25">
      <c r="A1513" t="s">
        <v>4546</v>
      </c>
      <c r="B1513" t="s">
        <v>14</v>
      </c>
      <c r="C1513">
        <v>1239.95</v>
      </c>
      <c r="D1513">
        <v>1267.95</v>
      </c>
      <c r="E1513">
        <v>1220</v>
      </c>
      <c r="F1513">
        <v>1232.55</v>
      </c>
      <c r="G1513">
        <v>1225.3499999999999</v>
      </c>
      <c r="H1513">
        <v>1240.5999999999999</v>
      </c>
      <c r="I1513">
        <v>2371</v>
      </c>
      <c r="J1513">
        <v>2917242.4</v>
      </c>
      <c r="K1513" s="1">
        <v>43777</v>
      </c>
      <c r="L1513">
        <v>443</v>
      </c>
      <c r="M1513" t="s">
        <v>4548</v>
      </c>
    </row>
    <row r="1514" spans="1:13" x14ac:dyDescent="0.25">
      <c r="A1514" t="s">
        <v>6072</v>
      </c>
      <c r="B1514" t="s">
        <v>5953</v>
      </c>
      <c r="C1514">
        <v>3715</v>
      </c>
      <c r="D1514">
        <v>3720</v>
      </c>
      <c r="E1514">
        <v>3681.1</v>
      </c>
      <c r="F1514">
        <v>3720</v>
      </c>
      <c r="G1514">
        <v>3720</v>
      </c>
      <c r="H1514">
        <v>3744</v>
      </c>
      <c r="I1514">
        <v>193</v>
      </c>
      <c r="J1514">
        <v>715731.5</v>
      </c>
      <c r="K1514" s="1">
        <v>43777</v>
      </c>
      <c r="L1514">
        <v>30</v>
      </c>
      <c r="M1514" t="s">
        <v>6071</v>
      </c>
    </row>
    <row r="1515" spans="1:13" x14ac:dyDescent="0.25">
      <c r="A1515" t="s">
        <v>6070</v>
      </c>
      <c r="B1515" t="s">
        <v>5953</v>
      </c>
      <c r="C1515">
        <v>3626</v>
      </c>
      <c r="D1515">
        <v>3650.01</v>
      </c>
      <c r="E1515">
        <v>3625</v>
      </c>
      <c r="F1515">
        <v>3650</v>
      </c>
      <c r="G1515">
        <v>3650</v>
      </c>
      <c r="H1515">
        <v>3676</v>
      </c>
      <c r="I1515">
        <v>46</v>
      </c>
      <c r="J1515">
        <v>167652.01</v>
      </c>
      <c r="K1515" s="1">
        <v>43777</v>
      </c>
      <c r="L1515">
        <v>6</v>
      </c>
      <c r="M1515" t="s">
        <v>6069</v>
      </c>
    </row>
    <row r="1516" spans="1:13" x14ac:dyDescent="0.25">
      <c r="A1516" t="s">
        <v>7216</v>
      </c>
      <c r="B1516" t="s">
        <v>5953</v>
      </c>
      <c r="C1516">
        <v>3613.25</v>
      </c>
      <c r="D1516">
        <v>3640</v>
      </c>
      <c r="E1516">
        <v>3602</v>
      </c>
      <c r="F1516">
        <v>3640</v>
      </c>
      <c r="G1516">
        <v>3640</v>
      </c>
      <c r="H1516">
        <v>3640</v>
      </c>
      <c r="I1516">
        <v>53</v>
      </c>
      <c r="J1516">
        <v>191667.53</v>
      </c>
      <c r="K1516" s="1">
        <v>43777</v>
      </c>
      <c r="L1516">
        <v>9</v>
      </c>
      <c r="M1516" t="s">
        <v>7215</v>
      </c>
    </row>
    <row r="1517" spans="1:13" x14ac:dyDescent="0.25">
      <c r="A1517" t="s">
        <v>6050</v>
      </c>
      <c r="B1517" t="s">
        <v>5953</v>
      </c>
      <c r="C1517">
        <v>3666</v>
      </c>
      <c r="D1517">
        <v>3685</v>
      </c>
      <c r="E1517">
        <v>3666</v>
      </c>
      <c r="F1517">
        <v>3685</v>
      </c>
      <c r="G1517">
        <v>3685</v>
      </c>
      <c r="H1517">
        <v>3665.55</v>
      </c>
      <c r="I1517">
        <v>12</v>
      </c>
      <c r="J1517">
        <v>44182</v>
      </c>
      <c r="K1517" s="1">
        <v>43777</v>
      </c>
      <c r="L1517">
        <v>4</v>
      </c>
      <c r="M1517" t="s">
        <v>6049</v>
      </c>
    </row>
    <row r="1518" spans="1:13" x14ac:dyDescent="0.25">
      <c r="A1518" t="s">
        <v>6040</v>
      </c>
      <c r="B1518" t="s">
        <v>5953</v>
      </c>
      <c r="C1518">
        <v>3555</v>
      </c>
      <c r="D1518">
        <v>3675</v>
      </c>
      <c r="E1518">
        <v>3555</v>
      </c>
      <c r="F1518">
        <v>3675</v>
      </c>
      <c r="G1518">
        <v>3675</v>
      </c>
      <c r="H1518">
        <v>3690</v>
      </c>
      <c r="I1518">
        <v>11</v>
      </c>
      <c r="J1518">
        <v>39225</v>
      </c>
      <c r="K1518" s="1">
        <v>43777</v>
      </c>
      <c r="L1518">
        <v>5</v>
      </c>
      <c r="M1518" t="s">
        <v>6039</v>
      </c>
    </row>
    <row r="1519" spans="1:13" x14ac:dyDescent="0.25">
      <c r="A1519" t="s">
        <v>6028</v>
      </c>
      <c r="B1519" t="s">
        <v>5953</v>
      </c>
      <c r="C1519">
        <v>3640</v>
      </c>
      <c r="D1519">
        <v>3649.9</v>
      </c>
      <c r="E1519">
        <v>3630</v>
      </c>
      <c r="F1519">
        <v>3631</v>
      </c>
      <c r="G1519">
        <v>3631</v>
      </c>
      <c r="H1519">
        <v>3640.62</v>
      </c>
      <c r="I1519">
        <v>53</v>
      </c>
      <c r="J1519">
        <v>192551</v>
      </c>
      <c r="K1519" s="1">
        <v>43777</v>
      </c>
      <c r="L1519">
        <v>32</v>
      </c>
      <c r="M1519" t="s">
        <v>6027</v>
      </c>
    </row>
    <row r="1520" spans="1:13" x14ac:dyDescent="0.25">
      <c r="A1520" t="s">
        <v>6026</v>
      </c>
      <c r="B1520" t="s">
        <v>5953</v>
      </c>
      <c r="C1520">
        <v>3775</v>
      </c>
      <c r="D1520">
        <v>3775</v>
      </c>
      <c r="E1520">
        <v>3635</v>
      </c>
      <c r="F1520">
        <v>3635</v>
      </c>
      <c r="G1520">
        <v>3635</v>
      </c>
      <c r="H1520">
        <v>3789</v>
      </c>
      <c r="I1520">
        <v>2</v>
      </c>
      <c r="J1520">
        <v>7410</v>
      </c>
      <c r="K1520" s="1">
        <v>43777</v>
      </c>
      <c r="L1520">
        <v>2</v>
      </c>
      <c r="M1520" t="s">
        <v>6025</v>
      </c>
    </row>
    <row r="1521" spans="1:13" x14ac:dyDescent="0.25">
      <c r="A1521" t="s">
        <v>6020</v>
      </c>
      <c r="B1521" t="s">
        <v>5953</v>
      </c>
      <c r="C1521">
        <v>3650</v>
      </c>
      <c r="D1521">
        <v>3650</v>
      </c>
      <c r="E1521">
        <v>3650</v>
      </c>
      <c r="F1521">
        <v>3650</v>
      </c>
      <c r="G1521">
        <v>3650</v>
      </c>
      <c r="H1521">
        <v>3625</v>
      </c>
      <c r="I1521">
        <v>3</v>
      </c>
      <c r="J1521">
        <v>10950</v>
      </c>
      <c r="K1521" s="1">
        <v>43777</v>
      </c>
      <c r="L1521">
        <v>1</v>
      </c>
      <c r="M1521" t="s">
        <v>6019</v>
      </c>
    </row>
    <row r="1522" spans="1:13" x14ac:dyDescent="0.25">
      <c r="A1522" t="s">
        <v>6010</v>
      </c>
      <c r="B1522" t="s">
        <v>5953</v>
      </c>
      <c r="C1522">
        <v>3650.01</v>
      </c>
      <c r="D1522">
        <v>3670</v>
      </c>
      <c r="E1522">
        <v>3650</v>
      </c>
      <c r="F1522">
        <v>3663.02</v>
      </c>
      <c r="G1522">
        <v>3650</v>
      </c>
      <c r="H1522">
        <v>3720</v>
      </c>
      <c r="I1522">
        <v>70</v>
      </c>
      <c r="J1522">
        <v>255810.42</v>
      </c>
      <c r="K1522" s="1">
        <v>43777</v>
      </c>
      <c r="L1522">
        <v>9</v>
      </c>
      <c r="M1522" t="s">
        <v>6009</v>
      </c>
    </row>
    <row r="1523" spans="1:13" x14ac:dyDescent="0.25">
      <c r="A1523" t="s">
        <v>6008</v>
      </c>
      <c r="B1523" t="s">
        <v>5953</v>
      </c>
      <c r="C1523">
        <v>3650</v>
      </c>
      <c r="D1523">
        <v>3650</v>
      </c>
      <c r="E1523">
        <v>3606.2</v>
      </c>
      <c r="F1523">
        <v>3650</v>
      </c>
      <c r="G1523">
        <v>3650</v>
      </c>
      <c r="H1523">
        <v>3650</v>
      </c>
      <c r="I1523">
        <v>87</v>
      </c>
      <c r="J1523">
        <v>314668</v>
      </c>
      <c r="K1523" s="1">
        <v>43777</v>
      </c>
      <c r="L1523">
        <v>9</v>
      </c>
      <c r="M1523" t="s">
        <v>6007</v>
      </c>
    </row>
    <row r="1524" spans="1:13" x14ac:dyDescent="0.25">
      <c r="A1524" t="s">
        <v>6000</v>
      </c>
      <c r="B1524" t="s">
        <v>5953</v>
      </c>
      <c r="C1524">
        <v>3645</v>
      </c>
      <c r="D1524">
        <v>3645</v>
      </c>
      <c r="E1524">
        <v>3600</v>
      </c>
      <c r="F1524">
        <v>3607.54</v>
      </c>
      <c r="G1524">
        <v>3600</v>
      </c>
      <c r="H1524">
        <v>3667</v>
      </c>
      <c r="I1524">
        <v>55</v>
      </c>
      <c r="J1524">
        <v>198821.53</v>
      </c>
      <c r="K1524" s="1">
        <v>43777</v>
      </c>
      <c r="L1524">
        <v>22</v>
      </c>
      <c r="M1524" t="s">
        <v>5999</v>
      </c>
    </row>
    <row r="1525" spans="1:13" x14ac:dyDescent="0.25">
      <c r="A1525" t="s">
        <v>5998</v>
      </c>
      <c r="B1525" t="s">
        <v>5953</v>
      </c>
      <c r="C1525">
        <v>3615</v>
      </c>
      <c r="D1525">
        <v>3615</v>
      </c>
      <c r="E1525">
        <v>3586.05</v>
      </c>
      <c r="F1525">
        <v>3601</v>
      </c>
      <c r="G1525">
        <v>3601</v>
      </c>
      <c r="H1525">
        <v>3615</v>
      </c>
      <c r="I1525">
        <v>75</v>
      </c>
      <c r="J1525">
        <v>270158.05</v>
      </c>
      <c r="K1525" s="1">
        <v>43777</v>
      </c>
      <c r="L1525">
        <v>6</v>
      </c>
      <c r="M1525" t="s">
        <v>5997</v>
      </c>
    </row>
    <row r="1526" spans="1:13" x14ac:dyDescent="0.25">
      <c r="A1526" t="s">
        <v>5988</v>
      </c>
      <c r="B1526" t="s">
        <v>5953</v>
      </c>
      <c r="C1526">
        <v>3695</v>
      </c>
      <c r="D1526">
        <v>3700</v>
      </c>
      <c r="E1526">
        <v>3662</v>
      </c>
      <c r="F1526">
        <v>3695</v>
      </c>
      <c r="G1526">
        <v>3695</v>
      </c>
      <c r="H1526">
        <v>3703.65</v>
      </c>
      <c r="I1526">
        <v>35</v>
      </c>
      <c r="J1526">
        <v>129389</v>
      </c>
      <c r="K1526" s="1">
        <v>43777</v>
      </c>
      <c r="L1526">
        <v>8</v>
      </c>
      <c r="M1526" t="s">
        <v>5987</v>
      </c>
    </row>
    <row r="1527" spans="1:13" x14ac:dyDescent="0.25">
      <c r="A1527" t="s">
        <v>5986</v>
      </c>
      <c r="B1527" t="s">
        <v>5953</v>
      </c>
      <c r="C1527">
        <v>3650.1</v>
      </c>
      <c r="D1527">
        <v>3650.1</v>
      </c>
      <c r="E1527">
        <v>3631.5</v>
      </c>
      <c r="F1527">
        <v>3645.93</v>
      </c>
      <c r="G1527">
        <v>3644</v>
      </c>
      <c r="H1527">
        <v>3656.91</v>
      </c>
      <c r="I1527">
        <v>294</v>
      </c>
      <c r="J1527">
        <v>1069908.6000000001</v>
      </c>
      <c r="K1527" s="1">
        <v>43777</v>
      </c>
      <c r="L1527">
        <v>38</v>
      </c>
      <c r="M1527" t="s">
        <v>5985</v>
      </c>
    </row>
    <row r="1528" spans="1:13" x14ac:dyDescent="0.25">
      <c r="A1528" t="s">
        <v>5984</v>
      </c>
      <c r="B1528" t="s">
        <v>5953</v>
      </c>
      <c r="C1528">
        <v>3625.01</v>
      </c>
      <c r="D1528">
        <v>3625.01</v>
      </c>
      <c r="E1528">
        <v>3625.01</v>
      </c>
      <c r="F1528">
        <v>3625.01</v>
      </c>
      <c r="G1528">
        <v>3625.01</v>
      </c>
      <c r="H1528">
        <v>3660</v>
      </c>
      <c r="I1528">
        <v>11</v>
      </c>
      <c r="J1528">
        <v>39875.11</v>
      </c>
      <c r="K1528" s="1">
        <v>43777</v>
      </c>
      <c r="L1528">
        <v>1</v>
      </c>
      <c r="M1528" t="s">
        <v>5983</v>
      </c>
    </row>
    <row r="1529" spans="1:13" x14ac:dyDescent="0.25">
      <c r="A1529" t="s">
        <v>7214</v>
      </c>
      <c r="B1529" t="s">
        <v>5953</v>
      </c>
      <c r="C1529">
        <v>3800</v>
      </c>
      <c r="D1529">
        <v>3800</v>
      </c>
      <c r="E1529">
        <v>3800</v>
      </c>
      <c r="F1529">
        <v>3800</v>
      </c>
      <c r="G1529">
        <v>3800</v>
      </c>
      <c r="H1529">
        <v>3600</v>
      </c>
      <c r="I1529">
        <v>1</v>
      </c>
      <c r="J1529">
        <v>3800</v>
      </c>
      <c r="K1529" s="1">
        <v>43777</v>
      </c>
      <c r="L1529">
        <v>1</v>
      </c>
      <c r="M1529" t="s">
        <v>7213</v>
      </c>
    </row>
    <row r="1530" spans="1:13" x14ac:dyDescent="0.25">
      <c r="A1530" t="s">
        <v>5972</v>
      </c>
      <c r="B1530" t="s">
        <v>5953</v>
      </c>
      <c r="C1530">
        <v>3600</v>
      </c>
      <c r="D1530">
        <v>3605</v>
      </c>
      <c r="E1530">
        <v>3600</v>
      </c>
      <c r="F1530">
        <v>3605</v>
      </c>
      <c r="G1530">
        <v>3605</v>
      </c>
      <c r="H1530">
        <v>3660</v>
      </c>
      <c r="I1530">
        <v>2</v>
      </c>
      <c r="J1530">
        <v>7205</v>
      </c>
      <c r="K1530" s="1">
        <v>43777</v>
      </c>
      <c r="L1530">
        <v>2</v>
      </c>
      <c r="M1530" t="s">
        <v>5971</v>
      </c>
    </row>
    <row r="1531" spans="1:13" x14ac:dyDescent="0.25">
      <c r="A1531" t="s">
        <v>5970</v>
      </c>
      <c r="B1531" t="s">
        <v>5953</v>
      </c>
      <c r="C1531">
        <v>3600</v>
      </c>
      <c r="D1531">
        <v>3600</v>
      </c>
      <c r="E1531">
        <v>3592</v>
      </c>
      <c r="F1531">
        <v>3598.55</v>
      </c>
      <c r="G1531">
        <v>3592</v>
      </c>
      <c r="H1531">
        <v>3631</v>
      </c>
      <c r="I1531">
        <v>69</v>
      </c>
      <c r="J1531">
        <v>248302</v>
      </c>
      <c r="K1531" s="1">
        <v>43777</v>
      </c>
      <c r="L1531">
        <v>8</v>
      </c>
      <c r="M1531" t="s">
        <v>5969</v>
      </c>
    </row>
    <row r="1532" spans="1:13" x14ac:dyDescent="0.25">
      <c r="A1532" t="s">
        <v>5968</v>
      </c>
      <c r="B1532" t="s">
        <v>5953</v>
      </c>
      <c r="C1532">
        <v>3605</v>
      </c>
      <c r="D1532">
        <v>3605</v>
      </c>
      <c r="E1532">
        <v>3605</v>
      </c>
      <c r="F1532">
        <v>3605</v>
      </c>
      <c r="G1532">
        <v>3605</v>
      </c>
      <c r="H1532">
        <v>3650</v>
      </c>
      <c r="I1532">
        <v>17</v>
      </c>
      <c r="J1532">
        <v>61285</v>
      </c>
      <c r="K1532" s="1">
        <v>43777</v>
      </c>
      <c r="L1532">
        <v>1</v>
      </c>
      <c r="M1532" t="s">
        <v>5967</v>
      </c>
    </row>
    <row r="1533" spans="1:13" x14ac:dyDescent="0.25">
      <c r="A1533" t="s">
        <v>5966</v>
      </c>
      <c r="B1533" t="s">
        <v>5953</v>
      </c>
      <c r="C1533">
        <v>3620</v>
      </c>
      <c r="D1533">
        <v>3651</v>
      </c>
      <c r="E1533">
        <v>3620</v>
      </c>
      <c r="F1533">
        <v>3651</v>
      </c>
      <c r="G1533">
        <v>3651</v>
      </c>
      <c r="H1533">
        <v>3765</v>
      </c>
      <c r="I1533">
        <v>2</v>
      </c>
      <c r="J1533">
        <v>7271</v>
      </c>
      <c r="K1533" s="1">
        <v>43777</v>
      </c>
      <c r="L1533">
        <v>2</v>
      </c>
      <c r="M1533" t="s">
        <v>5965</v>
      </c>
    </row>
    <row r="1534" spans="1:13" x14ac:dyDescent="0.25">
      <c r="A1534" t="s">
        <v>5964</v>
      </c>
      <c r="B1534" t="s">
        <v>5953</v>
      </c>
      <c r="C1534">
        <v>3600</v>
      </c>
      <c r="D1534">
        <v>3775</v>
      </c>
      <c r="E1534">
        <v>3600</v>
      </c>
      <c r="F1534">
        <v>3775</v>
      </c>
      <c r="G1534">
        <v>3775</v>
      </c>
      <c r="H1534">
        <v>3637.86</v>
      </c>
      <c r="I1534">
        <v>9</v>
      </c>
      <c r="J1534">
        <v>33311</v>
      </c>
      <c r="K1534" s="1">
        <v>43777</v>
      </c>
      <c r="L1534">
        <v>6</v>
      </c>
      <c r="M1534" t="s">
        <v>5963</v>
      </c>
    </row>
    <row r="1535" spans="1:13" x14ac:dyDescent="0.25">
      <c r="A1535" t="s">
        <v>5962</v>
      </c>
      <c r="B1535" t="s">
        <v>5953</v>
      </c>
      <c r="C1535">
        <v>3675</v>
      </c>
      <c r="D1535">
        <v>3675</v>
      </c>
      <c r="E1535">
        <v>3660.01</v>
      </c>
      <c r="F1535">
        <v>3675</v>
      </c>
      <c r="G1535">
        <v>3675</v>
      </c>
      <c r="H1535">
        <v>3680.9</v>
      </c>
      <c r="I1535">
        <v>101</v>
      </c>
      <c r="J1535">
        <v>371022.07</v>
      </c>
      <c r="K1535" s="1">
        <v>43777</v>
      </c>
      <c r="L1535">
        <v>13</v>
      </c>
      <c r="M1535" t="s">
        <v>5961</v>
      </c>
    </row>
    <row r="1536" spans="1:13" x14ac:dyDescent="0.25">
      <c r="A1536" t="s">
        <v>5960</v>
      </c>
      <c r="B1536" t="s">
        <v>5953</v>
      </c>
      <c r="C1536">
        <v>3640</v>
      </c>
      <c r="D1536">
        <v>3779</v>
      </c>
      <c r="E1536">
        <v>3640</v>
      </c>
      <c r="F1536">
        <v>3670</v>
      </c>
      <c r="G1536">
        <v>3670</v>
      </c>
      <c r="H1536">
        <v>3700</v>
      </c>
      <c r="I1536">
        <v>14</v>
      </c>
      <c r="J1536">
        <v>51429</v>
      </c>
      <c r="K1536" s="1">
        <v>43777</v>
      </c>
      <c r="L1536">
        <v>5</v>
      </c>
      <c r="M1536" t="s">
        <v>5959</v>
      </c>
    </row>
    <row r="1537" spans="1:13" x14ac:dyDescent="0.25">
      <c r="A1537" t="s">
        <v>4552</v>
      </c>
      <c r="B1537" t="s">
        <v>14</v>
      </c>
      <c r="C1537">
        <v>7.9</v>
      </c>
      <c r="D1537">
        <v>7.9</v>
      </c>
      <c r="E1537">
        <v>7.55</v>
      </c>
      <c r="F1537">
        <v>7.7</v>
      </c>
      <c r="G1537">
        <v>7.7</v>
      </c>
      <c r="H1537">
        <v>7.9</v>
      </c>
      <c r="I1537">
        <v>24923</v>
      </c>
      <c r="J1537">
        <v>189573.6</v>
      </c>
      <c r="K1537" s="1">
        <v>43777</v>
      </c>
      <c r="L1537">
        <v>68</v>
      </c>
      <c r="M1537" t="s">
        <v>4554</v>
      </c>
    </row>
    <row r="1538" spans="1:13" x14ac:dyDescent="0.25">
      <c r="A1538" t="s">
        <v>4558</v>
      </c>
      <c r="B1538" t="s">
        <v>14</v>
      </c>
      <c r="C1538">
        <v>8.75</v>
      </c>
      <c r="D1538">
        <v>8.85</v>
      </c>
      <c r="E1538">
        <v>8.35</v>
      </c>
      <c r="F1538">
        <v>8.8000000000000007</v>
      </c>
      <c r="G1538">
        <v>8.8000000000000007</v>
      </c>
      <c r="H1538">
        <v>8.4499999999999993</v>
      </c>
      <c r="I1538">
        <v>2482</v>
      </c>
      <c r="J1538">
        <v>21583.5</v>
      </c>
      <c r="K1538" s="1">
        <v>43777</v>
      </c>
      <c r="L1538">
        <v>19</v>
      </c>
      <c r="M1538" t="s">
        <v>4560</v>
      </c>
    </row>
    <row r="1539" spans="1:13" x14ac:dyDescent="0.25">
      <c r="A1539" t="s">
        <v>4564</v>
      </c>
      <c r="B1539" t="s">
        <v>14</v>
      </c>
      <c r="C1539">
        <v>255.5</v>
      </c>
      <c r="D1539">
        <v>258</v>
      </c>
      <c r="E1539">
        <v>250</v>
      </c>
      <c r="F1539">
        <v>251.8</v>
      </c>
      <c r="G1539">
        <v>250.15</v>
      </c>
      <c r="H1539">
        <v>258.35000000000002</v>
      </c>
      <c r="I1539">
        <v>19880</v>
      </c>
      <c r="J1539">
        <v>5057288.5999999996</v>
      </c>
      <c r="K1539" s="1">
        <v>43777</v>
      </c>
      <c r="L1539">
        <v>807</v>
      </c>
      <c r="M1539" t="s">
        <v>4566</v>
      </c>
    </row>
    <row r="1540" spans="1:13" x14ac:dyDescent="0.25">
      <c r="A1540" t="s">
        <v>4567</v>
      </c>
      <c r="B1540" t="s">
        <v>14</v>
      </c>
      <c r="C1540">
        <v>107.05</v>
      </c>
      <c r="D1540">
        <v>112</v>
      </c>
      <c r="E1540">
        <v>105.5</v>
      </c>
      <c r="F1540">
        <v>106.5</v>
      </c>
      <c r="G1540">
        <v>107.95</v>
      </c>
      <c r="H1540">
        <v>110.25</v>
      </c>
      <c r="I1540">
        <v>27403</v>
      </c>
      <c r="J1540">
        <v>3008578.7</v>
      </c>
      <c r="K1540" s="1">
        <v>43777</v>
      </c>
      <c r="L1540">
        <v>558</v>
      </c>
      <c r="M1540" t="s">
        <v>4569</v>
      </c>
    </row>
    <row r="1541" spans="1:13" x14ac:dyDescent="0.25">
      <c r="A1541" t="s">
        <v>4570</v>
      </c>
      <c r="B1541" t="s">
        <v>14</v>
      </c>
      <c r="C1541">
        <v>96</v>
      </c>
      <c r="D1541">
        <v>99.3</v>
      </c>
      <c r="E1541">
        <v>94.55</v>
      </c>
      <c r="F1541">
        <v>96.3</v>
      </c>
      <c r="G1541">
        <v>96.35</v>
      </c>
      <c r="H1541">
        <v>97.75</v>
      </c>
      <c r="I1541">
        <v>66476</v>
      </c>
      <c r="J1541">
        <v>6443981.3499999996</v>
      </c>
      <c r="K1541" s="1">
        <v>43777</v>
      </c>
      <c r="L1541">
        <v>959</v>
      </c>
      <c r="M1541" t="s">
        <v>4572</v>
      </c>
    </row>
    <row r="1542" spans="1:13" x14ac:dyDescent="0.25">
      <c r="A1542" t="s">
        <v>4573</v>
      </c>
      <c r="B1542" t="s">
        <v>14</v>
      </c>
      <c r="C1542">
        <v>358.5</v>
      </c>
      <c r="D1542">
        <v>363</v>
      </c>
      <c r="E1542">
        <v>348</v>
      </c>
      <c r="F1542">
        <v>351.7</v>
      </c>
      <c r="G1542">
        <v>351.25</v>
      </c>
      <c r="H1542">
        <v>358.8</v>
      </c>
      <c r="I1542">
        <v>31062</v>
      </c>
      <c r="J1542">
        <v>10995256.800000001</v>
      </c>
      <c r="K1542" s="1">
        <v>43777</v>
      </c>
      <c r="L1542">
        <v>1666</v>
      </c>
      <c r="M1542" t="s">
        <v>4575</v>
      </c>
    </row>
    <row r="1543" spans="1:13" x14ac:dyDescent="0.25">
      <c r="A1543" t="s">
        <v>4579</v>
      </c>
      <c r="B1543" t="s">
        <v>14</v>
      </c>
      <c r="C1543">
        <v>101.1</v>
      </c>
      <c r="D1543">
        <v>103.3</v>
      </c>
      <c r="E1543">
        <v>100.3</v>
      </c>
      <c r="F1543">
        <v>102.45</v>
      </c>
      <c r="G1543">
        <v>103</v>
      </c>
      <c r="H1543">
        <v>101.5</v>
      </c>
      <c r="I1543">
        <v>8423</v>
      </c>
      <c r="J1543">
        <v>859005.75</v>
      </c>
      <c r="K1543" s="1">
        <v>43777</v>
      </c>
      <c r="L1543">
        <v>255</v>
      </c>
      <c r="M1543" t="s">
        <v>4581</v>
      </c>
    </row>
    <row r="1544" spans="1:13" x14ac:dyDescent="0.25">
      <c r="A1544" t="s">
        <v>4582</v>
      </c>
      <c r="B1544" t="s">
        <v>14</v>
      </c>
      <c r="C1544">
        <v>275.14999999999998</v>
      </c>
      <c r="D1544">
        <v>277</v>
      </c>
      <c r="E1544">
        <v>272.14999999999998</v>
      </c>
      <c r="F1544">
        <v>273.25</v>
      </c>
      <c r="G1544">
        <v>272.14999999999998</v>
      </c>
      <c r="H1544">
        <v>277.35000000000002</v>
      </c>
      <c r="I1544">
        <v>2969</v>
      </c>
      <c r="J1544">
        <v>813043.19999999995</v>
      </c>
      <c r="K1544" s="1">
        <v>43777</v>
      </c>
      <c r="L1544">
        <v>169</v>
      </c>
      <c r="M1544" t="s">
        <v>4584</v>
      </c>
    </row>
    <row r="1545" spans="1:13" x14ac:dyDescent="0.25">
      <c r="A1545" t="s">
        <v>4585</v>
      </c>
      <c r="B1545" t="s">
        <v>14</v>
      </c>
      <c r="C1545">
        <v>1085</v>
      </c>
      <c r="D1545">
        <v>1120</v>
      </c>
      <c r="E1545">
        <v>1082.55</v>
      </c>
      <c r="F1545">
        <v>1095</v>
      </c>
      <c r="G1545">
        <v>1095</v>
      </c>
      <c r="H1545">
        <v>1096.0999999999999</v>
      </c>
      <c r="I1545">
        <v>526</v>
      </c>
      <c r="J1545">
        <v>578317.9</v>
      </c>
      <c r="K1545" s="1">
        <v>43777</v>
      </c>
      <c r="L1545">
        <v>107</v>
      </c>
      <c r="M1545" t="s">
        <v>7212</v>
      </c>
    </row>
    <row r="1546" spans="1:13" x14ac:dyDescent="0.25">
      <c r="A1546" t="s">
        <v>5947</v>
      </c>
      <c r="B1546" t="s">
        <v>14</v>
      </c>
      <c r="C1546">
        <v>260</v>
      </c>
      <c r="D1546">
        <v>261.14</v>
      </c>
      <c r="E1546">
        <v>260</v>
      </c>
      <c r="F1546">
        <v>260.61</v>
      </c>
      <c r="G1546">
        <v>260.61</v>
      </c>
      <c r="H1546">
        <v>262.51</v>
      </c>
      <c r="I1546">
        <v>44</v>
      </c>
      <c r="J1546">
        <v>11469.66</v>
      </c>
      <c r="K1546" s="1">
        <v>43777</v>
      </c>
      <c r="L1546">
        <v>6</v>
      </c>
      <c r="M1546" t="s">
        <v>5946</v>
      </c>
    </row>
    <row r="1547" spans="1:13" x14ac:dyDescent="0.25">
      <c r="A1547" t="s">
        <v>4591</v>
      </c>
      <c r="B1547" t="s">
        <v>14</v>
      </c>
      <c r="C1547">
        <v>177.05</v>
      </c>
      <c r="D1547">
        <v>180</v>
      </c>
      <c r="E1547">
        <v>174</v>
      </c>
      <c r="F1547">
        <v>175.45</v>
      </c>
      <c r="G1547">
        <v>178</v>
      </c>
      <c r="H1547">
        <v>177.4</v>
      </c>
      <c r="I1547">
        <v>5786</v>
      </c>
      <c r="J1547">
        <v>1027193.55</v>
      </c>
      <c r="K1547" s="1">
        <v>43777</v>
      </c>
      <c r="L1547">
        <v>254</v>
      </c>
      <c r="M1547" t="s">
        <v>4593</v>
      </c>
    </row>
    <row r="1548" spans="1:13" x14ac:dyDescent="0.25">
      <c r="A1548" t="s">
        <v>4594</v>
      </c>
      <c r="B1548" t="s">
        <v>14</v>
      </c>
      <c r="C1548">
        <v>323</v>
      </c>
      <c r="D1548">
        <v>325.7</v>
      </c>
      <c r="E1548">
        <v>313.25</v>
      </c>
      <c r="F1548">
        <v>321.5</v>
      </c>
      <c r="G1548">
        <v>325.7</v>
      </c>
      <c r="H1548">
        <v>322.55</v>
      </c>
      <c r="I1548">
        <v>11669</v>
      </c>
      <c r="J1548">
        <v>3728852.75</v>
      </c>
      <c r="K1548" s="1">
        <v>43777</v>
      </c>
      <c r="L1548">
        <v>292</v>
      </c>
      <c r="M1548" t="s">
        <v>4596</v>
      </c>
    </row>
    <row r="1549" spans="1:13" x14ac:dyDescent="0.25">
      <c r="A1549" t="s">
        <v>7211</v>
      </c>
      <c r="B1549" t="s">
        <v>10</v>
      </c>
      <c r="C1549">
        <v>6.65</v>
      </c>
      <c r="D1549">
        <v>6.65</v>
      </c>
      <c r="E1549">
        <v>6.1</v>
      </c>
      <c r="F1549">
        <v>6.1</v>
      </c>
      <c r="G1549">
        <v>6.1</v>
      </c>
      <c r="H1549">
        <v>6.4</v>
      </c>
      <c r="I1549">
        <v>308975</v>
      </c>
      <c r="J1549">
        <v>1886777.5</v>
      </c>
      <c r="K1549" s="1">
        <v>43777</v>
      </c>
      <c r="L1549">
        <v>138</v>
      </c>
      <c r="M1549" t="s">
        <v>7210</v>
      </c>
    </row>
    <row r="1550" spans="1:13" x14ac:dyDescent="0.25">
      <c r="A1550" t="s">
        <v>4600</v>
      </c>
      <c r="B1550" t="s">
        <v>14</v>
      </c>
      <c r="C1550">
        <v>26.05</v>
      </c>
      <c r="D1550">
        <v>26.7</v>
      </c>
      <c r="E1550">
        <v>25.5</v>
      </c>
      <c r="F1550">
        <v>26.4</v>
      </c>
      <c r="G1550">
        <v>26.4</v>
      </c>
      <c r="H1550">
        <v>26.15</v>
      </c>
      <c r="I1550">
        <v>112735</v>
      </c>
      <c r="J1550">
        <v>2948083.05</v>
      </c>
      <c r="K1550" s="1">
        <v>43777</v>
      </c>
      <c r="L1550">
        <v>536</v>
      </c>
      <c r="M1550" t="s">
        <v>4602</v>
      </c>
    </row>
    <row r="1551" spans="1:13" x14ac:dyDescent="0.25">
      <c r="A1551" t="s">
        <v>4603</v>
      </c>
      <c r="B1551" t="s">
        <v>14</v>
      </c>
      <c r="C1551">
        <v>34.5</v>
      </c>
      <c r="D1551">
        <v>34.85</v>
      </c>
      <c r="E1551">
        <v>33.299999999999997</v>
      </c>
      <c r="F1551">
        <v>34.15</v>
      </c>
      <c r="G1551">
        <v>34.5</v>
      </c>
      <c r="H1551">
        <v>34.5</v>
      </c>
      <c r="I1551">
        <v>452</v>
      </c>
      <c r="J1551">
        <v>15429.75</v>
      </c>
      <c r="K1551" s="1">
        <v>43777</v>
      </c>
      <c r="L1551">
        <v>28</v>
      </c>
      <c r="M1551" t="s">
        <v>4605</v>
      </c>
    </row>
    <row r="1552" spans="1:13" x14ac:dyDescent="0.25">
      <c r="A1552" t="s">
        <v>4606</v>
      </c>
      <c r="B1552" t="s">
        <v>14</v>
      </c>
      <c r="C1552">
        <v>114.95</v>
      </c>
      <c r="D1552">
        <v>118</v>
      </c>
      <c r="E1552">
        <v>110.05</v>
      </c>
      <c r="F1552">
        <v>112.8</v>
      </c>
      <c r="G1552">
        <v>112.5</v>
      </c>
      <c r="H1552">
        <v>109.4</v>
      </c>
      <c r="I1552">
        <v>839</v>
      </c>
      <c r="J1552">
        <v>95569.7</v>
      </c>
      <c r="K1552" s="1">
        <v>43777</v>
      </c>
      <c r="L1552">
        <v>56</v>
      </c>
      <c r="M1552" t="s">
        <v>4608</v>
      </c>
    </row>
    <row r="1553" spans="1:13" x14ac:dyDescent="0.25">
      <c r="A1553" t="s">
        <v>7209</v>
      </c>
      <c r="B1553" t="s">
        <v>5788</v>
      </c>
      <c r="C1553">
        <v>45</v>
      </c>
      <c r="D1553">
        <v>45</v>
      </c>
      <c r="E1553">
        <v>45</v>
      </c>
      <c r="F1553">
        <v>45</v>
      </c>
      <c r="G1553">
        <v>45</v>
      </c>
      <c r="H1553">
        <v>45.5</v>
      </c>
      <c r="I1553">
        <v>3000</v>
      </c>
      <c r="J1553">
        <v>135000</v>
      </c>
      <c r="K1553" s="1">
        <v>43777</v>
      </c>
      <c r="L1553">
        <v>1</v>
      </c>
      <c r="M1553" t="s">
        <v>7208</v>
      </c>
    </row>
    <row r="1554" spans="1:13" x14ac:dyDescent="0.25">
      <c r="A1554" t="s">
        <v>4609</v>
      </c>
      <c r="B1554" t="s">
        <v>14</v>
      </c>
      <c r="C1554">
        <v>129.69999999999999</v>
      </c>
      <c r="D1554">
        <v>129.69999999999999</v>
      </c>
      <c r="E1554">
        <v>123.2</v>
      </c>
      <c r="F1554">
        <v>124.45</v>
      </c>
      <c r="G1554">
        <v>125</v>
      </c>
      <c r="H1554">
        <v>128.15</v>
      </c>
      <c r="I1554">
        <v>17712</v>
      </c>
      <c r="J1554">
        <v>2237664.75</v>
      </c>
      <c r="K1554" s="1">
        <v>43777</v>
      </c>
      <c r="L1554">
        <v>934</v>
      </c>
      <c r="M1554" t="s">
        <v>4611</v>
      </c>
    </row>
    <row r="1555" spans="1:13" x14ac:dyDescent="0.25">
      <c r="A1555" t="s">
        <v>4612</v>
      </c>
      <c r="B1555" t="s">
        <v>14</v>
      </c>
      <c r="C1555">
        <v>381.3</v>
      </c>
      <c r="D1555">
        <v>381.3</v>
      </c>
      <c r="E1555">
        <v>363.2</v>
      </c>
      <c r="F1555">
        <v>368.85</v>
      </c>
      <c r="G1555">
        <v>368.5</v>
      </c>
      <c r="H1555">
        <v>370.65</v>
      </c>
      <c r="I1555">
        <v>4455</v>
      </c>
      <c r="J1555">
        <v>1642369.2</v>
      </c>
      <c r="K1555" s="1">
        <v>43777</v>
      </c>
      <c r="L1555">
        <v>252</v>
      </c>
      <c r="M1555" t="s">
        <v>4614</v>
      </c>
    </row>
    <row r="1556" spans="1:13" x14ac:dyDescent="0.25">
      <c r="A1556" t="s">
        <v>4618</v>
      </c>
      <c r="B1556" t="s">
        <v>14</v>
      </c>
      <c r="C1556">
        <v>21.75</v>
      </c>
      <c r="D1556">
        <v>21.8</v>
      </c>
      <c r="E1556">
        <v>20.399999999999999</v>
      </c>
      <c r="F1556">
        <v>20.65</v>
      </c>
      <c r="G1556">
        <v>20.55</v>
      </c>
      <c r="H1556">
        <v>21.35</v>
      </c>
      <c r="I1556">
        <v>248498</v>
      </c>
      <c r="J1556">
        <v>5207317.0999999996</v>
      </c>
      <c r="K1556" s="1">
        <v>43777</v>
      </c>
      <c r="L1556">
        <v>576</v>
      </c>
      <c r="M1556" t="s">
        <v>4620</v>
      </c>
    </row>
    <row r="1557" spans="1:13" x14ac:dyDescent="0.25">
      <c r="A1557" t="s">
        <v>4621</v>
      </c>
      <c r="B1557" t="s">
        <v>14</v>
      </c>
      <c r="C1557">
        <v>20099.900000000001</v>
      </c>
      <c r="D1557">
        <v>20166</v>
      </c>
      <c r="E1557">
        <v>19711</v>
      </c>
      <c r="F1557">
        <v>19985.95</v>
      </c>
      <c r="G1557">
        <v>19765.900000000001</v>
      </c>
      <c r="H1557">
        <v>20040.75</v>
      </c>
      <c r="I1557">
        <v>22206</v>
      </c>
      <c r="J1557">
        <v>444128815.25</v>
      </c>
      <c r="K1557" s="1">
        <v>43777</v>
      </c>
      <c r="L1557">
        <v>4956</v>
      </c>
      <c r="M1557" t="s">
        <v>4623</v>
      </c>
    </row>
    <row r="1558" spans="1:13" x14ac:dyDescent="0.25">
      <c r="A1558" t="s">
        <v>4624</v>
      </c>
      <c r="B1558" t="s">
        <v>14</v>
      </c>
      <c r="C1558">
        <v>94.4</v>
      </c>
      <c r="D1558">
        <v>98.8</v>
      </c>
      <c r="E1558">
        <v>94.4</v>
      </c>
      <c r="F1558">
        <v>96.45</v>
      </c>
      <c r="G1558">
        <v>96.2</v>
      </c>
      <c r="H1558">
        <v>96.2</v>
      </c>
      <c r="I1558">
        <v>15212</v>
      </c>
      <c r="J1558">
        <v>1459151.65</v>
      </c>
      <c r="K1558" s="1">
        <v>43777</v>
      </c>
      <c r="L1558">
        <v>721</v>
      </c>
      <c r="M1558" t="s">
        <v>4626</v>
      </c>
    </row>
    <row r="1559" spans="1:13" x14ac:dyDescent="0.25">
      <c r="A1559" t="s">
        <v>4627</v>
      </c>
      <c r="B1559" t="s">
        <v>14</v>
      </c>
      <c r="C1559">
        <v>4.0999999999999996</v>
      </c>
      <c r="D1559">
        <v>4.2</v>
      </c>
      <c r="E1559">
        <v>3.85</v>
      </c>
      <c r="F1559">
        <v>4.0999999999999996</v>
      </c>
      <c r="G1559">
        <v>4.0999999999999996</v>
      </c>
      <c r="H1559">
        <v>4.05</v>
      </c>
      <c r="I1559">
        <v>31506</v>
      </c>
      <c r="J1559">
        <v>124197.65</v>
      </c>
      <c r="K1559" s="1">
        <v>43777</v>
      </c>
      <c r="L1559">
        <v>48</v>
      </c>
      <c r="M1559" t="s">
        <v>4629</v>
      </c>
    </row>
    <row r="1560" spans="1:13" x14ac:dyDescent="0.25">
      <c r="A1560" t="s">
        <v>4630</v>
      </c>
      <c r="B1560" t="s">
        <v>14</v>
      </c>
      <c r="C1560">
        <v>57.15</v>
      </c>
      <c r="D1560">
        <v>57.35</v>
      </c>
      <c r="E1560">
        <v>53.95</v>
      </c>
      <c r="F1560">
        <v>54.85</v>
      </c>
      <c r="G1560">
        <v>54.6</v>
      </c>
      <c r="H1560">
        <v>56.75</v>
      </c>
      <c r="I1560">
        <v>57681</v>
      </c>
      <c r="J1560">
        <v>3206238.55</v>
      </c>
      <c r="K1560" s="1">
        <v>43777</v>
      </c>
      <c r="L1560">
        <v>267</v>
      </c>
      <c r="M1560" t="s">
        <v>7207</v>
      </c>
    </row>
    <row r="1561" spans="1:13" x14ac:dyDescent="0.25">
      <c r="A1561" t="s">
        <v>4633</v>
      </c>
      <c r="B1561" t="s">
        <v>14</v>
      </c>
      <c r="C1561">
        <v>126.8</v>
      </c>
      <c r="D1561">
        <v>130</v>
      </c>
      <c r="E1561">
        <v>125</v>
      </c>
      <c r="F1561">
        <v>126.6</v>
      </c>
      <c r="G1561">
        <v>127</v>
      </c>
      <c r="H1561">
        <v>123.7</v>
      </c>
      <c r="I1561">
        <v>29549</v>
      </c>
      <c r="J1561">
        <v>3764227.25</v>
      </c>
      <c r="K1561" s="1">
        <v>43777</v>
      </c>
      <c r="L1561">
        <v>854</v>
      </c>
      <c r="M1561" t="s">
        <v>4635</v>
      </c>
    </row>
    <row r="1562" spans="1:13" x14ac:dyDescent="0.25">
      <c r="A1562" t="s">
        <v>4636</v>
      </c>
      <c r="B1562" t="s">
        <v>14</v>
      </c>
      <c r="C1562">
        <v>79.75</v>
      </c>
      <c r="D1562">
        <v>80.75</v>
      </c>
      <c r="E1562">
        <v>76.150000000000006</v>
      </c>
      <c r="F1562">
        <v>78.7</v>
      </c>
      <c r="G1562">
        <v>79.45</v>
      </c>
      <c r="H1562">
        <v>78.900000000000006</v>
      </c>
      <c r="I1562">
        <v>10071</v>
      </c>
      <c r="J1562">
        <v>788131.35</v>
      </c>
      <c r="K1562" s="1">
        <v>43777</v>
      </c>
      <c r="L1562">
        <v>271</v>
      </c>
      <c r="M1562" t="s">
        <v>4638</v>
      </c>
    </row>
    <row r="1563" spans="1:13" x14ac:dyDescent="0.25">
      <c r="A1563" t="s">
        <v>4639</v>
      </c>
      <c r="B1563" t="s">
        <v>10</v>
      </c>
      <c r="C1563">
        <v>734</v>
      </c>
      <c r="D1563">
        <v>746</v>
      </c>
      <c r="E1563">
        <v>711.1</v>
      </c>
      <c r="F1563">
        <v>746</v>
      </c>
      <c r="G1563">
        <v>746</v>
      </c>
      <c r="H1563">
        <v>710.5</v>
      </c>
      <c r="I1563">
        <v>983</v>
      </c>
      <c r="J1563">
        <v>732452.1</v>
      </c>
      <c r="K1563" s="1">
        <v>43777</v>
      </c>
      <c r="L1563">
        <v>22</v>
      </c>
      <c r="M1563" t="s">
        <v>4641</v>
      </c>
    </row>
    <row r="1564" spans="1:13" x14ac:dyDescent="0.25">
      <c r="A1564" t="s">
        <v>7206</v>
      </c>
      <c r="B1564" t="s">
        <v>14</v>
      </c>
      <c r="C1564">
        <v>1306</v>
      </c>
      <c r="D1564">
        <v>1342.95</v>
      </c>
      <c r="E1564">
        <v>1306</v>
      </c>
      <c r="F1564">
        <v>1320.5</v>
      </c>
      <c r="G1564">
        <v>1320.05</v>
      </c>
      <c r="H1564">
        <v>1331.9</v>
      </c>
      <c r="I1564">
        <v>5160</v>
      </c>
      <c r="J1564">
        <v>6837710.7000000002</v>
      </c>
      <c r="K1564" s="1">
        <v>43777</v>
      </c>
      <c r="L1564">
        <v>1218</v>
      </c>
      <c r="M1564" t="s">
        <v>7205</v>
      </c>
    </row>
    <row r="1565" spans="1:13" x14ac:dyDescent="0.25">
      <c r="A1565" t="s">
        <v>7204</v>
      </c>
      <c r="B1565" t="s">
        <v>14</v>
      </c>
      <c r="C1565">
        <v>6.65</v>
      </c>
      <c r="D1565">
        <v>7.1</v>
      </c>
      <c r="E1565">
        <v>6.6</v>
      </c>
      <c r="F1565">
        <v>6.75</v>
      </c>
      <c r="G1565">
        <v>6.7</v>
      </c>
      <c r="H1565">
        <v>6.8</v>
      </c>
      <c r="I1565">
        <v>914471</v>
      </c>
      <c r="J1565">
        <v>6377753.1500000004</v>
      </c>
      <c r="K1565" s="1">
        <v>43777</v>
      </c>
      <c r="L1565">
        <v>653</v>
      </c>
      <c r="M1565" t="s">
        <v>4530</v>
      </c>
    </row>
    <row r="1566" spans="1:13" x14ac:dyDescent="0.25">
      <c r="A1566" t="s">
        <v>5921</v>
      </c>
      <c r="B1566" t="s">
        <v>5788</v>
      </c>
      <c r="C1566">
        <v>143</v>
      </c>
      <c r="D1566">
        <v>143</v>
      </c>
      <c r="E1566">
        <v>130.5</v>
      </c>
      <c r="F1566">
        <v>136</v>
      </c>
      <c r="G1566">
        <v>136</v>
      </c>
      <c r="H1566">
        <v>138.25</v>
      </c>
      <c r="I1566">
        <v>27000</v>
      </c>
      <c r="J1566">
        <v>3719500</v>
      </c>
      <c r="K1566" s="1">
        <v>43777</v>
      </c>
      <c r="L1566">
        <v>25</v>
      </c>
      <c r="M1566" t="s">
        <v>5920</v>
      </c>
    </row>
    <row r="1567" spans="1:13" x14ac:dyDescent="0.25">
      <c r="A1567" t="s">
        <v>4648</v>
      </c>
      <c r="B1567" t="s">
        <v>14</v>
      </c>
      <c r="C1567">
        <v>3.05</v>
      </c>
      <c r="D1567">
        <v>3.05</v>
      </c>
      <c r="E1567">
        <v>2.9</v>
      </c>
      <c r="F1567">
        <v>3.05</v>
      </c>
      <c r="G1567">
        <v>3.05</v>
      </c>
      <c r="H1567">
        <v>2.95</v>
      </c>
      <c r="I1567">
        <v>16040</v>
      </c>
      <c r="J1567">
        <v>48561.35</v>
      </c>
      <c r="K1567" s="1">
        <v>43777</v>
      </c>
      <c r="L1567">
        <v>30</v>
      </c>
      <c r="M1567" t="s">
        <v>4650</v>
      </c>
    </row>
    <row r="1568" spans="1:13" x14ac:dyDescent="0.25">
      <c r="A1568" t="s">
        <v>7203</v>
      </c>
      <c r="B1568" t="s">
        <v>10</v>
      </c>
      <c r="C1568">
        <v>18.55</v>
      </c>
      <c r="D1568">
        <v>18.850000000000001</v>
      </c>
      <c r="E1568">
        <v>17.8</v>
      </c>
      <c r="F1568">
        <v>17.8</v>
      </c>
      <c r="G1568">
        <v>17.8</v>
      </c>
      <c r="H1568">
        <v>18.7</v>
      </c>
      <c r="I1568">
        <v>5478</v>
      </c>
      <c r="J1568">
        <v>99630.1</v>
      </c>
      <c r="K1568" s="1">
        <v>43777</v>
      </c>
      <c r="L1568">
        <v>25</v>
      </c>
      <c r="M1568" t="s">
        <v>7202</v>
      </c>
    </row>
    <row r="1569" spans="1:13" x14ac:dyDescent="0.25">
      <c r="A1569" t="s">
        <v>7201</v>
      </c>
      <c r="B1569" t="s">
        <v>14</v>
      </c>
      <c r="C1569">
        <v>23.8</v>
      </c>
      <c r="D1569">
        <v>24.55</v>
      </c>
      <c r="E1569">
        <v>22.5</v>
      </c>
      <c r="F1569">
        <v>23.05</v>
      </c>
      <c r="G1569">
        <v>23.4</v>
      </c>
      <c r="H1569">
        <v>23.65</v>
      </c>
      <c r="I1569">
        <v>282385</v>
      </c>
      <c r="J1569">
        <v>6568532.7000000002</v>
      </c>
      <c r="K1569" s="1">
        <v>43777</v>
      </c>
      <c r="L1569">
        <v>918</v>
      </c>
      <c r="M1569" t="s">
        <v>7200</v>
      </c>
    </row>
    <row r="1570" spans="1:13" x14ac:dyDescent="0.25">
      <c r="A1570" t="s">
        <v>4660</v>
      </c>
      <c r="B1570" t="s">
        <v>14</v>
      </c>
      <c r="C1570">
        <v>1673.95</v>
      </c>
      <c r="D1570">
        <v>1683</v>
      </c>
      <c r="E1570">
        <v>1640.2</v>
      </c>
      <c r="F1570">
        <v>1648.5</v>
      </c>
      <c r="G1570">
        <v>1647.65</v>
      </c>
      <c r="H1570">
        <v>1665.05</v>
      </c>
      <c r="I1570">
        <v>959073</v>
      </c>
      <c r="J1570">
        <v>1591872142</v>
      </c>
      <c r="K1570" s="1">
        <v>43777</v>
      </c>
      <c r="L1570">
        <v>63890</v>
      </c>
      <c r="M1570" t="s">
        <v>4662</v>
      </c>
    </row>
    <row r="1571" spans="1:13" x14ac:dyDescent="0.25">
      <c r="A1571" t="s">
        <v>4666</v>
      </c>
      <c r="B1571" t="s">
        <v>14</v>
      </c>
      <c r="C1571">
        <v>22.65</v>
      </c>
      <c r="D1571">
        <v>23.05</v>
      </c>
      <c r="E1571">
        <v>22.35</v>
      </c>
      <c r="F1571">
        <v>22.8</v>
      </c>
      <c r="G1571">
        <v>22.7</v>
      </c>
      <c r="H1571">
        <v>22.65</v>
      </c>
      <c r="I1571">
        <v>3291</v>
      </c>
      <c r="J1571">
        <v>75216.7</v>
      </c>
      <c r="K1571" s="1">
        <v>43777</v>
      </c>
      <c r="L1571">
        <v>35</v>
      </c>
      <c r="M1571" t="s">
        <v>4668</v>
      </c>
    </row>
    <row r="1572" spans="1:13" x14ac:dyDescent="0.25">
      <c r="A1572" t="s">
        <v>4675</v>
      </c>
      <c r="B1572" t="s">
        <v>5788</v>
      </c>
      <c r="C1572">
        <v>25.5</v>
      </c>
      <c r="D1572">
        <v>25.5</v>
      </c>
      <c r="E1572">
        <v>25.5</v>
      </c>
      <c r="F1572">
        <v>25.5</v>
      </c>
      <c r="G1572">
        <v>25.5</v>
      </c>
      <c r="H1572">
        <v>26.3</v>
      </c>
      <c r="I1572">
        <v>4000</v>
      </c>
      <c r="J1572">
        <v>102000</v>
      </c>
      <c r="K1572" s="1">
        <v>43777</v>
      </c>
      <c r="L1572">
        <v>1</v>
      </c>
      <c r="M1572" t="s">
        <v>4677</v>
      </c>
    </row>
    <row r="1573" spans="1:13" x14ac:dyDescent="0.25">
      <c r="A1573" t="s">
        <v>4678</v>
      </c>
      <c r="B1573" t="s">
        <v>10</v>
      </c>
      <c r="C1573">
        <v>11.3</v>
      </c>
      <c r="D1573">
        <v>11.3</v>
      </c>
      <c r="E1573">
        <v>11.3</v>
      </c>
      <c r="F1573">
        <v>11.3</v>
      </c>
      <c r="G1573">
        <v>11.3</v>
      </c>
      <c r="H1573">
        <v>11.85</v>
      </c>
      <c r="I1573">
        <v>263</v>
      </c>
      <c r="J1573">
        <v>2971.9</v>
      </c>
      <c r="K1573" s="1">
        <v>43777</v>
      </c>
      <c r="L1573">
        <v>3</v>
      </c>
      <c r="M1573" t="s">
        <v>4680</v>
      </c>
    </row>
    <row r="1574" spans="1:13" x14ac:dyDescent="0.25">
      <c r="A1574" t="s">
        <v>4684</v>
      </c>
      <c r="B1574" t="s">
        <v>14</v>
      </c>
      <c r="C1574">
        <v>149.80000000000001</v>
      </c>
      <c r="D1574">
        <v>160</v>
      </c>
      <c r="E1574">
        <v>145.80000000000001</v>
      </c>
      <c r="F1574">
        <v>156.15</v>
      </c>
      <c r="G1574">
        <v>152.80000000000001</v>
      </c>
      <c r="H1574">
        <v>149.80000000000001</v>
      </c>
      <c r="I1574">
        <v>7498</v>
      </c>
      <c r="J1574">
        <v>1153406.25</v>
      </c>
      <c r="K1574" s="1">
        <v>43777</v>
      </c>
      <c r="L1574">
        <v>444</v>
      </c>
      <c r="M1574" t="s">
        <v>4686</v>
      </c>
    </row>
    <row r="1575" spans="1:13" x14ac:dyDescent="0.25">
      <c r="A1575" t="s">
        <v>4693</v>
      </c>
      <c r="B1575" t="s">
        <v>10</v>
      </c>
      <c r="C1575">
        <v>6.4</v>
      </c>
      <c r="D1575">
        <v>6.9</v>
      </c>
      <c r="E1575">
        <v>6.4</v>
      </c>
      <c r="F1575">
        <v>6.65</v>
      </c>
      <c r="G1575">
        <v>6.6</v>
      </c>
      <c r="H1575">
        <v>6.65</v>
      </c>
      <c r="I1575">
        <v>8565</v>
      </c>
      <c r="J1575">
        <v>57967.5</v>
      </c>
      <c r="K1575" s="1">
        <v>43777</v>
      </c>
      <c r="L1575">
        <v>34</v>
      </c>
      <c r="M1575" t="s">
        <v>4695</v>
      </c>
    </row>
    <row r="1576" spans="1:13" x14ac:dyDescent="0.25">
      <c r="A1576" t="s">
        <v>4696</v>
      </c>
      <c r="B1576" t="s">
        <v>14</v>
      </c>
      <c r="C1576">
        <v>55.6</v>
      </c>
      <c r="D1576">
        <v>57</v>
      </c>
      <c r="E1576">
        <v>54.6</v>
      </c>
      <c r="F1576">
        <v>54.95</v>
      </c>
      <c r="G1576">
        <v>55.5</v>
      </c>
      <c r="H1576">
        <v>55.85</v>
      </c>
      <c r="I1576">
        <v>96485</v>
      </c>
      <c r="J1576">
        <v>5414573.2999999998</v>
      </c>
      <c r="K1576" s="1">
        <v>43777</v>
      </c>
      <c r="L1576">
        <v>551</v>
      </c>
      <c r="M1576" t="s">
        <v>4698</v>
      </c>
    </row>
    <row r="1577" spans="1:13" x14ac:dyDescent="0.25">
      <c r="A1577" t="s">
        <v>4702</v>
      </c>
      <c r="B1577" t="s">
        <v>5788</v>
      </c>
      <c r="C1577">
        <v>69</v>
      </c>
      <c r="D1577">
        <v>69</v>
      </c>
      <c r="E1577">
        <v>69</v>
      </c>
      <c r="F1577">
        <v>69</v>
      </c>
      <c r="G1577">
        <v>69</v>
      </c>
      <c r="H1577">
        <v>69</v>
      </c>
      <c r="I1577">
        <v>2000</v>
      </c>
      <c r="J1577">
        <v>138000</v>
      </c>
      <c r="K1577" s="1">
        <v>43777</v>
      </c>
      <c r="L1577">
        <v>1</v>
      </c>
      <c r="M1577" t="s">
        <v>4704</v>
      </c>
    </row>
    <row r="1578" spans="1:13" x14ac:dyDescent="0.25">
      <c r="A1578" t="s">
        <v>7199</v>
      </c>
      <c r="B1578" t="s">
        <v>14</v>
      </c>
      <c r="C1578">
        <v>0.55000000000000004</v>
      </c>
      <c r="D1578">
        <v>0.65</v>
      </c>
      <c r="E1578">
        <v>0.55000000000000004</v>
      </c>
      <c r="F1578">
        <v>0.65</v>
      </c>
      <c r="G1578">
        <v>0.65</v>
      </c>
      <c r="H1578">
        <v>0.6</v>
      </c>
      <c r="I1578">
        <v>101893267</v>
      </c>
      <c r="J1578">
        <v>60448767.899999999</v>
      </c>
      <c r="K1578" s="1">
        <v>43777</v>
      </c>
      <c r="L1578">
        <v>9903</v>
      </c>
      <c r="M1578" t="s">
        <v>7198</v>
      </c>
    </row>
    <row r="1579" spans="1:13" x14ac:dyDescent="0.25">
      <c r="A1579" t="s">
        <v>4705</v>
      </c>
      <c r="B1579" t="s">
        <v>14</v>
      </c>
      <c r="C1579">
        <v>169.05</v>
      </c>
      <c r="D1579">
        <v>180</v>
      </c>
      <c r="E1579">
        <v>169.05</v>
      </c>
      <c r="F1579">
        <v>177.9</v>
      </c>
      <c r="G1579">
        <v>179.45</v>
      </c>
      <c r="H1579">
        <v>173.35</v>
      </c>
      <c r="I1579">
        <v>1541</v>
      </c>
      <c r="J1579">
        <v>273652.2</v>
      </c>
      <c r="K1579" s="1">
        <v>43777</v>
      </c>
      <c r="L1579">
        <v>71</v>
      </c>
      <c r="M1579" t="s">
        <v>4707</v>
      </c>
    </row>
    <row r="1580" spans="1:13" x14ac:dyDescent="0.25">
      <c r="A1580" t="s">
        <v>4708</v>
      </c>
      <c r="B1580" t="s">
        <v>14</v>
      </c>
      <c r="C1580">
        <v>930.6</v>
      </c>
      <c r="D1580">
        <v>970</v>
      </c>
      <c r="E1580">
        <v>908.1</v>
      </c>
      <c r="F1580">
        <v>950.65</v>
      </c>
      <c r="G1580">
        <v>954</v>
      </c>
      <c r="H1580">
        <v>910.7</v>
      </c>
      <c r="I1580">
        <v>25261</v>
      </c>
      <c r="J1580">
        <v>23923359.25</v>
      </c>
      <c r="K1580" s="1">
        <v>43777</v>
      </c>
      <c r="L1580">
        <v>2454</v>
      </c>
      <c r="M1580" t="s">
        <v>7197</v>
      </c>
    </row>
    <row r="1581" spans="1:13" x14ac:dyDescent="0.25">
      <c r="A1581" t="s">
        <v>4711</v>
      </c>
      <c r="B1581" t="s">
        <v>14</v>
      </c>
      <c r="C1581">
        <v>1.9</v>
      </c>
      <c r="D1581">
        <v>1.9</v>
      </c>
      <c r="E1581">
        <v>1.9</v>
      </c>
      <c r="F1581">
        <v>1.9</v>
      </c>
      <c r="G1581">
        <v>1.9</v>
      </c>
      <c r="H1581">
        <v>1.85</v>
      </c>
      <c r="I1581">
        <v>6765</v>
      </c>
      <c r="J1581">
        <v>12853.5</v>
      </c>
      <c r="K1581" s="1">
        <v>43777</v>
      </c>
      <c r="L1581">
        <v>18</v>
      </c>
      <c r="M1581" t="s">
        <v>4713</v>
      </c>
    </row>
    <row r="1582" spans="1:13" x14ac:dyDescent="0.25">
      <c r="A1582" t="s">
        <v>4714</v>
      </c>
      <c r="B1582" t="s">
        <v>14</v>
      </c>
      <c r="C1582">
        <v>246.7</v>
      </c>
      <c r="D1582">
        <v>246.7</v>
      </c>
      <c r="E1582">
        <v>233</v>
      </c>
      <c r="F1582">
        <v>235.05</v>
      </c>
      <c r="G1582">
        <v>236</v>
      </c>
      <c r="H1582">
        <v>242.2</v>
      </c>
      <c r="I1582">
        <v>12965</v>
      </c>
      <c r="J1582">
        <v>3087740.7</v>
      </c>
      <c r="K1582" s="1">
        <v>43777</v>
      </c>
      <c r="L1582">
        <v>747</v>
      </c>
      <c r="M1582" t="s">
        <v>4716</v>
      </c>
    </row>
    <row r="1583" spans="1:13" x14ac:dyDescent="0.25">
      <c r="A1583" t="s">
        <v>4720</v>
      </c>
      <c r="B1583" t="s">
        <v>14</v>
      </c>
      <c r="C1583">
        <v>24.6</v>
      </c>
      <c r="D1583">
        <v>24.65</v>
      </c>
      <c r="E1583">
        <v>24.45</v>
      </c>
      <c r="F1583">
        <v>24.5</v>
      </c>
      <c r="G1583">
        <v>24.6</v>
      </c>
      <c r="H1583">
        <v>24.5</v>
      </c>
      <c r="I1583">
        <v>1294274</v>
      </c>
      <c r="J1583">
        <v>31766641.649999999</v>
      </c>
      <c r="K1583" s="1">
        <v>43777</v>
      </c>
      <c r="L1583">
        <v>2031</v>
      </c>
      <c r="M1583" t="s">
        <v>4722</v>
      </c>
    </row>
    <row r="1584" spans="1:13" x14ac:dyDescent="0.25">
      <c r="A1584" t="s">
        <v>4723</v>
      </c>
      <c r="B1584" t="s">
        <v>14</v>
      </c>
      <c r="C1584">
        <v>2180.15</v>
      </c>
      <c r="D1584">
        <v>2185</v>
      </c>
      <c r="E1584">
        <v>2112</v>
      </c>
      <c r="F1584">
        <v>2135.5500000000002</v>
      </c>
      <c r="G1584">
        <v>2135</v>
      </c>
      <c r="H1584">
        <v>2182.65</v>
      </c>
      <c r="I1584">
        <v>4795</v>
      </c>
      <c r="J1584">
        <v>10253518.85</v>
      </c>
      <c r="K1584" s="1">
        <v>43777</v>
      </c>
      <c r="L1584">
        <v>577</v>
      </c>
      <c r="M1584" t="s">
        <v>4725</v>
      </c>
    </row>
    <row r="1585" spans="1:13" x14ac:dyDescent="0.25">
      <c r="A1585" t="s">
        <v>7196</v>
      </c>
      <c r="B1585" t="s">
        <v>10</v>
      </c>
      <c r="C1585">
        <v>5.2</v>
      </c>
      <c r="D1585">
        <v>5.25</v>
      </c>
      <c r="E1585">
        <v>5.05</v>
      </c>
      <c r="F1585">
        <v>5.25</v>
      </c>
      <c r="G1585">
        <v>5.25</v>
      </c>
      <c r="H1585">
        <v>5</v>
      </c>
      <c r="I1585">
        <v>7235</v>
      </c>
      <c r="J1585">
        <v>37843.75</v>
      </c>
      <c r="K1585" s="1">
        <v>43777</v>
      </c>
      <c r="L1585">
        <v>10</v>
      </c>
      <c r="M1585" t="s">
        <v>7195</v>
      </c>
    </row>
    <row r="1586" spans="1:13" x14ac:dyDescent="0.25">
      <c r="A1586" t="s">
        <v>4726</v>
      </c>
      <c r="B1586" t="s">
        <v>14</v>
      </c>
      <c r="C1586">
        <v>57.85</v>
      </c>
      <c r="D1586">
        <v>58.4</v>
      </c>
      <c r="E1586">
        <v>56.2</v>
      </c>
      <c r="F1586">
        <v>57.5</v>
      </c>
      <c r="G1586">
        <v>57.5</v>
      </c>
      <c r="H1586">
        <v>58</v>
      </c>
      <c r="I1586">
        <v>35653</v>
      </c>
      <c r="J1586">
        <v>2054433.5</v>
      </c>
      <c r="K1586" s="1">
        <v>43777</v>
      </c>
      <c r="L1586">
        <v>277</v>
      </c>
      <c r="M1586" t="s">
        <v>4728</v>
      </c>
    </row>
    <row r="1587" spans="1:13" x14ac:dyDescent="0.25">
      <c r="A1587" t="s">
        <v>4729</v>
      </c>
      <c r="B1587" t="s">
        <v>14</v>
      </c>
      <c r="C1587">
        <v>43.65</v>
      </c>
      <c r="D1587">
        <v>44.8</v>
      </c>
      <c r="E1587">
        <v>41.5</v>
      </c>
      <c r="F1587">
        <v>42</v>
      </c>
      <c r="G1587">
        <v>42</v>
      </c>
      <c r="H1587">
        <v>44.15</v>
      </c>
      <c r="I1587">
        <v>68451</v>
      </c>
      <c r="J1587">
        <v>2954259.9</v>
      </c>
      <c r="K1587" s="1">
        <v>43777</v>
      </c>
      <c r="L1587">
        <v>1125</v>
      </c>
      <c r="M1587" t="s">
        <v>4731</v>
      </c>
    </row>
    <row r="1588" spans="1:13" x14ac:dyDescent="0.25">
      <c r="A1588" t="s">
        <v>5907</v>
      </c>
      <c r="B1588" t="s">
        <v>5788</v>
      </c>
      <c r="C1588">
        <v>34</v>
      </c>
      <c r="D1588">
        <v>35.9</v>
      </c>
      <c r="E1588">
        <v>33.799999999999997</v>
      </c>
      <c r="F1588">
        <v>35.85</v>
      </c>
      <c r="G1588">
        <v>35.85</v>
      </c>
      <c r="H1588">
        <v>35.5</v>
      </c>
      <c r="I1588">
        <v>6000</v>
      </c>
      <c r="J1588">
        <v>209200</v>
      </c>
      <c r="K1588" s="1">
        <v>43777</v>
      </c>
      <c r="L1588">
        <v>4</v>
      </c>
      <c r="M1588" t="s">
        <v>5906</v>
      </c>
    </row>
    <row r="1589" spans="1:13" x14ac:dyDescent="0.25">
      <c r="A1589" t="s">
        <v>4735</v>
      </c>
      <c r="B1589" t="s">
        <v>14</v>
      </c>
      <c r="C1589">
        <v>88.3</v>
      </c>
      <c r="D1589">
        <v>88.4</v>
      </c>
      <c r="E1589">
        <v>86.15</v>
      </c>
      <c r="F1589">
        <v>86.5</v>
      </c>
      <c r="G1589">
        <v>86.15</v>
      </c>
      <c r="H1589">
        <v>88.4</v>
      </c>
      <c r="I1589">
        <v>396</v>
      </c>
      <c r="J1589">
        <v>34353.25</v>
      </c>
      <c r="K1589" s="1">
        <v>43777</v>
      </c>
      <c r="L1589">
        <v>16</v>
      </c>
      <c r="M1589" t="s">
        <v>4737</v>
      </c>
    </row>
    <row r="1590" spans="1:13" x14ac:dyDescent="0.25">
      <c r="A1590" t="s">
        <v>4741</v>
      </c>
      <c r="B1590" t="s">
        <v>14</v>
      </c>
      <c r="C1590">
        <v>548</v>
      </c>
      <c r="D1590">
        <v>566</v>
      </c>
      <c r="E1590">
        <v>547.04999999999995</v>
      </c>
      <c r="F1590">
        <v>551.04999999999995</v>
      </c>
      <c r="G1590">
        <v>550.95000000000005</v>
      </c>
      <c r="H1590">
        <v>547.35</v>
      </c>
      <c r="I1590">
        <v>12880</v>
      </c>
      <c r="J1590">
        <v>7192281.7000000002</v>
      </c>
      <c r="K1590" s="1">
        <v>43777</v>
      </c>
      <c r="L1590">
        <v>884</v>
      </c>
      <c r="M1590" t="s">
        <v>4743</v>
      </c>
    </row>
    <row r="1591" spans="1:13" x14ac:dyDescent="0.25">
      <c r="A1591" t="s">
        <v>7194</v>
      </c>
      <c r="B1591" t="s">
        <v>786</v>
      </c>
      <c r="C1591">
        <v>0.15</v>
      </c>
      <c r="D1591">
        <v>0.2</v>
      </c>
      <c r="E1591">
        <v>0.15</v>
      </c>
      <c r="F1591">
        <v>0.15</v>
      </c>
      <c r="G1591">
        <v>0.15</v>
      </c>
      <c r="H1591">
        <v>0.15</v>
      </c>
      <c r="I1591">
        <v>9627</v>
      </c>
      <c r="J1591">
        <v>1544.05</v>
      </c>
      <c r="K1591" s="1">
        <v>43777</v>
      </c>
      <c r="L1591">
        <v>5</v>
      </c>
      <c r="M1591" t="s">
        <v>7193</v>
      </c>
    </row>
    <row r="1592" spans="1:13" x14ac:dyDescent="0.25">
      <c r="A1592" t="s">
        <v>4747</v>
      </c>
      <c r="B1592" t="s">
        <v>14</v>
      </c>
      <c r="C1592">
        <v>323</v>
      </c>
      <c r="D1592">
        <v>323</v>
      </c>
      <c r="E1592">
        <v>301.7</v>
      </c>
      <c r="F1592">
        <v>301.89999999999998</v>
      </c>
      <c r="G1592">
        <v>301.7</v>
      </c>
      <c r="H1592">
        <v>317.55</v>
      </c>
      <c r="I1592">
        <v>4485</v>
      </c>
      <c r="J1592">
        <v>1375821.9</v>
      </c>
      <c r="K1592" s="1">
        <v>43777</v>
      </c>
      <c r="L1592">
        <v>319</v>
      </c>
      <c r="M1592" t="s">
        <v>4749</v>
      </c>
    </row>
    <row r="1593" spans="1:13" x14ac:dyDescent="0.25">
      <c r="A1593" t="s">
        <v>4750</v>
      </c>
      <c r="B1593" t="s">
        <v>14</v>
      </c>
      <c r="C1593">
        <v>40.25</v>
      </c>
      <c r="D1593">
        <v>41.95</v>
      </c>
      <c r="E1593">
        <v>40.200000000000003</v>
      </c>
      <c r="F1593">
        <v>40.700000000000003</v>
      </c>
      <c r="G1593">
        <v>40.5</v>
      </c>
      <c r="H1593">
        <v>41.05</v>
      </c>
      <c r="I1593">
        <v>36666</v>
      </c>
      <c r="J1593">
        <v>1493805.3</v>
      </c>
      <c r="K1593" s="1">
        <v>43777</v>
      </c>
      <c r="L1593">
        <v>276</v>
      </c>
      <c r="M1593" t="s">
        <v>4752</v>
      </c>
    </row>
    <row r="1594" spans="1:13" x14ac:dyDescent="0.25">
      <c r="A1594" t="s">
        <v>4753</v>
      </c>
      <c r="B1594" t="s">
        <v>14</v>
      </c>
      <c r="C1594">
        <v>38.65</v>
      </c>
      <c r="D1594">
        <v>38.85</v>
      </c>
      <c r="E1594">
        <v>37.35</v>
      </c>
      <c r="F1594">
        <v>37.6</v>
      </c>
      <c r="G1594">
        <v>37.799999999999997</v>
      </c>
      <c r="H1594">
        <v>39.1</v>
      </c>
      <c r="I1594">
        <v>252870</v>
      </c>
      <c r="J1594">
        <v>9621840.5</v>
      </c>
      <c r="K1594" s="1">
        <v>43777</v>
      </c>
      <c r="L1594">
        <v>1507</v>
      </c>
      <c r="M1594" t="s">
        <v>4755</v>
      </c>
    </row>
    <row r="1595" spans="1:13" x14ac:dyDescent="0.25">
      <c r="A1595" t="s">
        <v>4756</v>
      </c>
      <c r="B1595" t="s">
        <v>14</v>
      </c>
      <c r="C1595">
        <v>440.85</v>
      </c>
      <c r="D1595">
        <v>453.75</v>
      </c>
      <c r="E1595">
        <v>432.25</v>
      </c>
      <c r="F1595">
        <v>442.45</v>
      </c>
      <c r="G1595">
        <v>442.5</v>
      </c>
      <c r="H1595">
        <v>439.8</v>
      </c>
      <c r="I1595">
        <v>321942</v>
      </c>
      <c r="J1595">
        <v>143624352</v>
      </c>
      <c r="K1595" s="1">
        <v>43777</v>
      </c>
      <c r="L1595">
        <v>12008</v>
      </c>
      <c r="M1595" t="s">
        <v>4758</v>
      </c>
    </row>
    <row r="1596" spans="1:13" x14ac:dyDescent="0.25">
      <c r="A1596" t="s">
        <v>4759</v>
      </c>
      <c r="B1596" t="s">
        <v>5788</v>
      </c>
      <c r="C1596">
        <v>75.900000000000006</v>
      </c>
      <c r="D1596">
        <v>76.25</v>
      </c>
      <c r="E1596">
        <v>75.2</v>
      </c>
      <c r="F1596">
        <v>76.25</v>
      </c>
      <c r="G1596">
        <v>76.25</v>
      </c>
      <c r="H1596">
        <v>72.650000000000006</v>
      </c>
      <c r="I1596">
        <v>24000</v>
      </c>
      <c r="J1596">
        <v>1822480</v>
      </c>
      <c r="K1596" s="1">
        <v>43777</v>
      </c>
      <c r="L1596">
        <v>14</v>
      </c>
      <c r="M1596" t="s">
        <v>4761</v>
      </c>
    </row>
    <row r="1597" spans="1:13" x14ac:dyDescent="0.25">
      <c r="A1597" t="s">
        <v>4762</v>
      </c>
      <c r="B1597" t="s">
        <v>14</v>
      </c>
      <c r="C1597">
        <v>411</v>
      </c>
      <c r="D1597">
        <v>419.95</v>
      </c>
      <c r="E1597">
        <v>411</v>
      </c>
      <c r="F1597">
        <v>415.05</v>
      </c>
      <c r="G1597">
        <v>414.1</v>
      </c>
      <c r="H1597">
        <v>417</v>
      </c>
      <c r="I1597">
        <v>5787</v>
      </c>
      <c r="J1597">
        <v>2408375.35</v>
      </c>
      <c r="K1597" s="1">
        <v>43777</v>
      </c>
      <c r="L1597">
        <v>420</v>
      </c>
      <c r="M1597" t="s">
        <v>4764</v>
      </c>
    </row>
    <row r="1598" spans="1:13" x14ac:dyDescent="0.25">
      <c r="A1598" t="s">
        <v>4765</v>
      </c>
      <c r="B1598" t="s">
        <v>14</v>
      </c>
      <c r="C1598">
        <v>1047.9000000000001</v>
      </c>
      <c r="D1598">
        <v>1084</v>
      </c>
      <c r="E1598">
        <v>1030.0999999999999</v>
      </c>
      <c r="F1598">
        <v>1067.1500000000001</v>
      </c>
      <c r="G1598">
        <v>1045</v>
      </c>
      <c r="H1598">
        <v>1059.55</v>
      </c>
      <c r="I1598">
        <v>124574</v>
      </c>
      <c r="J1598">
        <v>129160956.90000001</v>
      </c>
      <c r="K1598" s="1">
        <v>43777</v>
      </c>
      <c r="L1598">
        <v>1702</v>
      </c>
      <c r="M1598" t="s">
        <v>4767</v>
      </c>
    </row>
    <row r="1599" spans="1:13" x14ac:dyDescent="0.25">
      <c r="A1599" t="s">
        <v>4768</v>
      </c>
      <c r="B1599" t="s">
        <v>14</v>
      </c>
      <c r="C1599">
        <v>185</v>
      </c>
      <c r="D1599">
        <v>187.4</v>
      </c>
      <c r="E1599">
        <v>182.9</v>
      </c>
      <c r="F1599">
        <v>183.5</v>
      </c>
      <c r="G1599">
        <v>183.5</v>
      </c>
      <c r="H1599">
        <v>184.75</v>
      </c>
      <c r="I1599">
        <v>78150</v>
      </c>
      <c r="J1599">
        <v>14447677.550000001</v>
      </c>
      <c r="K1599" s="1">
        <v>43777</v>
      </c>
      <c r="L1599">
        <v>1802</v>
      </c>
      <c r="M1599" t="s">
        <v>4770</v>
      </c>
    </row>
    <row r="1600" spans="1:13" x14ac:dyDescent="0.25">
      <c r="A1600" t="s">
        <v>4771</v>
      </c>
      <c r="B1600" t="s">
        <v>10</v>
      </c>
      <c r="C1600">
        <v>3.1</v>
      </c>
      <c r="D1600">
        <v>3.25</v>
      </c>
      <c r="E1600">
        <v>2.95</v>
      </c>
      <c r="F1600">
        <v>3.05</v>
      </c>
      <c r="G1600">
        <v>2.95</v>
      </c>
      <c r="H1600">
        <v>3.1</v>
      </c>
      <c r="I1600">
        <v>201</v>
      </c>
      <c r="J1600">
        <v>618.45000000000005</v>
      </c>
      <c r="K1600" s="1">
        <v>43777</v>
      </c>
      <c r="L1600">
        <v>3</v>
      </c>
      <c r="M1600" t="s">
        <v>4773</v>
      </c>
    </row>
    <row r="1601" spans="1:13" x14ac:dyDescent="0.25">
      <c r="A1601" t="s">
        <v>4774</v>
      </c>
      <c r="B1601" t="s">
        <v>14</v>
      </c>
      <c r="C1601">
        <v>14.3</v>
      </c>
      <c r="D1601">
        <v>14.3</v>
      </c>
      <c r="E1601">
        <v>13.8</v>
      </c>
      <c r="F1601">
        <v>14.05</v>
      </c>
      <c r="G1601">
        <v>13.9</v>
      </c>
      <c r="H1601">
        <v>13.95</v>
      </c>
      <c r="I1601">
        <v>599</v>
      </c>
      <c r="J1601">
        <v>8427.4</v>
      </c>
      <c r="K1601" s="1">
        <v>43777</v>
      </c>
      <c r="L1601">
        <v>14</v>
      </c>
      <c r="M1601" t="s">
        <v>4776</v>
      </c>
    </row>
    <row r="1602" spans="1:13" x14ac:dyDescent="0.25">
      <c r="A1602" t="s">
        <v>4783</v>
      </c>
      <c r="B1602" t="s">
        <v>14</v>
      </c>
      <c r="C1602">
        <v>305.10000000000002</v>
      </c>
      <c r="D1602">
        <v>310</v>
      </c>
      <c r="E1602">
        <v>303</v>
      </c>
      <c r="F1602">
        <v>304.60000000000002</v>
      </c>
      <c r="G1602">
        <v>304</v>
      </c>
      <c r="H1602">
        <v>307.64999999999998</v>
      </c>
      <c r="I1602">
        <v>80906</v>
      </c>
      <c r="J1602">
        <v>24807577.949999999</v>
      </c>
      <c r="K1602" s="1">
        <v>43777</v>
      </c>
      <c r="L1602">
        <v>4001</v>
      </c>
      <c r="M1602" t="s">
        <v>4785</v>
      </c>
    </row>
    <row r="1603" spans="1:13" x14ac:dyDescent="0.25">
      <c r="A1603" t="s">
        <v>7192</v>
      </c>
      <c r="B1603" t="s">
        <v>14</v>
      </c>
      <c r="C1603">
        <v>120.9</v>
      </c>
      <c r="D1603">
        <v>122</v>
      </c>
      <c r="E1603">
        <v>117.95</v>
      </c>
      <c r="F1603">
        <v>122</v>
      </c>
      <c r="G1603">
        <v>122</v>
      </c>
      <c r="H1603">
        <v>116.2</v>
      </c>
      <c r="I1603">
        <v>62921</v>
      </c>
      <c r="J1603">
        <v>7634239.0499999998</v>
      </c>
      <c r="K1603" s="1">
        <v>43777</v>
      </c>
      <c r="L1603">
        <v>639</v>
      </c>
      <c r="M1603" t="s">
        <v>7191</v>
      </c>
    </row>
    <row r="1604" spans="1:13" x14ac:dyDescent="0.25">
      <c r="A1604" t="s">
        <v>4786</v>
      </c>
      <c r="B1604" t="s">
        <v>14</v>
      </c>
      <c r="C1604">
        <v>941</v>
      </c>
      <c r="D1604">
        <v>947</v>
      </c>
      <c r="E1604">
        <v>910</v>
      </c>
      <c r="F1604">
        <v>924.65</v>
      </c>
      <c r="G1604">
        <v>911</v>
      </c>
      <c r="H1604">
        <v>940.4</v>
      </c>
      <c r="I1604">
        <v>506</v>
      </c>
      <c r="J1604">
        <v>473805.8</v>
      </c>
      <c r="K1604" s="1">
        <v>43777</v>
      </c>
      <c r="L1604">
        <v>253</v>
      </c>
      <c r="M1604" t="s">
        <v>7190</v>
      </c>
    </row>
    <row r="1605" spans="1:13" x14ac:dyDescent="0.25">
      <c r="A1605" t="s">
        <v>4789</v>
      </c>
      <c r="B1605" t="s">
        <v>14</v>
      </c>
      <c r="C1605">
        <v>11.05</v>
      </c>
      <c r="D1605">
        <v>11.15</v>
      </c>
      <c r="E1605">
        <v>10.95</v>
      </c>
      <c r="F1605">
        <v>11</v>
      </c>
      <c r="G1605">
        <v>11</v>
      </c>
      <c r="H1605">
        <v>11.1</v>
      </c>
      <c r="I1605">
        <v>2793734</v>
      </c>
      <c r="J1605">
        <v>30870689.5</v>
      </c>
      <c r="K1605" s="1">
        <v>43777</v>
      </c>
      <c r="L1605">
        <v>3246</v>
      </c>
      <c r="M1605" t="s">
        <v>4791</v>
      </c>
    </row>
    <row r="1606" spans="1:13" x14ac:dyDescent="0.25">
      <c r="A1606" t="s">
        <v>4792</v>
      </c>
      <c r="B1606" t="s">
        <v>14</v>
      </c>
      <c r="C1606">
        <v>17</v>
      </c>
      <c r="D1606">
        <v>18.95</v>
      </c>
      <c r="E1606">
        <v>16.5</v>
      </c>
      <c r="F1606">
        <v>17.2</v>
      </c>
      <c r="G1606">
        <v>17.2</v>
      </c>
      <c r="H1606">
        <v>17.45</v>
      </c>
      <c r="I1606">
        <v>23455</v>
      </c>
      <c r="J1606">
        <v>404000.6</v>
      </c>
      <c r="K1606" s="1">
        <v>43777</v>
      </c>
      <c r="L1606">
        <v>61</v>
      </c>
      <c r="M1606" t="s">
        <v>4794</v>
      </c>
    </row>
    <row r="1607" spans="1:13" x14ac:dyDescent="0.25">
      <c r="A1607" t="s">
        <v>4795</v>
      </c>
      <c r="B1607" t="s">
        <v>14</v>
      </c>
      <c r="C1607">
        <v>225.95</v>
      </c>
      <c r="D1607">
        <v>231</v>
      </c>
      <c r="E1607">
        <v>218.1</v>
      </c>
      <c r="F1607">
        <v>224.65</v>
      </c>
      <c r="G1607">
        <v>229.45</v>
      </c>
      <c r="H1607">
        <v>222.9</v>
      </c>
      <c r="I1607">
        <v>16626</v>
      </c>
      <c r="J1607">
        <v>3728091.6</v>
      </c>
      <c r="K1607" s="1">
        <v>43777</v>
      </c>
      <c r="L1607">
        <v>509</v>
      </c>
      <c r="M1607" t="s">
        <v>4797</v>
      </c>
    </row>
    <row r="1608" spans="1:13" x14ac:dyDescent="0.25">
      <c r="A1608" t="s">
        <v>4798</v>
      </c>
      <c r="B1608" t="s">
        <v>14</v>
      </c>
      <c r="C1608">
        <v>1325</v>
      </c>
      <c r="D1608">
        <v>1397</v>
      </c>
      <c r="E1608">
        <v>1290.55</v>
      </c>
      <c r="F1608">
        <v>1335.2</v>
      </c>
      <c r="G1608">
        <v>1320</v>
      </c>
      <c r="H1608">
        <v>1313.05</v>
      </c>
      <c r="I1608">
        <v>188137</v>
      </c>
      <c r="J1608">
        <v>253823256.15000001</v>
      </c>
      <c r="K1608" s="1">
        <v>43777</v>
      </c>
      <c r="L1608">
        <v>13305</v>
      </c>
      <c r="M1608" t="s">
        <v>4800</v>
      </c>
    </row>
    <row r="1609" spans="1:13" x14ac:dyDescent="0.25">
      <c r="A1609" t="s">
        <v>4801</v>
      </c>
      <c r="B1609" t="s">
        <v>14</v>
      </c>
      <c r="C1609">
        <v>163</v>
      </c>
      <c r="D1609">
        <v>163.80000000000001</v>
      </c>
      <c r="E1609">
        <v>155.44999999999999</v>
      </c>
      <c r="F1609">
        <v>157.25</v>
      </c>
      <c r="G1609">
        <v>157</v>
      </c>
      <c r="H1609">
        <v>164.55</v>
      </c>
      <c r="I1609">
        <v>853254</v>
      </c>
      <c r="J1609">
        <v>135657730.30000001</v>
      </c>
      <c r="K1609" s="1">
        <v>43777</v>
      </c>
      <c r="L1609">
        <v>10826</v>
      </c>
      <c r="M1609" t="s">
        <v>4803</v>
      </c>
    </row>
    <row r="1610" spans="1:13" x14ac:dyDescent="0.25">
      <c r="A1610" t="s">
        <v>4804</v>
      </c>
      <c r="B1610" t="s">
        <v>10</v>
      </c>
      <c r="C1610">
        <v>0.9</v>
      </c>
      <c r="D1610">
        <v>0.9</v>
      </c>
      <c r="E1610">
        <v>0.85</v>
      </c>
      <c r="F1610">
        <v>0.85</v>
      </c>
      <c r="G1610">
        <v>0.85</v>
      </c>
      <c r="H1610">
        <v>0.9</v>
      </c>
      <c r="I1610">
        <v>50050</v>
      </c>
      <c r="J1610">
        <v>42556</v>
      </c>
      <c r="K1610" s="1">
        <v>43777</v>
      </c>
      <c r="L1610">
        <v>57</v>
      </c>
      <c r="M1610" t="s">
        <v>4806</v>
      </c>
    </row>
    <row r="1611" spans="1:13" x14ac:dyDescent="0.25">
      <c r="A1611" t="s">
        <v>4807</v>
      </c>
      <c r="B1611" t="s">
        <v>14</v>
      </c>
      <c r="C1611">
        <v>77.2</v>
      </c>
      <c r="D1611">
        <v>77.2</v>
      </c>
      <c r="E1611">
        <v>72</v>
      </c>
      <c r="F1611">
        <v>73.400000000000006</v>
      </c>
      <c r="G1611">
        <v>73.75</v>
      </c>
      <c r="H1611">
        <v>80.5</v>
      </c>
      <c r="I1611">
        <v>78711</v>
      </c>
      <c r="J1611">
        <v>5825469.1500000004</v>
      </c>
      <c r="K1611" s="1">
        <v>43777</v>
      </c>
      <c r="L1611">
        <v>1212</v>
      </c>
      <c r="M1611" t="s">
        <v>4809</v>
      </c>
    </row>
    <row r="1612" spans="1:13" x14ac:dyDescent="0.25">
      <c r="A1612" t="s">
        <v>4810</v>
      </c>
      <c r="B1612" t="s">
        <v>14</v>
      </c>
      <c r="C1612">
        <v>71.75</v>
      </c>
      <c r="D1612">
        <v>72</v>
      </c>
      <c r="E1612">
        <v>70.05</v>
      </c>
      <c r="F1612">
        <v>71</v>
      </c>
      <c r="G1612">
        <v>71.75</v>
      </c>
      <c r="H1612">
        <v>71.45</v>
      </c>
      <c r="I1612">
        <v>57419</v>
      </c>
      <c r="J1612">
        <v>4079716.55</v>
      </c>
      <c r="K1612" s="1">
        <v>43777</v>
      </c>
      <c r="L1612">
        <v>622</v>
      </c>
      <c r="M1612" t="s">
        <v>4812</v>
      </c>
    </row>
    <row r="1613" spans="1:13" x14ac:dyDescent="0.25">
      <c r="A1613" t="s">
        <v>4813</v>
      </c>
      <c r="B1613" t="s">
        <v>10</v>
      </c>
      <c r="C1613">
        <v>0.3</v>
      </c>
      <c r="D1613">
        <v>0.35</v>
      </c>
      <c r="E1613">
        <v>0.3</v>
      </c>
      <c r="F1613">
        <v>0.35</v>
      </c>
      <c r="G1613">
        <v>0.35</v>
      </c>
      <c r="H1613">
        <v>0.35</v>
      </c>
      <c r="I1613">
        <v>6061</v>
      </c>
      <c r="J1613">
        <v>1868.4</v>
      </c>
      <c r="K1613" s="1">
        <v>43777</v>
      </c>
      <c r="L1613">
        <v>10</v>
      </c>
      <c r="M1613" t="s">
        <v>4815</v>
      </c>
    </row>
    <row r="1614" spans="1:13" x14ac:dyDescent="0.25">
      <c r="A1614" t="s">
        <v>4816</v>
      </c>
      <c r="B1614" t="s">
        <v>14</v>
      </c>
      <c r="C1614">
        <v>21.15</v>
      </c>
      <c r="D1614">
        <v>21.25</v>
      </c>
      <c r="E1614">
        <v>20.100000000000001</v>
      </c>
      <c r="F1614">
        <v>20.3</v>
      </c>
      <c r="G1614">
        <v>20.25</v>
      </c>
      <c r="H1614">
        <v>21.05</v>
      </c>
      <c r="I1614">
        <v>30186</v>
      </c>
      <c r="J1614">
        <v>622958.5</v>
      </c>
      <c r="K1614" s="1">
        <v>43777</v>
      </c>
      <c r="L1614">
        <v>337</v>
      </c>
      <c r="M1614" t="s">
        <v>4818</v>
      </c>
    </row>
    <row r="1615" spans="1:13" x14ac:dyDescent="0.25">
      <c r="A1615" t="s">
        <v>7189</v>
      </c>
      <c r="B1615" t="s">
        <v>14</v>
      </c>
      <c r="C1615">
        <v>114</v>
      </c>
      <c r="D1615">
        <v>115.85</v>
      </c>
      <c r="E1615">
        <v>113</v>
      </c>
      <c r="F1615">
        <v>113.2</v>
      </c>
      <c r="G1615">
        <v>113.25</v>
      </c>
      <c r="H1615">
        <v>114.65</v>
      </c>
      <c r="I1615">
        <v>725129</v>
      </c>
      <c r="J1615">
        <v>82711133.349999994</v>
      </c>
      <c r="K1615" s="1">
        <v>43777</v>
      </c>
      <c r="L1615">
        <v>10031</v>
      </c>
      <c r="M1615" t="s">
        <v>7188</v>
      </c>
    </row>
    <row r="1616" spans="1:13" x14ac:dyDescent="0.25">
      <c r="A1616" t="s">
        <v>4819</v>
      </c>
      <c r="B1616" t="s">
        <v>14</v>
      </c>
      <c r="C1616">
        <v>31.5</v>
      </c>
      <c r="D1616">
        <v>36.299999999999997</v>
      </c>
      <c r="E1616">
        <v>30.15</v>
      </c>
      <c r="F1616">
        <v>32.65</v>
      </c>
      <c r="G1616">
        <v>32.1</v>
      </c>
      <c r="H1616">
        <v>30.25</v>
      </c>
      <c r="I1616">
        <v>145337</v>
      </c>
      <c r="J1616">
        <v>4912589.25</v>
      </c>
      <c r="K1616" s="1">
        <v>43777</v>
      </c>
      <c r="L1616">
        <v>1553</v>
      </c>
      <c r="M1616" t="s">
        <v>4821</v>
      </c>
    </row>
    <row r="1617" spans="1:13" x14ac:dyDescent="0.25">
      <c r="A1617" t="s">
        <v>4825</v>
      </c>
      <c r="B1617" t="s">
        <v>14</v>
      </c>
      <c r="C1617">
        <v>12.9</v>
      </c>
      <c r="D1617">
        <v>12.95</v>
      </c>
      <c r="E1617">
        <v>12.9</v>
      </c>
      <c r="F1617">
        <v>12.95</v>
      </c>
      <c r="G1617">
        <v>12.95</v>
      </c>
      <c r="H1617">
        <v>12.35</v>
      </c>
      <c r="I1617">
        <v>44398</v>
      </c>
      <c r="J1617">
        <v>574904.1</v>
      </c>
      <c r="K1617" s="1">
        <v>43777</v>
      </c>
      <c r="L1617">
        <v>28</v>
      </c>
      <c r="M1617" t="s">
        <v>4827</v>
      </c>
    </row>
    <row r="1618" spans="1:13" x14ac:dyDescent="0.25">
      <c r="A1618" t="s">
        <v>5895</v>
      </c>
      <c r="B1618" t="s">
        <v>14</v>
      </c>
      <c r="C1618">
        <v>1.35</v>
      </c>
      <c r="D1618">
        <v>1.35</v>
      </c>
      <c r="E1618">
        <v>1.35</v>
      </c>
      <c r="F1618">
        <v>1.35</v>
      </c>
      <c r="G1618">
        <v>1.35</v>
      </c>
      <c r="H1618">
        <v>1.4</v>
      </c>
      <c r="I1618">
        <v>1074402</v>
      </c>
      <c r="J1618">
        <v>1450442.7</v>
      </c>
      <c r="K1618" s="1">
        <v>43777</v>
      </c>
      <c r="L1618">
        <v>683</v>
      </c>
      <c r="M1618" t="s">
        <v>5894</v>
      </c>
    </row>
    <row r="1619" spans="1:13" x14ac:dyDescent="0.25">
      <c r="A1619" t="s">
        <v>4831</v>
      </c>
      <c r="B1619" t="s">
        <v>10</v>
      </c>
      <c r="C1619">
        <v>0.3</v>
      </c>
      <c r="D1619">
        <v>0.3</v>
      </c>
      <c r="E1619">
        <v>0.25</v>
      </c>
      <c r="F1619">
        <v>0.25</v>
      </c>
      <c r="G1619">
        <v>0.25</v>
      </c>
      <c r="H1619">
        <v>0.25</v>
      </c>
      <c r="I1619">
        <v>150582</v>
      </c>
      <c r="J1619">
        <v>39472.35</v>
      </c>
      <c r="K1619" s="1">
        <v>43777</v>
      </c>
      <c r="L1619">
        <v>23</v>
      </c>
      <c r="M1619" t="s">
        <v>4833</v>
      </c>
    </row>
    <row r="1620" spans="1:13" x14ac:dyDescent="0.25">
      <c r="A1620" t="s">
        <v>4834</v>
      </c>
      <c r="B1620" t="s">
        <v>14</v>
      </c>
      <c r="C1620">
        <v>172</v>
      </c>
      <c r="D1620">
        <v>175.8</v>
      </c>
      <c r="E1620">
        <v>170.15</v>
      </c>
      <c r="F1620">
        <v>171.8</v>
      </c>
      <c r="G1620">
        <v>171.8</v>
      </c>
      <c r="H1620">
        <v>173</v>
      </c>
      <c r="I1620">
        <v>10041</v>
      </c>
      <c r="J1620">
        <v>1738411.5</v>
      </c>
      <c r="K1620" s="1">
        <v>43777</v>
      </c>
      <c r="L1620">
        <v>222</v>
      </c>
      <c r="M1620" t="s">
        <v>4836</v>
      </c>
    </row>
    <row r="1621" spans="1:13" x14ac:dyDescent="0.25">
      <c r="A1621" t="s">
        <v>7183</v>
      </c>
      <c r="B1621" t="s">
        <v>5872</v>
      </c>
      <c r="C1621">
        <v>999</v>
      </c>
      <c r="D1621">
        <v>1000</v>
      </c>
      <c r="E1621">
        <v>999</v>
      </c>
      <c r="F1621">
        <v>1000</v>
      </c>
      <c r="G1621">
        <v>1000</v>
      </c>
      <c r="H1621">
        <v>986.74</v>
      </c>
      <c r="I1621">
        <v>251</v>
      </c>
      <c r="J1621">
        <v>250999</v>
      </c>
      <c r="K1621" s="1">
        <v>43777</v>
      </c>
      <c r="L1621">
        <v>4</v>
      </c>
      <c r="M1621" t="s">
        <v>7187</v>
      </c>
    </row>
    <row r="1622" spans="1:13" x14ac:dyDescent="0.25">
      <c r="A1622" t="s">
        <v>7183</v>
      </c>
      <c r="B1622" t="s">
        <v>5870</v>
      </c>
      <c r="C1622">
        <v>749.99</v>
      </c>
      <c r="D1622">
        <v>750</v>
      </c>
      <c r="E1622">
        <v>735</v>
      </c>
      <c r="F1622">
        <v>740</v>
      </c>
      <c r="G1622">
        <v>740</v>
      </c>
      <c r="H1622">
        <v>735</v>
      </c>
      <c r="I1622">
        <v>102</v>
      </c>
      <c r="J1622">
        <v>75649.98</v>
      </c>
      <c r="K1622" s="1">
        <v>43777</v>
      </c>
      <c r="L1622">
        <v>8</v>
      </c>
      <c r="M1622" t="s">
        <v>7186</v>
      </c>
    </row>
    <row r="1623" spans="1:13" x14ac:dyDescent="0.25">
      <c r="A1623" t="s">
        <v>7183</v>
      </c>
      <c r="B1623" t="s">
        <v>5868</v>
      </c>
      <c r="C1623">
        <v>680</v>
      </c>
      <c r="D1623">
        <v>698.99</v>
      </c>
      <c r="E1623">
        <v>680</v>
      </c>
      <c r="F1623">
        <v>689.53</v>
      </c>
      <c r="G1623">
        <v>680</v>
      </c>
      <c r="H1623">
        <v>680</v>
      </c>
      <c r="I1623">
        <v>297</v>
      </c>
      <c r="J1623">
        <v>205872.48</v>
      </c>
      <c r="K1623" s="1">
        <v>43777</v>
      </c>
      <c r="L1623">
        <v>11</v>
      </c>
      <c r="M1623" t="s">
        <v>7185</v>
      </c>
    </row>
    <row r="1624" spans="1:13" x14ac:dyDescent="0.25">
      <c r="A1624" t="s">
        <v>7183</v>
      </c>
      <c r="B1624" t="s">
        <v>6459</v>
      </c>
      <c r="C1624">
        <v>700</v>
      </c>
      <c r="D1624">
        <v>700</v>
      </c>
      <c r="E1624">
        <v>700</v>
      </c>
      <c r="F1624">
        <v>700</v>
      </c>
      <c r="G1624">
        <v>700</v>
      </c>
      <c r="H1624">
        <v>760</v>
      </c>
      <c r="I1624">
        <v>2</v>
      </c>
      <c r="J1624">
        <v>1400</v>
      </c>
      <c r="K1624" s="1">
        <v>43777</v>
      </c>
      <c r="L1624">
        <v>1</v>
      </c>
      <c r="M1624" t="s">
        <v>7184</v>
      </c>
    </row>
    <row r="1625" spans="1:13" x14ac:dyDescent="0.25">
      <c r="A1625" t="s">
        <v>7183</v>
      </c>
      <c r="B1625" t="s">
        <v>6507</v>
      </c>
      <c r="C1625">
        <v>620</v>
      </c>
      <c r="D1625">
        <v>645</v>
      </c>
      <c r="E1625">
        <v>620</v>
      </c>
      <c r="F1625">
        <v>645</v>
      </c>
      <c r="G1625">
        <v>645</v>
      </c>
      <c r="H1625">
        <v>625</v>
      </c>
      <c r="I1625">
        <v>150</v>
      </c>
      <c r="J1625">
        <v>96125</v>
      </c>
      <c r="K1625" s="1">
        <v>43777</v>
      </c>
      <c r="L1625">
        <v>4</v>
      </c>
      <c r="M1625" t="s">
        <v>7182</v>
      </c>
    </row>
    <row r="1626" spans="1:13" x14ac:dyDescent="0.25">
      <c r="A1626" t="s">
        <v>7170</v>
      </c>
      <c r="B1626" t="s">
        <v>14</v>
      </c>
      <c r="C1626">
        <v>9.0500000000000007</v>
      </c>
      <c r="D1626">
        <v>9.5</v>
      </c>
      <c r="E1626">
        <v>8.8000000000000007</v>
      </c>
      <c r="F1626">
        <v>9.3000000000000007</v>
      </c>
      <c r="G1626">
        <v>9.1999999999999993</v>
      </c>
      <c r="H1626">
        <v>9.0500000000000007</v>
      </c>
      <c r="I1626">
        <v>1478159</v>
      </c>
      <c r="J1626">
        <v>13698270.25</v>
      </c>
      <c r="K1626" s="1">
        <v>43777</v>
      </c>
      <c r="L1626">
        <v>2598</v>
      </c>
      <c r="M1626" t="s">
        <v>7181</v>
      </c>
    </row>
    <row r="1627" spans="1:13" x14ac:dyDescent="0.25">
      <c r="A1627" t="s">
        <v>7170</v>
      </c>
      <c r="B1627" t="s">
        <v>7180</v>
      </c>
      <c r="C1627">
        <v>900</v>
      </c>
      <c r="D1627">
        <v>900</v>
      </c>
      <c r="E1627">
        <v>800.05</v>
      </c>
      <c r="F1627">
        <v>825</v>
      </c>
      <c r="G1627">
        <v>825</v>
      </c>
      <c r="H1627">
        <v>830</v>
      </c>
      <c r="I1627">
        <v>390</v>
      </c>
      <c r="J1627">
        <v>343426.5</v>
      </c>
      <c r="K1627" s="1">
        <v>43777</v>
      </c>
      <c r="L1627">
        <v>7</v>
      </c>
      <c r="M1627" t="s">
        <v>7179</v>
      </c>
    </row>
    <row r="1628" spans="1:13" x14ac:dyDescent="0.25">
      <c r="A1628" t="s">
        <v>7170</v>
      </c>
      <c r="B1628" t="s">
        <v>6594</v>
      </c>
      <c r="C1628">
        <v>730</v>
      </c>
      <c r="D1628">
        <v>730</v>
      </c>
      <c r="E1628">
        <v>730</v>
      </c>
      <c r="F1628">
        <v>730</v>
      </c>
      <c r="G1628">
        <v>730</v>
      </c>
      <c r="H1628">
        <v>710.45</v>
      </c>
      <c r="I1628">
        <v>22</v>
      </c>
      <c r="J1628">
        <v>16060</v>
      </c>
      <c r="K1628" s="1">
        <v>43777</v>
      </c>
      <c r="L1628">
        <v>1</v>
      </c>
      <c r="M1628" t="s">
        <v>7178</v>
      </c>
    </row>
    <row r="1629" spans="1:13" x14ac:dyDescent="0.25">
      <c r="A1629" t="s">
        <v>7170</v>
      </c>
      <c r="B1629" t="s">
        <v>6379</v>
      </c>
      <c r="C1629">
        <v>950</v>
      </c>
      <c r="D1629">
        <v>950</v>
      </c>
      <c r="E1629">
        <v>950</v>
      </c>
      <c r="F1629">
        <v>950</v>
      </c>
      <c r="G1629">
        <v>950</v>
      </c>
      <c r="H1629">
        <v>932</v>
      </c>
      <c r="I1629">
        <v>27</v>
      </c>
      <c r="J1629">
        <v>25650</v>
      </c>
      <c r="K1629" s="1">
        <v>43777</v>
      </c>
      <c r="L1629">
        <v>2</v>
      </c>
      <c r="M1629" t="s">
        <v>7177</v>
      </c>
    </row>
    <row r="1630" spans="1:13" x14ac:dyDescent="0.25">
      <c r="A1630" t="s">
        <v>7170</v>
      </c>
      <c r="B1630" t="s">
        <v>7176</v>
      </c>
      <c r="C1630">
        <v>969</v>
      </c>
      <c r="D1630">
        <v>969.9</v>
      </c>
      <c r="E1630">
        <v>969</v>
      </c>
      <c r="F1630">
        <v>969.84</v>
      </c>
      <c r="G1630">
        <v>969.9</v>
      </c>
      <c r="H1630">
        <v>956.57</v>
      </c>
      <c r="I1630">
        <v>90</v>
      </c>
      <c r="J1630">
        <v>87282</v>
      </c>
      <c r="K1630" s="1">
        <v>43777</v>
      </c>
      <c r="L1630">
        <v>4</v>
      </c>
      <c r="M1630" t="s">
        <v>7175</v>
      </c>
    </row>
    <row r="1631" spans="1:13" x14ac:dyDescent="0.25">
      <c r="A1631" t="s">
        <v>7170</v>
      </c>
      <c r="B1631" t="s">
        <v>6377</v>
      </c>
      <c r="C1631">
        <v>1185.0999999999999</v>
      </c>
      <c r="D1631">
        <v>1190</v>
      </c>
      <c r="E1631">
        <v>1185.0999999999999</v>
      </c>
      <c r="F1631">
        <v>1190</v>
      </c>
      <c r="G1631">
        <v>1190</v>
      </c>
      <c r="H1631">
        <v>1170.5999999999999</v>
      </c>
      <c r="I1631">
        <v>285</v>
      </c>
      <c r="J1631">
        <v>338660</v>
      </c>
      <c r="K1631" s="1">
        <v>43777</v>
      </c>
      <c r="L1631">
        <v>4</v>
      </c>
      <c r="M1631" t="s">
        <v>7174</v>
      </c>
    </row>
    <row r="1632" spans="1:13" x14ac:dyDescent="0.25">
      <c r="A1632" t="s">
        <v>7170</v>
      </c>
      <c r="B1632" t="s">
        <v>6374</v>
      </c>
      <c r="C1632">
        <v>655.01</v>
      </c>
      <c r="D1632">
        <v>655.01</v>
      </c>
      <c r="E1632">
        <v>650</v>
      </c>
      <c r="F1632">
        <v>650.75</v>
      </c>
      <c r="G1632">
        <v>650</v>
      </c>
      <c r="H1632">
        <v>655</v>
      </c>
      <c r="I1632">
        <v>383</v>
      </c>
      <c r="J1632">
        <v>249578.06</v>
      </c>
      <c r="K1632" s="1">
        <v>43777</v>
      </c>
      <c r="L1632">
        <v>24</v>
      </c>
      <c r="M1632" t="s">
        <v>7173</v>
      </c>
    </row>
    <row r="1633" spans="1:13" x14ac:dyDescent="0.25">
      <c r="A1633" t="s">
        <v>7170</v>
      </c>
      <c r="B1633" t="s">
        <v>7172</v>
      </c>
      <c r="C1633">
        <v>845</v>
      </c>
      <c r="D1633">
        <v>845</v>
      </c>
      <c r="E1633">
        <v>810</v>
      </c>
      <c r="F1633">
        <v>810</v>
      </c>
      <c r="G1633">
        <v>810</v>
      </c>
      <c r="H1633">
        <v>731</v>
      </c>
      <c r="I1633">
        <v>13</v>
      </c>
      <c r="J1633">
        <v>10880</v>
      </c>
      <c r="K1633" s="1">
        <v>43777</v>
      </c>
      <c r="L1633">
        <v>3</v>
      </c>
      <c r="M1633" t="s">
        <v>7171</v>
      </c>
    </row>
    <row r="1634" spans="1:13" x14ac:dyDescent="0.25">
      <c r="A1634" t="s">
        <v>7170</v>
      </c>
      <c r="B1634" t="s">
        <v>7161</v>
      </c>
      <c r="C1634">
        <v>729.8</v>
      </c>
      <c r="D1634">
        <v>729.8</v>
      </c>
      <c r="E1634">
        <v>729.8</v>
      </c>
      <c r="F1634">
        <v>729.8</v>
      </c>
      <c r="G1634">
        <v>729.8</v>
      </c>
      <c r="H1634">
        <v>631.79999999999995</v>
      </c>
      <c r="I1634">
        <v>50</v>
      </c>
      <c r="J1634">
        <v>36490</v>
      </c>
      <c r="K1634" s="1">
        <v>43777</v>
      </c>
      <c r="L1634">
        <v>2</v>
      </c>
      <c r="M1634" t="s">
        <v>7169</v>
      </c>
    </row>
    <row r="1635" spans="1:13" x14ac:dyDescent="0.25">
      <c r="A1635" t="s">
        <v>4837</v>
      </c>
      <c r="B1635" t="s">
        <v>14</v>
      </c>
      <c r="C1635">
        <v>3148</v>
      </c>
      <c r="D1635">
        <v>3225</v>
      </c>
      <c r="E1635">
        <v>3119.6</v>
      </c>
      <c r="F1635">
        <v>3139.45</v>
      </c>
      <c r="G1635">
        <v>3141.9</v>
      </c>
      <c r="H1635">
        <v>3148.75</v>
      </c>
      <c r="I1635">
        <v>799344</v>
      </c>
      <c r="J1635">
        <v>2538781400.4000001</v>
      </c>
      <c r="K1635" s="1">
        <v>43777</v>
      </c>
      <c r="L1635">
        <v>60206</v>
      </c>
      <c r="M1635" t="s">
        <v>4839</v>
      </c>
    </row>
    <row r="1636" spans="1:13" x14ac:dyDescent="0.25">
      <c r="A1636" t="s">
        <v>4843</v>
      </c>
      <c r="B1636" t="s">
        <v>14</v>
      </c>
      <c r="C1636">
        <v>104</v>
      </c>
      <c r="D1636">
        <v>106.3</v>
      </c>
      <c r="E1636">
        <v>103.15</v>
      </c>
      <c r="F1636">
        <v>104.55</v>
      </c>
      <c r="G1636">
        <v>104</v>
      </c>
      <c r="H1636">
        <v>103.5</v>
      </c>
      <c r="I1636">
        <v>2934</v>
      </c>
      <c r="J1636">
        <v>307183.25</v>
      </c>
      <c r="K1636" s="1">
        <v>43777</v>
      </c>
      <c r="L1636">
        <v>68</v>
      </c>
      <c r="M1636" t="s">
        <v>4845</v>
      </c>
    </row>
    <row r="1637" spans="1:13" x14ac:dyDescent="0.25">
      <c r="A1637" t="s">
        <v>7168</v>
      </c>
      <c r="B1637" t="s">
        <v>14</v>
      </c>
      <c r="C1637">
        <v>172</v>
      </c>
      <c r="D1637">
        <v>177.8</v>
      </c>
      <c r="E1637">
        <v>172</v>
      </c>
      <c r="F1637">
        <v>174.5</v>
      </c>
      <c r="G1637">
        <v>174.5</v>
      </c>
      <c r="H1637">
        <v>174.65</v>
      </c>
      <c r="I1637">
        <v>23214</v>
      </c>
      <c r="J1637">
        <v>4041718.7</v>
      </c>
      <c r="K1637" s="1">
        <v>43777</v>
      </c>
      <c r="L1637">
        <v>614</v>
      </c>
      <c r="M1637" t="s">
        <v>7167</v>
      </c>
    </row>
    <row r="1638" spans="1:13" x14ac:dyDescent="0.25">
      <c r="A1638" t="s">
        <v>7148</v>
      </c>
      <c r="B1638" t="s">
        <v>14</v>
      </c>
      <c r="C1638">
        <v>1152.45</v>
      </c>
      <c r="D1638">
        <v>1162.5</v>
      </c>
      <c r="E1638">
        <v>1111</v>
      </c>
      <c r="F1638">
        <v>1116.3499999999999</v>
      </c>
      <c r="G1638">
        <v>1116.9000000000001</v>
      </c>
      <c r="H1638">
        <v>1152.45</v>
      </c>
      <c r="I1638">
        <v>878154</v>
      </c>
      <c r="J1638">
        <v>999160177.60000002</v>
      </c>
      <c r="K1638" s="1">
        <v>43777</v>
      </c>
      <c r="L1638">
        <v>33062</v>
      </c>
      <c r="M1638" t="s">
        <v>4644</v>
      </c>
    </row>
    <row r="1639" spans="1:13" x14ac:dyDescent="0.25">
      <c r="A1639" t="s">
        <v>7148</v>
      </c>
      <c r="B1639" t="s">
        <v>6374</v>
      </c>
      <c r="C1639">
        <v>1042.05</v>
      </c>
      <c r="D1639">
        <v>1046.5</v>
      </c>
      <c r="E1639">
        <v>1042.05</v>
      </c>
      <c r="F1639">
        <v>1045</v>
      </c>
      <c r="G1639">
        <v>1045</v>
      </c>
      <c r="H1639">
        <v>1045</v>
      </c>
      <c r="I1639">
        <v>30</v>
      </c>
      <c r="J1639">
        <v>31335.5</v>
      </c>
      <c r="K1639" s="1">
        <v>43777</v>
      </c>
      <c r="L1639">
        <v>3</v>
      </c>
      <c r="M1639" t="s">
        <v>7166</v>
      </c>
    </row>
    <row r="1640" spans="1:13" x14ac:dyDescent="0.25">
      <c r="A1640" t="s">
        <v>7148</v>
      </c>
      <c r="B1640" t="s">
        <v>7165</v>
      </c>
      <c r="C1640">
        <v>1012</v>
      </c>
      <c r="D1640">
        <v>1025</v>
      </c>
      <c r="E1640">
        <v>1012</v>
      </c>
      <c r="F1640">
        <v>1025</v>
      </c>
      <c r="G1640">
        <v>1025</v>
      </c>
      <c r="H1640">
        <v>1025</v>
      </c>
      <c r="I1640">
        <v>40</v>
      </c>
      <c r="J1640">
        <v>40770</v>
      </c>
      <c r="K1640" s="1">
        <v>43777</v>
      </c>
      <c r="L1640">
        <v>3</v>
      </c>
      <c r="M1640" t="s">
        <v>7164</v>
      </c>
    </row>
    <row r="1641" spans="1:13" x14ac:dyDescent="0.25">
      <c r="A1641" t="s">
        <v>7148</v>
      </c>
      <c r="B1641" t="s">
        <v>7163</v>
      </c>
      <c r="C1641">
        <v>944.98</v>
      </c>
      <c r="D1641">
        <v>944.98</v>
      </c>
      <c r="E1641">
        <v>940</v>
      </c>
      <c r="F1641">
        <v>940</v>
      </c>
      <c r="G1641">
        <v>940</v>
      </c>
      <c r="H1641">
        <v>934.98</v>
      </c>
      <c r="I1641">
        <v>29</v>
      </c>
      <c r="J1641">
        <v>27394.46</v>
      </c>
      <c r="K1641" s="1">
        <v>43777</v>
      </c>
      <c r="L1641">
        <v>3</v>
      </c>
      <c r="M1641" t="s">
        <v>7162</v>
      </c>
    </row>
    <row r="1642" spans="1:13" x14ac:dyDescent="0.25">
      <c r="A1642" t="s">
        <v>7148</v>
      </c>
      <c r="B1642" t="s">
        <v>7161</v>
      </c>
      <c r="C1642">
        <v>988</v>
      </c>
      <c r="D1642">
        <v>1010</v>
      </c>
      <c r="E1642">
        <v>988</v>
      </c>
      <c r="F1642">
        <v>1010</v>
      </c>
      <c r="G1642">
        <v>1010</v>
      </c>
      <c r="H1642">
        <v>988</v>
      </c>
      <c r="I1642">
        <v>375</v>
      </c>
      <c r="J1642">
        <v>373960</v>
      </c>
      <c r="K1642" s="1">
        <v>43777</v>
      </c>
      <c r="L1642">
        <v>15</v>
      </c>
      <c r="M1642" t="s">
        <v>7160</v>
      </c>
    </row>
    <row r="1643" spans="1:13" x14ac:dyDescent="0.25">
      <c r="A1643" t="s">
        <v>7148</v>
      </c>
      <c r="B1643" t="s">
        <v>7159</v>
      </c>
      <c r="C1643">
        <v>961</v>
      </c>
      <c r="D1643">
        <v>970</v>
      </c>
      <c r="E1643">
        <v>948.05</v>
      </c>
      <c r="F1643">
        <v>966.69</v>
      </c>
      <c r="G1643">
        <v>965.05</v>
      </c>
      <c r="H1643">
        <v>967.5</v>
      </c>
      <c r="I1643">
        <v>611</v>
      </c>
      <c r="J1643">
        <v>588196.76</v>
      </c>
      <c r="K1643" s="1">
        <v>43777</v>
      </c>
      <c r="L1643">
        <v>22</v>
      </c>
      <c r="M1643" t="s">
        <v>7158</v>
      </c>
    </row>
    <row r="1644" spans="1:13" x14ac:dyDescent="0.25">
      <c r="A1644" t="s">
        <v>7148</v>
      </c>
      <c r="B1644" t="s">
        <v>5941</v>
      </c>
      <c r="C1644">
        <v>930</v>
      </c>
      <c r="D1644">
        <v>930</v>
      </c>
      <c r="E1644">
        <v>930</v>
      </c>
      <c r="F1644">
        <v>930</v>
      </c>
      <c r="G1644">
        <v>930</v>
      </c>
      <c r="H1644">
        <v>930</v>
      </c>
      <c r="I1644">
        <v>10</v>
      </c>
      <c r="J1644">
        <v>9300</v>
      </c>
      <c r="K1644" s="1">
        <v>43777</v>
      </c>
      <c r="L1644">
        <v>2</v>
      </c>
      <c r="M1644" t="s">
        <v>5940</v>
      </c>
    </row>
    <row r="1645" spans="1:13" x14ac:dyDescent="0.25">
      <c r="A1645" t="s">
        <v>7148</v>
      </c>
      <c r="B1645" t="s">
        <v>7157</v>
      </c>
      <c r="C1645">
        <v>970</v>
      </c>
      <c r="D1645">
        <v>970</v>
      </c>
      <c r="E1645">
        <v>970</v>
      </c>
      <c r="F1645">
        <v>970</v>
      </c>
      <c r="G1645">
        <v>970</v>
      </c>
      <c r="H1645">
        <v>1047</v>
      </c>
      <c r="I1645">
        <v>75</v>
      </c>
      <c r="J1645">
        <v>72750</v>
      </c>
      <c r="K1645" s="1">
        <v>43777</v>
      </c>
      <c r="L1645">
        <v>2</v>
      </c>
      <c r="M1645" t="s">
        <v>7156</v>
      </c>
    </row>
    <row r="1646" spans="1:13" x14ac:dyDescent="0.25">
      <c r="A1646" t="s">
        <v>7148</v>
      </c>
      <c r="B1646" t="s">
        <v>5939</v>
      </c>
      <c r="C1646">
        <v>1000</v>
      </c>
      <c r="D1646">
        <v>1000</v>
      </c>
      <c r="E1646">
        <v>1000</v>
      </c>
      <c r="F1646">
        <v>1000</v>
      </c>
      <c r="G1646">
        <v>1000</v>
      </c>
      <c r="H1646">
        <v>995</v>
      </c>
      <c r="I1646">
        <v>10</v>
      </c>
      <c r="J1646">
        <v>10000</v>
      </c>
      <c r="K1646" s="1">
        <v>43777</v>
      </c>
      <c r="L1646">
        <v>1</v>
      </c>
      <c r="M1646" t="s">
        <v>5938</v>
      </c>
    </row>
    <row r="1647" spans="1:13" x14ac:dyDescent="0.25">
      <c r="A1647" t="s">
        <v>7148</v>
      </c>
      <c r="B1647" t="s">
        <v>7155</v>
      </c>
      <c r="C1647">
        <v>975</v>
      </c>
      <c r="D1647">
        <v>975</v>
      </c>
      <c r="E1647">
        <v>966.2</v>
      </c>
      <c r="F1647">
        <v>970</v>
      </c>
      <c r="G1647">
        <v>970</v>
      </c>
      <c r="H1647">
        <v>975</v>
      </c>
      <c r="I1647">
        <v>181</v>
      </c>
      <c r="J1647">
        <v>175637.44</v>
      </c>
      <c r="K1647" s="1">
        <v>43777</v>
      </c>
      <c r="L1647">
        <v>5</v>
      </c>
      <c r="M1647" t="s">
        <v>7154</v>
      </c>
    </row>
    <row r="1648" spans="1:13" x14ac:dyDescent="0.25">
      <c r="A1648" t="s">
        <v>7148</v>
      </c>
      <c r="B1648" t="s">
        <v>5937</v>
      </c>
      <c r="C1648">
        <v>970</v>
      </c>
      <c r="D1648">
        <v>978</v>
      </c>
      <c r="E1648">
        <v>970</v>
      </c>
      <c r="F1648">
        <v>973.8</v>
      </c>
      <c r="G1648">
        <v>978</v>
      </c>
      <c r="H1648">
        <v>969.9</v>
      </c>
      <c r="I1648">
        <v>21</v>
      </c>
      <c r="J1648">
        <v>20450</v>
      </c>
      <c r="K1648" s="1">
        <v>43777</v>
      </c>
      <c r="L1648">
        <v>4</v>
      </c>
      <c r="M1648" t="s">
        <v>5936</v>
      </c>
    </row>
    <row r="1649" spans="1:13" x14ac:dyDescent="0.25">
      <c r="A1649" t="s">
        <v>7148</v>
      </c>
      <c r="B1649" t="s">
        <v>7153</v>
      </c>
      <c r="C1649">
        <v>1061.99</v>
      </c>
      <c r="D1649">
        <v>1062</v>
      </c>
      <c r="E1649">
        <v>1061.99</v>
      </c>
      <c r="F1649">
        <v>1062</v>
      </c>
      <c r="G1649">
        <v>0</v>
      </c>
      <c r="H1649">
        <v>1061.99</v>
      </c>
      <c r="I1649">
        <v>40</v>
      </c>
      <c r="J1649">
        <v>42479.8</v>
      </c>
      <c r="K1649" s="1">
        <v>43777</v>
      </c>
      <c r="L1649">
        <v>3</v>
      </c>
      <c r="M1649" t="s">
        <v>7152</v>
      </c>
    </row>
    <row r="1650" spans="1:13" x14ac:dyDescent="0.25">
      <c r="A1650" t="s">
        <v>7148</v>
      </c>
      <c r="B1650" t="s">
        <v>5935</v>
      </c>
      <c r="C1650">
        <v>975</v>
      </c>
      <c r="D1650">
        <v>975</v>
      </c>
      <c r="E1650">
        <v>975</v>
      </c>
      <c r="F1650">
        <v>975</v>
      </c>
      <c r="G1650">
        <v>975</v>
      </c>
      <c r="H1650">
        <v>985</v>
      </c>
      <c r="I1650">
        <v>5</v>
      </c>
      <c r="J1650">
        <v>4875</v>
      </c>
      <c r="K1650" s="1">
        <v>43777</v>
      </c>
      <c r="L1650">
        <v>1</v>
      </c>
      <c r="M1650" t="s">
        <v>5934</v>
      </c>
    </row>
    <row r="1651" spans="1:13" x14ac:dyDescent="0.25">
      <c r="A1651" t="s">
        <v>7148</v>
      </c>
      <c r="B1651" t="s">
        <v>7151</v>
      </c>
      <c r="C1651">
        <v>1000</v>
      </c>
      <c r="D1651">
        <v>1000</v>
      </c>
      <c r="E1651">
        <v>1000</v>
      </c>
      <c r="F1651">
        <v>1000</v>
      </c>
      <c r="G1651">
        <v>1000</v>
      </c>
      <c r="H1651">
        <v>1001</v>
      </c>
      <c r="I1651">
        <v>500</v>
      </c>
      <c r="J1651">
        <v>500000</v>
      </c>
      <c r="K1651" s="1">
        <v>43777</v>
      </c>
      <c r="L1651">
        <v>4</v>
      </c>
      <c r="M1651" t="s">
        <v>7150</v>
      </c>
    </row>
    <row r="1652" spans="1:13" x14ac:dyDescent="0.25">
      <c r="A1652" t="s">
        <v>7148</v>
      </c>
      <c r="B1652" t="s">
        <v>6586</v>
      </c>
      <c r="C1652">
        <v>960</v>
      </c>
      <c r="D1652">
        <v>960</v>
      </c>
      <c r="E1652">
        <v>960</v>
      </c>
      <c r="F1652">
        <v>960</v>
      </c>
      <c r="G1652">
        <v>960</v>
      </c>
      <c r="H1652">
        <v>1200</v>
      </c>
      <c r="I1652">
        <v>5</v>
      </c>
      <c r="J1652">
        <v>4800</v>
      </c>
      <c r="K1652" s="1">
        <v>43777</v>
      </c>
      <c r="L1652">
        <v>2</v>
      </c>
      <c r="M1652" t="s">
        <v>7149</v>
      </c>
    </row>
    <row r="1653" spans="1:13" x14ac:dyDescent="0.25">
      <c r="A1653" t="s">
        <v>7148</v>
      </c>
      <c r="B1653" t="s">
        <v>7147</v>
      </c>
      <c r="C1653">
        <v>1002</v>
      </c>
      <c r="D1653">
        <v>1002</v>
      </c>
      <c r="E1653">
        <v>1002</v>
      </c>
      <c r="F1653">
        <v>1002</v>
      </c>
      <c r="G1653">
        <v>1002</v>
      </c>
      <c r="H1653">
        <v>1002</v>
      </c>
      <c r="I1653">
        <v>14</v>
      </c>
      <c r="J1653">
        <v>14028</v>
      </c>
      <c r="K1653" s="1">
        <v>43777</v>
      </c>
      <c r="L1653">
        <v>1</v>
      </c>
      <c r="M1653" t="s">
        <v>7146</v>
      </c>
    </row>
    <row r="1654" spans="1:13" x14ac:dyDescent="0.25">
      <c r="A1654" t="s">
        <v>7145</v>
      </c>
      <c r="B1654" t="s">
        <v>5788</v>
      </c>
      <c r="C1654">
        <v>13.1</v>
      </c>
      <c r="D1654">
        <v>13.1</v>
      </c>
      <c r="E1654">
        <v>13.1</v>
      </c>
      <c r="F1654">
        <v>13.1</v>
      </c>
      <c r="G1654">
        <v>13.1</v>
      </c>
      <c r="H1654">
        <v>12.6</v>
      </c>
      <c r="I1654">
        <v>3000</v>
      </c>
      <c r="J1654">
        <v>39300</v>
      </c>
      <c r="K1654" s="1">
        <v>43777</v>
      </c>
      <c r="L1654">
        <v>1</v>
      </c>
      <c r="M1654" t="s">
        <v>7144</v>
      </c>
    </row>
    <row r="1655" spans="1:13" x14ac:dyDescent="0.25">
      <c r="A1655" t="s">
        <v>4849</v>
      </c>
      <c r="B1655" t="s">
        <v>14</v>
      </c>
      <c r="C1655">
        <v>770.05</v>
      </c>
      <c r="D1655">
        <v>775.45</v>
      </c>
      <c r="E1655">
        <v>767</v>
      </c>
      <c r="F1655">
        <v>772.85</v>
      </c>
      <c r="G1655">
        <v>770.55</v>
      </c>
      <c r="H1655">
        <v>775.05</v>
      </c>
      <c r="I1655">
        <v>826</v>
      </c>
      <c r="J1655">
        <v>638372.19999999995</v>
      </c>
      <c r="K1655" s="1">
        <v>43777</v>
      </c>
      <c r="L1655">
        <v>155</v>
      </c>
      <c r="M1655" t="s">
        <v>7143</v>
      </c>
    </row>
    <row r="1656" spans="1:13" x14ac:dyDescent="0.25">
      <c r="A1656" t="s">
        <v>7142</v>
      </c>
      <c r="B1656" t="s">
        <v>14</v>
      </c>
      <c r="C1656">
        <v>0.65</v>
      </c>
      <c r="D1656">
        <v>0.7</v>
      </c>
      <c r="E1656">
        <v>0.65</v>
      </c>
      <c r="F1656">
        <v>0.7</v>
      </c>
      <c r="G1656">
        <v>0.7</v>
      </c>
      <c r="H1656">
        <v>0.7</v>
      </c>
      <c r="I1656">
        <v>20606</v>
      </c>
      <c r="J1656">
        <v>14163.9</v>
      </c>
      <c r="K1656" s="1">
        <v>43777</v>
      </c>
      <c r="L1656">
        <v>21</v>
      </c>
      <c r="M1656" t="s">
        <v>7141</v>
      </c>
    </row>
    <row r="1657" spans="1:13" x14ac:dyDescent="0.25">
      <c r="A1657" t="s">
        <v>7140</v>
      </c>
      <c r="B1657" t="s">
        <v>7139</v>
      </c>
      <c r="C1657">
        <v>58</v>
      </c>
      <c r="D1657">
        <v>61.1</v>
      </c>
      <c r="E1657">
        <v>58</v>
      </c>
      <c r="F1657">
        <v>60.2</v>
      </c>
      <c r="G1657">
        <v>60.3</v>
      </c>
      <c r="H1657">
        <v>60</v>
      </c>
      <c r="I1657">
        <v>4891</v>
      </c>
      <c r="J1657">
        <v>293568.09999999998</v>
      </c>
      <c r="K1657" s="1">
        <v>43777</v>
      </c>
      <c r="L1657">
        <v>72</v>
      </c>
      <c r="M1657" t="s">
        <v>7138</v>
      </c>
    </row>
    <row r="1658" spans="1:13" x14ac:dyDescent="0.25">
      <c r="A1658" t="s">
        <v>4852</v>
      </c>
      <c r="B1658" t="s">
        <v>14</v>
      </c>
      <c r="C1658">
        <v>399</v>
      </c>
      <c r="D1658">
        <v>410</v>
      </c>
      <c r="E1658">
        <v>396</v>
      </c>
      <c r="F1658">
        <v>400.2</v>
      </c>
      <c r="G1658">
        <v>398.45</v>
      </c>
      <c r="H1658">
        <v>399.05</v>
      </c>
      <c r="I1658">
        <v>576607</v>
      </c>
      <c r="J1658">
        <v>232228113.09999999</v>
      </c>
      <c r="K1658" s="1">
        <v>43777</v>
      </c>
      <c r="L1658">
        <v>13543</v>
      </c>
      <c r="M1658" t="s">
        <v>4854</v>
      </c>
    </row>
    <row r="1659" spans="1:13" x14ac:dyDescent="0.25">
      <c r="A1659" t="s">
        <v>4855</v>
      </c>
      <c r="B1659" t="s">
        <v>14</v>
      </c>
      <c r="C1659">
        <v>95.8</v>
      </c>
      <c r="D1659">
        <v>97.25</v>
      </c>
      <c r="E1659">
        <v>95.25</v>
      </c>
      <c r="F1659">
        <v>95.8</v>
      </c>
      <c r="G1659">
        <v>96.5</v>
      </c>
      <c r="H1659">
        <v>96.4</v>
      </c>
      <c r="I1659">
        <v>18921</v>
      </c>
      <c r="J1659">
        <v>1817854.9</v>
      </c>
      <c r="K1659" s="1">
        <v>43777</v>
      </c>
      <c r="L1659">
        <v>525</v>
      </c>
      <c r="M1659" t="s">
        <v>4857</v>
      </c>
    </row>
    <row r="1660" spans="1:13" x14ac:dyDescent="0.25">
      <c r="A1660" t="s">
        <v>4861</v>
      </c>
      <c r="B1660" t="s">
        <v>14</v>
      </c>
      <c r="C1660">
        <v>104</v>
      </c>
      <c r="D1660">
        <v>106.85</v>
      </c>
      <c r="E1660">
        <v>103.4</v>
      </c>
      <c r="F1660">
        <v>103.7</v>
      </c>
      <c r="G1660">
        <v>103.75</v>
      </c>
      <c r="H1660">
        <v>105.4</v>
      </c>
      <c r="I1660">
        <v>33012</v>
      </c>
      <c r="J1660">
        <v>3456748.35</v>
      </c>
      <c r="K1660" s="1">
        <v>43777</v>
      </c>
      <c r="L1660">
        <v>725</v>
      </c>
      <c r="M1660" t="s">
        <v>4863</v>
      </c>
    </row>
    <row r="1661" spans="1:13" x14ac:dyDescent="0.25">
      <c r="A1661" t="s">
        <v>4867</v>
      </c>
      <c r="B1661" t="s">
        <v>10</v>
      </c>
      <c r="C1661">
        <v>64.2</v>
      </c>
      <c r="D1661">
        <v>64.2</v>
      </c>
      <c r="E1661">
        <v>61.2</v>
      </c>
      <c r="F1661">
        <v>61.2</v>
      </c>
      <c r="G1661">
        <v>61.2</v>
      </c>
      <c r="H1661">
        <v>64.400000000000006</v>
      </c>
      <c r="I1661">
        <v>10206</v>
      </c>
      <c r="J1661">
        <v>627021.69999999995</v>
      </c>
      <c r="K1661" s="1">
        <v>43777</v>
      </c>
      <c r="L1661">
        <v>121</v>
      </c>
      <c r="M1661" t="s">
        <v>4869</v>
      </c>
    </row>
    <row r="1662" spans="1:13" x14ac:dyDescent="0.25">
      <c r="A1662" t="s">
        <v>4873</v>
      </c>
      <c r="B1662" t="s">
        <v>14</v>
      </c>
      <c r="C1662">
        <v>32.85</v>
      </c>
      <c r="D1662">
        <v>32.85</v>
      </c>
      <c r="E1662">
        <v>29.85</v>
      </c>
      <c r="F1662">
        <v>30.8</v>
      </c>
      <c r="G1662">
        <v>30</v>
      </c>
      <c r="H1662">
        <v>31.65</v>
      </c>
      <c r="I1662">
        <v>3376</v>
      </c>
      <c r="J1662">
        <v>107500.45</v>
      </c>
      <c r="K1662" s="1">
        <v>43777</v>
      </c>
      <c r="L1662">
        <v>31</v>
      </c>
      <c r="M1662" t="s">
        <v>4875</v>
      </c>
    </row>
    <row r="1663" spans="1:13" x14ac:dyDescent="0.25">
      <c r="A1663" t="s">
        <v>4876</v>
      </c>
      <c r="B1663" t="s">
        <v>14</v>
      </c>
      <c r="C1663">
        <v>11.3</v>
      </c>
      <c r="D1663">
        <v>11.65</v>
      </c>
      <c r="E1663">
        <v>10.9</v>
      </c>
      <c r="F1663">
        <v>11.1</v>
      </c>
      <c r="G1663">
        <v>10.95</v>
      </c>
      <c r="H1663">
        <v>11.45</v>
      </c>
      <c r="I1663">
        <v>34630</v>
      </c>
      <c r="J1663">
        <v>395553.1</v>
      </c>
      <c r="K1663" s="1">
        <v>43777</v>
      </c>
      <c r="L1663">
        <v>165</v>
      </c>
      <c r="M1663" t="s">
        <v>7137</v>
      </c>
    </row>
    <row r="1664" spans="1:13" x14ac:dyDescent="0.25">
      <c r="A1664" t="s">
        <v>4879</v>
      </c>
      <c r="B1664" t="s">
        <v>14</v>
      </c>
      <c r="C1664">
        <v>69.2</v>
      </c>
      <c r="D1664">
        <v>72.349999999999994</v>
      </c>
      <c r="E1664">
        <v>66.25</v>
      </c>
      <c r="F1664">
        <v>69.599999999999994</v>
      </c>
      <c r="G1664">
        <v>69.900000000000006</v>
      </c>
      <c r="H1664">
        <v>69.150000000000006</v>
      </c>
      <c r="I1664">
        <v>10617</v>
      </c>
      <c r="J1664">
        <v>731743.55</v>
      </c>
      <c r="K1664" s="1">
        <v>43777</v>
      </c>
      <c r="L1664">
        <v>122</v>
      </c>
      <c r="M1664" t="s">
        <v>4881</v>
      </c>
    </row>
    <row r="1665" spans="1:13" x14ac:dyDescent="0.25">
      <c r="A1665" t="s">
        <v>4882</v>
      </c>
      <c r="B1665" t="s">
        <v>14</v>
      </c>
      <c r="C1665">
        <v>189.95</v>
      </c>
      <c r="D1665">
        <v>189.95</v>
      </c>
      <c r="E1665">
        <v>178</v>
      </c>
      <c r="F1665">
        <v>180</v>
      </c>
      <c r="G1665">
        <v>179.9</v>
      </c>
      <c r="H1665">
        <v>186.25</v>
      </c>
      <c r="I1665">
        <v>12004</v>
      </c>
      <c r="J1665">
        <v>2172567.9</v>
      </c>
      <c r="K1665" s="1">
        <v>43777</v>
      </c>
      <c r="L1665">
        <v>3944</v>
      </c>
      <c r="M1665" t="s">
        <v>4884</v>
      </c>
    </row>
    <row r="1666" spans="1:13" x14ac:dyDescent="0.25">
      <c r="A1666" t="s">
        <v>7136</v>
      </c>
      <c r="B1666" t="s">
        <v>10</v>
      </c>
      <c r="C1666">
        <v>6.05</v>
      </c>
      <c r="D1666">
        <v>6.05</v>
      </c>
      <c r="E1666">
        <v>5.75</v>
      </c>
      <c r="F1666">
        <v>5.75</v>
      </c>
      <c r="G1666">
        <v>5.75</v>
      </c>
      <c r="H1666">
        <v>6.05</v>
      </c>
      <c r="I1666">
        <v>60</v>
      </c>
      <c r="J1666">
        <v>360</v>
      </c>
      <c r="K1666" s="1">
        <v>43777</v>
      </c>
      <c r="L1666">
        <v>3</v>
      </c>
      <c r="M1666" t="s">
        <v>7135</v>
      </c>
    </row>
    <row r="1667" spans="1:13" x14ac:dyDescent="0.25">
      <c r="A1667" t="s">
        <v>7134</v>
      </c>
      <c r="B1667" t="s">
        <v>14</v>
      </c>
      <c r="C1667">
        <v>128.9</v>
      </c>
      <c r="D1667">
        <v>142.5</v>
      </c>
      <c r="E1667">
        <v>128.25</v>
      </c>
      <c r="F1667">
        <v>136.85</v>
      </c>
      <c r="G1667">
        <v>136.5</v>
      </c>
      <c r="H1667">
        <v>129.25</v>
      </c>
      <c r="I1667">
        <v>4048970</v>
      </c>
      <c r="J1667">
        <v>554028443.60000002</v>
      </c>
      <c r="K1667" s="1">
        <v>43777</v>
      </c>
      <c r="L1667">
        <v>32941</v>
      </c>
      <c r="M1667" t="s">
        <v>4887</v>
      </c>
    </row>
    <row r="1668" spans="1:13" x14ac:dyDescent="0.25">
      <c r="A1668" t="s">
        <v>7133</v>
      </c>
      <c r="B1668" t="s">
        <v>10</v>
      </c>
      <c r="C1668">
        <v>5.8</v>
      </c>
      <c r="D1668">
        <v>5.8</v>
      </c>
      <c r="E1668">
        <v>5.8</v>
      </c>
      <c r="F1668">
        <v>5.8</v>
      </c>
      <c r="G1668">
        <v>5.8</v>
      </c>
      <c r="H1668">
        <v>5.55</v>
      </c>
      <c r="I1668">
        <v>206</v>
      </c>
      <c r="J1668">
        <v>1194.8</v>
      </c>
      <c r="K1668" s="1">
        <v>43777</v>
      </c>
      <c r="L1668">
        <v>2</v>
      </c>
      <c r="M1668" t="s">
        <v>7132</v>
      </c>
    </row>
    <row r="1669" spans="1:13" x14ac:dyDescent="0.25">
      <c r="A1669" t="s">
        <v>7131</v>
      </c>
      <c r="B1669" t="s">
        <v>14</v>
      </c>
      <c r="C1669">
        <v>5.2</v>
      </c>
      <c r="D1669">
        <v>5.5</v>
      </c>
      <c r="E1669">
        <v>5.15</v>
      </c>
      <c r="F1669">
        <v>5.2</v>
      </c>
      <c r="G1669">
        <v>5.3</v>
      </c>
      <c r="H1669">
        <v>5.25</v>
      </c>
      <c r="I1669">
        <v>787848</v>
      </c>
      <c r="J1669">
        <v>4214151.25</v>
      </c>
      <c r="K1669" s="1">
        <v>43777</v>
      </c>
      <c r="L1669">
        <v>535</v>
      </c>
      <c r="M1669" t="s">
        <v>7130</v>
      </c>
    </row>
    <row r="1670" spans="1:13" x14ac:dyDescent="0.25">
      <c r="A1670" t="s">
        <v>4900</v>
      </c>
      <c r="B1670" t="s">
        <v>14</v>
      </c>
      <c r="C1670">
        <v>235.5</v>
      </c>
      <c r="D1670">
        <v>250</v>
      </c>
      <c r="E1670">
        <v>235.5</v>
      </c>
      <c r="F1670">
        <v>241.95</v>
      </c>
      <c r="G1670">
        <v>242</v>
      </c>
      <c r="H1670">
        <v>240</v>
      </c>
      <c r="I1670">
        <v>44543</v>
      </c>
      <c r="J1670">
        <v>10887878.15</v>
      </c>
      <c r="K1670" s="1">
        <v>43777</v>
      </c>
      <c r="L1670">
        <v>2915</v>
      </c>
      <c r="M1670" t="s">
        <v>4902</v>
      </c>
    </row>
    <row r="1671" spans="1:13" x14ac:dyDescent="0.25">
      <c r="A1671" t="s">
        <v>4903</v>
      </c>
      <c r="B1671" t="s">
        <v>14</v>
      </c>
      <c r="C1671">
        <v>407</v>
      </c>
      <c r="D1671">
        <v>408.95</v>
      </c>
      <c r="E1671">
        <v>395</v>
      </c>
      <c r="F1671">
        <v>398.25</v>
      </c>
      <c r="G1671">
        <v>397.05</v>
      </c>
      <c r="H1671">
        <v>399.55</v>
      </c>
      <c r="I1671">
        <v>117016</v>
      </c>
      <c r="J1671">
        <v>47137089.799999997</v>
      </c>
      <c r="K1671" s="1">
        <v>43777</v>
      </c>
      <c r="L1671">
        <v>2763</v>
      </c>
      <c r="M1671" t="s">
        <v>4905</v>
      </c>
    </row>
    <row r="1672" spans="1:13" x14ac:dyDescent="0.25">
      <c r="A1672" t="s">
        <v>7129</v>
      </c>
      <c r="B1672" t="s">
        <v>10</v>
      </c>
      <c r="C1672">
        <v>0.2</v>
      </c>
      <c r="D1672">
        <v>0.2</v>
      </c>
      <c r="E1672">
        <v>0.1</v>
      </c>
      <c r="F1672">
        <v>0.15</v>
      </c>
      <c r="G1672">
        <v>0.2</v>
      </c>
      <c r="H1672">
        <v>0.15</v>
      </c>
      <c r="I1672">
        <v>201749</v>
      </c>
      <c r="J1672">
        <v>35175.699999999997</v>
      </c>
      <c r="K1672" s="1">
        <v>43777</v>
      </c>
      <c r="L1672">
        <v>78</v>
      </c>
      <c r="M1672" t="s">
        <v>7128</v>
      </c>
    </row>
    <row r="1673" spans="1:13" x14ac:dyDescent="0.25">
      <c r="A1673" t="s">
        <v>4912</v>
      </c>
      <c r="B1673" t="s">
        <v>14</v>
      </c>
      <c r="C1673">
        <v>2.4</v>
      </c>
      <c r="D1673">
        <v>2.4</v>
      </c>
      <c r="E1673">
        <v>2.4</v>
      </c>
      <c r="F1673">
        <v>2.4</v>
      </c>
      <c r="G1673">
        <v>2.4</v>
      </c>
      <c r="H1673">
        <v>2.2999999999999998</v>
      </c>
      <c r="I1673">
        <v>37019</v>
      </c>
      <c r="J1673">
        <v>88845.6</v>
      </c>
      <c r="K1673" s="1">
        <v>43777</v>
      </c>
      <c r="L1673">
        <v>50</v>
      </c>
      <c r="M1673" t="s">
        <v>4914</v>
      </c>
    </row>
    <row r="1674" spans="1:13" x14ac:dyDescent="0.25">
      <c r="A1674" t="s">
        <v>4918</v>
      </c>
      <c r="B1674" t="s">
        <v>14</v>
      </c>
      <c r="C1674">
        <v>22.4</v>
      </c>
      <c r="D1674">
        <v>22.4</v>
      </c>
      <c r="E1674">
        <v>20.05</v>
      </c>
      <c r="F1674">
        <v>21.1</v>
      </c>
      <c r="G1674">
        <v>20.95</v>
      </c>
      <c r="H1674">
        <v>21.25</v>
      </c>
      <c r="I1674">
        <v>4956</v>
      </c>
      <c r="J1674">
        <v>103950.15</v>
      </c>
      <c r="K1674" s="1">
        <v>43777</v>
      </c>
      <c r="L1674">
        <v>39</v>
      </c>
      <c r="M1674" t="s">
        <v>4920</v>
      </c>
    </row>
    <row r="1675" spans="1:13" x14ac:dyDescent="0.25">
      <c r="A1675" t="s">
        <v>4921</v>
      </c>
      <c r="B1675" t="s">
        <v>14</v>
      </c>
      <c r="C1675">
        <v>442</v>
      </c>
      <c r="D1675">
        <v>456.95</v>
      </c>
      <c r="E1675">
        <v>441</v>
      </c>
      <c r="F1675">
        <v>441.8</v>
      </c>
      <c r="G1675">
        <v>441.55</v>
      </c>
      <c r="H1675">
        <v>444.85</v>
      </c>
      <c r="I1675">
        <v>2056</v>
      </c>
      <c r="J1675">
        <v>914132.85</v>
      </c>
      <c r="K1675" s="1">
        <v>43777</v>
      </c>
      <c r="L1675">
        <v>77</v>
      </c>
      <c r="M1675" t="s">
        <v>4923</v>
      </c>
    </row>
    <row r="1676" spans="1:13" x14ac:dyDescent="0.25">
      <c r="A1676" t="s">
        <v>7127</v>
      </c>
      <c r="B1676" t="s">
        <v>14</v>
      </c>
      <c r="C1676">
        <v>2234.1</v>
      </c>
      <c r="D1676">
        <v>2250</v>
      </c>
      <c r="E1676">
        <v>2200</v>
      </c>
      <c r="F1676">
        <v>2214.85</v>
      </c>
      <c r="G1676">
        <v>2215</v>
      </c>
      <c r="H1676">
        <v>2210.9</v>
      </c>
      <c r="I1676">
        <v>3062</v>
      </c>
      <c r="J1676">
        <v>6773974.6500000004</v>
      </c>
      <c r="K1676" s="1">
        <v>43777</v>
      </c>
      <c r="L1676">
        <v>328</v>
      </c>
      <c r="M1676" t="s">
        <v>5333</v>
      </c>
    </row>
    <row r="1677" spans="1:13" x14ac:dyDescent="0.25">
      <c r="A1677" t="s">
        <v>4924</v>
      </c>
      <c r="B1677" t="s">
        <v>14</v>
      </c>
      <c r="C1677">
        <v>1.4</v>
      </c>
      <c r="D1677">
        <v>1.45</v>
      </c>
      <c r="E1677">
        <v>1.35</v>
      </c>
      <c r="F1677">
        <v>1.4</v>
      </c>
      <c r="G1677">
        <v>1.45</v>
      </c>
      <c r="H1677">
        <v>1.4</v>
      </c>
      <c r="I1677">
        <v>359357</v>
      </c>
      <c r="J1677">
        <v>493700.9</v>
      </c>
      <c r="K1677" s="1">
        <v>43777</v>
      </c>
      <c r="L1677">
        <v>114</v>
      </c>
      <c r="M1677" t="s">
        <v>4926</v>
      </c>
    </row>
    <row r="1678" spans="1:13" x14ac:dyDescent="0.25">
      <c r="A1678" t="s">
        <v>4927</v>
      </c>
      <c r="B1678" t="s">
        <v>14</v>
      </c>
      <c r="C1678">
        <v>1590.55</v>
      </c>
      <c r="D1678">
        <v>1619</v>
      </c>
      <c r="E1678">
        <v>1565</v>
      </c>
      <c r="F1678">
        <v>1573.15</v>
      </c>
      <c r="G1678">
        <v>1565</v>
      </c>
      <c r="H1678">
        <v>1590.5</v>
      </c>
      <c r="I1678">
        <v>18388</v>
      </c>
      <c r="J1678">
        <v>29219413.25</v>
      </c>
      <c r="K1678" s="1">
        <v>43777</v>
      </c>
      <c r="L1678">
        <v>1028</v>
      </c>
      <c r="M1678" t="s">
        <v>4929</v>
      </c>
    </row>
    <row r="1679" spans="1:13" x14ac:dyDescent="0.25">
      <c r="A1679" t="s">
        <v>4930</v>
      </c>
      <c r="B1679" t="s">
        <v>14</v>
      </c>
      <c r="C1679">
        <v>67</v>
      </c>
      <c r="D1679">
        <v>68.3</v>
      </c>
      <c r="E1679">
        <v>67</v>
      </c>
      <c r="F1679">
        <v>67.55</v>
      </c>
      <c r="G1679">
        <v>68</v>
      </c>
      <c r="H1679">
        <v>67.900000000000006</v>
      </c>
      <c r="I1679">
        <v>23886</v>
      </c>
      <c r="J1679">
        <v>1618991.05</v>
      </c>
      <c r="K1679" s="1">
        <v>43777</v>
      </c>
      <c r="L1679">
        <v>242</v>
      </c>
      <c r="M1679" t="s">
        <v>4932</v>
      </c>
    </row>
    <row r="1680" spans="1:13" x14ac:dyDescent="0.25">
      <c r="A1680" t="s">
        <v>4933</v>
      </c>
      <c r="B1680" t="s">
        <v>14</v>
      </c>
      <c r="C1680">
        <v>246</v>
      </c>
      <c r="D1680">
        <v>249</v>
      </c>
      <c r="E1680">
        <v>242.1</v>
      </c>
      <c r="F1680">
        <v>244.5</v>
      </c>
      <c r="G1680">
        <v>245</v>
      </c>
      <c r="H1680">
        <v>247.25</v>
      </c>
      <c r="I1680">
        <v>1567</v>
      </c>
      <c r="J1680">
        <v>383983.6</v>
      </c>
      <c r="K1680" s="1">
        <v>43777</v>
      </c>
      <c r="L1680">
        <v>177</v>
      </c>
      <c r="M1680" t="s">
        <v>4935</v>
      </c>
    </row>
    <row r="1681" spans="1:13" x14ac:dyDescent="0.25">
      <c r="A1681" t="s">
        <v>4936</v>
      </c>
      <c r="B1681" t="s">
        <v>14</v>
      </c>
      <c r="C1681">
        <v>471</v>
      </c>
      <c r="D1681">
        <v>477.75</v>
      </c>
      <c r="E1681">
        <v>466.05</v>
      </c>
      <c r="F1681">
        <v>470.1</v>
      </c>
      <c r="G1681">
        <v>472</v>
      </c>
      <c r="H1681">
        <v>470.2</v>
      </c>
      <c r="I1681">
        <v>132404</v>
      </c>
      <c r="J1681">
        <v>62351177.399999999</v>
      </c>
      <c r="K1681" s="1">
        <v>43777</v>
      </c>
      <c r="L1681">
        <v>4016</v>
      </c>
      <c r="M1681" t="s">
        <v>4938</v>
      </c>
    </row>
    <row r="1682" spans="1:13" x14ac:dyDescent="0.25">
      <c r="A1682" t="s">
        <v>4939</v>
      </c>
      <c r="B1682" t="s">
        <v>14</v>
      </c>
      <c r="C1682">
        <v>28.4</v>
      </c>
      <c r="D1682">
        <v>28.4</v>
      </c>
      <c r="E1682">
        <v>27.5</v>
      </c>
      <c r="F1682">
        <v>27.85</v>
      </c>
      <c r="G1682">
        <v>28.2</v>
      </c>
      <c r="H1682">
        <v>27.95</v>
      </c>
      <c r="I1682">
        <v>89101</v>
      </c>
      <c r="J1682">
        <v>2478688.4</v>
      </c>
      <c r="K1682" s="1">
        <v>43777</v>
      </c>
      <c r="L1682">
        <v>518</v>
      </c>
      <c r="M1682" t="s">
        <v>4941</v>
      </c>
    </row>
    <row r="1683" spans="1:13" x14ac:dyDescent="0.25">
      <c r="A1683" t="s">
        <v>4942</v>
      </c>
      <c r="B1683" t="s">
        <v>14</v>
      </c>
      <c r="C1683">
        <v>442</v>
      </c>
      <c r="D1683">
        <v>442.5</v>
      </c>
      <c r="E1683">
        <v>420.85</v>
      </c>
      <c r="F1683">
        <v>422.1</v>
      </c>
      <c r="G1683">
        <v>421.65</v>
      </c>
      <c r="H1683">
        <v>440.6</v>
      </c>
      <c r="I1683">
        <v>11902470</v>
      </c>
      <c r="J1683">
        <v>5096228243.75</v>
      </c>
      <c r="K1683" s="1">
        <v>43777</v>
      </c>
      <c r="L1683">
        <v>138582</v>
      </c>
      <c r="M1683" t="s">
        <v>4944</v>
      </c>
    </row>
    <row r="1684" spans="1:13" x14ac:dyDescent="0.25">
      <c r="A1684" t="s">
        <v>4945</v>
      </c>
      <c r="B1684" t="s">
        <v>14</v>
      </c>
      <c r="C1684">
        <v>432</v>
      </c>
      <c r="D1684">
        <v>443.95</v>
      </c>
      <c r="E1684">
        <v>428.1</v>
      </c>
      <c r="F1684">
        <v>433.5</v>
      </c>
      <c r="G1684">
        <v>433.9</v>
      </c>
      <c r="H1684">
        <v>434.05</v>
      </c>
      <c r="I1684">
        <v>99495</v>
      </c>
      <c r="J1684">
        <v>43310883.049999997</v>
      </c>
      <c r="K1684" s="1">
        <v>43777</v>
      </c>
      <c r="L1684">
        <v>4198</v>
      </c>
      <c r="M1684" t="s">
        <v>4947</v>
      </c>
    </row>
    <row r="1685" spans="1:13" x14ac:dyDescent="0.25">
      <c r="A1685" t="s">
        <v>4948</v>
      </c>
      <c r="B1685" t="s">
        <v>14</v>
      </c>
      <c r="C1685">
        <v>526.35</v>
      </c>
      <c r="D1685">
        <v>532.04999999999995</v>
      </c>
      <c r="E1685">
        <v>503.85</v>
      </c>
      <c r="F1685">
        <v>510.25</v>
      </c>
      <c r="G1685">
        <v>507.8</v>
      </c>
      <c r="H1685">
        <v>527.5</v>
      </c>
      <c r="I1685">
        <v>977588</v>
      </c>
      <c r="J1685">
        <v>506724453.14999998</v>
      </c>
      <c r="K1685" s="1">
        <v>43777</v>
      </c>
      <c r="L1685">
        <v>14131</v>
      </c>
      <c r="M1685" t="s">
        <v>4950</v>
      </c>
    </row>
    <row r="1686" spans="1:13" x14ac:dyDescent="0.25">
      <c r="A1686" t="s">
        <v>4951</v>
      </c>
      <c r="B1686" t="s">
        <v>14</v>
      </c>
      <c r="C1686">
        <v>92.75</v>
      </c>
      <c r="D1686">
        <v>96.95</v>
      </c>
      <c r="E1686">
        <v>89.55</v>
      </c>
      <c r="F1686">
        <v>91.75</v>
      </c>
      <c r="G1686">
        <v>90.85</v>
      </c>
      <c r="H1686">
        <v>91.1</v>
      </c>
      <c r="I1686">
        <v>15257</v>
      </c>
      <c r="J1686">
        <v>1419295.35</v>
      </c>
      <c r="K1686" s="1">
        <v>43777</v>
      </c>
      <c r="L1686">
        <v>361</v>
      </c>
      <c r="M1686" t="s">
        <v>4953</v>
      </c>
    </row>
    <row r="1687" spans="1:13" x14ac:dyDescent="0.25">
      <c r="A1687" t="s">
        <v>4954</v>
      </c>
      <c r="B1687" t="s">
        <v>14</v>
      </c>
      <c r="C1687">
        <v>4</v>
      </c>
      <c r="D1687">
        <v>4.5</v>
      </c>
      <c r="E1687">
        <v>3.9</v>
      </c>
      <c r="F1687">
        <v>4.1500000000000004</v>
      </c>
      <c r="G1687">
        <v>4.2</v>
      </c>
      <c r="H1687">
        <v>4.05</v>
      </c>
      <c r="I1687">
        <v>37734</v>
      </c>
      <c r="J1687">
        <v>154149.79999999999</v>
      </c>
      <c r="K1687" s="1">
        <v>43777</v>
      </c>
      <c r="L1687">
        <v>65</v>
      </c>
      <c r="M1687" t="s">
        <v>4956</v>
      </c>
    </row>
    <row r="1688" spans="1:13" x14ac:dyDescent="0.25">
      <c r="A1688" t="s">
        <v>7126</v>
      </c>
      <c r="B1688" t="s">
        <v>14</v>
      </c>
      <c r="C1688">
        <v>168.85</v>
      </c>
      <c r="D1688">
        <v>172</v>
      </c>
      <c r="E1688">
        <v>168.8</v>
      </c>
      <c r="F1688">
        <v>169.7</v>
      </c>
      <c r="G1688">
        <v>169</v>
      </c>
      <c r="H1688">
        <v>169.65</v>
      </c>
      <c r="I1688">
        <v>7919</v>
      </c>
      <c r="J1688">
        <v>1352111.4</v>
      </c>
      <c r="K1688" s="1">
        <v>43777</v>
      </c>
      <c r="L1688">
        <v>189</v>
      </c>
      <c r="M1688" t="s">
        <v>7125</v>
      </c>
    </row>
    <row r="1689" spans="1:13" x14ac:dyDescent="0.25">
      <c r="A1689" t="s">
        <v>4957</v>
      </c>
      <c r="B1689" t="s">
        <v>14</v>
      </c>
      <c r="C1689">
        <v>177.25</v>
      </c>
      <c r="D1689">
        <v>178.9</v>
      </c>
      <c r="E1689">
        <v>175</v>
      </c>
      <c r="F1689">
        <v>177.35</v>
      </c>
      <c r="G1689">
        <v>175.5</v>
      </c>
      <c r="H1689">
        <v>177.65</v>
      </c>
      <c r="I1689">
        <v>22067</v>
      </c>
      <c r="J1689">
        <v>3910435.3</v>
      </c>
      <c r="K1689" s="1">
        <v>43777</v>
      </c>
      <c r="L1689">
        <v>849</v>
      </c>
      <c r="M1689" t="s">
        <v>4959</v>
      </c>
    </row>
    <row r="1690" spans="1:13" x14ac:dyDescent="0.25">
      <c r="A1690" t="s">
        <v>4963</v>
      </c>
      <c r="B1690" t="s">
        <v>14</v>
      </c>
      <c r="C1690">
        <v>1141.5999999999999</v>
      </c>
      <c r="D1690">
        <v>1162.75</v>
      </c>
      <c r="E1690">
        <v>1133.8</v>
      </c>
      <c r="F1690">
        <v>1150.1500000000001</v>
      </c>
      <c r="G1690">
        <v>1152</v>
      </c>
      <c r="H1690">
        <v>1149.25</v>
      </c>
      <c r="I1690">
        <v>9757</v>
      </c>
      <c r="J1690">
        <v>11225918.800000001</v>
      </c>
      <c r="K1690" s="1">
        <v>43777</v>
      </c>
      <c r="L1690">
        <v>1221</v>
      </c>
      <c r="M1690" t="s">
        <v>4965</v>
      </c>
    </row>
    <row r="1691" spans="1:13" x14ac:dyDescent="0.25">
      <c r="A1691" t="s">
        <v>4966</v>
      </c>
      <c r="B1691" t="s">
        <v>786</v>
      </c>
      <c r="C1691">
        <v>12</v>
      </c>
      <c r="D1691">
        <v>12.45</v>
      </c>
      <c r="E1691">
        <v>12</v>
      </c>
      <c r="F1691">
        <v>12</v>
      </c>
      <c r="G1691">
        <v>12</v>
      </c>
      <c r="H1691">
        <v>12</v>
      </c>
      <c r="I1691">
        <v>828</v>
      </c>
      <c r="J1691">
        <v>9981</v>
      </c>
      <c r="K1691" s="1">
        <v>43777</v>
      </c>
      <c r="L1691">
        <v>9</v>
      </c>
      <c r="M1691" t="s">
        <v>4968</v>
      </c>
    </row>
    <row r="1692" spans="1:13" x14ac:dyDescent="0.25">
      <c r="A1692" t="s">
        <v>4972</v>
      </c>
      <c r="B1692" t="s">
        <v>14</v>
      </c>
      <c r="C1692">
        <v>6.05</v>
      </c>
      <c r="D1692">
        <v>6.05</v>
      </c>
      <c r="E1692">
        <v>5.55</v>
      </c>
      <c r="F1692">
        <v>5.8</v>
      </c>
      <c r="G1692">
        <v>5.8</v>
      </c>
      <c r="H1692">
        <v>5.9</v>
      </c>
      <c r="I1692">
        <v>11534</v>
      </c>
      <c r="J1692">
        <v>66517.600000000006</v>
      </c>
      <c r="K1692" s="1">
        <v>43777</v>
      </c>
      <c r="L1692">
        <v>58</v>
      </c>
      <c r="M1692" t="s">
        <v>4974</v>
      </c>
    </row>
    <row r="1693" spans="1:13" x14ac:dyDescent="0.25">
      <c r="A1693" t="s">
        <v>4975</v>
      </c>
      <c r="B1693" t="s">
        <v>14</v>
      </c>
      <c r="C1693">
        <v>3.45</v>
      </c>
      <c r="D1693">
        <v>3.5</v>
      </c>
      <c r="E1693">
        <v>3.4</v>
      </c>
      <c r="F1693">
        <v>3.5</v>
      </c>
      <c r="G1693">
        <v>3.45</v>
      </c>
      <c r="H1693">
        <v>3.45</v>
      </c>
      <c r="I1693">
        <v>4078</v>
      </c>
      <c r="J1693">
        <v>14069.1</v>
      </c>
      <c r="K1693" s="1">
        <v>43777</v>
      </c>
      <c r="L1693">
        <v>9</v>
      </c>
      <c r="M1693" t="s">
        <v>4977</v>
      </c>
    </row>
    <row r="1694" spans="1:13" x14ac:dyDescent="0.25">
      <c r="A1694" t="s">
        <v>4978</v>
      </c>
      <c r="B1694" t="s">
        <v>14</v>
      </c>
      <c r="C1694">
        <v>17.2</v>
      </c>
      <c r="D1694">
        <v>18.5</v>
      </c>
      <c r="E1694">
        <v>17.149999999999999</v>
      </c>
      <c r="F1694">
        <v>18.149999999999999</v>
      </c>
      <c r="G1694">
        <v>18</v>
      </c>
      <c r="H1694">
        <v>17.95</v>
      </c>
      <c r="I1694">
        <v>8053</v>
      </c>
      <c r="J1694">
        <v>144014.15</v>
      </c>
      <c r="K1694" s="1">
        <v>43777</v>
      </c>
      <c r="L1694">
        <v>96</v>
      </c>
      <c r="M1694" t="s">
        <v>4980</v>
      </c>
    </row>
    <row r="1695" spans="1:13" x14ac:dyDescent="0.25">
      <c r="A1695" t="s">
        <v>4981</v>
      </c>
      <c r="B1695" t="s">
        <v>14</v>
      </c>
      <c r="C1695">
        <v>179</v>
      </c>
      <c r="D1695">
        <v>180.8</v>
      </c>
      <c r="E1695">
        <v>173.7</v>
      </c>
      <c r="F1695">
        <v>176.05</v>
      </c>
      <c r="G1695">
        <v>174</v>
      </c>
      <c r="H1695">
        <v>179.85</v>
      </c>
      <c r="I1695">
        <v>47334</v>
      </c>
      <c r="J1695">
        <v>8428797.5999999996</v>
      </c>
      <c r="K1695" s="1">
        <v>43777</v>
      </c>
      <c r="L1695">
        <v>1343</v>
      </c>
      <c r="M1695" t="s">
        <v>7124</v>
      </c>
    </row>
    <row r="1696" spans="1:13" x14ac:dyDescent="0.25">
      <c r="A1696" t="s">
        <v>4987</v>
      </c>
      <c r="B1696" t="s">
        <v>14</v>
      </c>
      <c r="C1696">
        <v>32.5</v>
      </c>
      <c r="D1696">
        <v>32.9</v>
      </c>
      <c r="E1696">
        <v>30.7</v>
      </c>
      <c r="F1696">
        <v>31.95</v>
      </c>
      <c r="G1696">
        <v>32</v>
      </c>
      <c r="H1696">
        <v>32.4</v>
      </c>
      <c r="I1696">
        <v>21125</v>
      </c>
      <c r="J1696">
        <v>671958.05</v>
      </c>
      <c r="K1696" s="1">
        <v>43777</v>
      </c>
      <c r="L1696">
        <v>150</v>
      </c>
      <c r="M1696" t="s">
        <v>4989</v>
      </c>
    </row>
    <row r="1697" spans="1:13" x14ac:dyDescent="0.25">
      <c r="A1697" t="s">
        <v>4990</v>
      </c>
      <c r="B1697" t="s">
        <v>5788</v>
      </c>
      <c r="C1697">
        <v>22.4</v>
      </c>
      <c r="D1697">
        <v>22.6</v>
      </c>
      <c r="E1697">
        <v>22.4</v>
      </c>
      <c r="F1697">
        <v>22.55</v>
      </c>
      <c r="G1697">
        <v>22.6</v>
      </c>
      <c r="H1697">
        <v>22.45</v>
      </c>
      <c r="I1697">
        <v>80000</v>
      </c>
      <c r="J1697">
        <v>1800400</v>
      </c>
      <c r="K1697" s="1">
        <v>43777</v>
      </c>
      <c r="L1697">
        <v>10</v>
      </c>
      <c r="M1697" t="s">
        <v>4992</v>
      </c>
    </row>
    <row r="1698" spans="1:13" x14ac:dyDescent="0.25">
      <c r="A1698" t="s">
        <v>4993</v>
      </c>
      <c r="B1698" t="s">
        <v>14</v>
      </c>
      <c r="C1698">
        <v>287.60000000000002</v>
      </c>
      <c r="D1698">
        <v>290.2</v>
      </c>
      <c r="E1698">
        <v>285.5</v>
      </c>
      <c r="F1698">
        <v>286.10000000000002</v>
      </c>
      <c r="G1698">
        <v>285.95</v>
      </c>
      <c r="H1698">
        <v>289.35000000000002</v>
      </c>
      <c r="I1698">
        <v>110660</v>
      </c>
      <c r="J1698">
        <v>31890620.300000001</v>
      </c>
      <c r="K1698" s="1">
        <v>43777</v>
      </c>
      <c r="L1698">
        <v>1869</v>
      </c>
      <c r="M1698" t="s">
        <v>4995</v>
      </c>
    </row>
    <row r="1699" spans="1:13" x14ac:dyDescent="0.25">
      <c r="A1699" t="s">
        <v>5002</v>
      </c>
      <c r="B1699" t="s">
        <v>14</v>
      </c>
      <c r="C1699">
        <v>3</v>
      </c>
      <c r="D1699">
        <v>3.15</v>
      </c>
      <c r="E1699">
        <v>2.85</v>
      </c>
      <c r="F1699">
        <v>2.95</v>
      </c>
      <c r="G1699">
        <v>2.95</v>
      </c>
      <c r="H1699">
        <v>3</v>
      </c>
      <c r="I1699">
        <v>27583866</v>
      </c>
      <c r="J1699">
        <v>82656974</v>
      </c>
      <c r="K1699" s="1">
        <v>43777</v>
      </c>
      <c r="L1699">
        <v>11814</v>
      </c>
      <c r="M1699" t="s">
        <v>5004</v>
      </c>
    </row>
    <row r="1700" spans="1:13" x14ac:dyDescent="0.25">
      <c r="A1700" t="s">
        <v>5005</v>
      </c>
      <c r="B1700" t="s">
        <v>5788</v>
      </c>
      <c r="C1700">
        <v>106.15</v>
      </c>
      <c r="D1700">
        <v>106.15</v>
      </c>
      <c r="E1700">
        <v>106.15</v>
      </c>
      <c r="F1700">
        <v>106.15</v>
      </c>
      <c r="G1700">
        <v>106.15</v>
      </c>
      <c r="H1700">
        <v>105.1</v>
      </c>
      <c r="I1700">
        <v>1000</v>
      </c>
      <c r="J1700">
        <v>106150</v>
      </c>
      <c r="K1700" s="1">
        <v>43777</v>
      </c>
      <c r="L1700">
        <v>1</v>
      </c>
      <c r="M1700" t="s">
        <v>5007</v>
      </c>
    </row>
    <row r="1701" spans="1:13" x14ac:dyDescent="0.25">
      <c r="A1701" t="s">
        <v>5011</v>
      </c>
      <c r="B1701" t="s">
        <v>14</v>
      </c>
      <c r="C1701">
        <v>102.5</v>
      </c>
      <c r="D1701">
        <v>103.5</v>
      </c>
      <c r="E1701">
        <v>101.2</v>
      </c>
      <c r="F1701">
        <v>102.05</v>
      </c>
      <c r="G1701">
        <v>101.7</v>
      </c>
      <c r="H1701">
        <v>102.85</v>
      </c>
      <c r="I1701">
        <v>76741</v>
      </c>
      <c r="J1701">
        <v>7848151.5999999996</v>
      </c>
      <c r="K1701" s="1">
        <v>43777</v>
      </c>
      <c r="L1701">
        <v>881</v>
      </c>
      <c r="M1701" t="s">
        <v>5013</v>
      </c>
    </row>
    <row r="1702" spans="1:13" x14ac:dyDescent="0.25">
      <c r="A1702" t="s">
        <v>5014</v>
      </c>
      <c r="B1702" t="s">
        <v>14</v>
      </c>
      <c r="C1702">
        <v>1102.25</v>
      </c>
      <c r="D1702">
        <v>1120</v>
      </c>
      <c r="E1702">
        <v>1098.75</v>
      </c>
      <c r="F1702">
        <v>1102.3499999999999</v>
      </c>
      <c r="G1702">
        <v>1101.2</v>
      </c>
      <c r="H1702">
        <v>1102.25</v>
      </c>
      <c r="I1702">
        <v>2012</v>
      </c>
      <c r="J1702">
        <v>2227258.1</v>
      </c>
      <c r="K1702" s="1">
        <v>43777</v>
      </c>
      <c r="L1702">
        <v>288</v>
      </c>
      <c r="M1702" t="s">
        <v>5016</v>
      </c>
    </row>
    <row r="1703" spans="1:13" x14ac:dyDescent="0.25">
      <c r="A1703" t="s">
        <v>5017</v>
      </c>
      <c r="B1703" t="s">
        <v>14</v>
      </c>
      <c r="C1703">
        <v>118.45</v>
      </c>
      <c r="D1703">
        <v>124.9</v>
      </c>
      <c r="E1703">
        <v>117.05</v>
      </c>
      <c r="F1703">
        <v>122.45</v>
      </c>
      <c r="G1703">
        <v>122.35</v>
      </c>
      <c r="H1703">
        <v>118.45</v>
      </c>
      <c r="I1703">
        <v>71478</v>
      </c>
      <c r="J1703">
        <v>8526678.1500000004</v>
      </c>
      <c r="K1703" s="1">
        <v>43777</v>
      </c>
      <c r="L1703">
        <v>172</v>
      </c>
      <c r="M1703" t="s">
        <v>5019</v>
      </c>
    </row>
    <row r="1704" spans="1:13" x14ac:dyDescent="0.25">
      <c r="A1704" t="s">
        <v>5020</v>
      </c>
      <c r="B1704" t="s">
        <v>14</v>
      </c>
      <c r="C1704">
        <v>563</v>
      </c>
      <c r="D1704">
        <v>564</v>
      </c>
      <c r="E1704">
        <v>541.5</v>
      </c>
      <c r="F1704">
        <v>544.85</v>
      </c>
      <c r="G1704">
        <v>543.35</v>
      </c>
      <c r="H1704">
        <v>559.70000000000005</v>
      </c>
      <c r="I1704">
        <v>98872</v>
      </c>
      <c r="J1704">
        <v>54594650.399999999</v>
      </c>
      <c r="K1704" s="1">
        <v>43777</v>
      </c>
      <c r="L1704">
        <v>7084</v>
      </c>
      <c r="M1704" t="s">
        <v>5022</v>
      </c>
    </row>
    <row r="1705" spans="1:13" x14ac:dyDescent="0.25">
      <c r="A1705" t="s">
        <v>5023</v>
      </c>
      <c r="B1705" t="s">
        <v>14</v>
      </c>
      <c r="C1705">
        <v>1247.3499999999999</v>
      </c>
      <c r="D1705">
        <v>1247.3499999999999</v>
      </c>
      <c r="E1705">
        <v>1222</v>
      </c>
      <c r="F1705">
        <v>1225.25</v>
      </c>
      <c r="G1705">
        <v>1222</v>
      </c>
      <c r="H1705">
        <v>1247.3499999999999</v>
      </c>
      <c r="I1705">
        <v>3109</v>
      </c>
      <c r="J1705">
        <v>3821721.25</v>
      </c>
      <c r="K1705" s="1">
        <v>43777</v>
      </c>
      <c r="L1705">
        <v>513</v>
      </c>
      <c r="M1705" t="s">
        <v>5025</v>
      </c>
    </row>
    <row r="1706" spans="1:13" x14ac:dyDescent="0.25">
      <c r="A1706" t="s">
        <v>7123</v>
      </c>
      <c r="B1706" t="s">
        <v>10</v>
      </c>
      <c r="C1706">
        <v>0.95</v>
      </c>
      <c r="D1706">
        <v>0.95</v>
      </c>
      <c r="E1706">
        <v>0.85</v>
      </c>
      <c r="F1706">
        <v>0.95</v>
      </c>
      <c r="G1706">
        <v>0.95</v>
      </c>
      <c r="H1706">
        <v>0.9</v>
      </c>
      <c r="I1706">
        <v>41464</v>
      </c>
      <c r="J1706">
        <v>38728.65</v>
      </c>
      <c r="K1706" s="1">
        <v>43777</v>
      </c>
      <c r="L1706">
        <v>45</v>
      </c>
      <c r="M1706" t="s">
        <v>7122</v>
      </c>
    </row>
    <row r="1707" spans="1:13" x14ac:dyDescent="0.25">
      <c r="A1707" t="s">
        <v>7121</v>
      </c>
      <c r="B1707" t="s">
        <v>14</v>
      </c>
      <c r="C1707">
        <v>29.2</v>
      </c>
      <c r="D1707">
        <v>29.2</v>
      </c>
      <c r="E1707">
        <v>27.8</v>
      </c>
      <c r="F1707">
        <v>28</v>
      </c>
      <c r="G1707">
        <v>28.15</v>
      </c>
      <c r="H1707">
        <v>29.2</v>
      </c>
      <c r="I1707">
        <v>630390</v>
      </c>
      <c r="J1707">
        <v>17980156.399999999</v>
      </c>
      <c r="K1707" s="1">
        <v>43777</v>
      </c>
      <c r="L1707">
        <v>2618</v>
      </c>
      <c r="M1707" t="s">
        <v>7120</v>
      </c>
    </row>
    <row r="1708" spans="1:13" x14ac:dyDescent="0.25">
      <c r="A1708" t="s">
        <v>5029</v>
      </c>
      <c r="B1708" t="s">
        <v>14</v>
      </c>
      <c r="C1708">
        <v>321</v>
      </c>
      <c r="D1708">
        <v>332</v>
      </c>
      <c r="E1708">
        <v>321</v>
      </c>
      <c r="F1708">
        <v>330.35</v>
      </c>
      <c r="G1708">
        <v>330.95</v>
      </c>
      <c r="H1708">
        <v>323.39999999999998</v>
      </c>
      <c r="I1708">
        <v>53983</v>
      </c>
      <c r="J1708">
        <v>17632548.5</v>
      </c>
      <c r="K1708" s="1">
        <v>43777</v>
      </c>
      <c r="L1708">
        <v>1894</v>
      </c>
      <c r="M1708" t="s">
        <v>5031</v>
      </c>
    </row>
    <row r="1709" spans="1:13" x14ac:dyDescent="0.25">
      <c r="A1709" t="s">
        <v>5035</v>
      </c>
      <c r="B1709" t="s">
        <v>14</v>
      </c>
      <c r="C1709">
        <v>62</v>
      </c>
      <c r="D1709">
        <v>62</v>
      </c>
      <c r="E1709">
        <v>53.65</v>
      </c>
      <c r="F1709">
        <v>55.65</v>
      </c>
      <c r="G1709">
        <v>55.5</v>
      </c>
      <c r="H1709">
        <v>59.45</v>
      </c>
      <c r="I1709">
        <v>12181</v>
      </c>
      <c r="J1709">
        <v>688736.95</v>
      </c>
      <c r="K1709" s="1">
        <v>43777</v>
      </c>
      <c r="L1709">
        <v>358</v>
      </c>
      <c r="M1709" t="s">
        <v>5037</v>
      </c>
    </row>
    <row r="1710" spans="1:13" x14ac:dyDescent="0.25">
      <c r="A1710" t="s">
        <v>5038</v>
      </c>
      <c r="B1710" t="s">
        <v>14</v>
      </c>
      <c r="C1710">
        <v>170.35</v>
      </c>
      <c r="D1710">
        <v>174.65</v>
      </c>
      <c r="E1710">
        <v>168.65</v>
      </c>
      <c r="F1710">
        <v>169.5</v>
      </c>
      <c r="G1710">
        <v>169.8</v>
      </c>
      <c r="H1710">
        <v>172.3</v>
      </c>
      <c r="I1710">
        <v>19763</v>
      </c>
      <c r="J1710">
        <v>3384013.55</v>
      </c>
      <c r="K1710" s="1">
        <v>43777</v>
      </c>
      <c r="L1710">
        <v>763</v>
      </c>
      <c r="M1710" t="s">
        <v>5040</v>
      </c>
    </row>
    <row r="1711" spans="1:13" x14ac:dyDescent="0.25">
      <c r="A1711" t="s">
        <v>5041</v>
      </c>
      <c r="B1711" t="s">
        <v>14</v>
      </c>
      <c r="C1711">
        <v>110</v>
      </c>
      <c r="D1711">
        <v>113.5</v>
      </c>
      <c r="E1711">
        <v>107.75</v>
      </c>
      <c r="F1711">
        <v>109.8</v>
      </c>
      <c r="G1711">
        <v>109</v>
      </c>
      <c r="H1711">
        <v>108.6</v>
      </c>
      <c r="I1711">
        <v>121566</v>
      </c>
      <c r="J1711">
        <v>13366386.199999999</v>
      </c>
      <c r="K1711" s="1">
        <v>43777</v>
      </c>
      <c r="L1711">
        <v>1448</v>
      </c>
      <c r="M1711" t="s">
        <v>5043</v>
      </c>
    </row>
    <row r="1712" spans="1:13" x14ac:dyDescent="0.25">
      <c r="A1712" t="s">
        <v>5044</v>
      </c>
      <c r="B1712" t="s">
        <v>14</v>
      </c>
      <c r="C1712">
        <v>115.45</v>
      </c>
      <c r="D1712">
        <v>118.05</v>
      </c>
      <c r="E1712">
        <v>111.85</v>
      </c>
      <c r="F1712">
        <v>113.6</v>
      </c>
      <c r="G1712">
        <v>114.65</v>
      </c>
      <c r="H1712">
        <v>115.4</v>
      </c>
      <c r="I1712">
        <v>6583</v>
      </c>
      <c r="J1712">
        <v>758604.55</v>
      </c>
      <c r="K1712" s="1">
        <v>43777</v>
      </c>
      <c r="L1712">
        <v>478</v>
      </c>
      <c r="M1712" t="s">
        <v>7119</v>
      </c>
    </row>
    <row r="1713" spans="1:13" x14ac:dyDescent="0.25">
      <c r="A1713" t="s">
        <v>7118</v>
      </c>
      <c r="B1713" t="s">
        <v>14</v>
      </c>
      <c r="C1713">
        <v>5.05</v>
      </c>
      <c r="D1713">
        <v>5.05</v>
      </c>
      <c r="E1713">
        <v>5.05</v>
      </c>
      <c r="F1713">
        <v>5.05</v>
      </c>
      <c r="G1713">
        <v>5.05</v>
      </c>
      <c r="H1713">
        <v>4.8499999999999996</v>
      </c>
      <c r="I1713">
        <v>12644</v>
      </c>
      <c r="J1713">
        <v>63852.2</v>
      </c>
      <c r="K1713" s="1">
        <v>43777</v>
      </c>
      <c r="L1713">
        <v>26</v>
      </c>
      <c r="M1713" t="s">
        <v>7117</v>
      </c>
    </row>
    <row r="1714" spans="1:13" x14ac:dyDescent="0.25">
      <c r="A1714" t="s">
        <v>7116</v>
      </c>
      <c r="B1714" t="s">
        <v>14</v>
      </c>
      <c r="C1714">
        <v>5.0999999999999996</v>
      </c>
      <c r="D1714">
        <v>5.0999999999999996</v>
      </c>
      <c r="E1714">
        <v>5</v>
      </c>
      <c r="F1714">
        <v>5.0999999999999996</v>
      </c>
      <c r="G1714">
        <v>5.0999999999999996</v>
      </c>
      <c r="H1714">
        <v>4.9000000000000004</v>
      </c>
      <c r="I1714">
        <v>166245</v>
      </c>
      <c r="J1714">
        <v>847849.4</v>
      </c>
      <c r="K1714" s="1">
        <v>43777</v>
      </c>
      <c r="L1714">
        <v>124</v>
      </c>
      <c r="M1714" t="s">
        <v>7115</v>
      </c>
    </row>
    <row r="1715" spans="1:13" x14ac:dyDescent="0.25">
      <c r="A1715" t="s">
        <v>5047</v>
      </c>
      <c r="B1715" t="s">
        <v>14</v>
      </c>
      <c r="C1715">
        <v>45.6</v>
      </c>
      <c r="D1715">
        <v>45.6</v>
      </c>
      <c r="E1715">
        <v>43.45</v>
      </c>
      <c r="F1715">
        <v>43.85</v>
      </c>
      <c r="G1715">
        <v>43.5</v>
      </c>
      <c r="H1715">
        <v>44.2</v>
      </c>
      <c r="I1715">
        <v>124715</v>
      </c>
      <c r="J1715">
        <v>5500964.5499999998</v>
      </c>
      <c r="K1715" s="1">
        <v>43777</v>
      </c>
      <c r="L1715">
        <v>916</v>
      </c>
      <c r="M1715" t="s">
        <v>5049</v>
      </c>
    </row>
    <row r="1716" spans="1:13" x14ac:dyDescent="0.25">
      <c r="A1716" t="s">
        <v>7114</v>
      </c>
      <c r="B1716" t="s">
        <v>10</v>
      </c>
      <c r="C1716">
        <v>1</v>
      </c>
      <c r="D1716">
        <v>1.05</v>
      </c>
      <c r="E1716">
        <v>1</v>
      </c>
      <c r="F1716">
        <v>1.05</v>
      </c>
      <c r="G1716">
        <v>1.05</v>
      </c>
      <c r="H1716">
        <v>1</v>
      </c>
      <c r="I1716">
        <v>505</v>
      </c>
      <c r="J1716">
        <v>530</v>
      </c>
      <c r="K1716" s="1">
        <v>43777</v>
      </c>
      <c r="L1716">
        <v>3</v>
      </c>
      <c r="M1716" t="s">
        <v>7113</v>
      </c>
    </row>
    <row r="1717" spans="1:13" x14ac:dyDescent="0.25">
      <c r="A1717" t="s">
        <v>5050</v>
      </c>
      <c r="B1717" t="s">
        <v>10</v>
      </c>
      <c r="C1717">
        <v>4.05</v>
      </c>
      <c r="D1717">
        <v>4.4000000000000004</v>
      </c>
      <c r="E1717">
        <v>4.05</v>
      </c>
      <c r="F1717">
        <v>4.3499999999999996</v>
      </c>
      <c r="G1717">
        <v>4.2</v>
      </c>
      <c r="H1717">
        <v>4.25</v>
      </c>
      <c r="I1717">
        <v>1519</v>
      </c>
      <c r="J1717">
        <v>6259.1</v>
      </c>
      <c r="K1717" s="1">
        <v>43777</v>
      </c>
      <c r="L1717">
        <v>10</v>
      </c>
      <c r="M1717" t="s">
        <v>5052</v>
      </c>
    </row>
    <row r="1718" spans="1:13" x14ac:dyDescent="0.25">
      <c r="A1718" t="s">
        <v>5056</v>
      </c>
      <c r="B1718" t="s">
        <v>14</v>
      </c>
      <c r="C1718">
        <v>25.7</v>
      </c>
      <c r="D1718">
        <v>27.85</v>
      </c>
      <c r="E1718">
        <v>25.7</v>
      </c>
      <c r="F1718">
        <v>27.2</v>
      </c>
      <c r="G1718">
        <v>27.6</v>
      </c>
      <c r="H1718">
        <v>26.55</v>
      </c>
      <c r="I1718">
        <v>8958</v>
      </c>
      <c r="J1718">
        <v>243890.65</v>
      </c>
      <c r="K1718" s="1">
        <v>43777</v>
      </c>
      <c r="L1718">
        <v>65</v>
      </c>
      <c r="M1718" t="s">
        <v>5058</v>
      </c>
    </row>
    <row r="1719" spans="1:13" x14ac:dyDescent="0.25">
      <c r="A1719" t="s">
        <v>5062</v>
      </c>
      <c r="B1719" t="s">
        <v>14</v>
      </c>
      <c r="C1719">
        <v>9399</v>
      </c>
      <c r="D1719">
        <v>9750</v>
      </c>
      <c r="E1719">
        <v>9317.2999999999993</v>
      </c>
      <c r="F1719">
        <v>9589.85</v>
      </c>
      <c r="G1719">
        <v>9503</v>
      </c>
      <c r="H1719">
        <v>9316.75</v>
      </c>
      <c r="I1719">
        <v>802</v>
      </c>
      <c r="J1719">
        <v>7684522.4000000004</v>
      </c>
      <c r="K1719" s="1">
        <v>43777</v>
      </c>
      <c r="L1719">
        <v>386</v>
      </c>
      <c r="M1719" t="s">
        <v>5064</v>
      </c>
    </row>
    <row r="1720" spans="1:13" x14ac:dyDescent="0.25">
      <c r="A1720" t="s">
        <v>5065</v>
      </c>
      <c r="B1720" t="s">
        <v>14</v>
      </c>
      <c r="C1720">
        <v>645</v>
      </c>
      <c r="D1720">
        <v>645.95000000000005</v>
      </c>
      <c r="E1720">
        <v>627.95000000000005</v>
      </c>
      <c r="F1720">
        <v>631.54999999999995</v>
      </c>
      <c r="G1720">
        <v>628.9</v>
      </c>
      <c r="H1720">
        <v>643.79999999999995</v>
      </c>
      <c r="I1720">
        <v>279708</v>
      </c>
      <c r="J1720">
        <v>177667571.94999999</v>
      </c>
      <c r="K1720" s="1">
        <v>43777</v>
      </c>
      <c r="L1720">
        <v>7078</v>
      </c>
      <c r="M1720" t="s">
        <v>5067</v>
      </c>
    </row>
    <row r="1721" spans="1:13" x14ac:dyDescent="0.25">
      <c r="A1721" t="s">
        <v>5068</v>
      </c>
      <c r="B1721" t="s">
        <v>14</v>
      </c>
      <c r="C1721">
        <v>83.4</v>
      </c>
      <c r="D1721">
        <v>88.2</v>
      </c>
      <c r="E1721">
        <v>82.55</v>
      </c>
      <c r="F1721">
        <v>83.9</v>
      </c>
      <c r="G1721">
        <v>83.65</v>
      </c>
      <c r="H1721">
        <v>83.2</v>
      </c>
      <c r="I1721">
        <v>757013</v>
      </c>
      <c r="J1721">
        <v>64761102.899999999</v>
      </c>
      <c r="K1721" s="1">
        <v>43777</v>
      </c>
      <c r="L1721">
        <v>6499</v>
      </c>
      <c r="M1721" t="s">
        <v>5070</v>
      </c>
    </row>
    <row r="1722" spans="1:13" x14ac:dyDescent="0.25">
      <c r="A1722" t="s">
        <v>5071</v>
      </c>
      <c r="B1722" t="s">
        <v>14</v>
      </c>
      <c r="C1722">
        <v>373.7</v>
      </c>
      <c r="D1722">
        <v>379.05</v>
      </c>
      <c r="E1722">
        <v>367.7</v>
      </c>
      <c r="F1722">
        <v>372.1</v>
      </c>
      <c r="G1722">
        <v>371.55</v>
      </c>
      <c r="H1722">
        <v>372</v>
      </c>
      <c r="I1722">
        <v>189162</v>
      </c>
      <c r="J1722">
        <v>70502029.299999997</v>
      </c>
      <c r="K1722" s="1">
        <v>43777</v>
      </c>
      <c r="L1722">
        <v>4104</v>
      </c>
      <c r="M1722" t="s">
        <v>5073</v>
      </c>
    </row>
    <row r="1723" spans="1:13" x14ac:dyDescent="0.25">
      <c r="A1723" t="s">
        <v>5077</v>
      </c>
      <c r="B1723" t="s">
        <v>14</v>
      </c>
      <c r="C1723">
        <v>819.25</v>
      </c>
      <c r="D1723">
        <v>841.4</v>
      </c>
      <c r="E1723">
        <v>807.15</v>
      </c>
      <c r="F1723">
        <v>811</v>
      </c>
      <c r="G1723">
        <v>808.25</v>
      </c>
      <c r="H1723">
        <v>815.15</v>
      </c>
      <c r="I1723">
        <v>1101014</v>
      </c>
      <c r="J1723">
        <v>910956092.5</v>
      </c>
      <c r="K1723" s="1">
        <v>43777</v>
      </c>
      <c r="L1723">
        <v>29128</v>
      </c>
      <c r="M1723" t="s">
        <v>5079</v>
      </c>
    </row>
    <row r="1724" spans="1:13" x14ac:dyDescent="0.25">
      <c r="A1724" t="s">
        <v>7112</v>
      </c>
      <c r="B1724" t="s">
        <v>14</v>
      </c>
      <c r="C1724">
        <v>299</v>
      </c>
      <c r="D1724">
        <v>299</v>
      </c>
      <c r="E1724">
        <v>294</v>
      </c>
      <c r="F1724">
        <v>295.2</v>
      </c>
      <c r="G1724">
        <v>294.60000000000002</v>
      </c>
      <c r="H1724">
        <v>300.85000000000002</v>
      </c>
      <c r="I1724">
        <v>4689759</v>
      </c>
      <c r="J1724">
        <v>1389966219.95</v>
      </c>
      <c r="K1724" s="1">
        <v>43777</v>
      </c>
      <c r="L1724">
        <v>29741</v>
      </c>
      <c r="M1724" t="s">
        <v>5076</v>
      </c>
    </row>
    <row r="1725" spans="1:13" x14ac:dyDescent="0.25">
      <c r="A1725" t="s">
        <v>5080</v>
      </c>
      <c r="B1725" t="s">
        <v>14</v>
      </c>
      <c r="C1725">
        <v>837</v>
      </c>
      <c r="D1725">
        <v>847.9</v>
      </c>
      <c r="E1725">
        <v>831</v>
      </c>
      <c r="F1725">
        <v>842.25</v>
      </c>
      <c r="G1725">
        <v>834.1</v>
      </c>
      <c r="H1725">
        <v>832.6</v>
      </c>
      <c r="I1725">
        <v>19471</v>
      </c>
      <c r="J1725">
        <v>16335661.449999999</v>
      </c>
      <c r="K1725" s="1">
        <v>43777</v>
      </c>
      <c r="L1725">
        <v>1527</v>
      </c>
      <c r="M1725" t="s">
        <v>5082</v>
      </c>
    </row>
    <row r="1726" spans="1:13" x14ac:dyDescent="0.25">
      <c r="A1726" t="s">
        <v>5083</v>
      </c>
      <c r="B1726" t="s">
        <v>14</v>
      </c>
      <c r="C1726">
        <v>591.9</v>
      </c>
      <c r="D1726">
        <v>593.15</v>
      </c>
      <c r="E1726">
        <v>568</v>
      </c>
      <c r="F1726">
        <v>571.1</v>
      </c>
      <c r="G1726">
        <v>568.29999999999995</v>
      </c>
      <c r="H1726">
        <v>590.85</v>
      </c>
      <c r="I1726">
        <v>48292</v>
      </c>
      <c r="J1726">
        <v>27984726.699999999</v>
      </c>
      <c r="K1726" s="1">
        <v>43777</v>
      </c>
      <c r="L1726">
        <v>2802</v>
      </c>
      <c r="M1726" t="s">
        <v>5085</v>
      </c>
    </row>
    <row r="1727" spans="1:13" x14ac:dyDescent="0.25">
      <c r="A1727" t="s">
        <v>5086</v>
      </c>
      <c r="B1727" t="s">
        <v>14</v>
      </c>
      <c r="C1727">
        <v>170.75</v>
      </c>
      <c r="D1727">
        <v>178.9</v>
      </c>
      <c r="E1727">
        <v>167.8</v>
      </c>
      <c r="F1727">
        <v>169.05</v>
      </c>
      <c r="G1727">
        <v>169.5</v>
      </c>
      <c r="H1727">
        <v>171.5</v>
      </c>
      <c r="I1727">
        <v>39102947</v>
      </c>
      <c r="J1727">
        <v>6752473268.5500002</v>
      </c>
      <c r="K1727" s="1">
        <v>43777</v>
      </c>
      <c r="L1727">
        <v>164139</v>
      </c>
      <c r="M1727" t="s">
        <v>5088</v>
      </c>
    </row>
    <row r="1728" spans="1:13" x14ac:dyDescent="0.25">
      <c r="A1728" t="s">
        <v>5089</v>
      </c>
      <c r="B1728" t="s">
        <v>14</v>
      </c>
      <c r="C1728">
        <v>78.900000000000006</v>
      </c>
      <c r="D1728">
        <v>82</v>
      </c>
      <c r="E1728">
        <v>77.099999999999994</v>
      </c>
      <c r="F1728">
        <v>77.599999999999994</v>
      </c>
      <c r="G1728">
        <v>77.599999999999994</v>
      </c>
      <c r="H1728">
        <v>79</v>
      </c>
      <c r="I1728">
        <v>6145716</v>
      </c>
      <c r="J1728">
        <v>488129619.19999999</v>
      </c>
      <c r="K1728" s="1">
        <v>43777</v>
      </c>
      <c r="L1728">
        <v>18740</v>
      </c>
      <c r="M1728" t="s">
        <v>5090</v>
      </c>
    </row>
    <row r="1729" spans="1:13" x14ac:dyDescent="0.25">
      <c r="A1729" t="s">
        <v>5091</v>
      </c>
      <c r="B1729" t="s">
        <v>14</v>
      </c>
      <c r="C1729">
        <v>59.55</v>
      </c>
      <c r="D1729">
        <v>60.35</v>
      </c>
      <c r="E1729">
        <v>58.65</v>
      </c>
      <c r="F1729">
        <v>59.55</v>
      </c>
      <c r="G1729">
        <v>59.8</v>
      </c>
      <c r="H1729">
        <v>58.75</v>
      </c>
      <c r="I1729">
        <v>25224076</v>
      </c>
      <c r="J1729">
        <v>1500771874.6500001</v>
      </c>
      <c r="K1729" s="1">
        <v>43777</v>
      </c>
      <c r="L1729">
        <v>38542</v>
      </c>
      <c r="M1729" t="s">
        <v>5093</v>
      </c>
    </row>
    <row r="1730" spans="1:13" x14ac:dyDescent="0.25">
      <c r="A1730" t="s">
        <v>5094</v>
      </c>
      <c r="B1730" t="s">
        <v>6796</v>
      </c>
      <c r="C1730">
        <v>42.4</v>
      </c>
      <c r="D1730">
        <v>42.9</v>
      </c>
      <c r="E1730">
        <v>41.5</v>
      </c>
      <c r="F1730">
        <v>41.65</v>
      </c>
      <c r="G1730">
        <v>41.7</v>
      </c>
      <c r="H1730">
        <v>42.4</v>
      </c>
      <c r="I1730">
        <v>107564</v>
      </c>
      <c r="J1730">
        <v>4527268.0999999996</v>
      </c>
      <c r="K1730" s="1">
        <v>43777</v>
      </c>
      <c r="L1730">
        <v>823</v>
      </c>
      <c r="M1730" t="s">
        <v>7111</v>
      </c>
    </row>
    <row r="1731" spans="1:13" x14ac:dyDescent="0.25">
      <c r="A1731" t="s">
        <v>5094</v>
      </c>
      <c r="B1731" t="s">
        <v>14</v>
      </c>
      <c r="C1731">
        <v>401.5</v>
      </c>
      <c r="D1731">
        <v>406.2</v>
      </c>
      <c r="E1731">
        <v>395.1</v>
      </c>
      <c r="F1731">
        <v>397.95</v>
      </c>
      <c r="G1731">
        <v>397.35</v>
      </c>
      <c r="H1731">
        <v>403.1</v>
      </c>
      <c r="I1731">
        <v>21423520</v>
      </c>
      <c r="J1731">
        <v>8579105102.25</v>
      </c>
      <c r="K1731" s="1">
        <v>43777</v>
      </c>
      <c r="L1731">
        <v>145945</v>
      </c>
      <c r="M1731" t="s">
        <v>7110</v>
      </c>
    </row>
    <row r="1732" spans="1:13" x14ac:dyDescent="0.25">
      <c r="A1732" t="s">
        <v>7109</v>
      </c>
      <c r="B1732" t="s">
        <v>14</v>
      </c>
      <c r="C1732">
        <v>25.1</v>
      </c>
      <c r="D1732">
        <v>25.75</v>
      </c>
      <c r="E1732">
        <v>24.95</v>
      </c>
      <c r="F1732">
        <v>25.1</v>
      </c>
      <c r="G1732">
        <v>25</v>
      </c>
      <c r="H1732">
        <v>25.45</v>
      </c>
      <c r="I1732">
        <v>657548</v>
      </c>
      <c r="J1732">
        <v>16648145</v>
      </c>
      <c r="K1732" s="1">
        <v>43777</v>
      </c>
      <c r="L1732">
        <v>1491</v>
      </c>
      <c r="M1732" t="s">
        <v>7108</v>
      </c>
    </row>
    <row r="1733" spans="1:13" x14ac:dyDescent="0.25">
      <c r="A1733" t="s">
        <v>5097</v>
      </c>
      <c r="B1733" t="s">
        <v>14</v>
      </c>
      <c r="C1733">
        <v>402.5</v>
      </c>
      <c r="D1733">
        <v>411.95</v>
      </c>
      <c r="E1733">
        <v>401</v>
      </c>
      <c r="F1733">
        <v>402.95</v>
      </c>
      <c r="G1733">
        <v>402</v>
      </c>
      <c r="H1733">
        <v>405.05</v>
      </c>
      <c r="I1733">
        <v>28183</v>
      </c>
      <c r="J1733">
        <v>11446707.800000001</v>
      </c>
      <c r="K1733" s="1">
        <v>43777</v>
      </c>
      <c r="L1733">
        <v>1458</v>
      </c>
      <c r="M1733" t="s">
        <v>5099</v>
      </c>
    </row>
    <row r="1734" spans="1:13" x14ac:dyDescent="0.25">
      <c r="A1734" t="s">
        <v>5103</v>
      </c>
      <c r="B1734" t="s">
        <v>14</v>
      </c>
      <c r="C1734">
        <v>40.950000000000003</v>
      </c>
      <c r="D1734">
        <v>41.5</v>
      </c>
      <c r="E1734">
        <v>39.9</v>
      </c>
      <c r="F1734">
        <v>40.299999999999997</v>
      </c>
      <c r="G1734">
        <v>40.1</v>
      </c>
      <c r="H1734">
        <v>40.950000000000003</v>
      </c>
      <c r="I1734">
        <v>113473</v>
      </c>
      <c r="J1734">
        <v>4592960.95</v>
      </c>
      <c r="K1734" s="1">
        <v>43777</v>
      </c>
      <c r="L1734">
        <v>1107</v>
      </c>
      <c r="M1734" t="s">
        <v>5105</v>
      </c>
    </row>
    <row r="1735" spans="1:13" x14ac:dyDescent="0.25">
      <c r="A1735" t="s">
        <v>5866</v>
      </c>
      <c r="B1735" t="s">
        <v>6611</v>
      </c>
      <c r="C1735">
        <v>1039</v>
      </c>
      <c r="D1735">
        <v>1042.8</v>
      </c>
      <c r="E1735">
        <v>1036.5</v>
      </c>
      <c r="F1735">
        <v>1038.1099999999999</v>
      </c>
      <c r="G1735">
        <v>1038</v>
      </c>
      <c r="H1735">
        <v>1037.03</v>
      </c>
      <c r="I1735">
        <v>2063</v>
      </c>
      <c r="J1735">
        <v>2142656.25</v>
      </c>
      <c r="K1735" s="1">
        <v>43777</v>
      </c>
      <c r="L1735">
        <v>47</v>
      </c>
      <c r="M1735" t="s">
        <v>7107</v>
      </c>
    </row>
    <row r="1736" spans="1:13" x14ac:dyDescent="0.25">
      <c r="A1736" t="s">
        <v>5866</v>
      </c>
      <c r="B1736" t="s">
        <v>6243</v>
      </c>
      <c r="C1736">
        <v>1059.99</v>
      </c>
      <c r="D1736">
        <v>1060.7</v>
      </c>
      <c r="E1736">
        <v>1059.98</v>
      </c>
      <c r="F1736">
        <v>1060.68</v>
      </c>
      <c r="G1736">
        <v>1060.7</v>
      </c>
      <c r="H1736">
        <v>1058.0899999999999</v>
      </c>
      <c r="I1736">
        <v>364</v>
      </c>
      <c r="J1736">
        <v>385905.22</v>
      </c>
      <c r="K1736" s="1">
        <v>43777</v>
      </c>
      <c r="L1736">
        <v>16</v>
      </c>
      <c r="M1736" t="s">
        <v>7106</v>
      </c>
    </row>
    <row r="1737" spans="1:13" x14ac:dyDescent="0.25">
      <c r="A1737" t="s">
        <v>5866</v>
      </c>
      <c r="B1737" t="s">
        <v>5872</v>
      </c>
      <c r="C1737">
        <v>1085</v>
      </c>
      <c r="D1737">
        <v>1085</v>
      </c>
      <c r="E1737">
        <v>1080.33</v>
      </c>
      <c r="F1737">
        <v>1081.75</v>
      </c>
      <c r="G1737">
        <v>1080.33</v>
      </c>
      <c r="H1737">
        <v>1085.25</v>
      </c>
      <c r="I1737">
        <v>293</v>
      </c>
      <c r="J1737">
        <v>317700.82</v>
      </c>
      <c r="K1737" s="1">
        <v>43777</v>
      </c>
      <c r="L1737">
        <v>22</v>
      </c>
      <c r="M1737" t="s">
        <v>5871</v>
      </c>
    </row>
    <row r="1738" spans="1:13" x14ac:dyDescent="0.25">
      <c r="A1738" t="s">
        <v>5866</v>
      </c>
      <c r="B1738" t="s">
        <v>3535</v>
      </c>
      <c r="C1738">
        <v>1029.1099999999999</v>
      </c>
      <c r="D1738">
        <v>1038</v>
      </c>
      <c r="E1738">
        <v>1029.1099999999999</v>
      </c>
      <c r="F1738">
        <v>1038</v>
      </c>
      <c r="G1738">
        <v>1038</v>
      </c>
      <c r="H1738">
        <v>1024.1099999999999</v>
      </c>
      <c r="I1738">
        <v>300</v>
      </c>
      <c r="J1738">
        <v>310940.09999999998</v>
      </c>
      <c r="K1738" s="1">
        <v>43777</v>
      </c>
      <c r="L1738">
        <v>9</v>
      </c>
      <c r="M1738" t="s">
        <v>7105</v>
      </c>
    </row>
    <row r="1739" spans="1:13" x14ac:dyDescent="0.25">
      <c r="A1739" t="s">
        <v>5866</v>
      </c>
      <c r="B1739" t="s">
        <v>5868</v>
      </c>
      <c r="C1739">
        <v>1050</v>
      </c>
      <c r="D1739">
        <v>1055</v>
      </c>
      <c r="E1739">
        <v>1047</v>
      </c>
      <c r="F1739">
        <v>1055</v>
      </c>
      <c r="G1739">
        <v>1055</v>
      </c>
      <c r="H1739">
        <v>1050</v>
      </c>
      <c r="I1739">
        <v>262</v>
      </c>
      <c r="J1739">
        <v>274579</v>
      </c>
      <c r="K1739" s="1">
        <v>43777</v>
      </c>
      <c r="L1739">
        <v>4</v>
      </c>
      <c r="M1739" t="s">
        <v>5867</v>
      </c>
    </row>
    <row r="1740" spans="1:13" x14ac:dyDescent="0.25">
      <c r="A1740" t="s">
        <v>5866</v>
      </c>
      <c r="B1740" t="s">
        <v>5865</v>
      </c>
      <c r="C1740">
        <v>1070</v>
      </c>
      <c r="D1740">
        <v>1070</v>
      </c>
      <c r="E1740">
        <v>1070</v>
      </c>
      <c r="F1740">
        <v>1070</v>
      </c>
      <c r="G1740">
        <v>1070</v>
      </c>
      <c r="H1740">
        <v>1100</v>
      </c>
      <c r="I1740">
        <v>186</v>
      </c>
      <c r="J1740">
        <v>199020</v>
      </c>
      <c r="K1740" s="1">
        <v>43777</v>
      </c>
      <c r="L1740">
        <v>3</v>
      </c>
      <c r="M1740" t="s">
        <v>5864</v>
      </c>
    </row>
    <row r="1741" spans="1:13" x14ac:dyDescent="0.25">
      <c r="A1741" t="s">
        <v>5106</v>
      </c>
      <c r="B1741" t="s">
        <v>14</v>
      </c>
      <c r="C1741">
        <v>282.05</v>
      </c>
      <c r="D1741">
        <v>283.95</v>
      </c>
      <c r="E1741">
        <v>277.05</v>
      </c>
      <c r="F1741">
        <v>277.7</v>
      </c>
      <c r="G1741">
        <v>278</v>
      </c>
      <c r="H1741">
        <v>281.95</v>
      </c>
      <c r="I1741">
        <v>5839</v>
      </c>
      <c r="J1741">
        <v>1632423.5</v>
      </c>
      <c r="K1741" s="1">
        <v>43777</v>
      </c>
      <c r="L1741">
        <v>290</v>
      </c>
      <c r="M1741" t="s">
        <v>5108</v>
      </c>
    </row>
    <row r="1742" spans="1:13" x14ac:dyDescent="0.25">
      <c r="A1742" t="s">
        <v>5109</v>
      </c>
      <c r="B1742" t="s">
        <v>14</v>
      </c>
      <c r="C1742">
        <v>761</v>
      </c>
      <c r="D1742">
        <v>767</v>
      </c>
      <c r="E1742">
        <v>737.2</v>
      </c>
      <c r="F1742">
        <v>765.05</v>
      </c>
      <c r="G1742">
        <v>763.1</v>
      </c>
      <c r="H1742">
        <v>760.7</v>
      </c>
      <c r="I1742">
        <v>28561</v>
      </c>
      <c r="J1742">
        <v>21652895.800000001</v>
      </c>
      <c r="K1742" s="1">
        <v>43777</v>
      </c>
      <c r="L1742">
        <v>2242</v>
      </c>
      <c r="M1742" t="s">
        <v>5111</v>
      </c>
    </row>
    <row r="1743" spans="1:13" x14ac:dyDescent="0.25">
      <c r="A1743" t="s">
        <v>7104</v>
      </c>
      <c r="B1743" t="s">
        <v>14</v>
      </c>
      <c r="C1743">
        <v>9.4499999999999993</v>
      </c>
      <c r="D1743">
        <v>9.4499999999999993</v>
      </c>
      <c r="E1743">
        <v>9.0500000000000007</v>
      </c>
      <c r="F1743">
        <v>9.0500000000000007</v>
      </c>
      <c r="G1743">
        <v>9.0500000000000007</v>
      </c>
      <c r="H1743">
        <v>9.0500000000000007</v>
      </c>
      <c r="I1743">
        <v>12191</v>
      </c>
      <c r="J1743">
        <v>111845.4</v>
      </c>
      <c r="K1743" s="1">
        <v>43777</v>
      </c>
      <c r="L1743">
        <v>68</v>
      </c>
      <c r="M1743" t="s">
        <v>7103</v>
      </c>
    </row>
    <row r="1744" spans="1:13" x14ac:dyDescent="0.25">
      <c r="A1744" t="s">
        <v>5115</v>
      </c>
      <c r="B1744" t="s">
        <v>14</v>
      </c>
      <c r="C1744">
        <v>737</v>
      </c>
      <c r="D1744">
        <v>737</v>
      </c>
      <c r="E1744">
        <v>725.45</v>
      </c>
      <c r="F1744">
        <v>727.55</v>
      </c>
      <c r="G1744">
        <v>727</v>
      </c>
      <c r="H1744">
        <v>727.95</v>
      </c>
      <c r="I1744">
        <v>21618</v>
      </c>
      <c r="J1744">
        <v>15818863.050000001</v>
      </c>
      <c r="K1744" s="1">
        <v>43777</v>
      </c>
      <c r="L1744">
        <v>396</v>
      </c>
      <c r="M1744" t="s">
        <v>5117</v>
      </c>
    </row>
    <row r="1745" spans="1:13" x14ac:dyDescent="0.25">
      <c r="A1745" t="s">
        <v>5118</v>
      </c>
      <c r="B1745" t="s">
        <v>14</v>
      </c>
      <c r="C1745">
        <v>289.95</v>
      </c>
      <c r="D1745">
        <v>289.95</v>
      </c>
      <c r="E1745">
        <v>270.05</v>
      </c>
      <c r="F1745">
        <v>276.10000000000002</v>
      </c>
      <c r="G1745">
        <v>275</v>
      </c>
      <c r="H1745">
        <v>290.25</v>
      </c>
      <c r="I1745">
        <v>2355</v>
      </c>
      <c r="J1745">
        <v>657206.85</v>
      </c>
      <c r="K1745" s="1">
        <v>43777</v>
      </c>
      <c r="L1745">
        <v>185</v>
      </c>
      <c r="M1745" t="s">
        <v>5120</v>
      </c>
    </row>
    <row r="1746" spans="1:13" x14ac:dyDescent="0.25">
      <c r="A1746" t="s">
        <v>5121</v>
      </c>
      <c r="B1746" t="s">
        <v>14</v>
      </c>
      <c r="C1746">
        <v>2189.6</v>
      </c>
      <c r="D1746">
        <v>2189.6</v>
      </c>
      <c r="E1746">
        <v>2124</v>
      </c>
      <c r="F1746">
        <v>2129.9499999999998</v>
      </c>
      <c r="G1746">
        <v>2130</v>
      </c>
      <c r="H1746">
        <v>2185.35</v>
      </c>
      <c r="I1746">
        <v>2788759</v>
      </c>
      <c r="J1746">
        <v>5995204048.1000004</v>
      </c>
      <c r="K1746" s="1">
        <v>43777</v>
      </c>
      <c r="L1746">
        <v>110953</v>
      </c>
      <c r="M1746" t="s">
        <v>5123</v>
      </c>
    </row>
    <row r="1747" spans="1:13" x14ac:dyDescent="0.25">
      <c r="A1747" t="s">
        <v>5124</v>
      </c>
      <c r="B1747" t="s">
        <v>14</v>
      </c>
      <c r="C1747">
        <v>146.15</v>
      </c>
      <c r="D1747">
        <v>147.80000000000001</v>
      </c>
      <c r="E1747">
        <v>144.1</v>
      </c>
      <c r="F1747">
        <v>145.94999999999999</v>
      </c>
      <c r="G1747">
        <v>146</v>
      </c>
      <c r="H1747">
        <v>146.80000000000001</v>
      </c>
      <c r="I1747">
        <v>8183</v>
      </c>
      <c r="J1747">
        <v>1189077.05</v>
      </c>
      <c r="K1747" s="1">
        <v>43777</v>
      </c>
      <c r="L1747">
        <v>92</v>
      </c>
      <c r="M1747" t="s">
        <v>7102</v>
      </c>
    </row>
    <row r="1748" spans="1:13" x14ac:dyDescent="0.25">
      <c r="A1748" t="s">
        <v>5127</v>
      </c>
      <c r="B1748" t="s">
        <v>14</v>
      </c>
      <c r="C1748">
        <v>2894</v>
      </c>
      <c r="D1748">
        <v>2898.4</v>
      </c>
      <c r="E1748">
        <v>2739.95</v>
      </c>
      <c r="F1748">
        <v>2791.3</v>
      </c>
      <c r="G1748">
        <v>2780</v>
      </c>
      <c r="H1748">
        <v>2871.15</v>
      </c>
      <c r="I1748">
        <v>14041</v>
      </c>
      <c r="J1748">
        <v>39812770.450000003</v>
      </c>
      <c r="K1748" s="1">
        <v>43777</v>
      </c>
      <c r="L1748">
        <v>3166</v>
      </c>
      <c r="M1748" t="s">
        <v>5129</v>
      </c>
    </row>
    <row r="1749" spans="1:13" x14ac:dyDescent="0.25">
      <c r="A1749" t="s">
        <v>5130</v>
      </c>
      <c r="B1749" t="s">
        <v>10</v>
      </c>
      <c r="C1749">
        <v>3.1</v>
      </c>
      <c r="D1749">
        <v>3.1</v>
      </c>
      <c r="E1749">
        <v>3.05</v>
      </c>
      <c r="F1749">
        <v>3.05</v>
      </c>
      <c r="G1749">
        <v>3.05</v>
      </c>
      <c r="H1749">
        <v>3.05</v>
      </c>
      <c r="I1749">
        <v>425</v>
      </c>
      <c r="J1749">
        <v>1302.5</v>
      </c>
      <c r="K1749" s="1">
        <v>43777</v>
      </c>
      <c r="L1749">
        <v>6</v>
      </c>
      <c r="M1749" t="s">
        <v>5132</v>
      </c>
    </row>
    <row r="1750" spans="1:13" x14ac:dyDescent="0.25">
      <c r="A1750" t="s">
        <v>5133</v>
      </c>
      <c r="B1750" t="s">
        <v>14</v>
      </c>
      <c r="C1750">
        <v>772</v>
      </c>
      <c r="D1750">
        <v>777.85</v>
      </c>
      <c r="E1750">
        <v>770.3</v>
      </c>
      <c r="F1750">
        <v>771.35</v>
      </c>
      <c r="G1750">
        <v>772</v>
      </c>
      <c r="H1750">
        <v>769.7</v>
      </c>
      <c r="I1750">
        <v>2368591</v>
      </c>
      <c r="J1750">
        <v>1830104805.1500001</v>
      </c>
      <c r="K1750" s="1">
        <v>43777</v>
      </c>
      <c r="L1750">
        <v>47466</v>
      </c>
      <c r="M1750" t="s">
        <v>5135</v>
      </c>
    </row>
    <row r="1751" spans="1:13" x14ac:dyDescent="0.25">
      <c r="A1751" t="s">
        <v>5136</v>
      </c>
      <c r="B1751" t="s">
        <v>14</v>
      </c>
      <c r="C1751">
        <v>267.95</v>
      </c>
      <c r="D1751">
        <v>275</v>
      </c>
      <c r="E1751">
        <v>256.95</v>
      </c>
      <c r="F1751">
        <v>263.05</v>
      </c>
      <c r="G1751">
        <v>261</v>
      </c>
      <c r="H1751">
        <v>270.55</v>
      </c>
      <c r="I1751">
        <v>43977</v>
      </c>
      <c r="J1751">
        <v>11632639.699999999</v>
      </c>
      <c r="K1751" s="1">
        <v>43777</v>
      </c>
      <c r="L1751">
        <v>1611</v>
      </c>
      <c r="M1751" t="s">
        <v>5138</v>
      </c>
    </row>
    <row r="1752" spans="1:13" x14ac:dyDescent="0.25">
      <c r="A1752" t="s">
        <v>7101</v>
      </c>
      <c r="B1752" t="s">
        <v>10</v>
      </c>
      <c r="C1752">
        <v>21.7</v>
      </c>
      <c r="D1752">
        <v>23.9</v>
      </c>
      <c r="E1752">
        <v>21.7</v>
      </c>
      <c r="F1752">
        <v>23.9</v>
      </c>
      <c r="G1752">
        <v>23.9</v>
      </c>
      <c r="H1752">
        <v>22.8</v>
      </c>
      <c r="I1752">
        <v>6157</v>
      </c>
      <c r="J1752">
        <v>143689.75</v>
      </c>
      <c r="K1752" s="1">
        <v>43777</v>
      </c>
      <c r="L1752">
        <v>115</v>
      </c>
      <c r="M1752" t="s">
        <v>7100</v>
      </c>
    </row>
    <row r="1753" spans="1:13" x14ac:dyDescent="0.25">
      <c r="A1753" t="s">
        <v>5145</v>
      </c>
      <c r="B1753" t="s">
        <v>14</v>
      </c>
      <c r="C1753">
        <v>77</v>
      </c>
      <c r="D1753">
        <v>78.5</v>
      </c>
      <c r="E1753">
        <v>75.150000000000006</v>
      </c>
      <c r="F1753">
        <v>75.7</v>
      </c>
      <c r="G1753">
        <v>75.150000000000006</v>
      </c>
      <c r="H1753">
        <v>77.8</v>
      </c>
      <c r="I1753">
        <v>50047</v>
      </c>
      <c r="J1753">
        <v>3827399.9</v>
      </c>
      <c r="K1753" s="1">
        <v>43777</v>
      </c>
      <c r="L1753">
        <v>1300</v>
      </c>
      <c r="M1753" t="s">
        <v>5147</v>
      </c>
    </row>
    <row r="1754" spans="1:13" x14ac:dyDescent="0.25">
      <c r="A1754" t="s">
        <v>5151</v>
      </c>
      <c r="B1754" t="s">
        <v>14</v>
      </c>
      <c r="C1754">
        <v>26.05</v>
      </c>
      <c r="D1754">
        <v>27.55</v>
      </c>
      <c r="E1754">
        <v>26.05</v>
      </c>
      <c r="F1754">
        <v>26.95</v>
      </c>
      <c r="G1754">
        <v>27.1</v>
      </c>
      <c r="H1754">
        <v>26.6</v>
      </c>
      <c r="I1754">
        <v>16267</v>
      </c>
      <c r="J1754">
        <v>434908</v>
      </c>
      <c r="K1754" s="1">
        <v>43777</v>
      </c>
      <c r="L1754">
        <v>226</v>
      </c>
      <c r="M1754" t="s">
        <v>5153</v>
      </c>
    </row>
    <row r="1755" spans="1:13" x14ac:dyDescent="0.25">
      <c r="A1755" t="s">
        <v>5154</v>
      </c>
      <c r="B1755" t="s">
        <v>14</v>
      </c>
      <c r="C1755">
        <v>43.6</v>
      </c>
      <c r="D1755">
        <v>44.8</v>
      </c>
      <c r="E1755">
        <v>43.6</v>
      </c>
      <c r="F1755">
        <v>44</v>
      </c>
      <c r="G1755">
        <v>44.25</v>
      </c>
      <c r="H1755">
        <v>44</v>
      </c>
      <c r="I1755">
        <v>2860</v>
      </c>
      <c r="J1755">
        <v>125371.8</v>
      </c>
      <c r="K1755" s="1">
        <v>43777</v>
      </c>
      <c r="L1755">
        <v>51</v>
      </c>
      <c r="M1755" t="s">
        <v>5156</v>
      </c>
    </row>
    <row r="1756" spans="1:13" x14ac:dyDescent="0.25">
      <c r="A1756" t="s">
        <v>5157</v>
      </c>
      <c r="B1756" t="s">
        <v>14</v>
      </c>
      <c r="C1756">
        <v>16</v>
      </c>
      <c r="D1756">
        <v>18.649999999999999</v>
      </c>
      <c r="E1756">
        <v>15.7</v>
      </c>
      <c r="F1756">
        <v>16.8</v>
      </c>
      <c r="G1756">
        <v>17</v>
      </c>
      <c r="H1756">
        <v>15.95</v>
      </c>
      <c r="I1756">
        <v>323821</v>
      </c>
      <c r="J1756">
        <v>5597066.9500000002</v>
      </c>
      <c r="K1756" s="1">
        <v>43777</v>
      </c>
      <c r="L1756">
        <v>1615</v>
      </c>
      <c r="M1756" t="s">
        <v>5159</v>
      </c>
    </row>
    <row r="1757" spans="1:13" x14ac:dyDescent="0.25">
      <c r="A1757" t="s">
        <v>5160</v>
      </c>
      <c r="B1757" t="s">
        <v>14</v>
      </c>
      <c r="C1757">
        <v>43.65</v>
      </c>
      <c r="D1757">
        <v>44.2</v>
      </c>
      <c r="E1757">
        <v>43</v>
      </c>
      <c r="F1757">
        <v>43.2</v>
      </c>
      <c r="G1757">
        <v>43.25</v>
      </c>
      <c r="H1757">
        <v>43.65</v>
      </c>
      <c r="I1757">
        <v>76574</v>
      </c>
      <c r="J1757">
        <v>3336470.25</v>
      </c>
      <c r="K1757" s="1">
        <v>43777</v>
      </c>
      <c r="L1757">
        <v>986</v>
      </c>
      <c r="M1757" t="s">
        <v>5162</v>
      </c>
    </row>
    <row r="1758" spans="1:13" x14ac:dyDescent="0.25">
      <c r="A1758" t="s">
        <v>5163</v>
      </c>
      <c r="B1758" t="s">
        <v>14</v>
      </c>
      <c r="C1758">
        <v>81.849999999999994</v>
      </c>
      <c r="D1758">
        <v>90.45</v>
      </c>
      <c r="E1758">
        <v>81.5</v>
      </c>
      <c r="F1758">
        <v>83.6</v>
      </c>
      <c r="G1758">
        <v>84.35</v>
      </c>
      <c r="H1758">
        <v>82.05</v>
      </c>
      <c r="I1758">
        <v>243305</v>
      </c>
      <c r="J1758">
        <v>20667558.800000001</v>
      </c>
      <c r="K1758" s="1">
        <v>43777</v>
      </c>
      <c r="L1758">
        <v>1850</v>
      </c>
      <c r="M1758" t="s">
        <v>5165</v>
      </c>
    </row>
    <row r="1759" spans="1:13" x14ac:dyDescent="0.25">
      <c r="A1759" t="s">
        <v>5166</v>
      </c>
      <c r="B1759" t="s">
        <v>14</v>
      </c>
      <c r="C1759">
        <v>4.5</v>
      </c>
      <c r="D1759">
        <v>4.5</v>
      </c>
      <c r="E1759">
        <v>3.85</v>
      </c>
      <c r="F1759">
        <v>3.9</v>
      </c>
      <c r="G1759">
        <v>3.9</v>
      </c>
      <c r="H1759">
        <v>4.1500000000000004</v>
      </c>
      <c r="I1759">
        <v>1341</v>
      </c>
      <c r="J1759">
        <v>5266.85</v>
      </c>
      <c r="K1759" s="1">
        <v>43777</v>
      </c>
      <c r="L1759">
        <v>8</v>
      </c>
      <c r="M1759" t="s">
        <v>5168</v>
      </c>
    </row>
    <row r="1760" spans="1:13" x14ac:dyDescent="0.25">
      <c r="A1760" t="s">
        <v>5169</v>
      </c>
      <c r="B1760" t="s">
        <v>14</v>
      </c>
      <c r="C1760">
        <v>3.25</v>
      </c>
      <c r="D1760">
        <v>3.5</v>
      </c>
      <c r="E1760">
        <v>3.2</v>
      </c>
      <c r="F1760">
        <v>3.2</v>
      </c>
      <c r="G1760">
        <v>3.2</v>
      </c>
      <c r="H1760">
        <v>3.35</v>
      </c>
      <c r="I1760">
        <v>28906</v>
      </c>
      <c r="J1760">
        <v>94619.55</v>
      </c>
      <c r="K1760" s="1">
        <v>43777</v>
      </c>
      <c r="L1760">
        <v>94</v>
      </c>
      <c r="M1760" t="s">
        <v>5171</v>
      </c>
    </row>
    <row r="1761" spans="1:13" x14ac:dyDescent="0.25">
      <c r="A1761" t="s">
        <v>5172</v>
      </c>
      <c r="B1761" t="s">
        <v>14</v>
      </c>
      <c r="C1761">
        <v>341.15</v>
      </c>
      <c r="D1761">
        <v>354.9</v>
      </c>
      <c r="E1761">
        <v>341.1</v>
      </c>
      <c r="F1761">
        <v>349.15</v>
      </c>
      <c r="G1761">
        <v>354.9</v>
      </c>
      <c r="H1761">
        <v>349.9</v>
      </c>
      <c r="I1761">
        <v>2663</v>
      </c>
      <c r="J1761">
        <v>930054.05</v>
      </c>
      <c r="K1761" s="1">
        <v>43777</v>
      </c>
      <c r="L1761">
        <v>121</v>
      </c>
      <c r="M1761" t="s">
        <v>5174</v>
      </c>
    </row>
    <row r="1762" spans="1:13" x14ac:dyDescent="0.25">
      <c r="A1762" t="s">
        <v>5175</v>
      </c>
      <c r="B1762" t="s">
        <v>14</v>
      </c>
      <c r="C1762">
        <v>125.05</v>
      </c>
      <c r="D1762">
        <v>133.80000000000001</v>
      </c>
      <c r="E1762">
        <v>125</v>
      </c>
      <c r="F1762">
        <v>126.95</v>
      </c>
      <c r="G1762">
        <v>126</v>
      </c>
      <c r="H1762">
        <v>129.94999999999999</v>
      </c>
      <c r="I1762">
        <v>1726</v>
      </c>
      <c r="J1762">
        <v>219574.5</v>
      </c>
      <c r="K1762" s="1">
        <v>43777</v>
      </c>
      <c r="L1762">
        <v>59</v>
      </c>
      <c r="M1762" t="s">
        <v>5177</v>
      </c>
    </row>
    <row r="1763" spans="1:13" x14ac:dyDescent="0.25">
      <c r="A1763" t="s">
        <v>5181</v>
      </c>
      <c r="B1763" t="s">
        <v>10</v>
      </c>
      <c r="C1763">
        <v>297.95</v>
      </c>
      <c r="D1763">
        <v>297.95</v>
      </c>
      <c r="E1763">
        <v>275.05</v>
      </c>
      <c r="F1763">
        <v>282.25</v>
      </c>
      <c r="G1763">
        <v>289</v>
      </c>
      <c r="H1763">
        <v>284.25</v>
      </c>
      <c r="I1763">
        <v>365</v>
      </c>
      <c r="J1763">
        <v>104214.8</v>
      </c>
      <c r="K1763" s="1">
        <v>43777</v>
      </c>
      <c r="L1763">
        <v>18</v>
      </c>
      <c r="M1763" t="s">
        <v>7099</v>
      </c>
    </row>
    <row r="1764" spans="1:13" x14ac:dyDescent="0.25">
      <c r="A1764" t="s">
        <v>5184</v>
      </c>
      <c r="B1764" t="s">
        <v>14</v>
      </c>
      <c r="C1764">
        <v>1097.5</v>
      </c>
      <c r="D1764">
        <v>1115.4000000000001</v>
      </c>
      <c r="E1764">
        <v>1085.0999999999999</v>
      </c>
      <c r="F1764">
        <v>1087.8499999999999</v>
      </c>
      <c r="G1764">
        <v>1089.95</v>
      </c>
      <c r="H1764">
        <v>1100.25</v>
      </c>
      <c r="I1764">
        <v>12204</v>
      </c>
      <c r="J1764">
        <v>13365688.25</v>
      </c>
      <c r="K1764" s="1">
        <v>43777</v>
      </c>
      <c r="L1764">
        <v>1201</v>
      </c>
      <c r="M1764" t="s">
        <v>5186</v>
      </c>
    </row>
    <row r="1765" spans="1:13" x14ac:dyDescent="0.25">
      <c r="A1765" t="s">
        <v>7098</v>
      </c>
      <c r="B1765" t="s">
        <v>786</v>
      </c>
      <c r="C1765">
        <v>3.55</v>
      </c>
      <c r="D1765">
        <v>3.55</v>
      </c>
      <c r="E1765">
        <v>3.5</v>
      </c>
      <c r="F1765">
        <v>3.5</v>
      </c>
      <c r="G1765">
        <v>3.5</v>
      </c>
      <c r="H1765">
        <v>3.65</v>
      </c>
      <c r="I1765">
        <v>2151</v>
      </c>
      <c r="J1765">
        <v>7529.55</v>
      </c>
      <c r="K1765" s="1">
        <v>43777</v>
      </c>
      <c r="L1765">
        <v>5</v>
      </c>
      <c r="M1765" t="s">
        <v>7097</v>
      </c>
    </row>
    <row r="1766" spans="1:13" x14ac:dyDescent="0.25">
      <c r="A1766" t="s">
        <v>5187</v>
      </c>
      <c r="B1766" t="s">
        <v>14</v>
      </c>
      <c r="C1766">
        <v>133.1</v>
      </c>
      <c r="D1766">
        <v>134.94999999999999</v>
      </c>
      <c r="E1766">
        <v>127.2</v>
      </c>
      <c r="F1766">
        <v>131.94999999999999</v>
      </c>
      <c r="G1766">
        <v>132</v>
      </c>
      <c r="H1766">
        <v>133.1</v>
      </c>
      <c r="I1766">
        <v>231895</v>
      </c>
      <c r="J1766">
        <v>30384537.25</v>
      </c>
      <c r="K1766" s="1">
        <v>43777</v>
      </c>
      <c r="L1766">
        <v>3978</v>
      </c>
      <c r="M1766" t="s">
        <v>5189</v>
      </c>
    </row>
    <row r="1767" spans="1:13" x14ac:dyDescent="0.25">
      <c r="A1767" t="s">
        <v>5190</v>
      </c>
      <c r="B1767" t="s">
        <v>10</v>
      </c>
      <c r="C1767">
        <v>4.6500000000000004</v>
      </c>
      <c r="D1767">
        <v>4.6500000000000004</v>
      </c>
      <c r="E1767">
        <v>4.6500000000000004</v>
      </c>
      <c r="F1767">
        <v>4.6500000000000004</v>
      </c>
      <c r="G1767">
        <v>4.6500000000000004</v>
      </c>
      <c r="H1767">
        <v>4.75</v>
      </c>
      <c r="I1767">
        <v>500</v>
      </c>
      <c r="J1767">
        <v>2325</v>
      </c>
      <c r="K1767" s="1">
        <v>43777</v>
      </c>
      <c r="L1767">
        <v>1</v>
      </c>
      <c r="M1767" t="s">
        <v>5192</v>
      </c>
    </row>
    <row r="1768" spans="1:13" x14ac:dyDescent="0.25">
      <c r="A1768" t="s">
        <v>5193</v>
      </c>
      <c r="B1768" t="s">
        <v>14</v>
      </c>
      <c r="C1768">
        <v>576</v>
      </c>
      <c r="D1768">
        <v>604.5</v>
      </c>
      <c r="E1768">
        <v>542.35</v>
      </c>
      <c r="F1768">
        <v>547.75</v>
      </c>
      <c r="G1768">
        <v>551</v>
      </c>
      <c r="H1768">
        <v>558.54999999999995</v>
      </c>
      <c r="I1768">
        <v>254189</v>
      </c>
      <c r="J1768">
        <v>145829355.15000001</v>
      </c>
      <c r="K1768" s="1">
        <v>43777</v>
      </c>
      <c r="L1768">
        <v>12769</v>
      </c>
      <c r="M1768" t="s">
        <v>5195</v>
      </c>
    </row>
    <row r="1769" spans="1:13" x14ac:dyDescent="0.25">
      <c r="A1769" t="s">
        <v>5196</v>
      </c>
      <c r="B1769" t="s">
        <v>14</v>
      </c>
      <c r="C1769">
        <v>14.35</v>
      </c>
      <c r="D1769">
        <v>14.7</v>
      </c>
      <c r="E1769">
        <v>13.8</v>
      </c>
      <c r="F1769">
        <v>13.85</v>
      </c>
      <c r="G1769">
        <v>14</v>
      </c>
      <c r="H1769">
        <v>14.35</v>
      </c>
      <c r="I1769">
        <v>44699</v>
      </c>
      <c r="J1769">
        <v>635133.6</v>
      </c>
      <c r="K1769" s="1">
        <v>43777</v>
      </c>
      <c r="L1769">
        <v>472</v>
      </c>
      <c r="M1769" t="s">
        <v>5198</v>
      </c>
    </row>
    <row r="1770" spans="1:13" x14ac:dyDescent="0.25">
      <c r="A1770" t="s">
        <v>5199</v>
      </c>
      <c r="B1770" t="s">
        <v>14</v>
      </c>
      <c r="C1770">
        <v>4912</v>
      </c>
      <c r="D1770">
        <v>5069.95</v>
      </c>
      <c r="E1770">
        <v>4912</v>
      </c>
      <c r="F1770">
        <v>5008.55</v>
      </c>
      <c r="G1770">
        <v>5025</v>
      </c>
      <c r="H1770">
        <v>4996.3</v>
      </c>
      <c r="I1770">
        <v>540</v>
      </c>
      <c r="J1770">
        <v>2717412.95</v>
      </c>
      <c r="K1770" s="1">
        <v>43777</v>
      </c>
      <c r="L1770">
        <v>255</v>
      </c>
      <c r="M1770" t="s">
        <v>7096</v>
      </c>
    </row>
    <row r="1771" spans="1:13" x14ac:dyDescent="0.25">
      <c r="A1771" t="s">
        <v>5202</v>
      </c>
      <c r="B1771" t="s">
        <v>14</v>
      </c>
      <c r="C1771">
        <v>337.05</v>
      </c>
      <c r="D1771">
        <v>345</v>
      </c>
      <c r="E1771">
        <v>332</v>
      </c>
      <c r="F1771">
        <v>332.8</v>
      </c>
      <c r="G1771">
        <v>332.5</v>
      </c>
      <c r="H1771">
        <v>340.2</v>
      </c>
      <c r="I1771">
        <v>1508</v>
      </c>
      <c r="J1771">
        <v>506888.1</v>
      </c>
      <c r="K1771" s="1">
        <v>43777</v>
      </c>
      <c r="L1771">
        <v>332</v>
      </c>
      <c r="M1771" t="s">
        <v>5204</v>
      </c>
    </row>
    <row r="1772" spans="1:13" x14ac:dyDescent="0.25">
      <c r="A1772" t="s">
        <v>5205</v>
      </c>
      <c r="B1772" t="s">
        <v>14</v>
      </c>
      <c r="C1772">
        <v>455</v>
      </c>
      <c r="D1772">
        <v>457.4</v>
      </c>
      <c r="E1772">
        <v>433.35</v>
      </c>
      <c r="F1772">
        <v>438.45</v>
      </c>
      <c r="G1772">
        <v>435</v>
      </c>
      <c r="H1772">
        <v>449.2</v>
      </c>
      <c r="I1772">
        <v>47499</v>
      </c>
      <c r="J1772">
        <v>21238858.25</v>
      </c>
      <c r="K1772" s="1">
        <v>43777</v>
      </c>
      <c r="L1772">
        <v>2532</v>
      </c>
      <c r="M1772" t="s">
        <v>5207</v>
      </c>
    </row>
    <row r="1773" spans="1:13" x14ac:dyDescent="0.25">
      <c r="A1773" t="s">
        <v>5208</v>
      </c>
      <c r="B1773" t="s">
        <v>14</v>
      </c>
      <c r="C1773">
        <v>8.5</v>
      </c>
      <c r="D1773">
        <v>9.9</v>
      </c>
      <c r="E1773">
        <v>8.5</v>
      </c>
      <c r="F1773">
        <v>9.8000000000000007</v>
      </c>
      <c r="G1773">
        <v>9.85</v>
      </c>
      <c r="H1773">
        <v>9</v>
      </c>
      <c r="I1773">
        <v>40281</v>
      </c>
      <c r="J1773">
        <v>392697.4</v>
      </c>
      <c r="K1773" s="1">
        <v>43777</v>
      </c>
      <c r="L1773">
        <v>331</v>
      </c>
      <c r="M1773" t="s">
        <v>5210</v>
      </c>
    </row>
    <row r="1774" spans="1:13" x14ac:dyDescent="0.25">
      <c r="A1774" t="s">
        <v>5211</v>
      </c>
      <c r="B1774" t="s">
        <v>14</v>
      </c>
      <c r="C1774">
        <v>199.8</v>
      </c>
      <c r="D1774">
        <v>199.8</v>
      </c>
      <c r="E1774">
        <v>193.5</v>
      </c>
      <c r="F1774">
        <v>194.85</v>
      </c>
      <c r="G1774">
        <v>193.5</v>
      </c>
      <c r="H1774">
        <v>198.2</v>
      </c>
      <c r="I1774">
        <v>3099</v>
      </c>
      <c r="J1774">
        <v>607964.6</v>
      </c>
      <c r="K1774" s="1">
        <v>43777</v>
      </c>
      <c r="L1774">
        <v>283</v>
      </c>
      <c r="M1774" t="s">
        <v>5213</v>
      </c>
    </row>
    <row r="1775" spans="1:13" x14ac:dyDescent="0.25">
      <c r="A1775" t="s">
        <v>5214</v>
      </c>
      <c r="B1775" t="s">
        <v>14</v>
      </c>
      <c r="C1775">
        <v>39.4</v>
      </c>
      <c r="D1775">
        <v>39.4</v>
      </c>
      <c r="E1775">
        <v>32.9</v>
      </c>
      <c r="F1775">
        <v>36.4</v>
      </c>
      <c r="G1775">
        <v>36.5</v>
      </c>
      <c r="H1775">
        <v>32.85</v>
      </c>
      <c r="I1775">
        <v>3189</v>
      </c>
      <c r="J1775">
        <v>115341.05</v>
      </c>
      <c r="K1775" s="1">
        <v>43777</v>
      </c>
      <c r="L1775">
        <v>120</v>
      </c>
      <c r="M1775" t="s">
        <v>5216</v>
      </c>
    </row>
    <row r="1776" spans="1:13" x14ac:dyDescent="0.25">
      <c r="A1776" t="s">
        <v>5217</v>
      </c>
      <c r="B1776" t="s">
        <v>14</v>
      </c>
      <c r="C1776">
        <v>63.2</v>
      </c>
      <c r="D1776">
        <v>66.5</v>
      </c>
      <c r="E1776">
        <v>63.2</v>
      </c>
      <c r="F1776">
        <v>63.9</v>
      </c>
      <c r="G1776">
        <v>64</v>
      </c>
      <c r="H1776">
        <v>63.85</v>
      </c>
      <c r="I1776">
        <v>288171</v>
      </c>
      <c r="J1776">
        <v>18589298.850000001</v>
      </c>
      <c r="K1776" s="1">
        <v>43777</v>
      </c>
      <c r="L1776">
        <v>1879</v>
      </c>
      <c r="M1776" t="s">
        <v>5219</v>
      </c>
    </row>
    <row r="1777" spans="1:13" x14ac:dyDescent="0.25">
      <c r="A1777" t="s">
        <v>5220</v>
      </c>
      <c r="B1777" t="s">
        <v>14</v>
      </c>
      <c r="C1777">
        <v>887</v>
      </c>
      <c r="D1777">
        <v>887</v>
      </c>
      <c r="E1777">
        <v>865.1</v>
      </c>
      <c r="F1777">
        <v>870.4</v>
      </c>
      <c r="G1777">
        <v>870</v>
      </c>
      <c r="H1777">
        <v>890.85</v>
      </c>
      <c r="I1777">
        <v>15982</v>
      </c>
      <c r="J1777">
        <v>13968528.5</v>
      </c>
      <c r="K1777" s="1">
        <v>43777</v>
      </c>
      <c r="L1777">
        <v>1342</v>
      </c>
      <c r="M1777" t="s">
        <v>5222</v>
      </c>
    </row>
    <row r="1778" spans="1:13" x14ac:dyDescent="0.25">
      <c r="A1778" t="s">
        <v>5223</v>
      </c>
      <c r="B1778" t="s">
        <v>14</v>
      </c>
      <c r="C1778">
        <v>131</v>
      </c>
      <c r="D1778">
        <v>136.4</v>
      </c>
      <c r="E1778">
        <v>128.6</v>
      </c>
      <c r="F1778">
        <v>131.69999999999999</v>
      </c>
      <c r="G1778">
        <v>133</v>
      </c>
      <c r="H1778">
        <v>131.55000000000001</v>
      </c>
      <c r="I1778">
        <v>1931270</v>
      </c>
      <c r="J1778">
        <v>256450014.5</v>
      </c>
      <c r="K1778" s="1">
        <v>43777</v>
      </c>
      <c r="L1778">
        <v>24875</v>
      </c>
      <c r="M1778" t="s">
        <v>5225</v>
      </c>
    </row>
    <row r="1779" spans="1:13" x14ac:dyDescent="0.25">
      <c r="A1779" t="s">
        <v>5229</v>
      </c>
      <c r="B1779" t="s">
        <v>14</v>
      </c>
      <c r="C1779">
        <v>74</v>
      </c>
      <c r="D1779">
        <v>75</v>
      </c>
      <c r="E1779">
        <v>71.2</v>
      </c>
      <c r="F1779">
        <v>73.650000000000006</v>
      </c>
      <c r="G1779">
        <v>72.05</v>
      </c>
      <c r="H1779">
        <v>72.599999999999994</v>
      </c>
      <c r="I1779">
        <v>3405</v>
      </c>
      <c r="J1779">
        <v>250381.65</v>
      </c>
      <c r="K1779" s="1">
        <v>43777</v>
      </c>
      <c r="L1779">
        <v>26</v>
      </c>
      <c r="M1779" t="s">
        <v>7095</v>
      </c>
    </row>
    <row r="1780" spans="1:13" x14ac:dyDescent="0.25">
      <c r="A1780" t="s">
        <v>5232</v>
      </c>
      <c r="B1780" t="s">
        <v>14</v>
      </c>
      <c r="C1780">
        <v>65.849999999999994</v>
      </c>
      <c r="D1780">
        <v>66.900000000000006</v>
      </c>
      <c r="E1780">
        <v>64.5</v>
      </c>
      <c r="F1780">
        <v>65</v>
      </c>
      <c r="G1780">
        <v>64.900000000000006</v>
      </c>
      <c r="H1780">
        <v>66.8</v>
      </c>
      <c r="I1780">
        <v>272585</v>
      </c>
      <c r="J1780">
        <v>17923133.149999999</v>
      </c>
      <c r="K1780" s="1">
        <v>43777</v>
      </c>
      <c r="L1780">
        <v>2558</v>
      </c>
      <c r="M1780" t="s">
        <v>5234</v>
      </c>
    </row>
    <row r="1781" spans="1:13" x14ac:dyDescent="0.25">
      <c r="A1781" t="s">
        <v>5858</v>
      </c>
      <c r="B1781" t="s">
        <v>5788</v>
      </c>
      <c r="C1781">
        <v>40.15</v>
      </c>
      <c r="D1781">
        <v>40.15</v>
      </c>
      <c r="E1781">
        <v>40.1</v>
      </c>
      <c r="F1781">
        <v>40.1</v>
      </c>
      <c r="G1781">
        <v>40.1</v>
      </c>
      <c r="H1781">
        <v>40.25</v>
      </c>
      <c r="I1781">
        <v>6000</v>
      </c>
      <c r="J1781">
        <v>240750</v>
      </c>
      <c r="K1781" s="1">
        <v>43777</v>
      </c>
      <c r="L1781">
        <v>2</v>
      </c>
      <c r="M1781" t="s">
        <v>5857</v>
      </c>
    </row>
    <row r="1782" spans="1:13" x14ac:dyDescent="0.25">
      <c r="A1782" t="s">
        <v>5235</v>
      </c>
      <c r="B1782" t="s">
        <v>5788</v>
      </c>
      <c r="C1782">
        <v>26.95</v>
      </c>
      <c r="D1782">
        <v>26.95</v>
      </c>
      <c r="E1782">
        <v>26.95</v>
      </c>
      <c r="F1782">
        <v>26.95</v>
      </c>
      <c r="G1782">
        <v>26.95</v>
      </c>
      <c r="H1782">
        <v>27.25</v>
      </c>
      <c r="I1782">
        <v>3200</v>
      </c>
      <c r="J1782">
        <v>86240</v>
      </c>
      <c r="K1782" s="1">
        <v>43777</v>
      </c>
      <c r="L1782">
        <v>1</v>
      </c>
      <c r="M1782" t="s">
        <v>7094</v>
      </c>
    </row>
    <row r="1783" spans="1:13" x14ac:dyDescent="0.25">
      <c r="A1783" t="s">
        <v>5241</v>
      </c>
      <c r="B1783" t="s">
        <v>14</v>
      </c>
      <c r="C1783">
        <v>1167.2</v>
      </c>
      <c r="D1783">
        <v>1172.95</v>
      </c>
      <c r="E1783">
        <v>1154</v>
      </c>
      <c r="F1783">
        <v>1156.75</v>
      </c>
      <c r="G1783">
        <v>1155.05</v>
      </c>
      <c r="H1783">
        <v>1167.2</v>
      </c>
      <c r="I1783">
        <v>2796511</v>
      </c>
      <c r="J1783">
        <v>3253536534.75</v>
      </c>
      <c r="K1783" s="1">
        <v>43777</v>
      </c>
      <c r="L1783">
        <v>93763</v>
      </c>
      <c r="M1783" t="s">
        <v>5243</v>
      </c>
    </row>
    <row r="1784" spans="1:13" x14ac:dyDescent="0.25">
      <c r="A1784" t="s">
        <v>7093</v>
      </c>
      <c r="B1784" t="s">
        <v>10</v>
      </c>
      <c r="C1784">
        <v>19.8</v>
      </c>
      <c r="D1784">
        <v>19.8</v>
      </c>
      <c r="E1784">
        <v>18</v>
      </c>
      <c r="F1784">
        <v>19.7</v>
      </c>
      <c r="G1784">
        <v>19.8</v>
      </c>
      <c r="H1784">
        <v>18.899999999999999</v>
      </c>
      <c r="I1784">
        <v>37432</v>
      </c>
      <c r="J1784">
        <v>727371.6</v>
      </c>
      <c r="K1784" s="1">
        <v>43777</v>
      </c>
      <c r="L1784">
        <v>181</v>
      </c>
      <c r="M1784" t="s">
        <v>2023</v>
      </c>
    </row>
    <row r="1785" spans="1:13" x14ac:dyDescent="0.25">
      <c r="A1785" t="s">
        <v>5247</v>
      </c>
      <c r="B1785" t="s">
        <v>14</v>
      </c>
      <c r="C1785">
        <v>35.75</v>
      </c>
      <c r="D1785">
        <v>36.65</v>
      </c>
      <c r="E1785">
        <v>35.1</v>
      </c>
      <c r="F1785">
        <v>36.15</v>
      </c>
      <c r="G1785">
        <v>36.5</v>
      </c>
      <c r="H1785">
        <v>35.6</v>
      </c>
      <c r="I1785">
        <v>97967</v>
      </c>
      <c r="J1785">
        <v>3510174.8</v>
      </c>
      <c r="K1785" s="1">
        <v>43777</v>
      </c>
      <c r="L1785">
        <v>568</v>
      </c>
      <c r="M1785" t="s">
        <v>5249</v>
      </c>
    </row>
    <row r="1786" spans="1:13" x14ac:dyDescent="0.25">
      <c r="A1786" t="s">
        <v>5250</v>
      </c>
      <c r="B1786" t="s">
        <v>14</v>
      </c>
      <c r="C1786">
        <v>188</v>
      </c>
      <c r="D1786">
        <v>188</v>
      </c>
      <c r="E1786">
        <v>182.15</v>
      </c>
      <c r="F1786">
        <v>184.45</v>
      </c>
      <c r="G1786">
        <v>185</v>
      </c>
      <c r="H1786">
        <v>193.55</v>
      </c>
      <c r="I1786">
        <v>115527</v>
      </c>
      <c r="J1786">
        <v>21393615.449999999</v>
      </c>
      <c r="K1786" s="1">
        <v>43777</v>
      </c>
      <c r="L1786">
        <v>2161</v>
      </c>
      <c r="M1786" t="s">
        <v>5252</v>
      </c>
    </row>
    <row r="1787" spans="1:13" x14ac:dyDescent="0.25">
      <c r="A1787" t="s">
        <v>5256</v>
      </c>
      <c r="B1787" t="s">
        <v>10</v>
      </c>
      <c r="C1787">
        <v>72</v>
      </c>
      <c r="D1787">
        <v>78</v>
      </c>
      <c r="E1787">
        <v>72</v>
      </c>
      <c r="F1787">
        <v>75.25</v>
      </c>
      <c r="G1787">
        <v>75.25</v>
      </c>
      <c r="H1787">
        <v>75.75</v>
      </c>
      <c r="I1787">
        <v>7775</v>
      </c>
      <c r="J1787">
        <v>580214.9</v>
      </c>
      <c r="K1787" s="1">
        <v>43777</v>
      </c>
      <c r="L1787">
        <v>76</v>
      </c>
      <c r="M1787" t="s">
        <v>5258</v>
      </c>
    </row>
    <row r="1788" spans="1:13" x14ac:dyDescent="0.25">
      <c r="A1788" t="s">
        <v>5259</v>
      </c>
      <c r="B1788" t="s">
        <v>14</v>
      </c>
      <c r="C1788">
        <v>1819.9</v>
      </c>
      <c r="D1788">
        <v>1834.9</v>
      </c>
      <c r="E1788">
        <v>1800</v>
      </c>
      <c r="F1788">
        <v>1814.65</v>
      </c>
      <c r="G1788">
        <v>1811.85</v>
      </c>
      <c r="H1788">
        <v>1819.3</v>
      </c>
      <c r="I1788">
        <v>62630</v>
      </c>
      <c r="J1788">
        <v>113949148.8</v>
      </c>
      <c r="K1788" s="1">
        <v>43777</v>
      </c>
      <c r="L1788">
        <v>4027</v>
      </c>
      <c r="M1788" t="s">
        <v>5261</v>
      </c>
    </row>
    <row r="1789" spans="1:13" x14ac:dyDescent="0.25">
      <c r="A1789" t="s">
        <v>5262</v>
      </c>
      <c r="B1789" t="s">
        <v>14</v>
      </c>
      <c r="C1789">
        <v>295.5</v>
      </c>
      <c r="D1789">
        <v>303</v>
      </c>
      <c r="E1789">
        <v>291.10000000000002</v>
      </c>
      <c r="F1789">
        <v>292.89999999999998</v>
      </c>
      <c r="G1789">
        <v>292.3</v>
      </c>
      <c r="H1789">
        <v>296.05</v>
      </c>
      <c r="I1789">
        <v>2575007</v>
      </c>
      <c r="J1789">
        <v>768437192.25</v>
      </c>
      <c r="K1789" s="1">
        <v>43777</v>
      </c>
      <c r="L1789">
        <v>22155</v>
      </c>
      <c r="M1789" t="s">
        <v>5264</v>
      </c>
    </row>
    <row r="1790" spans="1:13" x14ac:dyDescent="0.25">
      <c r="A1790" t="s">
        <v>5265</v>
      </c>
      <c r="B1790" t="s">
        <v>5788</v>
      </c>
      <c r="C1790">
        <v>27.8</v>
      </c>
      <c r="D1790">
        <v>27.8</v>
      </c>
      <c r="E1790">
        <v>27.8</v>
      </c>
      <c r="F1790">
        <v>27.8</v>
      </c>
      <c r="G1790">
        <v>27.8</v>
      </c>
      <c r="H1790">
        <v>26.5</v>
      </c>
      <c r="I1790">
        <v>3000</v>
      </c>
      <c r="J1790">
        <v>83400</v>
      </c>
      <c r="K1790" s="1">
        <v>43777</v>
      </c>
      <c r="L1790">
        <v>1</v>
      </c>
      <c r="M1790" t="s">
        <v>5267</v>
      </c>
    </row>
    <row r="1791" spans="1:13" x14ac:dyDescent="0.25">
      <c r="A1791" t="s">
        <v>5268</v>
      </c>
      <c r="B1791" t="s">
        <v>5788</v>
      </c>
      <c r="C1791">
        <v>65.2</v>
      </c>
      <c r="D1791">
        <v>65.2</v>
      </c>
      <c r="E1791">
        <v>65.2</v>
      </c>
      <c r="F1791">
        <v>65.2</v>
      </c>
      <c r="G1791">
        <v>65.2</v>
      </c>
      <c r="H1791">
        <v>62.1</v>
      </c>
      <c r="I1791">
        <v>3750</v>
      </c>
      <c r="J1791">
        <v>244500</v>
      </c>
      <c r="K1791" s="1">
        <v>43777</v>
      </c>
      <c r="L1791">
        <v>1</v>
      </c>
      <c r="M1791" t="s">
        <v>5270</v>
      </c>
    </row>
    <row r="1792" spans="1:13" x14ac:dyDescent="0.25">
      <c r="A1792" t="s">
        <v>5274</v>
      </c>
      <c r="B1792" t="s">
        <v>14</v>
      </c>
      <c r="C1792">
        <v>128.9</v>
      </c>
      <c r="D1792">
        <v>129</v>
      </c>
      <c r="E1792">
        <v>123.05</v>
      </c>
      <c r="F1792">
        <v>125.45</v>
      </c>
      <c r="G1792">
        <v>126</v>
      </c>
      <c r="H1792">
        <v>129.05000000000001</v>
      </c>
      <c r="I1792">
        <v>3356</v>
      </c>
      <c r="J1792">
        <v>424600.35</v>
      </c>
      <c r="K1792" s="1">
        <v>43777</v>
      </c>
      <c r="L1792">
        <v>316</v>
      </c>
      <c r="M1792" t="s">
        <v>7092</v>
      </c>
    </row>
    <row r="1793" spans="1:13" x14ac:dyDescent="0.25">
      <c r="A1793" t="s">
        <v>5851</v>
      </c>
      <c r="B1793" t="s">
        <v>5788</v>
      </c>
      <c r="C1793">
        <v>3.8</v>
      </c>
      <c r="D1793">
        <v>3.8</v>
      </c>
      <c r="E1793">
        <v>3.8</v>
      </c>
      <c r="F1793">
        <v>3.8</v>
      </c>
      <c r="G1793">
        <v>3.8</v>
      </c>
      <c r="H1793">
        <v>3.95</v>
      </c>
      <c r="I1793">
        <v>4000</v>
      </c>
      <c r="J1793">
        <v>15200</v>
      </c>
      <c r="K1793" s="1">
        <v>43777</v>
      </c>
      <c r="L1793">
        <v>1</v>
      </c>
      <c r="M1793" t="s">
        <v>5850</v>
      </c>
    </row>
    <row r="1794" spans="1:13" x14ac:dyDescent="0.25">
      <c r="A1794" t="s">
        <v>5280</v>
      </c>
      <c r="B1794" t="s">
        <v>10</v>
      </c>
      <c r="C1794">
        <v>5.9</v>
      </c>
      <c r="D1794">
        <v>6.2</v>
      </c>
      <c r="E1794">
        <v>5.8</v>
      </c>
      <c r="F1794">
        <v>6.2</v>
      </c>
      <c r="G1794">
        <v>6.2</v>
      </c>
      <c r="H1794">
        <v>5.95</v>
      </c>
      <c r="I1794">
        <v>67314</v>
      </c>
      <c r="J1794">
        <v>413520.4</v>
      </c>
      <c r="K1794" s="1">
        <v>43777</v>
      </c>
      <c r="L1794">
        <v>83</v>
      </c>
      <c r="M1794" t="s">
        <v>5282</v>
      </c>
    </row>
    <row r="1795" spans="1:13" x14ac:dyDescent="0.25">
      <c r="A1795" t="s">
        <v>5283</v>
      </c>
      <c r="B1795" t="s">
        <v>14</v>
      </c>
      <c r="C1795">
        <v>16.7</v>
      </c>
      <c r="D1795">
        <v>16.7</v>
      </c>
      <c r="E1795">
        <v>15.55</v>
      </c>
      <c r="F1795">
        <v>16.5</v>
      </c>
      <c r="G1795">
        <v>16.5</v>
      </c>
      <c r="H1795">
        <v>15.95</v>
      </c>
      <c r="I1795">
        <v>2641</v>
      </c>
      <c r="J1795">
        <v>42477.3</v>
      </c>
      <c r="K1795" s="1">
        <v>43777</v>
      </c>
      <c r="L1795">
        <v>186</v>
      </c>
      <c r="M1795" t="s">
        <v>5285</v>
      </c>
    </row>
    <row r="1796" spans="1:13" x14ac:dyDescent="0.25">
      <c r="A1796" t="s">
        <v>5289</v>
      </c>
      <c r="B1796" t="s">
        <v>14</v>
      </c>
      <c r="C1796">
        <v>535</v>
      </c>
      <c r="D1796">
        <v>548.9</v>
      </c>
      <c r="E1796">
        <v>513.25</v>
      </c>
      <c r="F1796">
        <v>516.35</v>
      </c>
      <c r="G1796">
        <v>515</v>
      </c>
      <c r="H1796">
        <v>540.9</v>
      </c>
      <c r="I1796">
        <v>260854</v>
      </c>
      <c r="J1796">
        <v>137758457.30000001</v>
      </c>
      <c r="K1796" s="1">
        <v>43777</v>
      </c>
      <c r="L1796">
        <v>10995</v>
      </c>
      <c r="M1796" t="s">
        <v>5291</v>
      </c>
    </row>
    <row r="1797" spans="1:13" x14ac:dyDescent="0.25">
      <c r="A1797" t="s">
        <v>5292</v>
      </c>
      <c r="B1797" t="s">
        <v>14</v>
      </c>
      <c r="C1797">
        <v>113.5</v>
      </c>
      <c r="D1797">
        <v>117.85</v>
      </c>
      <c r="E1797">
        <v>110.2</v>
      </c>
      <c r="F1797">
        <v>112.35</v>
      </c>
      <c r="G1797">
        <v>112.85</v>
      </c>
      <c r="H1797">
        <v>113.75</v>
      </c>
      <c r="I1797">
        <v>65748</v>
      </c>
      <c r="J1797">
        <v>7544433.9500000002</v>
      </c>
      <c r="K1797" s="1">
        <v>43777</v>
      </c>
      <c r="L1797">
        <v>1475</v>
      </c>
      <c r="M1797" t="s">
        <v>5294</v>
      </c>
    </row>
    <row r="1798" spans="1:13" x14ac:dyDescent="0.25">
      <c r="A1798" t="s">
        <v>5295</v>
      </c>
      <c r="B1798" t="s">
        <v>14</v>
      </c>
      <c r="C1798">
        <v>64.45</v>
      </c>
      <c r="D1798">
        <v>64.599999999999994</v>
      </c>
      <c r="E1798">
        <v>63.3</v>
      </c>
      <c r="F1798">
        <v>63.55</v>
      </c>
      <c r="G1798">
        <v>63.45</v>
      </c>
      <c r="H1798">
        <v>64.45</v>
      </c>
      <c r="I1798">
        <v>407880</v>
      </c>
      <c r="J1798">
        <v>26067980.550000001</v>
      </c>
      <c r="K1798" s="1">
        <v>43777</v>
      </c>
      <c r="L1798">
        <v>4678</v>
      </c>
      <c r="M1798" t="s">
        <v>7091</v>
      </c>
    </row>
    <row r="1799" spans="1:13" x14ac:dyDescent="0.25">
      <c r="A1799" t="s">
        <v>5298</v>
      </c>
      <c r="B1799" t="s">
        <v>14</v>
      </c>
      <c r="C1799">
        <v>52.25</v>
      </c>
      <c r="D1799">
        <v>57.35</v>
      </c>
      <c r="E1799">
        <v>51.75</v>
      </c>
      <c r="F1799">
        <v>54.8</v>
      </c>
      <c r="G1799">
        <v>55.5</v>
      </c>
      <c r="H1799">
        <v>52.25</v>
      </c>
      <c r="I1799">
        <v>143268</v>
      </c>
      <c r="J1799">
        <v>7972011.6500000004</v>
      </c>
      <c r="K1799" s="1">
        <v>43777</v>
      </c>
      <c r="L1799">
        <v>1351</v>
      </c>
      <c r="M1799" t="s">
        <v>5300</v>
      </c>
    </row>
    <row r="1800" spans="1:13" x14ac:dyDescent="0.25">
      <c r="A1800" t="s">
        <v>5301</v>
      </c>
      <c r="B1800" t="s">
        <v>14</v>
      </c>
      <c r="C1800">
        <v>7.6</v>
      </c>
      <c r="D1800">
        <v>7.95</v>
      </c>
      <c r="E1800">
        <v>7.6</v>
      </c>
      <c r="F1800">
        <v>7.75</v>
      </c>
      <c r="G1800">
        <v>7.8</v>
      </c>
      <c r="H1800">
        <v>7.65</v>
      </c>
      <c r="I1800">
        <v>70272</v>
      </c>
      <c r="J1800">
        <v>548374.15</v>
      </c>
      <c r="K1800" s="1">
        <v>43777</v>
      </c>
      <c r="L1800">
        <v>167</v>
      </c>
      <c r="M1800" t="s">
        <v>5303</v>
      </c>
    </row>
    <row r="1801" spans="1:13" x14ac:dyDescent="0.25">
      <c r="A1801" t="s">
        <v>5304</v>
      </c>
      <c r="B1801" t="s">
        <v>14</v>
      </c>
      <c r="C1801">
        <v>103</v>
      </c>
      <c r="D1801">
        <v>104.25</v>
      </c>
      <c r="E1801">
        <v>99.45</v>
      </c>
      <c r="F1801">
        <v>100.5</v>
      </c>
      <c r="G1801">
        <v>100.05</v>
      </c>
      <c r="H1801">
        <v>104.25</v>
      </c>
      <c r="I1801">
        <v>48575</v>
      </c>
      <c r="J1801">
        <v>4924449.3499999996</v>
      </c>
      <c r="K1801" s="1">
        <v>43777</v>
      </c>
      <c r="L1801">
        <v>3109</v>
      </c>
      <c r="M1801" t="s">
        <v>5306</v>
      </c>
    </row>
    <row r="1802" spans="1:13" x14ac:dyDescent="0.25">
      <c r="A1802" t="s">
        <v>5307</v>
      </c>
      <c r="B1802" t="s">
        <v>14</v>
      </c>
      <c r="C1802">
        <v>67.900000000000006</v>
      </c>
      <c r="D1802">
        <v>71.099999999999994</v>
      </c>
      <c r="E1802">
        <v>65.3</v>
      </c>
      <c r="F1802">
        <v>68.05</v>
      </c>
      <c r="G1802">
        <v>68.099999999999994</v>
      </c>
      <c r="H1802">
        <v>66.5</v>
      </c>
      <c r="I1802">
        <v>2024712</v>
      </c>
      <c r="J1802">
        <v>139475846.5</v>
      </c>
      <c r="K1802" s="1">
        <v>43777</v>
      </c>
      <c r="L1802">
        <v>10978</v>
      </c>
      <c r="M1802" t="s">
        <v>5309</v>
      </c>
    </row>
    <row r="1803" spans="1:13" x14ac:dyDescent="0.25">
      <c r="A1803" t="s">
        <v>5313</v>
      </c>
      <c r="B1803" t="s">
        <v>14</v>
      </c>
      <c r="C1803">
        <v>494</v>
      </c>
      <c r="D1803">
        <v>504</v>
      </c>
      <c r="E1803">
        <v>485.5</v>
      </c>
      <c r="F1803">
        <v>494.9</v>
      </c>
      <c r="G1803">
        <v>496</v>
      </c>
      <c r="H1803">
        <v>494.85</v>
      </c>
      <c r="I1803">
        <v>703</v>
      </c>
      <c r="J1803">
        <v>348430.1</v>
      </c>
      <c r="K1803" s="1">
        <v>43777</v>
      </c>
      <c r="L1803">
        <v>187</v>
      </c>
      <c r="M1803" t="s">
        <v>5315</v>
      </c>
    </row>
    <row r="1804" spans="1:13" x14ac:dyDescent="0.25">
      <c r="A1804" t="s">
        <v>5316</v>
      </c>
      <c r="B1804" t="s">
        <v>14</v>
      </c>
      <c r="C1804">
        <v>6118.15</v>
      </c>
      <c r="D1804">
        <v>6474</v>
      </c>
      <c r="E1804">
        <v>6050</v>
      </c>
      <c r="F1804">
        <v>6107.95</v>
      </c>
      <c r="G1804">
        <v>6075</v>
      </c>
      <c r="H1804">
        <v>6104.3</v>
      </c>
      <c r="I1804">
        <v>20485</v>
      </c>
      <c r="J1804">
        <v>129497653.75</v>
      </c>
      <c r="K1804" s="1">
        <v>43777</v>
      </c>
      <c r="L1804">
        <v>5176</v>
      </c>
      <c r="M1804" t="s">
        <v>7090</v>
      </c>
    </row>
    <row r="1805" spans="1:13" x14ac:dyDescent="0.25">
      <c r="A1805" t="s">
        <v>5319</v>
      </c>
      <c r="B1805" t="s">
        <v>14</v>
      </c>
      <c r="C1805">
        <v>42</v>
      </c>
      <c r="D1805">
        <v>43.05</v>
      </c>
      <c r="E1805">
        <v>42</v>
      </c>
      <c r="F1805">
        <v>42.9</v>
      </c>
      <c r="G1805">
        <v>42.9</v>
      </c>
      <c r="H1805">
        <v>43.7</v>
      </c>
      <c r="I1805">
        <v>1730</v>
      </c>
      <c r="J1805">
        <v>73787.7</v>
      </c>
      <c r="K1805" s="1">
        <v>43777</v>
      </c>
      <c r="L1805">
        <v>69</v>
      </c>
      <c r="M1805" t="s">
        <v>5321</v>
      </c>
    </row>
    <row r="1806" spans="1:13" x14ac:dyDescent="0.25">
      <c r="A1806" t="s">
        <v>5322</v>
      </c>
      <c r="B1806" t="s">
        <v>14</v>
      </c>
      <c r="C1806">
        <v>2.65</v>
      </c>
      <c r="D1806">
        <v>2.9</v>
      </c>
      <c r="E1806">
        <v>2.6</v>
      </c>
      <c r="F1806">
        <v>2.9</v>
      </c>
      <c r="G1806">
        <v>2.9</v>
      </c>
      <c r="H1806">
        <v>2.65</v>
      </c>
      <c r="I1806">
        <v>1930351</v>
      </c>
      <c r="J1806">
        <v>5401079.0999999996</v>
      </c>
      <c r="K1806" s="1">
        <v>43777</v>
      </c>
      <c r="L1806">
        <v>802</v>
      </c>
      <c r="M1806" t="s">
        <v>5324</v>
      </c>
    </row>
    <row r="1807" spans="1:13" x14ac:dyDescent="0.25">
      <c r="A1807" t="s">
        <v>5325</v>
      </c>
      <c r="B1807" t="s">
        <v>14</v>
      </c>
      <c r="C1807">
        <v>24.15</v>
      </c>
      <c r="D1807">
        <v>24.2</v>
      </c>
      <c r="E1807">
        <v>23.15</v>
      </c>
      <c r="F1807">
        <v>23.3</v>
      </c>
      <c r="G1807">
        <v>23.2</v>
      </c>
      <c r="H1807">
        <v>24.2</v>
      </c>
      <c r="I1807">
        <v>1575177</v>
      </c>
      <c r="J1807">
        <v>37312187.899999999</v>
      </c>
      <c r="K1807" s="1">
        <v>43777</v>
      </c>
      <c r="L1807">
        <v>3676</v>
      </c>
      <c r="M1807" t="s">
        <v>5327</v>
      </c>
    </row>
    <row r="1808" spans="1:13" x14ac:dyDescent="0.25">
      <c r="A1808" t="s">
        <v>5328</v>
      </c>
      <c r="B1808" t="s">
        <v>10</v>
      </c>
      <c r="C1808">
        <v>122</v>
      </c>
      <c r="D1808">
        <v>126.35</v>
      </c>
      <c r="E1808">
        <v>120</v>
      </c>
      <c r="F1808">
        <v>121.35</v>
      </c>
      <c r="G1808">
        <v>121</v>
      </c>
      <c r="H1808">
        <v>125.05</v>
      </c>
      <c r="I1808">
        <v>10713</v>
      </c>
      <c r="J1808">
        <v>1312032.25</v>
      </c>
      <c r="K1808" s="1">
        <v>43777</v>
      </c>
      <c r="L1808">
        <v>221</v>
      </c>
      <c r="M1808" t="s">
        <v>5330</v>
      </c>
    </row>
    <row r="1809" spans="1:13" x14ac:dyDescent="0.25">
      <c r="A1809" t="s">
        <v>5334</v>
      </c>
      <c r="B1809" t="s">
        <v>14</v>
      </c>
      <c r="C1809">
        <v>450</v>
      </c>
      <c r="D1809">
        <v>456.45</v>
      </c>
      <c r="E1809">
        <v>445</v>
      </c>
      <c r="F1809">
        <v>452.4</v>
      </c>
      <c r="G1809">
        <v>448</v>
      </c>
      <c r="H1809">
        <v>449.3</v>
      </c>
      <c r="I1809">
        <v>1322514</v>
      </c>
      <c r="J1809">
        <v>598072200.95000005</v>
      </c>
      <c r="K1809" s="1">
        <v>43777</v>
      </c>
      <c r="L1809">
        <v>17553</v>
      </c>
      <c r="M1809" t="s">
        <v>5336</v>
      </c>
    </row>
    <row r="1810" spans="1:13" x14ac:dyDescent="0.25">
      <c r="A1810" t="s">
        <v>5340</v>
      </c>
      <c r="B1810" t="s">
        <v>14</v>
      </c>
      <c r="C1810">
        <v>1860.6</v>
      </c>
      <c r="D1810">
        <v>1860.6</v>
      </c>
      <c r="E1810">
        <v>1820</v>
      </c>
      <c r="F1810">
        <v>1840.3</v>
      </c>
      <c r="G1810">
        <v>1835</v>
      </c>
      <c r="H1810">
        <v>1860.6</v>
      </c>
      <c r="I1810">
        <v>1735</v>
      </c>
      <c r="J1810">
        <v>3189716.85</v>
      </c>
      <c r="K1810" s="1">
        <v>43777</v>
      </c>
      <c r="L1810">
        <v>370</v>
      </c>
      <c r="M1810" t="s">
        <v>5342</v>
      </c>
    </row>
    <row r="1811" spans="1:13" x14ac:dyDescent="0.25">
      <c r="A1811" t="s">
        <v>5343</v>
      </c>
      <c r="B1811" t="s">
        <v>14</v>
      </c>
      <c r="C1811">
        <v>301</v>
      </c>
      <c r="D1811">
        <v>305</v>
      </c>
      <c r="E1811">
        <v>296.55</v>
      </c>
      <c r="F1811">
        <v>299.5</v>
      </c>
      <c r="G1811">
        <v>297.95</v>
      </c>
      <c r="H1811">
        <v>297.7</v>
      </c>
      <c r="I1811">
        <v>20297</v>
      </c>
      <c r="J1811">
        <v>6127434.2000000002</v>
      </c>
      <c r="K1811" s="1">
        <v>43777</v>
      </c>
      <c r="L1811">
        <v>1759</v>
      </c>
      <c r="M1811" t="s">
        <v>5345</v>
      </c>
    </row>
    <row r="1812" spans="1:13" x14ac:dyDescent="0.25">
      <c r="A1812" t="s">
        <v>5346</v>
      </c>
      <c r="B1812" t="s">
        <v>14</v>
      </c>
      <c r="C1812">
        <v>1.45</v>
      </c>
      <c r="D1812">
        <v>1.45</v>
      </c>
      <c r="E1812">
        <v>1.4</v>
      </c>
      <c r="F1812">
        <v>1.4</v>
      </c>
      <c r="G1812">
        <v>1.4</v>
      </c>
      <c r="H1812">
        <v>1.4</v>
      </c>
      <c r="I1812">
        <v>700</v>
      </c>
      <c r="J1812">
        <v>1005</v>
      </c>
      <c r="K1812" s="1">
        <v>43777</v>
      </c>
      <c r="L1812">
        <v>5</v>
      </c>
      <c r="M1812" t="s">
        <v>5348</v>
      </c>
    </row>
    <row r="1813" spans="1:13" x14ac:dyDescent="0.25">
      <c r="A1813" t="s">
        <v>7089</v>
      </c>
      <c r="B1813" t="s">
        <v>14</v>
      </c>
      <c r="C1813">
        <v>43.75</v>
      </c>
      <c r="D1813">
        <v>43.75</v>
      </c>
      <c r="E1813">
        <v>41.9</v>
      </c>
      <c r="F1813">
        <v>42.2</v>
      </c>
      <c r="G1813">
        <v>42</v>
      </c>
      <c r="H1813">
        <v>43.45</v>
      </c>
      <c r="I1813">
        <v>600319</v>
      </c>
      <c r="J1813">
        <v>25686665.100000001</v>
      </c>
      <c r="K1813" s="1">
        <v>43777</v>
      </c>
      <c r="L1813">
        <v>3383</v>
      </c>
      <c r="M1813" t="s">
        <v>5240</v>
      </c>
    </row>
    <row r="1814" spans="1:13" x14ac:dyDescent="0.25">
      <c r="A1814" t="s">
        <v>5349</v>
      </c>
      <c r="B1814" t="s">
        <v>14</v>
      </c>
      <c r="C1814">
        <v>1220</v>
      </c>
      <c r="D1814">
        <v>1296.2</v>
      </c>
      <c r="E1814">
        <v>1220</v>
      </c>
      <c r="F1814">
        <v>1255.4000000000001</v>
      </c>
      <c r="G1814">
        <v>1250</v>
      </c>
      <c r="H1814">
        <v>1236.5999999999999</v>
      </c>
      <c r="I1814">
        <v>1891378</v>
      </c>
      <c r="J1814">
        <v>2391268999.6999998</v>
      </c>
      <c r="K1814" s="1">
        <v>43777</v>
      </c>
      <c r="L1814">
        <v>66947</v>
      </c>
      <c r="M1814" t="s">
        <v>5351</v>
      </c>
    </row>
    <row r="1815" spans="1:13" x14ac:dyDescent="0.25">
      <c r="A1815" t="s">
        <v>7088</v>
      </c>
      <c r="B1815" t="s">
        <v>14</v>
      </c>
      <c r="C1815">
        <v>126.5</v>
      </c>
      <c r="D1815">
        <v>133.4</v>
      </c>
      <c r="E1815">
        <v>124</v>
      </c>
      <c r="F1815">
        <v>132</v>
      </c>
      <c r="G1815">
        <v>133</v>
      </c>
      <c r="H1815">
        <v>126.35</v>
      </c>
      <c r="I1815">
        <v>48307</v>
      </c>
      <c r="J1815">
        <v>6330554.9500000002</v>
      </c>
      <c r="K1815" s="1">
        <v>43777</v>
      </c>
      <c r="L1815">
        <v>1495</v>
      </c>
      <c r="M1815" t="s">
        <v>5354</v>
      </c>
    </row>
    <row r="1816" spans="1:13" x14ac:dyDescent="0.25">
      <c r="A1816" t="s">
        <v>5355</v>
      </c>
      <c r="B1816" t="s">
        <v>14</v>
      </c>
      <c r="C1816">
        <v>14.25</v>
      </c>
      <c r="D1816">
        <v>14.25</v>
      </c>
      <c r="E1816">
        <v>13.6</v>
      </c>
      <c r="F1816">
        <v>13.65</v>
      </c>
      <c r="G1816">
        <v>13.65</v>
      </c>
      <c r="H1816">
        <v>14.25</v>
      </c>
      <c r="I1816">
        <v>834356</v>
      </c>
      <c r="J1816">
        <v>11554644.1</v>
      </c>
      <c r="K1816" s="1">
        <v>43777</v>
      </c>
      <c r="L1816">
        <v>2218</v>
      </c>
      <c r="M1816" t="s">
        <v>5357</v>
      </c>
    </row>
    <row r="1817" spans="1:13" x14ac:dyDescent="0.25">
      <c r="A1817" t="s">
        <v>5361</v>
      </c>
      <c r="B1817" t="s">
        <v>14</v>
      </c>
      <c r="C1817">
        <v>205</v>
      </c>
      <c r="D1817">
        <v>207.45</v>
      </c>
      <c r="E1817">
        <v>201.15</v>
      </c>
      <c r="F1817">
        <v>202.65</v>
      </c>
      <c r="G1817">
        <v>201.95</v>
      </c>
      <c r="H1817">
        <v>205.35</v>
      </c>
      <c r="I1817">
        <v>19274</v>
      </c>
      <c r="J1817">
        <v>3938343.7</v>
      </c>
      <c r="K1817" s="1">
        <v>43777</v>
      </c>
      <c r="L1817">
        <v>799</v>
      </c>
      <c r="M1817" t="s">
        <v>5363</v>
      </c>
    </row>
    <row r="1818" spans="1:13" x14ac:dyDescent="0.25">
      <c r="A1818" t="s">
        <v>5364</v>
      </c>
      <c r="B1818" t="s">
        <v>14</v>
      </c>
      <c r="C1818">
        <v>136</v>
      </c>
      <c r="D1818">
        <v>139.75</v>
      </c>
      <c r="E1818">
        <v>132</v>
      </c>
      <c r="F1818">
        <v>133.35</v>
      </c>
      <c r="G1818">
        <v>132.5</v>
      </c>
      <c r="H1818">
        <v>134.9</v>
      </c>
      <c r="I1818">
        <v>26687</v>
      </c>
      <c r="J1818">
        <v>3633892</v>
      </c>
      <c r="K1818" s="1">
        <v>43777</v>
      </c>
      <c r="L1818">
        <v>895</v>
      </c>
      <c r="M1818" t="s">
        <v>5366</v>
      </c>
    </row>
    <row r="1819" spans="1:13" x14ac:dyDescent="0.25">
      <c r="A1819" t="s">
        <v>5367</v>
      </c>
      <c r="B1819" t="s">
        <v>14</v>
      </c>
      <c r="C1819">
        <v>13.95</v>
      </c>
      <c r="D1819">
        <v>14.2</v>
      </c>
      <c r="E1819">
        <v>13.65</v>
      </c>
      <c r="F1819">
        <v>13.95</v>
      </c>
      <c r="G1819">
        <v>14</v>
      </c>
      <c r="H1819">
        <v>13.35</v>
      </c>
      <c r="I1819">
        <v>350029</v>
      </c>
      <c r="J1819">
        <v>4876570.3499999996</v>
      </c>
      <c r="K1819" s="1">
        <v>43777</v>
      </c>
      <c r="L1819">
        <v>1377</v>
      </c>
      <c r="M1819" t="s">
        <v>5369</v>
      </c>
    </row>
    <row r="1820" spans="1:13" x14ac:dyDescent="0.25">
      <c r="A1820" t="s">
        <v>7087</v>
      </c>
      <c r="B1820" t="s">
        <v>14</v>
      </c>
      <c r="C1820">
        <v>3.35</v>
      </c>
      <c r="D1820">
        <v>3.35</v>
      </c>
      <c r="E1820">
        <v>3.15</v>
      </c>
      <c r="F1820">
        <v>3.25</v>
      </c>
      <c r="G1820">
        <v>3.25</v>
      </c>
      <c r="H1820">
        <v>3.25</v>
      </c>
      <c r="I1820">
        <v>235255</v>
      </c>
      <c r="J1820">
        <v>763821.4</v>
      </c>
      <c r="K1820" s="1">
        <v>43777</v>
      </c>
      <c r="L1820">
        <v>189</v>
      </c>
      <c r="M1820" t="s">
        <v>7086</v>
      </c>
    </row>
    <row r="1821" spans="1:13" x14ac:dyDescent="0.25">
      <c r="A1821" t="s">
        <v>5373</v>
      </c>
      <c r="B1821" t="s">
        <v>14</v>
      </c>
      <c r="C1821">
        <v>280.5</v>
      </c>
      <c r="D1821">
        <v>280.75</v>
      </c>
      <c r="E1821">
        <v>270.60000000000002</v>
      </c>
      <c r="F1821">
        <v>272.7</v>
      </c>
      <c r="G1821">
        <v>272.45</v>
      </c>
      <c r="H1821">
        <v>281.10000000000002</v>
      </c>
      <c r="I1821">
        <v>1981056</v>
      </c>
      <c r="J1821">
        <v>545107580.64999998</v>
      </c>
      <c r="K1821" s="1">
        <v>43777</v>
      </c>
      <c r="L1821">
        <v>33155</v>
      </c>
      <c r="M1821" t="s">
        <v>5375</v>
      </c>
    </row>
    <row r="1822" spans="1:13" x14ac:dyDescent="0.25">
      <c r="A1822" t="s">
        <v>5379</v>
      </c>
      <c r="B1822" t="s">
        <v>14</v>
      </c>
      <c r="C1822">
        <v>4170</v>
      </c>
      <c r="D1822">
        <v>4194.8500000000004</v>
      </c>
      <c r="E1822">
        <v>4126.25</v>
      </c>
      <c r="F1822">
        <v>4147.25</v>
      </c>
      <c r="G1822">
        <v>4140</v>
      </c>
      <c r="H1822">
        <v>4187.3999999999996</v>
      </c>
      <c r="I1822">
        <v>371096</v>
      </c>
      <c r="J1822">
        <v>1546905074.75</v>
      </c>
      <c r="K1822" s="1">
        <v>43777</v>
      </c>
      <c r="L1822">
        <v>31990</v>
      </c>
      <c r="M1822" t="s">
        <v>5381</v>
      </c>
    </row>
    <row r="1823" spans="1:13" x14ac:dyDescent="0.25">
      <c r="A1823" t="s">
        <v>5385</v>
      </c>
      <c r="B1823" t="s">
        <v>14</v>
      </c>
      <c r="C1823">
        <v>40</v>
      </c>
      <c r="D1823">
        <v>40</v>
      </c>
      <c r="E1823">
        <v>37.200000000000003</v>
      </c>
      <c r="F1823">
        <v>38.200000000000003</v>
      </c>
      <c r="G1823">
        <v>38.9</v>
      </c>
      <c r="H1823">
        <v>38.5</v>
      </c>
      <c r="I1823">
        <v>2601</v>
      </c>
      <c r="J1823">
        <v>98711.1</v>
      </c>
      <c r="K1823" s="1">
        <v>43777</v>
      </c>
      <c r="L1823">
        <v>89</v>
      </c>
      <c r="M1823" t="s">
        <v>5387</v>
      </c>
    </row>
    <row r="1824" spans="1:13" x14ac:dyDescent="0.25">
      <c r="A1824" t="s">
        <v>5388</v>
      </c>
      <c r="B1824" t="s">
        <v>10</v>
      </c>
      <c r="C1824">
        <v>0.9</v>
      </c>
      <c r="D1824">
        <v>0.95</v>
      </c>
      <c r="E1824">
        <v>0.9</v>
      </c>
      <c r="F1824">
        <v>0.95</v>
      </c>
      <c r="G1824">
        <v>0.95</v>
      </c>
      <c r="H1824">
        <v>0.95</v>
      </c>
      <c r="I1824">
        <v>1502</v>
      </c>
      <c r="J1824">
        <v>1366.6</v>
      </c>
      <c r="K1824" s="1">
        <v>43777</v>
      </c>
      <c r="L1824">
        <v>9</v>
      </c>
      <c r="M1824" t="s">
        <v>5390</v>
      </c>
    </row>
    <row r="1825" spans="1:13" x14ac:dyDescent="0.25">
      <c r="A1825" t="s">
        <v>5391</v>
      </c>
      <c r="B1825" t="s">
        <v>14</v>
      </c>
      <c r="C1825">
        <v>160</v>
      </c>
      <c r="D1825">
        <v>167.2</v>
      </c>
      <c r="E1825">
        <v>158.5</v>
      </c>
      <c r="F1825">
        <v>160.05000000000001</v>
      </c>
      <c r="G1825">
        <v>160</v>
      </c>
      <c r="H1825">
        <v>161.30000000000001</v>
      </c>
      <c r="I1825">
        <v>49530</v>
      </c>
      <c r="J1825">
        <v>8028309.5499999998</v>
      </c>
      <c r="K1825" s="1">
        <v>43777</v>
      </c>
      <c r="L1825">
        <v>1300</v>
      </c>
      <c r="M1825" t="s">
        <v>5393</v>
      </c>
    </row>
    <row r="1826" spans="1:13" x14ac:dyDescent="0.25">
      <c r="A1826" t="s">
        <v>5397</v>
      </c>
      <c r="B1826" t="s">
        <v>14</v>
      </c>
      <c r="C1826">
        <v>68.75</v>
      </c>
      <c r="D1826">
        <v>68.8</v>
      </c>
      <c r="E1826">
        <v>64.599999999999994</v>
      </c>
      <c r="F1826">
        <v>65.25</v>
      </c>
      <c r="G1826">
        <v>65.45</v>
      </c>
      <c r="H1826">
        <v>67</v>
      </c>
      <c r="I1826">
        <v>13555</v>
      </c>
      <c r="J1826">
        <v>889143.2</v>
      </c>
      <c r="K1826" s="1">
        <v>43777</v>
      </c>
      <c r="L1826">
        <v>151</v>
      </c>
      <c r="M1826" t="s">
        <v>5399</v>
      </c>
    </row>
    <row r="1827" spans="1:13" x14ac:dyDescent="0.25">
      <c r="A1827" t="s">
        <v>5400</v>
      </c>
      <c r="B1827" t="s">
        <v>5788</v>
      </c>
      <c r="C1827">
        <v>22.5</v>
      </c>
      <c r="D1827">
        <v>22.9</v>
      </c>
      <c r="E1827">
        <v>22</v>
      </c>
      <c r="F1827">
        <v>22.85</v>
      </c>
      <c r="G1827">
        <v>22.85</v>
      </c>
      <c r="H1827">
        <v>22.65</v>
      </c>
      <c r="I1827">
        <v>16000</v>
      </c>
      <c r="J1827">
        <v>358800</v>
      </c>
      <c r="K1827" s="1">
        <v>43777</v>
      </c>
      <c r="L1827">
        <v>8</v>
      </c>
      <c r="M1827" t="s">
        <v>5402</v>
      </c>
    </row>
    <row r="1828" spans="1:13" x14ac:dyDescent="0.25">
      <c r="A1828" t="s">
        <v>5403</v>
      </c>
      <c r="B1828" t="s">
        <v>14</v>
      </c>
      <c r="C1828">
        <v>56.15</v>
      </c>
      <c r="D1828">
        <v>56.15</v>
      </c>
      <c r="E1828">
        <v>54.4</v>
      </c>
      <c r="F1828">
        <v>54.7</v>
      </c>
      <c r="G1828">
        <v>54.55</v>
      </c>
      <c r="H1828">
        <v>55.85</v>
      </c>
      <c r="I1828">
        <v>8975315</v>
      </c>
      <c r="J1828">
        <v>496743304.10000002</v>
      </c>
      <c r="K1828" s="1">
        <v>43777</v>
      </c>
      <c r="L1828">
        <v>22036</v>
      </c>
      <c r="M1828" t="s">
        <v>5405</v>
      </c>
    </row>
    <row r="1829" spans="1:13" x14ac:dyDescent="0.25">
      <c r="A1829" t="s">
        <v>7085</v>
      </c>
      <c r="B1829" t="s">
        <v>14</v>
      </c>
      <c r="C1829">
        <v>26.45</v>
      </c>
      <c r="D1829">
        <v>26.45</v>
      </c>
      <c r="E1829">
        <v>25.75</v>
      </c>
      <c r="F1829">
        <v>26.45</v>
      </c>
      <c r="G1829">
        <v>26.45</v>
      </c>
      <c r="H1829">
        <v>24.05</v>
      </c>
      <c r="I1829">
        <v>280597</v>
      </c>
      <c r="J1829">
        <v>7416679.8499999996</v>
      </c>
      <c r="K1829" s="1">
        <v>43777</v>
      </c>
      <c r="L1829">
        <v>730</v>
      </c>
      <c r="M1829" t="s">
        <v>7084</v>
      </c>
    </row>
    <row r="1830" spans="1:13" x14ac:dyDescent="0.25">
      <c r="A1830" t="s">
        <v>5409</v>
      </c>
      <c r="B1830" t="s">
        <v>14</v>
      </c>
      <c r="C1830">
        <v>0.65</v>
      </c>
      <c r="D1830">
        <v>0.65</v>
      </c>
      <c r="E1830">
        <v>0.6</v>
      </c>
      <c r="F1830">
        <v>0.65</v>
      </c>
      <c r="G1830">
        <v>0.65</v>
      </c>
      <c r="H1830">
        <v>0.6</v>
      </c>
      <c r="I1830">
        <v>6104965</v>
      </c>
      <c r="J1830">
        <v>3968219.75</v>
      </c>
      <c r="K1830" s="1">
        <v>43777</v>
      </c>
      <c r="L1830">
        <v>960</v>
      </c>
      <c r="M1830" t="s">
        <v>5411</v>
      </c>
    </row>
    <row r="1831" spans="1:13" x14ac:dyDescent="0.25">
      <c r="A1831" t="s">
        <v>7083</v>
      </c>
      <c r="B1831" t="s">
        <v>14</v>
      </c>
      <c r="C1831">
        <v>8.9</v>
      </c>
      <c r="D1831">
        <v>9.15</v>
      </c>
      <c r="E1831">
        <v>8.6</v>
      </c>
      <c r="F1831">
        <v>8.8000000000000007</v>
      </c>
      <c r="G1831">
        <v>8.85</v>
      </c>
      <c r="H1831">
        <v>8.9</v>
      </c>
      <c r="I1831">
        <v>547271</v>
      </c>
      <c r="J1831">
        <v>4885456.7</v>
      </c>
      <c r="K1831" s="1">
        <v>43777</v>
      </c>
      <c r="L1831">
        <v>1246</v>
      </c>
      <c r="M1831" t="s">
        <v>7082</v>
      </c>
    </row>
    <row r="1832" spans="1:13" x14ac:dyDescent="0.25">
      <c r="A1832" t="s">
        <v>5415</v>
      </c>
      <c r="B1832" t="s">
        <v>14</v>
      </c>
      <c r="C1832">
        <v>270</v>
      </c>
      <c r="D1832">
        <v>281.95</v>
      </c>
      <c r="E1832">
        <v>270</v>
      </c>
      <c r="F1832">
        <v>281.2</v>
      </c>
      <c r="G1832">
        <v>281.5</v>
      </c>
      <c r="H1832">
        <v>274.2</v>
      </c>
      <c r="I1832">
        <v>36</v>
      </c>
      <c r="J1832">
        <v>10110.15</v>
      </c>
      <c r="K1832" s="1">
        <v>43777</v>
      </c>
      <c r="L1832">
        <v>5</v>
      </c>
      <c r="M1832" t="s">
        <v>5417</v>
      </c>
    </row>
    <row r="1833" spans="1:13" x14ac:dyDescent="0.25">
      <c r="A1833" t="s">
        <v>7081</v>
      </c>
      <c r="B1833" t="s">
        <v>786</v>
      </c>
      <c r="C1833">
        <v>0.4</v>
      </c>
      <c r="D1833">
        <v>0.4</v>
      </c>
      <c r="E1833">
        <v>0.3</v>
      </c>
      <c r="F1833">
        <v>0.35</v>
      </c>
      <c r="G1833">
        <v>0.35</v>
      </c>
      <c r="H1833">
        <v>0.35</v>
      </c>
      <c r="I1833">
        <v>11203</v>
      </c>
      <c r="J1833">
        <v>3971.15</v>
      </c>
      <c r="K1833" s="1">
        <v>43777</v>
      </c>
      <c r="L1833">
        <v>21</v>
      </c>
      <c r="M1833" t="s">
        <v>7080</v>
      </c>
    </row>
    <row r="1834" spans="1:13" x14ac:dyDescent="0.25">
      <c r="A1834" t="s">
        <v>5424</v>
      </c>
      <c r="B1834" t="s">
        <v>14</v>
      </c>
      <c r="C1834">
        <v>185.95</v>
      </c>
      <c r="D1834">
        <v>196.75</v>
      </c>
      <c r="E1834">
        <v>181.95</v>
      </c>
      <c r="F1834">
        <v>183.5</v>
      </c>
      <c r="G1834">
        <v>182.05</v>
      </c>
      <c r="H1834">
        <v>186.1</v>
      </c>
      <c r="I1834">
        <v>115657</v>
      </c>
      <c r="J1834">
        <v>22017818.399999999</v>
      </c>
      <c r="K1834" s="1">
        <v>43777</v>
      </c>
      <c r="L1834">
        <v>2372</v>
      </c>
      <c r="M1834" t="s">
        <v>5426</v>
      </c>
    </row>
    <row r="1835" spans="1:13" x14ac:dyDescent="0.25">
      <c r="A1835" t="s">
        <v>5433</v>
      </c>
      <c r="B1835" t="s">
        <v>14</v>
      </c>
      <c r="C1835">
        <v>563.6</v>
      </c>
      <c r="D1835">
        <v>574.5</v>
      </c>
      <c r="E1835">
        <v>552.54999999999995</v>
      </c>
      <c r="F1835">
        <v>555.85</v>
      </c>
      <c r="G1835">
        <v>556</v>
      </c>
      <c r="H1835">
        <v>577.70000000000005</v>
      </c>
      <c r="I1835">
        <v>8050823</v>
      </c>
      <c r="J1835">
        <v>4525837018.6000004</v>
      </c>
      <c r="K1835" s="1">
        <v>43777</v>
      </c>
      <c r="L1835">
        <v>125942</v>
      </c>
      <c r="M1835" t="s">
        <v>5435</v>
      </c>
    </row>
    <row r="1836" spans="1:13" x14ac:dyDescent="0.25">
      <c r="A1836" t="s">
        <v>5439</v>
      </c>
      <c r="B1836" t="s">
        <v>14</v>
      </c>
      <c r="C1836">
        <v>1.75</v>
      </c>
      <c r="D1836">
        <v>1.8</v>
      </c>
      <c r="E1836">
        <v>1.7</v>
      </c>
      <c r="F1836">
        <v>1.8</v>
      </c>
      <c r="G1836">
        <v>1.8</v>
      </c>
      <c r="H1836">
        <v>1.75</v>
      </c>
      <c r="I1836">
        <v>1153622</v>
      </c>
      <c r="J1836">
        <v>2053584.6</v>
      </c>
      <c r="K1836" s="1">
        <v>43777</v>
      </c>
      <c r="L1836">
        <v>6106</v>
      </c>
      <c r="M1836" t="s">
        <v>5441</v>
      </c>
    </row>
    <row r="1837" spans="1:13" x14ac:dyDescent="0.25">
      <c r="A1837" t="s">
        <v>5442</v>
      </c>
      <c r="B1837" t="s">
        <v>14</v>
      </c>
      <c r="C1837">
        <v>30.55</v>
      </c>
      <c r="D1837">
        <v>31.1</v>
      </c>
      <c r="E1837">
        <v>30.5</v>
      </c>
      <c r="F1837">
        <v>30.95</v>
      </c>
      <c r="G1837">
        <v>30.9</v>
      </c>
      <c r="H1837">
        <v>30.95</v>
      </c>
      <c r="I1837">
        <v>430363</v>
      </c>
      <c r="J1837">
        <v>13305237</v>
      </c>
      <c r="K1837" s="1">
        <v>43777</v>
      </c>
      <c r="L1837">
        <v>724</v>
      </c>
      <c r="M1837" t="s">
        <v>5444</v>
      </c>
    </row>
    <row r="1838" spans="1:13" x14ac:dyDescent="0.25">
      <c r="A1838" t="s">
        <v>7079</v>
      </c>
      <c r="B1838" t="s">
        <v>7076</v>
      </c>
      <c r="C1838">
        <v>9.4</v>
      </c>
      <c r="D1838">
        <v>9.4</v>
      </c>
      <c r="E1838">
        <v>9.4</v>
      </c>
      <c r="F1838">
        <v>9.4</v>
      </c>
      <c r="G1838">
        <v>9.4</v>
      </c>
      <c r="H1838">
        <v>9</v>
      </c>
      <c r="I1838">
        <v>4531</v>
      </c>
      <c r="J1838">
        <v>42591.4</v>
      </c>
      <c r="K1838" s="1">
        <v>43777</v>
      </c>
      <c r="L1838">
        <v>5</v>
      </c>
      <c r="M1838" t="s">
        <v>7078</v>
      </c>
    </row>
    <row r="1839" spans="1:13" x14ac:dyDescent="0.25">
      <c r="A1839" t="s">
        <v>7077</v>
      </c>
      <c r="B1839" t="s">
        <v>7076</v>
      </c>
      <c r="C1839">
        <v>8.85</v>
      </c>
      <c r="D1839">
        <v>8.85</v>
      </c>
      <c r="E1839">
        <v>8.85</v>
      </c>
      <c r="F1839">
        <v>8.85</v>
      </c>
      <c r="G1839">
        <v>8.85</v>
      </c>
      <c r="H1839">
        <v>8.0500000000000007</v>
      </c>
      <c r="I1839">
        <v>1000</v>
      </c>
      <c r="J1839">
        <v>8850</v>
      </c>
      <c r="K1839" s="1">
        <v>43777</v>
      </c>
      <c r="L1839">
        <v>2</v>
      </c>
      <c r="M1839" t="s">
        <v>7075</v>
      </c>
    </row>
    <row r="1840" spans="1:13" x14ac:dyDescent="0.25">
      <c r="A1840" t="s">
        <v>5831</v>
      </c>
      <c r="B1840" t="s">
        <v>14</v>
      </c>
      <c r="C1840">
        <v>290</v>
      </c>
      <c r="D1840">
        <v>297.57</v>
      </c>
      <c r="E1840">
        <v>287.11</v>
      </c>
      <c r="F1840">
        <v>288.14999999999998</v>
      </c>
      <c r="G1840">
        <v>294.95</v>
      </c>
      <c r="H1840">
        <v>291.76</v>
      </c>
      <c r="I1840">
        <v>407</v>
      </c>
      <c r="J1840">
        <v>118066.34</v>
      </c>
      <c r="K1840" s="1">
        <v>43777</v>
      </c>
      <c r="L1840">
        <v>69</v>
      </c>
      <c r="M1840" t="s">
        <v>7074</v>
      </c>
    </row>
    <row r="1841" spans="1:13" x14ac:dyDescent="0.25">
      <c r="A1841" t="s">
        <v>5829</v>
      </c>
      <c r="B1841" t="s">
        <v>14</v>
      </c>
      <c r="C1841">
        <v>1269</v>
      </c>
      <c r="D1841">
        <v>1273</v>
      </c>
      <c r="E1841">
        <v>1257.9100000000001</v>
      </c>
      <c r="F1841">
        <v>1257.9100000000001</v>
      </c>
      <c r="G1841">
        <v>1257.9100000000001</v>
      </c>
      <c r="H1841">
        <v>1268.48</v>
      </c>
      <c r="I1841">
        <v>51</v>
      </c>
      <c r="J1841">
        <v>64631.56</v>
      </c>
      <c r="K1841" s="1">
        <v>43777</v>
      </c>
      <c r="L1841">
        <v>26</v>
      </c>
      <c r="M1841" t="s">
        <v>7073</v>
      </c>
    </row>
    <row r="1842" spans="1:13" x14ac:dyDescent="0.25">
      <c r="A1842" t="s">
        <v>5827</v>
      </c>
      <c r="B1842" t="s">
        <v>14</v>
      </c>
      <c r="C1842">
        <v>429</v>
      </c>
      <c r="D1842">
        <v>429</v>
      </c>
      <c r="E1842">
        <v>424</v>
      </c>
      <c r="F1842">
        <v>424.19</v>
      </c>
      <c r="G1842">
        <v>424</v>
      </c>
      <c r="H1842">
        <v>429</v>
      </c>
      <c r="I1842">
        <v>348</v>
      </c>
      <c r="J1842">
        <v>148189.82999999999</v>
      </c>
      <c r="K1842" s="1">
        <v>43777</v>
      </c>
      <c r="L1842">
        <v>31</v>
      </c>
      <c r="M1842" t="s">
        <v>5826</v>
      </c>
    </row>
    <row r="1843" spans="1:13" x14ac:dyDescent="0.25">
      <c r="A1843" t="s">
        <v>7072</v>
      </c>
      <c r="B1843" t="s">
        <v>10</v>
      </c>
      <c r="C1843">
        <v>7.6</v>
      </c>
      <c r="D1843">
        <v>7.95</v>
      </c>
      <c r="E1843">
        <v>7.6</v>
      </c>
      <c r="F1843">
        <v>7.7</v>
      </c>
      <c r="G1843">
        <v>7.65</v>
      </c>
      <c r="H1843">
        <v>7.95</v>
      </c>
      <c r="I1843">
        <v>64999</v>
      </c>
      <c r="J1843">
        <v>500094</v>
      </c>
      <c r="K1843" s="1">
        <v>43777</v>
      </c>
      <c r="L1843">
        <v>197</v>
      </c>
      <c r="M1843" t="s">
        <v>7071</v>
      </c>
    </row>
    <row r="1844" spans="1:13" x14ac:dyDescent="0.25">
      <c r="A1844" t="s">
        <v>5454</v>
      </c>
      <c r="B1844" t="s">
        <v>14</v>
      </c>
      <c r="C1844">
        <v>105</v>
      </c>
      <c r="D1844">
        <v>107.1</v>
      </c>
      <c r="E1844">
        <v>103</v>
      </c>
      <c r="F1844">
        <v>103.45</v>
      </c>
      <c r="G1844">
        <v>103</v>
      </c>
      <c r="H1844">
        <v>102.6</v>
      </c>
      <c r="I1844">
        <v>163484</v>
      </c>
      <c r="J1844">
        <v>17099651.149999999</v>
      </c>
      <c r="K1844" s="1">
        <v>43777</v>
      </c>
      <c r="L1844">
        <v>2190</v>
      </c>
      <c r="M1844" t="s">
        <v>5456</v>
      </c>
    </row>
    <row r="1845" spans="1:13" x14ac:dyDescent="0.25">
      <c r="A1845" t="s">
        <v>7070</v>
      </c>
      <c r="B1845" t="s">
        <v>10</v>
      </c>
      <c r="C1845">
        <v>0.05</v>
      </c>
      <c r="D1845">
        <v>0.1</v>
      </c>
      <c r="E1845">
        <v>0.05</v>
      </c>
      <c r="F1845">
        <v>0.1</v>
      </c>
      <c r="G1845">
        <v>0.1</v>
      </c>
      <c r="H1845">
        <v>0.1</v>
      </c>
      <c r="I1845">
        <v>2174042</v>
      </c>
      <c r="J1845">
        <v>199042</v>
      </c>
      <c r="K1845" s="1">
        <v>43777</v>
      </c>
      <c r="L1845">
        <v>194</v>
      </c>
      <c r="M1845" t="s">
        <v>7069</v>
      </c>
    </row>
    <row r="1846" spans="1:13" x14ac:dyDescent="0.25">
      <c r="A1846" t="s">
        <v>5457</v>
      </c>
      <c r="B1846" t="s">
        <v>14</v>
      </c>
      <c r="C1846">
        <v>116.65</v>
      </c>
      <c r="D1846">
        <v>120</v>
      </c>
      <c r="E1846">
        <v>115.05</v>
      </c>
      <c r="F1846">
        <v>118</v>
      </c>
      <c r="G1846">
        <v>118.9</v>
      </c>
      <c r="H1846">
        <v>118.45</v>
      </c>
      <c r="I1846">
        <v>41678</v>
      </c>
      <c r="J1846">
        <v>4909564.6500000004</v>
      </c>
      <c r="K1846" s="1">
        <v>43777</v>
      </c>
      <c r="L1846">
        <v>986</v>
      </c>
      <c r="M1846" t="s">
        <v>5459</v>
      </c>
    </row>
    <row r="1847" spans="1:13" x14ac:dyDescent="0.25">
      <c r="A1847" t="s">
        <v>5460</v>
      </c>
      <c r="B1847" t="s">
        <v>14</v>
      </c>
      <c r="C1847">
        <v>767.05</v>
      </c>
      <c r="D1847">
        <v>788.7</v>
      </c>
      <c r="E1847">
        <v>757.05</v>
      </c>
      <c r="F1847">
        <v>765.4</v>
      </c>
      <c r="G1847">
        <v>759</v>
      </c>
      <c r="H1847">
        <v>766</v>
      </c>
      <c r="I1847">
        <v>47847</v>
      </c>
      <c r="J1847">
        <v>37210513.899999999</v>
      </c>
      <c r="K1847" s="1">
        <v>43777</v>
      </c>
      <c r="L1847">
        <v>2146</v>
      </c>
      <c r="M1847" t="s">
        <v>5462</v>
      </c>
    </row>
    <row r="1848" spans="1:13" x14ac:dyDescent="0.25">
      <c r="A1848" t="s">
        <v>5463</v>
      </c>
      <c r="B1848" t="s">
        <v>14</v>
      </c>
      <c r="C1848">
        <v>835.45</v>
      </c>
      <c r="D1848">
        <v>835.5</v>
      </c>
      <c r="E1848">
        <v>805.3</v>
      </c>
      <c r="F1848">
        <v>815.7</v>
      </c>
      <c r="G1848">
        <v>814.5</v>
      </c>
      <c r="H1848">
        <v>831.15</v>
      </c>
      <c r="I1848">
        <v>6148</v>
      </c>
      <c r="J1848">
        <v>4998844.2</v>
      </c>
      <c r="K1848" s="1">
        <v>43777</v>
      </c>
      <c r="L1848">
        <v>901</v>
      </c>
      <c r="M1848" t="s">
        <v>7068</v>
      </c>
    </row>
    <row r="1849" spans="1:13" x14ac:dyDescent="0.25">
      <c r="A1849" t="s">
        <v>5469</v>
      </c>
      <c r="B1849" t="s">
        <v>14</v>
      </c>
      <c r="C1849">
        <v>40.950000000000003</v>
      </c>
      <c r="D1849">
        <v>40.950000000000003</v>
      </c>
      <c r="E1849">
        <v>39.5</v>
      </c>
      <c r="F1849">
        <v>39.75</v>
      </c>
      <c r="G1849">
        <v>39.6</v>
      </c>
      <c r="H1849">
        <v>40.450000000000003</v>
      </c>
      <c r="I1849">
        <v>3230303</v>
      </c>
      <c r="J1849">
        <v>129197070.45</v>
      </c>
      <c r="K1849" s="1">
        <v>43777</v>
      </c>
      <c r="L1849">
        <v>4438</v>
      </c>
      <c r="M1849" t="s">
        <v>5471</v>
      </c>
    </row>
    <row r="1850" spans="1:13" x14ac:dyDescent="0.25">
      <c r="A1850" t="s">
        <v>5478</v>
      </c>
      <c r="B1850" t="s">
        <v>14</v>
      </c>
      <c r="C1850">
        <v>35.25</v>
      </c>
      <c r="D1850">
        <v>35.85</v>
      </c>
      <c r="E1850">
        <v>34.299999999999997</v>
      </c>
      <c r="F1850">
        <v>35</v>
      </c>
      <c r="G1850">
        <v>35.15</v>
      </c>
      <c r="H1850">
        <v>35.450000000000003</v>
      </c>
      <c r="I1850">
        <v>24121</v>
      </c>
      <c r="J1850">
        <v>850244.75</v>
      </c>
      <c r="K1850" s="1">
        <v>43777</v>
      </c>
      <c r="L1850">
        <v>99</v>
      </c>
      <c r="M1850" t="s">
        <v>5480</v>
      </c>
    </row>
    <row r="1851" spans="1:13" x14ac:dyDescent="0.25">
      <c r="A1851" t="s">
        <v>5481</v>
      </c>
      <c r="B1851" t="s">
        <v>10</v>
      </c>
      <c r="C1851">
        <v>1.7</v>
      </c>
      <c r="D1851">
        <v>1.8</v>
      </c>
      <c r="E1851">
        <v>1.7</v>
      </c>
      <c r="F1851">
        <v>1.8</v>
      </c>
      <c r="G1851">
        <v>1.8</v>
      </c>
      <c r="H1851">
        <v>1.75</v>
      </c>
      <c r="I1851">
        <v>720</v>
      </c>
      <c r="J1851">
        <v>1274</v>
      </c>
      <c r="K1851" s="1">
        <v>43777</v>
      </c>
      <c r="L1851">
        <v>6</v>
      </c>
      <c r="M1851" t="s">
        <v>5483</v>
      </c>
    </row>
    <row r="1852" spans="1:13" x14ac:dyDescent="0.25">
      <c r="A1852" t="s">
        <v>5484</v>
      </c>
      <c r="B1852" t="s">
        <v>14</v>
      </c>
      <c r="C1852">
        <v>474.9</v>
      </c>
      <c r="D1852">
        <v>484.9</v>
      </c>
      <c r="E1852">
        <v>462</v>
      </c>
      <c r="F1852">
        <v>479.55</v>
      </c>
      <c r="G1852">
        <v>477.5</v>
      </c>
      <c r="H1852">
        <v>470.85</v>
      </c>
      <c r="I1852">
        <v>17560</v>
      </c>
      <c r="J1852">
        <v>8408424.9000000004</v>
      </c>
      <c r="K1852" s="1">
        <v>43777</v>
      </c>
      <c r="L1852">
        <v>1148</v>
      </c>
      <c r="M1852" t="s">
        <v>5486</v>
      </c>
    </row>
    <row r="1853" spans="1:13" x14ac:dyDescent="0.25">
      <c r="A1853" t="s">
        <v>5823</v>
      </c>
      <c r="B1853" t="s">
        <v>5788</v>
      </c>
      <c r="C1853">
        <v>16.3</v>
      </c>
      <c r="D1853">
        <v>16.3</v>
      </c>
      <c r="E1853">
        <v>16.25</v>
      </c>
      <c r="F1853">
        <v>16.25</v>
      </c>
      <c r="G1853">
        <v>16.25</v>
      </c>
      <c r="H1853">
        <v>17.100000000000001</v>
      </c>
      <c r="I1853">
        <v>8000</v>
      </c>
      <c r="J1853">
        <v>130200</v>
      </c>
      <c r="K1853" s="1">
        <v>43777</v>
      </c>
      <c r="L1853">
        <v>2</v>
      </c>
      <c r="M1853" t="s">
        <v>5822</v>
      </c>
    </row>
    <row r="1854" spans="1:13" x14ac:dyDescent="0.25">
      <c r="A1854" t="s">
        <v>5487</v>
      </c>
      <c r="B1854" t="s">
        <v>14</v>
      </c>
      <c r="C1854">
        <v>14.25</v>
      </c>
      <c r="D1854">
        <v>14.65</v>
      </c>
      <c r="E1854">
        <v>13.8</v>
      </c>
      <c r="F1854">
        <v>13.85</v>
      </c>
      <c r="G1854">
        <v>13.8</v>
      </c>
      <c r="H1854">
        <v>14.25</v>
      </c>
      <c r="I1854">
        <v>134431</v>
      </c>
      <c r="J1854">
        <v>1914300.95</v>
      </c>
      <c r="K1854" s="1">
        <v>43777</v>
      </c>
      <c r="L1854">
        <v>488</v>
      </c>
      <c r="M1854" t="s">
        <v>5489</v>
      </c>
    </row>
    <row r="1855" spans="1:13" x14ac:dyDescent="0.25">
      <c r="A1855" t="s">
        <v>5490</v>
      </c>
      <c r="B1855" t="s">
        <v>14</v>
      </c>
      <c r="C1855">
        <v>4.9000000000000004</v>
      </c>
      <c r="D1855">
        <v>6.3</v>
      </c>
      <c r="E1855">
        <v>4.9000000000000004</v>
      </c>
      <c r="F1855">
        <v>5.3</v>
      </c>
      <c r="G1855">
        <v>5.3</v>
      </c>
      <c r="H1855">
        <v>5.25</v>
      </c>
      <c r="I1855">
        <v>33057</v>
      </c>
      <c r="J1855">
        <v>173912.85</v>
      </c>
      <c r="K1855" s="1">
        <v>43777</v>
      </c>
      <c r="L1855">
        <v>83</v>
      </c>
      <c r="M1855" t="s">
        <v>5492</v>
      </c>
    </row>
    <row r="1856" spans="1:13" x14ac:dyDescent="0.25">
      <c r="A1856" t="s">
        <v>5493</v>
      </c>
      <c r="B1856" t="s">
        <v>14</v>
      </c>
      <c r="C1856">
        <v>761.1</v>
      </c>
      <c r="D1856">
        <v>767</v>
      </c>
      <c r="E1856">
        <v>735.25</v>
      </c>
      <c r="F1856">
        <v>741.55</v>
      </c>
      <c r="G1856">
        <v>746</v>
      </c>
      <c r="H1856">
        <v>756.25</v>
      </c>
      <c r="I1856">
        <v>509271</v>
      </c>
      <c r="J1856">
        <v>382351023.60000002</v>
      </c>
      <c r="K1856" s="1">
        <v>43777</v>
      </c>
      <c r="L1856">
        <v>22049</v>
      </c>
      <c r="M1856" t="s">
        <v>7067</v>
      </c>
    </row>
    <row r="1857" spans="1:13" x14ac:dyDescent="0.25">
      <c r="A1857" t="s">
        <v>5499</v>
      </c>
      <c r="B1857" t="s">
        <v>14</v>
      </c>
      <c r="C1857">
        <v>160.19999999999999</v>
      </c>
      <c r="D1857">
        <v>161.80000000000001</v>
      </c>
      <c r="E1857">
        <v>155</v>
      </c>
      <c r="F1857">
        <v>155.5</v>
      </c>
      <c r="G1857">
        <v>155.69999999999999</v>
      </c>
      <c r="H1857">
        <v>160.94999999999999</v>
      </c>
      <c r="I1857">
        <v>14502611</v>
      </c>
      <c r="J1857">
        <v>2309135412.0500002</v>
      </c>
      <c r="K1857" s="1">
        <v>43777</v>
      </c>
      <c r="L1857">
        <v>63140</v>
      </c>
      <c r="M1857" t="s">
        <v>5501</v>
      </c>
    </row>
    <row r="1858" spans="1:13" x14ac:dyDescent="0.25">
      <c r="A1858" t="s">
        <v>5502</v>
      </c>
      <c r="B1858" t="s">
        <v>14</v>
      </c>
      <c r="C1858">
        <v>1888</v>
      </c>
      <c r="D1858">
        <v>1942.85</v>
      </c>
      <c r="E1858">
        <v>1872.3</v>
      </c>
      <c r="F1858">
        <v>1884.45</v>
      </c>
      <c r="G1858">
        <v>1893.05</v>
      </c>
      <c r="H1858">
        <v>1874.45</v>
      </c>
      <c r="I1858">
        <v>480448</v>
      </c>
      <c r="J1858">
        <v>917748092.95000005</v>
      </c>
      <c r="K1858" s="1">
        <v>43777</v>
      </c>
      <c r="L1858">
        <v>32951</v>
      </c>
      <c r="M1858" t="s">
        <v>5504</v>
      </c>
    </row>
    <row r="1859" spans="1:13" x14ac:dyDescent="0.25">
      <c r="A1859" t="s">
        <v>5508</v>
      </c>
      <c r="B1859" t="s">
        <v>10</v>
      </c>
      <c r="C1859">
        <v>24.3</v>
      </c>
      <c r="D1859">
        <v>25</v>
      </c>
      <c r="E1859">
        <v>24.25</v>
      </c>
      <c r="F1859">
        <v>24.5</v>
      </c>
      <c r="G1859">
        <v>24.5</v>
      </c>
      <c r="H1859">
        <v>25</v>
      </c>
      <c r="I1859">
        <v>2029</v>
      </c>
      <c r="J1859">
        <v>49958.35</v>
      </c>
      <c r="K1859" s="1">
        <v>43777</v>
      </c>
      <c r="L1859">
        <v>37</v>
      </c>
      <c r="M1859" t="s">
        <v>5510</v>
      </c>
    </row>
    <row r="1860" spans="1:13" x14ac:dyDescent="0.25">
      <c r="A1860" t="s">
        <v>5514</v>
      </c>
      <c r="B1860" t="s">
        <v>5788</v>
      </c>
      <c r="C1860">
        <v>166.5</v>
      </c>
      <c r="D1860">
        <v>168.5</v>
      </c>
      <c r="E1860">
        <v>166.15</v>
      </c>
      <c r="F1860">
        <v>168.5</v>
      </c>
      <c r="G1860">
        <v>168.5</v>
      </c>
      <c r="H1860">
        <v>167.85</v>
      </c>
      <c r="I1860">
        <v>7200</v>
      </c>
      <c r="J1860">
        <v>1204380</v>
      </c>
      <c r="K1860" s="1">
        <v>43777</v>
      </c>
      <c r="L1860">
        <v>6</v>
      </c>
      <c r="M1860" t="s">
        <v>5516</v>
      </c>
    </row>
    <row r="1861" spans="1:13" x14ac:dyDescent="0.25">
      <c r="A1861" t="s">
        <v>5517</v>
      </c>
      <c r="B1861" t="s">
        <v>14</v>
      </c>
      <c r="C1861">
        <v>982.25</v>
      </c>
      <c r="D1861">
        <v>1007.4</v>
      </c>
      <c r="E1861">
        <v>976.95</v>
      </c>
      <c r="F1861">
        <v>984.75</v>
      </c>
      <c r="G1861">
        <v>977</v>
      </c>
      <c r="H1861">
        <v>990.3</v>
      </c>
      <c r="I1861">
        <v>2304</v>
      </c>
      <c r="J1861">
        <v>2282071.65</v>
      </c>
      <c r="K1861" s="1">
        <v>43777</v>
      </c>
      <c r="L1861">
        <v>704</v>
      </c>
      <c r="M1861" t="s">
        <v>5519</v>
      </c>
    </row>
    <row r="1862" spans="1:13" x14ac:dyDescent="0.25">
      <c r="A1862" t="s">
        <v>5520</v>
      </c>
      <c r="B1862" t="s">
        <v>14</v>
      </c>
      <c r="C1862">
        <v>46.25</v>
      </c>
      <c r="D1862">
        <v>47.75</v>
      </c>
      <c r="E1862">
        <v>46.2</v>
      </c>
      <c r="F1862">
        <v>46.65</v>
      </c>
      <c r="G1862">
        <v>46.75</v>
      </c>
      <c r="H1862">
        <v>47.15</v>
      </c>
      <c r="I1862">
        <v>3409</v>
      </c>
      <c r="J1862">
        <v>159016.6</v>
      </c>
      <c r="K1862" s="1">
        <v>43777</v>
      </c>
      <c r="L1862">
        <v>104</v>
      </c>
      <c r="M1862" t="s">
        <v>5522</v>
      </c>
    </row>
    <row r="1863" spans="1:13" x14ac:dyDescent="0.25">
      <c r="A1863" t="s">
        <v>5523</v>
      </c>
      <c r="B1863" t="s">
        <v>14</v>
      </c>
      <c r="C1863">
        <v>242.25</v>
      </c>
      <c r="D1863">
        <v>245.9</v>
      </c>
      <c r="E1863">
        <v>234.3</v>
      </c>
      <c r="F1863">
        <v>235.2</v>
      </c>
      <c r="G1863">
        <v>235</v>
      </c>
      <c r="H1863">
        <v>242.7</v>
      </c>
      <c r="I1863">
        <v>510726</v>
      </c>
      <c r="J1863">
        <v>122210229.45</v>
      </c>
      <c r="K1863" s="1">
        <v>43777</v>
      </c>
      <c r="L1863">
        <v>10068</v>
      </c>
      <c r="M1863" t="s">
        <v>5525</v>
      </c>
    </row>
    <row r="1864" spans="1:13" x14ac:dyDescent="0.25">
      <c r="A1864" t="s">
        <v>5526</v>
      </c>
      <c r="B1864" t="s">
        <v>14</v>
      </c>
      <c r="C1864">
        <v>1397</v>
      </c>
      <c r="D1864">
        <v>1469.95</v>
      </c>
      <c r="E1864">
        <v>1397</v>
      </c>
      <c r="F1864">
        <v>1414.05</v>
      </c>
      <c r="G1864">
        <v>1413</v>
      </c>
      <c r="H1864">
        <v>1451.75</v>
      </c>
      <c r="I1864">
        <v>318</v>
      </c>
      <c r="J1864">
        <v>451289.95</v>
      </c>
      <c r="K1864" s="1">
        <v>43777</v>
      </c>
      <c r="L1864">
        <v>204</v>
      </c>
      <c r="M1864" t="s">
        <v>5528</v>
      </c>
    </row>
    <row r="1865" spans="1:13" x14ac:dyDescent="0.25">
      <c r="A1865" t="s">
        <v>7066</v>
      </c>
      <c r="B1865" t="s">
        <v>10</v>
      </c>
      <c r="C1865">
        <v>1.55</v>
      </c>
      <c r="D1865">
        <v>1.6</v>
      </c>
      <c r="E1865">
        <v>1.5</v>
      </c>
      <c r="F1865">
        <v>1.6</v>
      </c>
      <c r="G1865">
        <v>1.6</v>
      </c>
      <c r="H1865">
        <v>1.55</v>
      </c>
      <c r="I1865">
        <v>46354</v>
      </c>
      <c r="J1865">
        <v>72070.649999999994</v>
      </c>
      <c r="K1865" s="1">
        <v>43777</v>
      </c>
      <c r="L1865">
        <v>42</v>
      </c>
      <c r="M1865" t="s">
        <v>7065</v>
      </c>
    </row>
    <row r="1866" spans="1:13" x14ac:dyDescent="0.25">
      <c r="A1866" t="s">
        <v>7064</v>
      </c>
      <c r="B1866" t="s">
        <v>786</v>
      </c>
      <c r="C1866">
        <v>1.65</v>
      </c>
      <c r="D1866">
        <v>1.65</v>
      </c>
      <c r="E1866">
        <v>1.65</v>
      </c>
      <c r="F1866">
        <v>1.65</v>
      </c>
      <c r="G1866">
        <v>1.65</v>
      </c>
      <c r="H1866">
        <v>1.6</v>
      </c>
      <c r="I1866">
        <v>35793</v>
      </c>
      <c r="J1866">
        <v>59058.45</v>
      </c>
      <c r="K1866" s="1">
        <v>43777</v>
      </c>
      <c r="L1866">
        <v>45</v>
      </c>
      <c r="M1866" t="s">
        <v>7063</v>
      </c>
    </row>
    <row r="1867" spans="1:13" x14ac:dyDescent="0.25">
      <c r="A1867" t="s">
        <v>5529</v>
      </c>
      <c r="B1867" t="s">
        <v>14</v>
      </c>
      <c r="C1867">
        <v>67</v>
      </c>
      <c r="D1867">
        <v>67</v>
      </c>
      <c r="E1867">
        <v>63.45</v>
      </c>
      <c r="F1867">
        <v>65.099999999999994</v>
      </c>
      <c r="G1867">
        <v>64.3</v>
      </c>
      <c r="H1867">
        <v>65.8</v>
      </c>
      <c r="I1867">
        <v>28716</v>
      </c>
      <c r="J1867">
        <v>1860936.85</v>
      </c>
      <c r="K1867" s="1">
        <v>43777</v>
      </c>
      <c r="L1867">
        <v>401</v>
      </c>
      <c r="M1867" t="s">
        <v>5531</v>
      </c>
    </row>
    <row r="1868" spans="1:13" x14ac:dyDescent="0.25">
      <c r="A1868" t="s">
        <v>5535</v>
      </c>
      <c r="B1868" t="s">
        <v>14</v>
      </c>
      <c r="C1868">
        <v>0.45</v>
      </c>
      <c r="D1868">
        <v>0.45</v>
      </c>
      <c r="E1868">
        <v>0.4</v>
      </c>
      <c r="F1868">
        <v>0.45</v>
      </c>
      <c r="G1868">
        <v>0.45</v>
      </c>
      <c r="H1868">
        <v>0.45</v>
      </c>
      <c r="I1868">
        <v>24649</v>
      </c>
      <c r="J1868">
        <v>10483.85</v>
      </c>
      <c r="K1868" s="1">
        <v>43777</v>
      </c>
      <c r="L1868">
        <v>24</v>
      </c>
      <c r="M1868" t="s">
        <v>5537</v>
      </c>
    </row>
    <row r="1869" spans="1:13" x14ac:dyDescent="0.25">
      <c r="A1869" t="s">
        <v>5538</v>
      </c>
      <c r="B1869" t="s">
        <v>14</v>
      </c>
      <c r="C1869">
        <v>3.65</v>
      </c>
      <c r="D1869">
        <v>3.7</v>
      </c>
      <c r="E1869">
        <v>3.6</v>
      </c>
      <c r="F1869">
        <v>3.7</v>
      </c>
      <c r="G1869">
        <v>3.7</v>
      </c>
      <c r="H1869">
        <v>3.4</v>
      </c>
      <c r="I1869">
        <v>462690</v>
      </c>
      <c r="J1869">
        <v>1696041</v>
      </c>
      <c r="K1869" s="1">
        <v>43777</v>
      </c>
      <c r="L1869">
        <v>227</v>
      </c>
      <c r="M1869" t="s">
        <v>5540</v>
      </c>
    </row>
    <row r="1870" spans="1:13" x14ac:dyDescent="0.25">
      <c r="A1870" t="s">
        <v>7062</v>
      </c>
      <c r="B1870" t="s">
        <v>10</v>
      </c>
      <c r="C1870">
        <v>4.05</v>
      </c>
      <c r="D1870">
        <v>4.25</v>
      </c>
      <c r="E1870">
        <v>3.9</v>
      </c>
      <c r="F1870">
        <v>4</v>
      </c>
      <c r="G1870">
        <v>4.05</v>
      </c>
      <c r="H1870">
        <v>4.05</v>
      </c>
      <c r="I1870">
        <v>58681</v>
      </c>
      <c r="J1870">
        <v>235229.9</v>
      </c>
      <c r="K1870" s="1">
        <v>43777</v>
      </c>
      <c r="L1870">
        <v>98</v>
      </c>
      <c r="M1870" t="s">
        <v>5543</v>
      </c>
    </row>
    <row r="1871" spans="1:13" x14ac:dyDescent="0.25">
      <c r="A1871" t="s">
        <v>7061</v>
      </c>
      <c r="B1871" t="s">
        <v>14</v>
      </c>
      <c r="C1871">
        <v>4.2</v>
      </c>
      <c r="D1871">
        <v>4.2</v>
      </c>
      <c r="E1871">
        <v>4.2</v>
      </c>
      <c r="F1871">
        <v>4.2</v>
      </c>
      <c r="G1871">
        <v>4.2</v>
      </c>
      <c r="H1871">
        <v>4.1500000000000004</v>
      </c>
      <c r="I1871">
        <v>29322</v>
      </c>
      <c r="J1871">
        <v>123152.4</v>
      </c>
      <c r="K1871" s="1">
        <v>43777</v>
      </c>
      <c r="L1871">
        <v>20</v>
      </c>
      <c r="M1871" t="s">
        <v>7060</v>
      </c>
    </row>
    <row r="1872" spans="1:13" x14ac:dyDescent="0.25">
      <c r="A1872" t="s">
        <v>7059</v>
      </c>
      <c r="B1872" t="s">
        <v>14</v>
      </c>
      <c r="C1872">
        <v>9.9</v>
      </c>
      <c r="D1872">
        <v>10.15</v>
      </c>
      <c r="E1872">
        <v>9.85</v>
      </c>
      <c r="F1872">
        <v>9.9</v>
      </c>
      <c r="G1872">
        <v>9.9499999999999993</v>
      </c>
      <c r="H1872">
        <v>9.9499999999999993</v>
      </c>
      <c r="I1872">
        <v>311114</v>
      </c>
      <c r="J1872">
        <v>3101304.3</v>
      </c>
      <c r="K1872" s="1">
        <v>43777</v>
      </c>
      <c r="L1872">
        <v>336</v>
      </c>
      <c r="M1872" t="s">
        <v>7058</v>
      </c>
    </row>
    <row r="1873" spans="1:13" x14ac:dyDescent="0.25">
      <c r="A1873" t="s">
        <v>7057</v>
      </c>
      <c r="B1873" t="s">
        <v>10</v>
      </c>
      <c r="C1873">
        <v>5.35</v>
      </c>
      <c r="D1873">
        <v>5.35</v>
      </c>
      <c r="E1873">
        <v>5.35</v>
      </c>
      <c r="F1873">
        <v>5.35</v>
      </c>
      <c r="G1873">
        <v>5.35</v>
      </c>
      <c r="H1873">
        <v>5.45</v>
      </c>
      <c r="I1873">
        <v>302</v>
      </c>
      <c r="J1873">
        <v>1615.7</v>
      </c>
      <c r="K1873" s="1">
        <v>43777</v>
      </c>
      <c r="L1873">
        <v>2</v>
      </c>
      <c r="M1873" t="s">
        <v>7056</v>
      </c>
    </row>
    <row r="1874" spans="1:13" x14ac:dyDescent="0.25">
      <c r="A1874" t="s">
        <v>5544</v>
      </c>
      <c r="B1874" t="s">
        <v>14</v>
      </c>
      <c r="C1874">
        <v>117.5</v>
      </c>
      <c r="D1874">
        <v>129.69999999999999</v>
      </c>
      <c r="E1874">
        <v>117.5</v>
      </c>
      <c r="F1874">
        <v>122.2</v>
      </c>
      <c r="G1874">
        <v>123</v>
      </c>
      <c r="H1874">
        <v>117.1</v>
      </c>
      <c r="I1874">
        <v>40857</v>
      </c>
      <c r="J1874">
        <v>5103056.45</v>
      </c>
      <c r="K1874" s="1">
        <v>43777</v>
      </c>
      <c r="L1874">
        <v>1186</v>
      </c>
      <c r="M1874" t="s">
        <v>5546</v>
      </c>
    </row>
    <row r="1875" spans="1:13" x14ac:dyDescent="0.25">
      <c r="A1875" t="s">
        <v>5547</v>
      </c>
      <c r="B1875" t="s">
        <v>14</v>
      </c>
      <c r="C1875">
        <v>2068</v>
      </c>
      <c r="D1875">
        <v>2088.5</v>
      </c>
      <c r="E1875">
        <v>2060</v>
      </c>
      <c r="F1875">
        <v>2064</v>
      </c>
      <c r="G1875">
        <v>2065</v>
      </c>
      <c r="H1875">
        <v>2082.3000000000002</v>
      </c>
      <c r="I1875">
        <v>17448</v>
      </c>
      <c r="J1875">
        <v>36156971.700000003</v>
      </c>
      <c r="K1875" s="1">
        <v>43777</v>
      </c>
      <c r="L1875">
        <v>2660</v>
      </c>
      <c r="M1875" t="s">
        <v>7055</v>
      </c>
    </row>
    <row r="1876" spans="1:13" x14ac:dyDescent="0.25">
      <c r="A1876" t="s">
        <v>5550</v>
      </c>
      <c r="B1876" t="s">
        <v>14</v>
      </c>
      <c r="C1876">
        <v>928</v>
      </c>
      <c r="D1876">
        <v>957.4</v>
      </c>
      <c r="E1876">
        <v>900.1</v>
      </c>
      <c r="F1876">
        <v>901.2</v>
      </c>
      <c r="G1876">
        <v>900.25</v>
      </c>
      <c r="H1876">
        <v>927.25</v>
      </c>
      <c r="I1876">
        <v>7119</v>
      </c>
      <c r="J1876">
        <v>6612861.5</v>
      </c>
      <c r="K1876" s="1">
        <v>43777</v>
      </c>
      <c r="L1876">
        <v>627</v>
      </c>
      <c r="M1876" t="s">
        <v>5552</v>
      </c>
    </row>
    <row r="1877" spans="1:13" x14ac:dyDescent="0.25">
      <c r="A1877" t="s">
        <v>5559</v>
      </c>
      <c r="B1877" t="s">
        <v>14</v>
      </c>
      <c r="C1877">
        <v>63.95</v>
      </c>
      <c r="D1877">
        <v>64.349999999999994</v>
      </c>
      <c r="E1877">
        <v>62.4</v>
      </c>
      <c r="F1877">
        <v>63.05</v>
      </c>
      <c r="G1877">
        <v>63</v>
      </c>
      <c r="H1877">
        <v>63.95</v>
      </c>
      <c r="I1877">
        <v>10147</v>
      </c>
      <c r="J1877">
        <v>640982.25</v>
      </c>
      <c r="K1877" s="1">
        <v>43777</v>
      </c>
      <c r="L1877">
        <v>254</v>
      </c>
      <c r="M1877" t="s">
        <v>5561</v>
      </c>
    </row>
    <row r="1878" spans="1:13" x14ac:dyDescent="0.25">
      <c r="A1878" t="s">
        <v>5562</v>
      </c>
      <c r="B1878" t="s">
        <v>14</v>
      </c>
      <c r="C1878">
        <v>7.35</v>
      </c>
      <c r="D1878">
        <v>7.35</v>
      </c>
      <c r="E1878">
        <v>7.15</v>
      </c>
      <c r="F1878">
        <v>7.35</v>
      </c>
      <c r="G1878">
        <v>7.35</v>
      </c>
      <c r="H1878">
        <v>7</v>
      </c>
      <c r="I1878">
        <v>656789</v>
      </c>
      <c r="J1878">
        <v>4823177.9000000004</v>
      </c>
      <c r="K1878" s="1">
        <v>43777</v>
      </c>
      <c r="L1878">
        <v>522</v>
      </c>
      <c r="M1878" t="s">
        <v>5564</v>
      </c>
    </row>
    <row r="1879" spans="1:13" x14ac:dyDescent="0.25">
      <c r="A1879" t="s">
        <v>5565</v>
      </c>
      <c r="B1879" t="s">
        <v>14</v>
      </c>
      <c r="C1879">
        <v>452</v>
      </c>
      <c r="D1879">
        <v>453.05</v>
      </c>
      <c r="E1879">
        <v>430.05</v>
      </c>
      <c r="F1879">
        <v>434.85</v>
      </c>
      <c r="G1879">
        <v>435</v>
      </c>
      <c r="H1879">
        <v>455.85</v>
      </c>
      <c r="I1879">
        <v>553168</v>
      </c>
      <c r="J1879">
        <v>242633102.05000001</v>
      </c>
      <c r="K1879" s="1">
        <v>43777</v>
      </c>
      <c r="L1879">
        <v>16706</v>
      </c>
      <c r="M1879" t="s">
        <v>5567</v>
      </c>
    </row>
    <row r="1880" spans="1:13" x14ac:dyDescent="0.25">
      <c r="A1880" t="s">
        <v>5568</v>
      </c>
      <c r="B1880" t="s">
        <v>14</v>
      </c>
      <c r="C1880">
        <v>27.35</v>
      </c>
      <c r="D1880">
        <v>27.35</v>
      </c>
      <c r="E1880">
        <v>26.5</v>
      </c>
      <c r="F1880">
        <v>27.05</v>
      </c>
      <c r="G1880">
        <v>26.5</v>
      </c>
      <c r="H1880">
        <v>27.35</v>
      </c>
      <c r="I1880">
        <v>95230</v>
      </c>
      <c r="J1880">
        <v>2576528.7000000002</v>
      </c>
      <c r="K1880" s="1">
        <v>43777</v>
      </c>
      <c r="L1880">
        <v>166</v>
      </c>
      <c r="M1880" t="s">
        <v>5570</v>
      </c>
    </row>
    <row r="1881" spans="1:13" x14ac:dyDescent="0.25">
      <c r="A1881" t="s">
        <v>5574</v>
      </c>
      <c r="B1881" t="s">
        <v>14</v>
      </c>
      <c r="C1881">
        <v>265.95</v>
      </c>
      <c r="D1881">
        <v>281</v>
      </c>
      <c r="E1881">
        <v>265</v>
      </c>
      <c r="F1881">
        <v>271.25</v>
      </c>
      <c r="G1881">
        <v>270.95</v>
      </c>
      <c r="H1881">
        <v>265.60000000000002</v>
      </c>
      <c r="I1881">
        <v>55439</v>
      </c>
      <c r="J1881">
        <v>15164253.1</v>
      </c>
      <c r="K1881" s="1">
        <v>43777</v>
      </c>
      <c r="L1881">
        <v>2009</v>
      </c>
      <c r="M1881" t="s">
        <v>7054</v>
      </c>
    </row>
    <row r="1882" spans="1:13" x14ac:dyDescent="0.25">
      <c r="A1882" t="s">
        <v>7053</v>
      </c>
      <c r="B1882" t="s">
        <v>10</v>
      </c>
      <c r="C1882">
        <v>6.2</v>
      </c>
      <c r="D1882">
        <v>6.2</v>
      </c>
      <c r="E1882">
        <v>5.7</v>
      </c>
      <c r="F1882">
        <v>5.95</v>
      </c>
      <c r="G1882">
        <v>5.95</v>
      </c>
      <c r="H1882">
        <v>5.95</v>
      </c>
      <c r="I1882">
        <v>11073</v>
      </c>
      <c r="J1882">
        <v>65266.35</v>
      </c>
      <c r="K1882" s="1">
        <v>43777</v>
      </c>
      <c r="L1882">
        <v>26</v>
      </c>
      <c r="M1882" t="s">
        <v>7052</v>
      </c>
    </row>
    <row r="1883" spans="1:13" x14ac:dyDescent="0.25">
      <c r="A1883" t="s">
        <v>5577</v>
      </c>
      <c r="B1883" t="s">
        <v>10</v>
      </c>
      <c r="C1883">
        <v>0.05</v>
      </c>
      <c r="D1883">
        <v>0.1</v>
      </c>
      <c r="E1883">
        <v>0.05</v>
      </c>
      <c r="F1883">
        <v>0.1</v>
      </c>
      <c r="G1883">
        <v>0.1</v>
      </c>
      <c r="H1883">
        <v>0.05</v>
      </c>
      <c r="I1883">
        <v>1913538</v>
      </c>
      <c r="J1883">
        <v>148956.75</v>
      </c>
      <c r="K1883" s="1">
        <v>43777</v>
      </c>
      <c r="L1883">
        <v>170</v>
      </c>
      <c r="M1883" t="s">
        <v>5579</v>
      </c>
    </row>
    <row r="1884" spans="1:13" x14ac:dyDescent="0.25">
      <c r="A1884" t="s">
        <v>5580</v>
      </c>
      <c r="B1884" t="s">
        <v>10</v>
      </c>
      <c r="C1884">
        <v>318</v>
      </c>
      <c r="D1884">
        <v>318</v>
      </c>
      <c r="E1884">
        <v>318</v>
      </c>
      <c r="F1884">
        <v>318</v>
      </c>
      <c r="G1884">
        <v>318</v>
      </c>
      <c r="H1884">
        <v>318</v>
      </c>
      <c r="I1884">
        <v>47170</v>
      </c>
      <c r="J1884">
        <v>15000060</v>
      </c>
      <c r="K1884" s="1">
        <v>43777</v>
      </c>
      <c r="L1884">
        <v>1</v>
      </c>
      <c r="M1884" t="s">
        <v>5582</v>
      </c>
    </row>
    <row r="1885" spans="1:13" x14ac:dyDescent="0.25">
      <c r="A1885" t="s">
        <v>5583</v>
      </c>
      <c r="B1885" t="s">
        <v>14</v>
      </c>
      <c r="C1885">
        <v>139.85</v>
      </c>
      <c r="D1885">
        <v>140.94999999999999</v>
      </c>
      <c r="E1885">
        <v>129</v>
      </c>
      <c r="F1885">
        <v>138.65</v>
      </c>
      <c r="G1885">
        <v>134</v>
      </c>
      <c r="H1885">
        <v>134.05000000000001</v>
      </c>
      <c r="I1885">
        <v>6338</v>
      </c>
      <c r="J1885">
        <v>857247.8</v>
      </c>
      <c r="K1885" s="1">
        <v>43777</v>
      </c>
      <c r="L1885">
        <v>278</v>
      </c>
      <c r="M1885" t="s">
        <v>7051</v>
      </c>
    </row>
    <row r="1886" spans="1:13" x14ac:dyDescent="0.25">
      <c r="A1886" t="s">
        <v>5586</v>
      </c>
      <c r="B1886" t="s">
        <v>14</v>
      </c>
      <c r="C1886">
        <v>81</v>
      </c>
      <c r="D1886">
        <v>84</v>
      </c>
      <c r="E1886">
        <v>72</v>
      </c>
      <c r="F1886">
        <v>74.3</v>
      </c>
      <c r="G1886">
        <v>76.7</v>
      </c>
      <c r="H1886">
        <v>80.650000000000006</v>
      </c>
      <c r="I1886">
        <v>163549</v>
      </c>
      <c r="J1886">
        <v>12584631.949999999</v>
      </c>
      <c r="K1886" s="1">
        <v>43777</v>
      </c>
      <c r="L1886">
        <v>2490</v>
      </c>
      <c r="M1886" t="s">
        <v>7050</v>
      </c>
    </row>
    <row r="1887" spans="1:13" x14ac:dyDescent="0.25">
      <c r="A1887" t="s">
        <v>5589</v>
      </c>
      <c r="B1887" t="s">
        <v>14</v>
      </c>
      <c r="C1887">
        <v>0.2</v>
      </c>
      <c r="D1887">
        <v>0.2</v>
      </c>
      <c r="E1887">
        <v>0.15</v>
      </c>
      <c r="F1887">
        <v>0.15</v>
      </c>
      <c r="G1887">
        <v>0.15</v>
      </c>
      <c r="H1887">
        <v>0.15</v>
      </c>
      <c r="I1887">
        <v>106376</v>
      </c>
      <c r="J1887">
        <v>18916.400000000001</v>
      </c>
      <c r="K1887" s="1">
        <v>43777</v>
      </c>
      <c r="L1887">
        <v>23</v>
      </c>
      <c r="M1887" t="s">
        <v>5591</v>
      </c>
    </row>
    <row r="1888" spans="1:13" x14ac:dyDescent="0.25">
      <c r="A1888" t="s">
        <v>7049</v>
      </c>
      <c r="B1888" t="s">
        <v>14</v>
      </c>
      <c r="C1888">
        <v>14</v>
      </c>
      <c r="D1888">
        <v>14.5</v>
      </c>
      <c r="E1888">
        <v>13.8</v>
      </c>
      <c r="F1888">
        <v>14.4</v>
      </c>
      <c r="G1888">
        <v>14.45</v>
      </c>
      <c r="H1888">
        <v>13.95</v>
      </c>
      <c r="I1888">
        <v>71289</v>
      </c>
      <c r="J1888">
        <v>1013065.65</v>
      </c>
      <c r="K1888" s="1">
        <v>43777</v>
      </c>
      <c r="L1888">
        <v>833</v>
      </c>
      <c r="M1888" t="s">
        <v>7048</v>
      </c>
    </row>
    <row r="1889" spans="1:13" x14ac:dyDescent="0.25">
      <c r="A1889" t="s">
        <v>5595</v>
      </c>
      <c r="B1889" t="s">
        <v>14</v>
      </c>
      <c r="C1889">
        <v>55.55</v>
      </c>
      <c r="D1889">
        <v>55.6</v>
      </c>
      <c r="E1889">
        <v>53.1</v>
      </c>
      <c r="F1889">
        <v>53.8</v>
      </c>
      <c r="G1889">
        <v>53.7</v>
      </c>
      <c r="H1889">
        <v>54.55</v>
      </c>
      <c r="I1889">
        <v>12932</v>
      </c>
      <c r="J1889">
        <v>701021.3</v>
      </c>
      <c r="K1889" s="1">
        <v>43777</v>
      </c>
      <c r="L1889">
        <v>157</v>
      </c>
      <c r="M1889" t="s">
        <v>5597</v>
      </c>
    </row>
    <row r="1890" spans="1:13" x14ac:dyDescent="0.25">
      <c r="A1890" t="s">
        <v>5598</v>
      </c>
      <c r="B1890" t="s">
        <v>14</v>
      </c>
      <c r="C1890">
        <v>1740</v>
      </c>
      <c r="D1890">
        <v>1746.35</v>
      </c>
      <c r="E1890">
        <v>1710.05</v>
      </c>
      <c r="F1890">
        <v>1714</v>
      </c>
      <c r="G1890">
        <v>1712</v>
      </c>
      <c r="H1890">
        <v>1749.8</v>
      </c>
      <c r="I1890">
        <v>12065</v>
      </c>
      <c r="J1890">
        <v>20923196.600000001</v>
      </c>
      <c r="K1890" s="1">
        <v>43777</v>
      </c>
      <c r="L1890">
        <v>1446</v>
      </c>
      <c r="M1890" t="s">
        <v>5600</v>
      </c>
    </row>
    <row r="1891" spans="1:13" x14ac:dyDescent="0.25">
      <c r="A1891" t="s">
        <v>5601</v>
      </c>
      <c r="B1891" t="s">
        <v>14</v>
      </c>
      <c r="C1891">
        <v>1027.95</v>
      </c>
      <c r="D1891">
        <v>1027.95</v>
      </c>
      <c r="E1891">
        <v>1013</v>
      </c>
      <c r="F1891">
        <v>1019.65</v>
      </c>
      <c r="G1891">
        <v>1016</v>
      </c>
      <c r="H1891">
        <v>1022.45</v>
      </c>
      <c r="I1891">
        <v>14352</v>
      </c>
      <c r="J1891">
        <v>14616955.550000001</v>
      </c>
      <c r="K1891" s="1">
        <v>43777</v>
      </c>
      <c r="L1891">
        <v>986</v>
      </c>
      <c r="M1891" t="s">
        <v>5603</v>
      </c>
    </row>
    <row r="1892" spans="1:13" x14ac:dyDescent="0.25">
      <c r="A1892" t="s">
        <v>5604</v>
      </c>
      <c r="B1892" t="s">
        <v>14</v>
      </c>
      <c r="C1892">
        <v>665.9</v>
      </c>
      <c r="D1892">
        <v>701.45</v>
      </c>
      <c r="E1892">
        <v>665.5</v>
      </c>
      <c r="F1892">
        <v>693.65</v>
      </c>
      <c r="G1892">
        <v>694.2</v>
      </c>
      <c r="H1892">
        <v>666.65</v>
      </c>
      <c r="I1892">
        <v>2998481</v>
      </c>
      <c r="J1892">
        <v>2070315326.25</v>
      </c>
      <c r="K1892" s="1">
        <v>43777</v>
      </c>
      <c r="L1892">
        <v>70570</v>
      </c>
      <c r="M1892" t="s">
        <v>5606</v>
      </c>
    </row>
    <row r="1893" spans="1:13" x14ac:dyDescent="0.25">
      <c r="A1893" t="s">
        <v>5610</v>
      </c>
      <c r="B1893" t="s">
        <v>14</v>
      </c>
      <c r="C1893">
        <v>266.85000000000002</v>
      </c>
      <c r="D1893">
        <v>269.10000000000002</v>
      </c>
      <c r="E1893">
        <v>261</v>
      </c>
      <c r="F1893">
        <v>262.60000000000002</v>
      </c>
      <c r="G1893">
        <v>263.39999999999998</v>
      </c>
      <c r="H1893">
        <v>266.25</v>
      </c>
      <c r="I1893">
        <v>32693</v>
      </c>
      <c r="J1893">
        <v>8647055.5999999996</v>
      </c>
      <c r="K1893" s="1">
        <v>43777</v>
      </c>
      <c r="L1893">
        <v>1097</v>
      </c>
      <c r="M1893" t="s">
        <v>5612</v>
      </c>
    </row>
    <row r="1894" spans="1:13" x14ac:dyDescent="0.25">
      <c r="A1894" t="s">
        <v>5613</v>
      </c>
      <c r="B1894" t="s">
        <v>14</v>
      </c>
      <c r="C1894">
        <v>68.95</v>
      </c>
      <c r="D1894">
        <v>70</v>
      </c>
      <c r="E1894">
        <v>67.099999999999994</v>
      </c>
      <c r="F1894">
        <v>68.150000000000006</v>
      </c>
      <c r="G1894">
        <v>67.3</v>
      </c>
      <c r="H1894">
        <v>68.599999999999994</v>
      </c>
      <c r="I1894">
        <v>1828</v>
      </c>
      <c r="J1894">
        <v>124227.3</v>
      </c>
      <c r="K1894" s="1">
        <v>43777</v>
      </c>
      <c r="L1894">
        <v>65</v>
      </c>
      <c r="M1894" t="s">
        <v>5615</v>
      </c>
    </row>
    <row r="1895" spans="1:13" x14ac:dyDescent="0.25">
      <c r="A1895" t="s">
        <v>5616</v>
      </c>
      <c r="B1895" t="s">
        <v>14</v>
      </c>
      <c r="C1895">
        <v>4185</v>
      </c>
      <c r="D1895">
        <v>4301.5</v>
      </c>
      <c r="E1895">
        <v>4112.5</v>
      </c>
      <c r="F1895">
        <v>4186.55</v>
      </c>
      <c r="G1895">
        <v>4120</v>
      </c>
      <c r="H1895">
        <v>4177.8</v>
      </c>
      <c r="I1895">
        <v>7689</v>
      </c>
      <c r="J1895">
        <v>32574136.149999999</v>
      </c>
      <c r="K1895" s="1">
        <v>43777</v>
      </c>
      <c r="L1895">
        <v>1393</v>
      </c>
      <c r="M1895" t="s">
        <v>5618</v>
      </c>
    </row>
    <row r="1896" spans="1:13" x14ac:dyDescent="0.25">
      <c r="A1896" t="s">
        <v>5619</v>
      </c>
      <c r="B1896" t="s">
        <v>14</v>
      </c>
      <c r="C1896">
        <v>1284.8499999999999</v>
      </c>
      <c r="D1896">
        <v>1305</v>
      </c>
      <c r="E1896">
        <v>1270.2</v>
      </c>
      <c r="F1896">
        <v>1285.2</v>
      </c>
      <c r="G1896">
        <v>1305</v>
      </c>
      <c r="H1896">
        <v>1273.8499999999999</v>
      </c>
      <c r="I1896">
        <v>2152</v>
      </c>
      <c r="J1896">
        <v>2763662.85</v>
      </c>
      <c r="K1896" s="1">
        <v>43777</v>
      </c>
      <c r="L1896">
        <v>410</v>
      </c>
      <c r="M1896" t="s">
        <v>5621</v>
      </c>
    </row>
    <row r="1897" spans="1:13" x14ac:dyDescent="0.25">
      <c r="A1897" t="s">
        <v>5622</v>
      </c>
      <c r="B1897" t="s">
        <v>14</v>
      </c>
      <c r="C1897">
        <v>883.2</v>
      </c>
      <c r="D1897">
        <v>908</v>
      </c>
      <c r="E1897">
        <v>855.5</v>
      </c>
      <c r="F1897">
        <v>881.1</v>
      </c>
      <c r="G1897">
        <v>884</v>
      </c>
      <c r="H1897">
        <v>895.15</v>
      </c>
      <c r="I1897">
        <v>79839</v>
      </c>
      <c r="J1897">
        <v>70097713.650000006</v>
      </c>
      <c r="K1897" s="1">
        <v>43777</v>
      </c>
      <c r="L1897">
        <v>6134</v>
      </c>
      <c r="M1897" t="s">
        <v>7047</v>
      </c>
    </row>
    <row r="1898" spans="1:13" x14ac:dyDescent="0.25">
      <c r="A1898" t="s">
        <v>5625</v>
      </c>
      <c r="B1898" t="s">
        <v>14</v>
      </c>
      <c r="C1898">
        <v>178.5</v>
      </c>
      <c r="D1898">
        <v>179.25</v>
      </c>
      <c r="E1898">
        <v>175.05</v>
      </c>
      <c r="F1898">
        <v>175.55</v>
      </c>
      <c r="G1898">
        <v>176.6</v>
      </c>
      <c r="H1898">
        <v>179.6</v>
      </c>
      <c r="I1898">
        <v>98850</v>
      </c>
      <c r="J1898">
        <v>17501308.199999999</v>
      </c>
      <c r="K1898" s="1">
        <v>43777</v>
      </c>
      <c r="L1898">
        <v>3773</v>
      </c>
      <c r="M1898" t="s">
        <v>5627</v>
      </c>
    </row>
    <row r="1899" spans="1:13" x14ac:dyDescent="0.25">
      <c r="A1899" t="s">
        <v>7046</v>
      </c>
      <c r="B1899" t="s">
        <v>14</v>
      </c>
      <c r="C1899">
        <v>6196</v>
      </c>
      <c r="D1899">
        <v>6196.95</v>
      </c>
      <c r="E1899">
        <v>6152.15</v>
      </c>
      <c r="F1899">
        <v>6171.1</v>
      </c>
      <c r="G1899">
        <v>6171</v>
      </c>
      <c r="H1899">
        <v>6186.3</v>
      </c>
      <c r="I1899">
        <v>899</v>
      </c>
      <c r="J1899">
        <v>5545306.2000000002</v>
      </c>
      <c r="K1899" s="1">
        <v>43777</v>
      </c>
      <c r="L1899">
        <v>182</v>
      </c>
      <c r="M1899" t="s">
        <v>5759</v>
      </c>
    </row>
    <row r="1900" spans="1:13" x14ac:dyDescent="0.25">
      <c r="A1900" t="s">
        <v>5628</v>
      </c>
      <c r="B1900" t="s">
        <v>14</v>
      </c>
      <c r="C1900">
        <v>68.5</v>
      </c>
      <c r="D1900">
        <v>70.8</v>
      </c>
      <c r="E1900">
        <v>67.599999999999994</v>
      </c>
      <c r="F1900">
        <v>67.900000000000006</v>
      </c>
      <c r="G1900">
        <v>68</v>
      </c>
      <c r="H1900">
        <v>69.7</v>
      </c>
      <c r="I1900">
        <v>459444</v>
      </c>
      <c r="J1900">
        <v>31826007.699999999</v>
      </c>
      <c r="K1900" s="1">
        <v>43777</v>
      </c>
      <c r="L1900">
        <v>3976</v>
      </c>
      <c r="M1900" t="s">
        <v>5630</v>
      </c>
    </row>
    <row r="1901" spans="1:13" x14ac:dyDescent="0.25">
      <c r="A1901" t="s">
        <v>5631</v>
      </c>
      <c r="B1901" t="s">
        <v>10</v>
      </c>
      <c r="C1901">
        <v>14.15</v>
      </c>
      <c r="D1901">
        <v>14.8</v>
      </c>
      <c r="E1901">
        <v>13.55</v>
      </c>
      <c r="F1901">
        <v>13.8</v>
      </c>
      <c r="G1901">
        <v>14</v>
      </c>
      <c r="H1901">
        <v>14.1</v>
      </c>
      <c r="I1901">
        <v>5147</v>
      </c>
      <c r="J1901">
        <v>73713.8</v>
      </c>
      <c r="K1901" s="1">
        <v>43777</v>
      </c>
      <c r="L1901">
        <v>31</v>
      </c>
      <c r="M1901" t="s">
        <v>5633</v>
      </c>
    </row>
    <row r="1902" spans="1:13" x14ac:dyDescent="0.25">
      <c r="A1902" t="s">
        <v>7045</v>
      </c>
      <c r="B1902" t="s">
        <v>14</v>
      </c>
      <c r="C1902">
        <v>142.9</v>
      </c>
      <c r="D1902">
        <v>153.9</v>
      </c>
      <c r="E1902">
        <v>140</v>
      </c>
      <c r="F1902">
        <v>144.19999999999999</v>
      </c>
      <c r="G1902">
        <v>143.44999999999999</v>
      </c>
      <c r="H1902">
        <v>144.15</v>
      </c>
      <c r="I1902">
        <v>1198671</v>
      </c>
      <c r="J1902">
        <v>177864782.30000001</v>
      </c>
      <c r="K1902" s="1">
        <v>43777</v>
      </c>
      <c r="L1902">
        <v>15712</v>
      </c>
      <c r="M1902" t="s">
        <v>7044</v>
      </c>
    </row>
    <row r="1903" spans="1:13" x14ac:dyDescent="0.25">
      <c r="A1903" t="s">
        <v>5637</v>
      </c>
      <c r="B1903" t="s">
        <v>14</v>
      </c>
      <c r="C1903">
        <v>26.4</v>
      </c>
      <c r="D1903">
        <v>26.4</v>
      </c>
      <c r="E1903">
        <v>24.45</v>
      </c>
      <c r="F1903">
        <v>24.9</v>
      </c>
      <c r="G1903">
        <v>24.75</v>
      </c>
      <c r="H1903">
        <v>25.65</v>
      </c>
      <c r="I1903">
        <v>56244</v>
      </c>
      <c r="J1903">
        <v>1405501.1</v>
      </c>
      <c r="K1903" s="1">
        <v>43777</v>
      </c>
      <c r="L1903">
        <v>489</v>
      </c>
      <c r="M1903" t="s">
        <v>5639</v>
      </c>
    </row>
    <row r="1904" spans="1:13" x14ac:dyDescent="0.25">
      <c r="A1904" t="s">
        <v>7043</v>
      </c>
      <c r="B1904" t="s">
        <v>14</v>
      </c>
      <c r="C1904">
        <v>285.85000000000002</v>
      </c>
      <c r="D1904">
        <v>285.89999999999998</v>
      </c>
      <c r="E1904">
        <v>265</v>
      </c>
      <c r="F1904">
        <v>281.64999999999998</v>
      </c>
      <c r="G1904">
        <v>284.89999999999998</v>
      </c>
      <c r="H1904">
        <v>280.89999999999998</v>
      </c>
      <c r="I1904">
        <v>687</v>
      </c>
      <c r="J1904">
        <v>189720.15</v>
      </c>
      <c r="K1904" s="1">
        <v>43777</v>
      </c>
      <c r="L1904">
        <v>152</v>
      </c>
      <c r="M1904" t="s">
        <v>1237</v>
      </c>
    </row>
    <row r="1905" spans="1:13" x14ac:dyDescent="0.25">
      <c r="A1905" t="s">
        <v>5640</v>
      </c>
      <c r="B1905" t="s">
        <v>14</v>
      </c>
      <c r="C1905">
        <v>23</v>
      </c>
      <c r="D1905">
        <v>23.05</v>
      </c>
      <c r="E1905">
        <v>21.25</v>
      </c>
      <c r="F1905">
        <v>22</v>
      </c>
      <c r="G1905">
        <v>21.75</v>
      </c>
      <c r="H1905">
        <v>23.45</v>
      </c>
      <c r="I1905">
        <v>9283</v>
      </c>
      <c r="J1905">
        <v>207365.75</v>
      </c>
      <c r="K1905" s="1">
        <v>43777</v>
      </c>
      <c r="L1905">
        <v>50</v>
      </c>
      <c r="M1905" t="s">
        <v>5642</v>
      </c>
    </row>
    <row r="1906" spans="1:13" x14ac:dyDescent="0.25">
      <c r="A1906" t="s">
        <v>5646</v>
      </c>
      <c r="B1906" t="s">
        <v>14</v>
      </c>
      <c r="C1906">
        <v>141.5</v>
      </c>
      <c r="D1906">
        <v>142.9</v>
      </c>
      <c r="E1906">
        <v>137</v>
      </c>
      <c r="F1906">
        <v>137.55000000000001</v>
      </c>
      <c r="G1906">
        <v>137</v>
      </c>
      <c r="H1906">
        <v>141.85</v>
      </c>
      <c r="I1906">
        <v>837541</v>
      </c>
      <c r="J1906">
        <v>117058879.95</v>
      </c>
      <c r="K1906" s="1">
        <v>43777</v>
      </c>
      <c r="L1906">
        <v>7264</v>
      </c>
      <c r="M1906" t="s">
        <v>5648</v>
      </c>
    </row>
    <row r="1907" spans="1:13" x14ac:dyDescent="0.25">
      <c r="A1907" t="s">
        <v>5649</v>
      </c>
      <c r="B1907" t="s">
        <v>14</v>
      </c>
      <c r="C1907">
        <v>87.8</v>
      </c>
      <c r="D1907">
        <v>90.5</v>
      </c>
      <c r="E1907">
        <v>86.1</v>
      </c>
      <c r="F1907">
        <v>87.85</v>
      </c>
      <c r="G1907">
        <v>87.5</v>
      </c>
      <c r="H1907">
        <v>87.8</v>
      </c>
      <c r="I1907">
        <v>127706</v>
      </c>
      <c r="J1907">
        <v>11295137.300000001</v>
      </c>
      <c r="K1907" s="1">
        <v>43777</v>
      </c>
      <c r="L1907">
        <v>2127</v>
      </c>
      <c r="M1907" t="s">
        <v>5651</v>
      </c>
    </row>
    <row r="1908" spans="1:13" x14ac:dyDescent="0.25">
      <c r="A1908" t="s">
        <v>5652</v>
      </c>
      <c r="B1908" t="s">
        <v>10</v>
      </c>
      <c r="C1908">
        <v>193.85</v>
      </c>
      <c r="D1908">
        <v>193.85</v>
      </c>
      <c r="E1908">
        <v>189.6</v>
      </c>
      <c r="F1908">
        <v>189.6</v>
      </c>
      <c r="G1908">
        <v>189.6</v>
      </c>
      <c r="H1908">
        <v>199.55</v>
      </c>
      <c r="I1908">
        <v>107</v>
      </c>
      <c r="J1908">
        <v>20520.95</v>
      </c>
      <c r="K1908" s="1">
        <v>43777</v>
      </c>
      <c r="L1908">
        <v>8</v>
      </c>
      <c r="M1908" t="s">
        <v>5654</v>
      </c>
    </row>
    <row r="1909" spans="1:13" x14ac:dyDescent="0.25">
      <c r="A1909" t="s">
        <v>5655</v>
      </c>
      <c r="B1909" t="s">
        <v>14</v>
      </c>
      <c r="C1909">
        <v>57.05</v>
      </c>
      <c r="D1909">
        <v>58</v>
      </c>
      <c r="E1909">
        <v>56.55</v>
      </c>
      <c r="F1909">
        <v>57</v>
      </c>
      <c r="G1909">
        <v>56.75</v>
      </c>
      <c r="H1909">
        <v>57.5</v>
      </c>
      <c r="I1909">
        <v>459254</v>
      </c>
      <c r="J1909">
        <v>26249853.949999999</v>
      </c>
      <c r="K1909" s="1">
        <v>43777</v>
      </c>
      <c r="L1909">
        <v>4494</v>
      </c>
      <c r="M1909" t="s">
        <v>5657</v>
      </c>
    </row>
    <row r="1910" spans="1:13" x14ac:dyDescent="0.25">
      <c r="A1910" t="s">
        <v>5658</v>
      </c>
      <c r="B1910" t="s">
        <v>14</v>
      </c>
      <c r="C1910">
        <v>3125.05</v>
      </c>
      <c r="D1910">
        <v>3125.05</v>
      </c>
      <c r="E1910">
        <v>3107.3</v>
      </c>
      <c r="F1910">
        <v>3110</v>
      </c>
      <c r="G1910">
        <v>3110</v>
      </c>
      <c r="H1910">
        <v>3134.35</v>
      </c>
      <c r="I1910">
        <v>88</v>
      </c>
      <c r="J1910">
        <v>274177.45</v>
      </c>
      <c r="K1910" s="1">
        <v>43777</v>
      </c>
      <c r="L1910">
        <v>48</v>
      </c>
      <c r="M1910" t="s">
        <v>5660</v>
      </c>
    </row>
    <row r="1911" spans="1:13" x14ac:dyDescent="0.25">
      <c r="A1911" t="s">
        <v>5661</v>
      </c>
      <c r="B1911" t="s">
        <v>14</v>
      </c>
      <c r="C1911">
        <v>376.65</v>
      </c>
      <c r="D1911">
        <v>403.8</v>
      </c>
      <c r="E1911">
        <v>373</v>
      </c>
      <c r="F1911">
        <v>385.25</v>
      </c>
      <c r="G1911">
        <v>385.5</v>
      </c>
      <c r="H1911">
        <v>382.1</v>
      </c>
      <c r="I1911">
        <v>123212</v>
      </c>
      <c r="J1911">
        <v>47995740.950000003</v>
      </c>
      <c r="K1911" s="1">
        <v>43777</v>
      </c>
      <c r="L1911">
        <v>4508</v>
      </c>
      <c r="M1911" t="s">
        <v>5663</v>
      </c>
    </row>
    <row r="1912" spans="1:13" x14ac:dyDescent="0.25">
      <c r="A1912" t="s">
        <v>5667</v>
      </c>
      <c r="B1912" t="s">
        <v>14</v>
      </c>
      <c r="C1912">
        <v>620.04999999999995</v>
      </c>
      <c r="D1912">
        <v>648</v>
      </c>
      <c r="E1912">
        <v>616</v>
      </c>
      <c r="F1912">
        <v>627.29999999999995</v>
      </c>
      <c r="G1912">
        <v>644</v>
      </c>
      <c r="H1912">
        <v>625.35</v>
      </c>
      <c r="I1912">
        <v>3680</v>
      </c>
      <c r="J1912">
        <v>2322362.7999999998</v>
      </c>
      <c r="K1912" s="1">
        <v>43777</v>
      </c>
      <c r="L1912">
        <v>428</v>
      </c>
      <c r="M1912" t="s">
        <v>5669</v>
      </c>
    </row>
    <row r="1913" spans="1:13" x14ac:dyDescent="0.25">
      <c r="A1913" t="s">
        <v>5670</v>
      </c>
      <c r="B1913" t="s">
        <v>14</v>
      </c>
      <c r="C1913">
        <v>2198.75</v>
      </c>
      <c r="D1913">
        <v>2222</v>
      </c>
      <c r="E1913">
        <v>2162.85</v>
      </c>
      <c r="F1913">
        <v>2199.4499999999998</v>
      </c>
      <c r="G1913">
        <v>2200</v>
      </c>
      <c r="H1913">
        <v>2183.6999999999998</v>
      </c>
      <c r="I1913">
        <v>78926</v>
      </c>
      <c r="J1913">
        <v>174040572</v>
      </c>
      <c r="K1913" s="1">
        <v>43777</v>
      </c>
      <c r="L1913">
        <v>5076</v>
      </c>
      <c r="M1913" t="s">
        <v>5672</v>
      </c>
    </row>
    <row r="1914" spans="1:13" x14ac:dyDescent="0.25">
      <c r="A1914" t="s">
        <v>5673</v>
      </c>
      <c r="B1914" t="s">
        <v>14</v>
      </c>
      <c r="C1914">
        <v>14.9</v>
      </c>
      <c r="D1914">
        <v>15.35</v>
      </c>
      <c r="E1914">
        <v>13.95</v>
      </c>
      <c r="F1914">
        <v>14</v>
      </c>
      <c r="G1914">
        <v>14</v>
      </c>
      <c r="H1914">
        <v>14.65</v>
      </c>
      <c r="I1914">
        <v>9346</v>
      </c>
      <c r="J1914">
        <v>132680.75</v>
      </c>
      <c r="K1914" s="1">
        <v>43777</v>
      </c>
      <c r="L1914">
        <v>58</v>
      </c>
      <c r="M1914" t="s">
        <v>5675</v>
      </c>
    </row>
    <row r="1915" spans="1:13" x14ac:dyDescent="0.25">
      <c r="A1915" t="s">
        <v>5679</v>
      </c>
      <c r="B1915" t="s">
        <v>10</v>
      </c>
      <c r="C1915">
        <v>21.05</v>
      </c>
      <c r="D1915">
        <v>21.05</v>
      </c>
      <c r="E1915">
        <v>20.05</v>
      </c>
      <c r="F1915">
        <v>20.25</v>
      </c>
      <c r="G1915">
        <v>20.25</v>
      </c>
      <c r="H1915">
        <v>20.5</v>
      </c>
      <c r="I1915">
        <v>2102</v>
      </c>
      <c r="J1915">
        <v>42368.3</v>
      </c>
      <c r="K1915" s="1">
        <v>43777</v>
      </c>
      <c r="L1915">
        <v>17</v>
      </c>
      <c r="M1915" t="s">
        <v>5681</v>
      </c>
    </row>
    <row r="1916" spans="1:13" x14ac:dyDescent="0.25">
      <c r="A1916" t="s">
        <v>5688</v>
      </c>
      <c r="B1916" t="s">
        <v>14</v>
      </c>
      <c r="C1916">
        <v>260.14999999999998</v>
      </c>
      <c r="D1916">
        <v>260.8</v>
      </c>
      <c r="E1916">
        <v>255.75</v>
      </c>
      <c r="F1916">
        <v>256.39999999999998</v>
      </c>
      <c r="G1916">
        <v>256.60000000000002</v>
      </c>
      <c r="H1916">
        <v>259.64999999999998</v>
      </c>
      <c r="I1916">
        <v>1539854</v>
      </c>
      <c r="J1916">
        <v>398045667.85000002</v>
      </c>
      <c r="K1916" s="1">
        <v>43777</v>
      </c>
      <c r="L1916">
        <v>19422</v>
      </c>
      <c r="M1916" t="s">
        <v>5690</v>
      </c>
    </row>
    <row r="1917" spans="1:13" x14ac:dyDescent="0.25">
      <c r="A1917" t="s">
        <v>5691</v>
      </c>
      <c r="B1917" t="s">
        <v>14</v>
      </c>
      <c r="C1917">
        <v>287</v>
      </c>
      <c r="D1917">
        <v>293.75</v>
      </c>
      <c r="E1917">
        <v>283.3</v>
      </c>
      <c r="F1917">
        <v>286.75</v>
      </c>
      <c r="G1917">
        <v>286.75</v>
      </c>
      <c r="H1917">
        <v>301.10000000000002</v>
      </c>
      <c r="I1917">
        <v>824150</v>
      </c>
      <c r="J1917">
        <v>238356212.69999999</v>
      </c>
      <c r="K1917" s="1">
        <v>43777</v>
      </c>
      <c r="L1917">
        <v>15957</v>
      </c>
      <c r="M1917" t="s">
        <v>5693</v>
      </c>
    </row>
    <row r="1918" spans="1:13" x14ac:dyDescent="0.25">
      <c r="A1918" t="s">
        <v>5694</v>
      </c>
      <c r="B1918" t="s">
        <v>14</v>
      </c>
      <c r="C1918">
        <v>281.5</v>
      </c>
      <c r="D1918">
        <v>281.5</v>
      </c>
      <c r="E1918">
        <v>275.75</v>
      </c>
      <c r="F1918">
        <v>276.14999999999998</v>
      </c>
      <c r="G1918">
        <v>276</v>
      </c>
      <c r="H1918">
        <v>275.95</v>
      </c>
      <c r="I1918">
        <v>10769</v>
      </c>
      <c r="J1918">
        <v>2984154.9</v>
      </c>
      <c r="K1918" s="1">
        <v>43777</v>
      </c>
      <c r="L1918">
        <v>375</v>
      </c>
      <c r="M1918" t="s">
        <v>5696</v>
      </c>
    </row>
    <row r="1919" spans="1:13" x14ac:dyDescent="0.25">
      <c r="A1919" t="s">
        <v>5700</v>
      </c>
      <c r="B1919" t="s">
        <v>10</v>
      </c>
      <c r="C1919">
        <v>0.9</v>
      </c>
      <c r="D1919">
        <v>0.9</v>
      </c>
      <c r="E1919">
        <v>0.9</v>
      </c>
      <c r="F1919">
        <v>0.9</v>
      </c>
      <c r="G1919">
        <v>0.9</v>
      </c>
      <c r="H1919">
        <v>0.9</v>
      </c>
      <c r="I1919">
        <v>1</v>
      </c>
      <c r="J1919">
        <v>0.9</v>
      </c>
      <c r="K1919" s="1">
        <v>43777</v>
      </c>
      <c r="L1919">
        <v>1</v>
      </c>
      <c r="M1919" t="s">
        <v>5702</v>
      </c>
    </row>
    <row r="1920" spans="1:13" x14ac:dyDescent="0.25">
      <c r="A1920" t="s">
        <v>5703</v>
      </c>
      <c r="B1920" t="s">
        <v>14</v>
      </c>
      <c r="C1920">
        <v>227.5</v>
      </c>
      <c r="D1920">
        <v>229</v>
      </c>
      <c r="E1920">
        <v>225</v>
      </c>
      <c r="F1920">
        <v>225.65</v>
      </c>
      <c r="G1920">
        <v>225.95</v>
      </c>
      <c r="H1920">
        <v>227.65</v>
      </c>
      <c r="I1920">
        <v>48025</v>
      </c>
      <c r="J1920">
        <v>10887837.85</v>
      </c>
      <c r="K1920" s="1">
        <v>43777</v>
      </c>
      <c r="L1920">
        <v>1454</v>
      </c>
      <c r="M1920" t="s">
        <v>5705</v>
      </c>
    </row>
    <row r="1921" spans="1:13" x14ac:dyDescent="0.25">
      <c r="A1921" t="s">
        <v>5706</v>
      </c>
      <c r="B1921" t="s">
        <v>14</v>
      </c>
      <c r="C1921">
        <v>53.2</v>
      </c>
      <c r="D1921">
        <v>55</v>
      </c>
      <c r="E1921">
        <v>53.2</v>
      </c>
      <c r="F1921">
        <v>53.75</v>
      </c>
      <c r="G1921">
        <v>53.6</v>
      </c>
      <c r="H1921">
        <v>54</v>
      </c>
      <c r="I1921">
        <v>34953</v>
      </c>
      <c r="J1921">
        <v>1888587</v>
      </c>
      <c r="K1921" s="1">
        <v>43777</v>
      </c>
      <c r="L1921">
        <v>102</v>
      </c>
      <c r="M1921" t="s">
        <v>5708</v>
      </c>
    </row>
    <row r="1922" spans="1:13" x14ac:dyDescent="0.25">
      <c r="A1922" t="s">
        <v>5709</v>
      </c>
      <c r="B1922" t="s">
        <v>14</v>
      </c>
      <c r="C1922">
        <v>70.7</v>
      </c>
      <c r="D1922">
        <v>70.75</v>
      </c>
      <c r="E1922">
        <v>69.25</v>
      </c>
      <c r="F1922">
        <v>70</v>
      </c>
      <c r="G1922">
        <v>70</v>
      </c>
      <c r="H1922">
        <v>70.8</v>
      </c>
      <c r="I1922">
        <v>831</v>
      </c>
      <c r="J1922">
        <v>58242.2</v>
      </c>
      <c r="K1922" s="1">
        <v>43777</v>
      </c>
      <c r="L1922">
        <v>115</v>
      </c>
      <c r="M1922" t="s">
        <v>5711</v>
      </c>
    </row>
    <row r="1923" spans="1:13" x14ac:dyDescent="0.25">
      <c r="A1923" t="s">
        <v>7042</v>
      </c>
      <c r="B1923" t="s">
        <v>10</v>
      </c>
      <c r="C1923">
        <v>0.45</v>
      </c>
      <c r="D1923">
        <v>0.5</v>
      </c>
      <c r="E1923">
        <v>0.4</v>
      </c>
      <c r="F1923">
        <v>0.5</v>
      </c>
      <c r="G1923">
        <v>0.5</v>
      </c>
      <c r="H1923">
        <v>0.45</v>
      </c>
      <c r="I1923">
        <v>21015</v>
      </c>
      <c r="J1923">
        <v>10397.549999999999</v>
      </c>
      <c r="K1923" s="1">
        <v>43777</v>
      </c>
      <c r="L1923">
        <v>22</v>
      </c>
      <c r="M1923" t="s">
        <v>7041</v>
      </c>
    </row>
    <row r="1924" spans="1:13" x14ac:dyDescent="0.25">
      <c r="A1924" t="s">
        <v>5712</v>
      </c>
      <c r="B1924" t="s">
        <v>14</v>
      </c>
      <c r="C1924">
        <v>24.25</v>
      </c>
      <c r="D1924">
        <v>24.5</v>
      </c>
      <c r="E1924">
        <v>22.25</v>
      </c>
      <c r="F1924">
        <v>22.55</v>
      </c>
      <c r="G1924">
        <v>22.5</v>
      </c>
      <c r="H1924">
        <v>23.25</v>
      </c>
      <c r="I1924">
        <v>6039</v>
      </c>
      <c r="J1924">
        <v>138442.29999999999</v>
      </c>
      <c r="K1924" s="1">
        <v>43777</v>
      </c>
      <c r="L1924">
        <v>65</v>
      </c>
      <c r="M1924" t="s">
        <v>5714</v>
      </c>
    </row>
    <row r="1925" spans="1:13" x14ac:dyDescent="0.25">
      <c r="A1925" t="s">
        <v>5727</v>
      </c>
      <c r="B1925" t="s">
        <v>14</v>
      </c>
      <c r="C1925">
        <v>65.900000000000006</v>
      </c>
      <c r="D1925">
        <v>72.3</v>
      </c>
      <c r="E1925">
        <v>64.3</v>
      </c>
      <c r="F1925">
        <v>68.95</v>
      </c>
      <c r="G1925">
        <v>69.650000000000006</v>
      </c>
      <c r="H1925">
        <v>66.45</v>
      </c>
      <c r="I1925">
        <v>413106980</v>
      </c>
      <c r="J1925">
        <v>28689577290.400002</v>
      </c>
      <c r="K1925" s="1">
        <v>43777</v>
      </c>
      <c r="L1925">
        <v>828730</v>
      </c>
      <c r="M1925" t="s">
        <v>7040</v>
      </c>
    </row>
    <row r="1926" spans="1:13" x14ac:dyDescent="0.25">
      <c r="A1926" t="s">
        <v>5736</v>
      </c>
      <c r="B1926" t="s">
        <v>14</v>
      </c>
      <c r="C1926">
        <v>287</v>
      </c>
      <c r="D1926">
        <v>295</v>
      </c>
      <c r="E1926">
        <v>284.5</v>
      </c>
      <c r="F1926">
        <v>287.5</v>
      </c>
      <c r="G1926">
        <v>287.3</v>
      </c>
      <c r="H1926">
        <v>285.75</v>
      </c>
      <c r="I1926">
        <v>10777211</v>
      </c>
      <c r="J1926">
        <v>3125635218.6999998</v>
      </c>
      <c r="K1926" s="1">
        <v>43777</v>
      </c>
      <c r="L1926">
        <v>115051</v>
      </c>
      <c r="M1926" t="s">
        <v>5738</v>
      </c>
    </row>
    <row r="1927" spans="1:13" x14ac:dyDescent="0.25">
      <c r="A1927" t="s">
        <v>5736</v>
      </c>
      <c r="B1927" t="s">
        <v>7039</v>
      </c>
      <c r="C1927">
        <v>5.25</v>
      </c>
      <c r="D1927">
        <v>5.35</v>
      </c>
      <c r="E1927">
        <v>5.25</v>
      </c>
      <c r="F1927">
        <v>5.25</v>
      </c>
      <c r="G1927">
        <v>5.25</v>
      </c>
      <c r="H1927">
        <v>5.3</v>
      </c>
      <c r="I1927">
        <v>4446</v>
      </c>
      <c r="J1927">
        <v>23725.25</v>
      </c>
      <c r="K1927" s="1">
        <v>43777</v>
      </c>
      <c r="L1927">
        <v>18</v>
      </c>
      <c r="M1927" t="s">
        <v>7038</v>
      </c>
    </row>
    <row r="1928" spans="1:13" x14ac:dyDescent="0.25">
      <c r="A1928" t="s">
        <v>5739</v>
      </c>
      <c r="B1928" t="s">
        <v>14</v>
      </c>
      <c r="C1928">
        <v>22.15</v>
      </c>
      <c r="D1928">
        <v>22.15</v>
      </c>
      <c r="E1928">
        <v>21.6</v>
      </c>
      <c r="F1928">
        <v>21.7</v>
      </c>
      <c r="G1928">
        <v>21.6</v>
      </c>
      <c r="H1928">
        <v>22.05</v>
      </c>
      <c r="I1928">
        <v>52958</v>
      </c>
      <c r="J1928">
        <v>1156763.3</v>
      </c>
      <c r="K1928" s="1">
        <v>43777</v>
      </c>
      <c r="L1928">
        <v>997</v>
      </c>
      <c r="M1928" t="s">
        <v>5741</v>
      </c>
    </row>
    <row r="1929" spans="1:13" x14ac:dyDescent="0.25">
      <c r="A1929" t="s">
        <v>5742</v>
      </c>
      <c r="B1929" t="s">
        <v>14</v>
      </c>
      <c r="C1929">
        <v>6.75</v>
      </c>
      <c r="D1929">
        <v>6.75</v>
      </c>
      <c r="E1929">
        <v>6.75</v>
      </c>
      <c r="F1929">
        <v>6.75</v>
      </c>
      <c r="G1929">
        <v>6.75</v>
      </c>
      <c r="H1929">
        <v>6.45</v>
      </c>
      <c r="I1929">
        <v>119722</v>
      </c>
      <c r="J1929">
        <v>808123.5</v>
      </c>
      <c r="K1929" s="1">
        <v>43777</v>
      </c>
      <c r="L1929">
        <v>131</v>
      </c>
      <c r="M1929" t="s">
        <v>5744</v>
      </c>
    </row>
    <row r="1930" spans="1:13" x14ac:dyDescent="0.25">
      <c r="A1930" t="s">
        <v>7037</v>
      </c>
      <c r="B1930" t="s">
        <v>10</v>
      </c>
      <c r="C1930">
        <v>0.65</v>
      </c>
      <c r="D1930">
        <v>0.7</v>
      </c>
      <c r="E1930">
        <v>0.6</v>
      </c>
      <c r="F1930">
        <v>0.65</v>
      </c>
      <c r="G1930">
        <v>0.65</v>
      </c>
      <c r="H1930">
        <v>0.65</v>
      </c>
      <c r="I1930">
        <v>21828</v>
      </c>
      <c r="J1930">
        <v>14224.1</v>
      </c>
      <c r="K1930" s="1">
        <v>43777</v>
      </c>
      <c r="L1930">
        <v>48</v>
      </c>
      <c r="M1930" t="s">
        <v>5750</v>
      </c>
    </row>
    <row r="1931" spans="1:13" x14ac:dyDescent="0.25">
      <c r="A1931" t="s">
        <v>5745</v>
      </c>
      <c r="B1931" t="s">
        <v>14</v>
      </c>
      <c r="C1931">
        <v>41.15</v>
      </c>
      <c r="D1931">
        <v>45.45</v>
      </c>
      <c r="E1931">
        <v>41.15</v>
      </c>
      <c r="F1931">
        <v>44</v>
      </c>
      <c r="G1931">
        <v>44</v>
      </c>
      <c r="H1931">
        <v>43.9</v>
      </c>
      <c r="I1931">
        <v>479</v>
      </c>
      <c r="J1931">
        <v>20838.55</v>
      </c>
      <c r="K1931" s="1">
        <v>43777</v>
      </c>
      <c r="L1931">
        <v>32</v>
      </c>
      <c r="M1931" t="s">
        <v>5747</v>
      </c>
    </row>
    <row r="1932" spans="1:13" x14ac:dyDescent="0.25">
      <c r="A1932" t="s">
        <v>5751</v>
      </c>
      <c r="B1932" t="s">
        <v>14</v>
      </c>
      <c r="C1932">
        <v>193</v>
      </c>
      <c r="D1932">
        <v>193</v>
      </c>
      <c r="E1932">
        <v>188.2</v>
      </c>
      <c r="F1932">
        <v>189.15</v>
      </c>
      <c r="G1932">
        <v>190.15</v>
      </c>
      <c r="H1932">
        <v>191.4</v>
      </c>
      <c r="I1932">
        <v>29054</v>
      </c>
      <c r="J1932">
        <v>5506785.9500000002</v>
      </c>
      <c r="K1932" s="1">
        <v>43777</v>
      </c>
      <c r="L1932">
        <v>2959</v>
      </c>
      <c r="M1932" t="s">
        <v>5753</v>
      </c>
    </row>
    <row r="1933" spans="1:13" x14ac:dyDescent="0.25">
      <c r="A1933" t="s">
        <v>5754</v>
      </c>
      <c r="B1933" t="s">
        <v>14</v>
      </c>
      <c r="C1933">
        <v>65.8</v>
      </c>
      <c r="D1933">
        <v>67.8</v>
      </c>
      <c r="E1933">
        <v>63.4</v>
      </c>
      <c r="F1933">
        <v>64.400000000000006</v>
      </c>
      <c r="G1933">
        <v>64</v>
      </c>
      <c r="H1933">
        <v>65.849999999999994</v>
      </c>
      <c r="I1933">
        <v>55474</v>
      </c>
      <c r="J1933">
        <v>3628909.75</v>
      </c>
      <c r="K1933" s="1">
        <v>43777</v>
      </c>
      <c r="L1933">
        <v>624</v>
      </c>
      <c r="M1933" t="s">
        <v>5756</v>
      </c>
    </row>
    <row r="1934" spans="1:13" x14ac:dyDescent="0.25">
      <c r="A1934" t="s">
        <v>7036</v>
      </c>
      <c r="B1934" t="s">
        <v>10</v>
      </c>
      <c r="C1934">
        <v>1.4</v>
      </c>
      <c r="D1934">
        <v>1.4</v>
      </c>
      <c r="E1934">
        <v>1.4</v>
      </c>
      <c r="F1934">
        <v>1.4</v>
      </c>
      <c r="G1934">
        <v>1.4</v>
      </c>
      <c r="H1934">
        <v>1.35</v>
      </c>
      <c r="I1934">
        <v>20234</v>
      </c>
      <c r="J1934">
        <v>28327.599999999999</v>
      </c>
      <c r="K1934" s="1">
        <v>43777</v>
      </c>
      <c r="L1934">
        <v>18</v>
      </c>
      <c r="M1934" t="s">
        <v>7035</v>
      </c>
    </row>
    <row r="1935" spans="1:13" x14ac:dyDescent="0.25">
      <c r="A1935" t="s">
        <v>5763</v>
      </c>
      <c r="B1935" t="s">
        <v>5788</v>
      </c>
      <c r="C1935">
        <v>27.15</v>
      </c>
      <c r="D1935">
        <v>27.5</v>
      </c>
      <c r="E1935">
        <v>27.15</v>
      </c>
      <c r="F1935">
        <v>27.3</v>
      </c>
      <c r="G1935">
        <v>27.5</v>
      </c>
      <c r="H1935">
        <v>25.15</v>
      </c>
      <c r="I1935">
        <v>6000</v>
      </c>
      <c r="J1935">
        <v>163700</v>
      </c>
      <c r="K1935" s="1">
        <v>43777</v>
      </c>
      <c r="L1935">
        <v>3</v>
      </c>
      <c r="M1935" t="s">
        <v>5765</v>
      </c>
    </row>
    <row r="1936" spans="1:13" x14ac:dyDescent="0.25">
      <c r="A1936" t="s">
        <v>5766</v>
      </c>
      <c r="B1936" t="s">
        <v>14</v>
      </c>
      <c r="C1936">
        <v>188</v>
      </c>
      <c r="D1936">
        <v>191</v>
      </c>
      <c r="E1936">
        <v>186</v>
      </c>
      <c r="F1936">
        <v>187</v>
      </c>
      <c r="G1936">
        <v>187.75</v>
      </c>
      <c r="H1936">
        <v>191.75</v>
      </c>
      <c r="I1936">
        <v>631</v>
      </c>
      <c r="J1936">
        <v>118537.85</v>
      </c>
      <c r="K1936" s="1">
        <v>43777</v>
      </c>
      <c r="L1936">
        <v>123</v>
      </c>
      <c r="M1936" t="s">
        <v>5768</v>
      </c>
    </row>
    <row r="1937" spans="1:13" x14ac:dyDescent="0.25">
      <c r="A1937" t="s">
        <v>7034</v>
      </c>
      <c r="B1937" t="s">
        <v>14</v>
      </c>
      <c r="C1937">
        <v>38.65</v>
      </c>
      <c r="D1937">
        <v>38.65</v>
      </c>
      <c r="E1937">
        <v>31.95</v>
      </c>
      <c r="F1937">
        <v>32.65</v>
      </c>
      <c r="G1937">
        <v>33.85</v>
      </c>
      <c r="H1937">
        <v>36.9</v>
      </c>
      <c r="I1937">
        <v>13554</v>
      </c>
      <c r="J1937">
        <v>469325.4</v>
      </c>
      <c r="K1937" s="1">
        <v>43777</v>
      </c>
      <c r="L1937">
        <v>370</v>
      </c>
      <c r="M1937" t="s">
        <v>7033</v>
      </c>
    </row>
    <row r="1938" spans="1:13" x14ac:dyDescent="0.25">
      <c r="A1938" t="s">
        <v>5772</v>
      </c>
      <c r="B1938" t="s">
        <v>14</v>
      </c>
      <c r="C1938">
        <v>183</v>
      </c>
      <c r="D1938">
        <v>187</v>
      </c>
      <c r="E1938">
        <v>183</v>
      </c>
      <c r="F1938">
        <v>183.35</v>
      </c>
      <c r="G1938">
        <v>187</v>
      </c>
      <c r="H1938">
        <v>184.5</v>
      </c>
      <c r="I1938">
        <v>22252</v>
      </c>
      <c r="J1938">
        <v>4100845.35</v>
      </c>
      <c r="K1938" s="1">
        <v>43777</v>
      </c>
      <c r="L1938">
        <v>113</v>
      </c>
      <c r="M1938" t="s">
        <v>5774</v>
      </c>
    </row>
    <row r="1939" spans="1:13" x14ac:dyDescent="0.25">
      <c r="A1939" t="s">
        <v>5775</v>
      </c>
      <c r="B1939" t="s">
        <v>14</v>
      </c>
      <c r="C1939">
        <v>92.35</v>
      </c>
      <c r="D1939">
        <v>95.4</v>
      </c>
      <c r="E1939">
        <v>90.45</v>
      </c>
      <c r="F1939">
        <v>92.2</v>
      </c>
      <c r="G1939">
        <v>92.05</v>
      </c>
      <c r="H1939">
        <v>91.5</v>
      </c>
      <c r="I1939">
        <v>50497</v>
      </c>
      <c r="J1939">
        <v>4695842.2</v>
      </c>
      <c r="K1939" s="1">
        <v>43777</v>
      </c>
      <c r="L1939">
        <v>2121</v>
      </c>
      <c r="M1939" t="s">
        <v>5777</v>
      </c>
    </row>
    <row r="1940" spans="1:13" x14ac:dyDescent="0.25">
      <c r="A1940" t="s">
        <v>7032</v>
      </c>
      <c r="B1940" t="s">
        <v>14</v>
      </c>
      <c r="C1940">
        <v>59.95</v>
      </c>
      <c r="D1940">
        <v>62.5</v>
      </c>
      <c r="E1940">
        <v>58.5</v>
      </c>
      <c r="F1940">
        <v>61.15</v>
      </c>
      <c r="G1940">
        <v>61.9</v>
      </c>
      <c r="H1940">
        <v>59.45</v>
      </c>
      <c r="I1940">
        <v>40597</v>
      </c>
      <c r="J1940">
        <v>2463748.4500000002</v>
      </c>
      <c r="K1940" s="1">
        <v>43777</v>
      </c>
      <c r="L1940">
        <v>553</v>
      </c>
      <c r="M1940" t="s">
        <v>5780</v>
      </c>
    </row>
    <row r="1941" spans="1:13" x14ac:dyDescent="0.25">
      <c r="A1941" t="s">
        <v>5784</v>
      </c>
      <c r="B1941" t="s">
        <v>14</v>
      </c>
      <c r="C1941">
        <v>1645</v>
      </c>
      <c r="D1941">
        <v>1659.15</v>
      </c>
      <c r="E1941">
        <v>1610.1</v>
      </c>
      <c r="F1941">
        <v>1620.7</v>
      </c>
      <c r="G1941">
        <v>1617</v>
      </c>
      <c r="H1941">
        <v>1643.65</v>
      </c>
      <c r="I1941">
        <v>9654</v>
      </c>
      <c r="J1941">
        <v>15788518.35</v>
      </c>
      <c r="K1941" s="1">
        <v>43777</v>
      </c>
      <c r="L1941">
        <v>1556</v>
      </c>
      <c r="M1941" t="s">
        <v>5786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098D2-DBAC-49FD-8678-AE3D1461368A}">
  <sheetPr codeName="Sheet4"/>
  <dimension ref="A1:U1587"/>
  <sheetViews>
    <sheetView tabSelected="1" topLeftCell="J1" workbookViewId="0">
      <selection activeCell="U1" sqref="U1"/>
    </sheetView>
  </sheetViews>
  <sheetFormatPr defaultRowHeight="15" x14ac:dyDescent="0.25"/>
  <cols>
    <col min="1" max="1" width="14.5703125" bestFit="1" customWidth="1"/>
    <col min="2" max="2" width="54.7109375" bestFit="1" customWidth="1"/>
    <col min="3" max="3" width="6.7109375" bestFit="1" customWidth="1"/>
    <col min="4" max="6" width="9" bestFit="1" customWidth="1"/>
    <col min="7" max="7" width="9.5703125" bestFit="1" customWidth="1"/>
    <col min="8" max="8" width="9" bestFit="1" customWidth="1"/>
    <col min="9" max="9" width="11" bestFit="1" customWidth="1"/>
    <col min="10" max="10" width="11.28515625" bestFit="1" customWidth="1"/>
    <col min="11" max="11" width="12" bestFit="1" customWidth="1"/>
    <col min="12" max="12" width="11.42578125" bestFit="1" customWidth="1"/>
    <col min="13" max="13" width="13.42578125" bestFit="1" customWidth="1"/>
    <col min="14" max="14" width="14.5703125" bestFit="1" customWidth="1"/>
    <col min="15" max="16" width="10.42578125" bestFit="1" customWidth="1"/>
    <col min="17" max="17" width="16.42578125" bestFit="1" customWidth="1"/>
    <col min="18" max="18" width="13.7109375" customWidth="1"/>
    <col min="21" max="21" width="12" style="6" bestFit="1" customWidth="1"/>
  </cols>
  <sheetData>
    <row r="1" spans="1:21" x14ac:dyDescent="0.25">
      <c r="A1" t="s">
        <v>0</v>
      </c>
      <c r="B1" t="s">
        <v>7030</v>
      </c>
      <c r="C1" t="s">
        <v>7029</v>
      </c>
      <c r="D1" t="s">
        <v>7028</v>
      </c>
      <c r="E1" t="s">
        <v>7027</v>
      </c>
      <c r="F1" t="s">
        <v>7026</v>
      </c>
      <c r="G1" s="3" t="s">
        <v>7025</v>
      </c>
      <c r="H1" t="s">
        <v>7024</v>
      </c>
      <c r="I1" t="s">
        <v>7023</v>
      </c>
      <c r="J1" t="s">
        <v>7022</v>
      </c>
      <c r="K1" t="s">
        <v>7021</v>
      </c>
      <c r="L1" t="s">
        <v>7020</v>
      </c>
      <c r="M1" t="s">
        <v>7019</v>
      </c>
      <c r="N1" t="s">
        <v>7018</v>
      </c>
      <c r="O1" s="4" t="s">
        <v>7031</v>
      </c>
      <c r="P1" s="4" t="s">
        <v>7031</v>
      </c>
      <c r="Q1" s="3" t="s">
        <v>7797</v>
      </c>
      <c r="S1" t="s">
        <v>7799</v>
      </c>
      <c r="T1" t="s">
        <v>7800</v>
      </c>
      <c r="U1" s="6" t="s">
        <v>7801</v>
      </c>
    </row>
    <row r="2" spans="1:21" x14ac:dyDescent="0.25">
      <c r="A2" t="s">
        <v>8</v>
      </c>
      <c r="B2" t="s">
        <v>9</v>
      </c>
      <c r="C2" t="s">
        <v>10</v>
      </c>
      <c r="D2">
        <v>163.25</v>
      </c>
      <c r="E2">
        <v>164</v>
      </c>
      <c r="F2">
        <v>163</v>
      </c>
      <c r="G2" s="3">
        <v>164</v>
      </c>
      <c r="H2">
        <v>164</v>
      </c>
      <c r="I2">
        <v>162</v>
      </c>
      <c r="J2">
        <v>26143</v>
      </c>
      <c r="K2">
        <v>4272500.75</v>
      </c>
      <c r="L2" s="1">
        <v>45240</v>
      </c>
      <c r="M2">
        <v>144</v>
      </c>
      <c r="N2" t="s">
        <v>11</v>
      </c>
      <c r="O2" s="5">
        <v>45240</v>
      </c>
      <c r="P2" s="5">
        <v>43777</v>
      </c>
      <c r="Q2" s="3">
        <v>37.1</v>
      </c>
      <c r="S2">
        <f>O2-P2+1</f>
        <v>1464</v>
      </c>
      <c r="T2">
        <f>(S2/365)*4</f>
        <v>16.043835616438358</v>
      </c>
      <c r="U2" s="6">
        <f>(((G2/Q2)^(1/T2))-1)*4</f>
        <v>0.38825280178621835</v>
      </c>
    </row>
    <row r="3" spans="1:21" x14ac:dyDescent="0.25">
      <c r="A3" t="s">
        <v>12</v>
      </c>
      <c r="B3" t="s">
        <v>13</v>
      </c>
      <c r="C3" t="s">
        <v>14</v>
      </c>
      <c r="D3">
        <v>18.7</v>
      </c>
      <c r="E3">
        <v>18.7</v>
      </c>
      <c r="F3">
        <v>18.7</v>
      </c>
      <c r="G3" s="3">
        <v>18.7</v>
      </c>
      <c r="H3">
        <v>18.7</v>
      </c>
      <c r="I3">
        <v>18.350000000000001</v>
      </c>
      <c r="J3">
        <v>617</v>
      </c>
      <c r="K3">
        <v>11537.9</v>
      </c>
      <c r="L3" s="1">
        <v>45240</v>
      </c>
      <c r="M3">
        <v>5</v>
      </c>
      <c r="N3" t="s">
        <v>15</v>
      </c>
      <c r="O3" s="5">
        <v>45240</v>
      </c>
      <c r="P3" s="5">
        <v>43777</v>
      </c>
      <c r="Q3" s="3">
        <v>14</v>
      </c>
      <c r="S3">
        <f t="shared" ref="S3:S66" si="0">O3-P3+1</f>
        <v>1464</v>
      </c>
      <c r="T3">
        <f t="shared" ref="T3:T66" si="1">(S3/365)*4</f>
        <v>16.043835616438358</v>
      </c>
      <c r="U3" s="6">
        <f t="shared" ref="U3:U66" si="2">(((G3/Q3)^(1/T3))-1)*4</f>
        <v>7.282380131587729E-2</v>
      </c>
    </row>
    <row r="4" spans="1:21" x14ac:dyDescent="0.25">
      <c r="A4" t="s">
        <v>22</v>
      </c>
      <c r="B4" t="s">
        <v>23</v>
      </c>
      <c r="C4" t="s">
        <v>14</v>
      </c>
      <c r="D4">
        <v>31726</v>
      </c>
      <c r="E4">
        <v>32409.35</v>
      </c>
      <c r="F4">
        <v>31350.05</v>
      </c>
      <c r="G4" s="3">
        <v>31558</v>
      </c>
      <c r="H4">
        <v>31545</v>
      </c>
      <c r="I4">
        <v>31726.55</v>
      </c>
      <c r="J4">
        <v>6310</v>
      </c>
      <c r="K4">
        <v>201366101.44999999</v>
      </c>
      <c r="L4" s="1">
        <v>45240</v>
      </c>
      <c r="M4">
        <v>3024</v>
      </c>
      <c r="N4" t="s">
        <v>24</v>
      </c>
      <c r="O4" s="5">
        <v>45240</v>
      </c>
      <c r="P4" s="5">
        <v>43777</v>
      </c>
      <c r="Q4" s="3">
        <v>22392.9</v>
      </c>
      <c r="S4">
        <f t="shared" si="0"/>
        <v>1464</v>
      </c>
      <c r="T4">
        <f t="shared" si="1"/>
        <v>16.043835616438358</v>
      </c>
      <c r="U4" s="6">
        <f t="shared" si="2"/>
        <v>8.6457562654054243E-2</v>
      </c>
    </row>
    <row r="5" spans="1:21" x14ac:dyDescent="0.25">
      <c r="A5" t="s">
        <v>25</v>
      </c>
      <c r="B5" t="s">
        <v>26</v>
      </c>
      <c r="C5" t="s">
        <v>14</v>
      </c>
      <c r="D5">
        <v>29</v>
      </c>
      <c r="E5">
        <v>29.8</v>
      </c>
      <c r="F5">
        <v>28.3</v>
      </c>
      <c r="G5" s="3">
        <v>28.6</v>
      </c>
      <c r="H5">
        <v>28.95</v>
      </c>
      <c r="I5">
        <v>29.05</v>
      </c>
      <c r="J5">
        <v>20362</v>
      </c>
      <c r="K5">
        <v>587195.25</v>
      </c>
      <c r="L5" s="1">
        <v>45240</v>
      </c>
      <c r="M5">
        <v>484</v>
      </c>
      <c r="N5" t="s">
        <v>27</v>
      </c>
      <c r="O5" s="5">
        <v>45240</v>
      </c>
      <c r="P5" s="5">
        <v>43777</v>
      </c>
      <c r="Q5" s="3">
        <v>6.3</v>
      </c>
      <c r="S5">
        <f t="shared" si="0"/>
        <v>1464</v>
      </c>
      <c r="T5">
        <f t="shared" si="1"/>
        <v>16.043835616438358</v>
      </c>
      <c r="U5" s="6">
        <f t="shared" si="2"/>
        <v>0.39553646304877255</v>
      </c>
    </row>
    <row r="6" spans="1:21" x14ac:dyDescent="0.25">
      <c r="A6" t="s">
        <v>28</v>
      </c>
      <c r="B6" t="s">
        <v>29</v>
      </c>
      <c r="C6" t="s">
        <v>14</v>
      </c>
      <c r="D6">
        <v>440.95</v>
      </c>
      <c r="E6">
        <v>450</v>
      </c>
      <c r="F6">
        <v>434.3</v>
      </c>
      <c r="G6" s="3">
        <v>438.2</v>
      </c>
      <c r="H6">
        <v>440.5</v>
      </c>
      <c r="I6">
        <v>439.35</v>
      </c>
      <c r="J6">
        <v>43294</v>
      </c>
      <c r="K6">
        <v>18943482.699999999</v>
      </c>
      <c r="L6" s="1">
        <v>45240</v>
      </c>
      <c r="M6">
        <v>3445</v>
      </c>
      <c r="N6" t="s">
        <v>30</v>
      </c>
      <c r="O6" s="5">
        <v>45240</v>
      </c>
      <c r="P6" s="5">
        <v>43777</v>
      </c>
      <c r="Q6" s="3">
        <v>165.85</v>
      </c>
      <c r="S6">
        <f t="shared" si="0"/>
        <v>1464</v>
      </c>
      <c r="T6">
        <f t="shared" si="1"/>
        <v>16.043835616438358</v>
      </c>
      <c r="U6" s="6">
        <f t="shared" si="2"/>
        <v>0.24971926773376296</v>
      </c>
    </row>
    <row r="7" spans="1:21" x14ac:dyDescent="0.25">
      <c r="A7" t="s">
        <v>31</v>
      </c>
      <c r="B7" t="s">
        <v>32</v>
      </c>
      <c r="C7" t="s">
        <v>14</v>
      </c>
      <c r="D7">
        <v>298.75</v>
      </c>
      <c r="E7">
        <v>298.75</v>
      </c>
      <c r="F7">
        <v>292.95</v>
      </c>
      <c r="G7" s="3">
        <v>298.75</v>
      </c>
      <c r="H7">
        <v>298.75</v>
      </c>
      <c r="I7">
        <v>284.55</v>
      </c>
      <c r="J7">
        <v>646315</v>
      </c>
      <c r="K7">
        <v>192997476.59999999</v>
      </c>
      <c r="L7" s="1">
        <v>45240</v>
      </c>
      <c r="M7">
        <v>2556</v>
      </c>
      <c r="N7" t="s">
        <v>33</v>
      </c>
      <c r="O7" s="5">
        <v>45240</v>
      </c>
      <c r="P7" s="5">
        <v>43777</v>
      </c>
      <c r="Q7" s="3">
        <v>115.85</v>
      </c>
      <c r="S7">
        <f t="shared" si="0"/>
        <v>1464</v>
      </c>
      <c r="T7">
        <f t="shared" si="1"/>
        <v>16.043835616438358</v>
      </c>
      <c r="U7" s="6">
        <f t="shared" si="2"/>
        <v>0.24329258873700255</v>
      </c>
    </row>
    <row r="8" spans="1:21" x14ac:dyDescent="0.25">
      <c r="A8" t="s">
        <v>34</v>
      </c>
      <c r="B8" t="s">
        <v>35</v>
      </c>
      <c r="C8" t="s">
        <v>10</v>
      </c>
      <c r="D8">
        <v>10.65</v>
      </c>
      <c r="E8">
        <v>10.9</v>
      </c>
      <c r="F8">
        <v>10.5</v>
      </c>
      <c r="G8" s="3">
        <v>10.65</v>
      </c>
      <c r="H8">
        <v>10.65</v>
      </c>
      <c r="I8">
        <v>10.5</v>
      </c>
      <c r="J8">
        <v>180921</v>
      </c>
      <c r="K8">
        <v>1934510</v>
      </c>
      <c r="L8" s="1">
        <v>45240</v>
      </c>
      <c r="M8">
        <v>307</v>
      </c>
      <c r="N8" t="s">
        <v>36</v>
      </c>
      <c r="O8" s="5">
        <v>45240</v>
      </c>
      <c r="P8" s="5">
        <v>43777</v>
      </c>
      <c r="Q8" s="3">
        <v>10.050000000000001</v>
      </c>
      <c r="S8">
        <f t="shared" si="0"/>
        <v>1464</v>
      </c>
      <c r="T8">
        <f t="shared" si="1"/>
        <v>16.043835616438358</v>
      </c>
      <c r="U8" s="6">
        <f t="shared" si="2"/>
        <v>1.4483363483996925E-2</v>
      </c>
    </row>
    <row r="9" spans="1:21" x14ac:dyDescent="0.25">
      <c r="A9" t="s">
        <v>40</v>
      </c>
      <c r="B9" t="s">
        <v>41</v>
      </c>
      <c r="C9" t="s">
        <v>14</v>
      </c>
      <c r="D9">
        <v>7.2</v>
      </c>
      <c r="E9">
        <v>7.3</v>
      </c>
      <c r="F9">
        <v>7</v>
      </c>
      <c r="G9" s="3">
        <v>7.05</v>
      </c>
      <c r="H9">
        <v>7.1</v>
      </c>
      <c r="I9">
        <v>7.05</v>
      </c>
      <c r="J9">
        <v>553629</v>
      </c>
      <c r="K9">
        <v>3925774.4</v>
      </c>
      <c r="L9" s="1">
        <v>45240</v>
      </c>
      <c r="M9">
        <v>742</v>
      </c>
      <c r="N9" t="s">
        <v>42</v>
      </c>
      <c r="O9" s="5">
        <v>45240</v>
      </c>
      <c r="P9" s="5">
        <v>43777</v>
      </c>
      <c r="Q9" s="3">
        <v>40.65</v>
      </c>
      <c r="S9">
        <f t="shared" si="0"/>
        <v>1464</v>
      </c>
      <c r="T9">
        <f t="shared" si="1"/>
        <v>16.043835616438358</v>
      </c>
      <c r="U9" s="6">
        <f t="shared" si="2"/>
        <v>-0.41379214887160076</v>
      </c>
    </row>
    <row r="10" spans="1:21" x14ac:dyDescent="0.25">
      <c r="A10" t="s">
        <v>46</v>
      </c>
      <c r="B10" t="s">
        <v>47</v>
      </c>
      <c r="C10" t="s">
        <v>14</v>
      </c>
      <c r="D10">
        <v>260.55</v>
      </c>
      <c r="E10">
        <v>270</v>
      </c>
      <c r="F10">
        <v>260.3</v>
      </c>
      <c r="G10" s="3">
        <v>261.45</v>
      </c>
      <c r="H10">
        <v>263.5</v>
      </c>
      <c r="I10">
        <v>263</v>
      </c>
      <c r="J10">
        <v>7817</v>
      </c>
      <c r="K10">
        <v>2064404.6</v>
      </c>
      <c r="L10" s="1">
        <v>45240</v>
      </c>
      <c r="M10">
        <v>544</v>
      </c>
      <c r="N10" t="s">
        <v>48</v>
      </c>
      <c r="O10" s="5">
        <v>45240</v>
      </c>
      <c r="P10" s="5">
        <v>43777</v>
      </c>
      <c r="Q10" s="3">
        <v>49.2</v>
      </c>
      <c r="S10">
        <f t="shared" si="0"/>
        <v>1464</v>
      </c>
      <c r="T10">
        <f t="shared" si="1"/>
        <v>16.043835616438358</v>
      </c>
      <c r="U10" s="6">
        <f t="shared" si="2"/>
        <v>0.43889718428131186</v>
      </c>
    </row>
    <row r="11" spans="1:21" x14ac:dyDescent="0.25">
      <c r="A11" t="s">
        <v>52</v>
      </c>
      <c r="B11" t="s">
        <v>53</v>
      </c>
      <c r="C11" t="s">
        <v>14</v>
      </c>
      <c r="D11">
        <v>483.05</v>
      </c>
      <c r="E11">
        <v>483.45</v>
      </c>
      <c r="F11">
        <v>478</v>
      </c>
      <c r="G11" s="3">
        <v>481.45</v>
      </c>
      <c r="H11">
        <v>482.45</v>
      </c>
      <c r="I11">
        <v>483.45</v>
      </c>
      <c r="J11">
        <v>77429</v>
      </c>
      <c r="K11">
        <v>37281560</v>
      </c>
      <c r="L11" s="1">
        <v>45240</v>
      </c>
      <c r="M11">
        <v>5059</v>
      </c>
      <c r="N11" t="s">
        <v>54</v>
      </c>
      <c r="O11" s="5">
        <v>45240</v>
      </c>
      <c r="P11" s="5">
        <v>43777</v>
      </c>
      <c r="Q11" s="3">
        <v>518.85</v>
      </c>
      <c r="S11">
        <f t="shared" si="0"/>
        <v>1464</v>
      </c>
      <c r="T11">
        <f t="shared" si="1"/>
        <v>16.043835616438358</v>
      </c>
      <c r="U11" s="6">
        <f t="shared" si="2"/>
        <v>-1.8608589033878964E-2</v>
      </c>
    </row>
    <row r="12" spans="1:21" x14ac:dyDescent="0.25">
      <c r="A12" t="s">
        <v>55</v>
      </c>
      <c r="B12" t="s">
        <v>56</v>
      </c>
      <c r="C12" t="s">
        <v>14</v>
      </c>
      <c r="D12">
        <v>508.35</v>
      </c>
      <c r="E12">
        <v>512</v>
      </c>
      <c r="F12">
        <v>501.85</v>
      </c>
      <c r="G12" s="3">
        <v>511.15</v>
      </c>
      <c r="H12">
        <v>510.8</v>
      </c>
      <c r="I12">
        <v>508.3</v>
      </c>
      <c r="J12">
        <v>806065</v>
      </c>
      <c r="K12">
        <v>408512300.05000001</v>
      </c>
      <c r="L12" s="1">
        <v>45240</v>
      </c>
      <c r="M12">
        <v>15878</v>
      </c>
      <c r="N12" t="s">
        <v>57</v>
      </c>
      <c r="O12" s="5">
        <v>45240</v>
      </c>
      <c r="P12" s="5">
        <v>43777</v>
      </c>
      <c r="Q12" s="3">
        <v>812.2</v>
      </c>
      <c r="S12">
        <f t="shared" si="0"/>
        <v>1464</v>
      </c>
      <c r="T12">
        <f t="shared" si="1"/>
        <v>16.043835616438358</v>
      </c>
      <c r="U12" s="6">
        <f t="shared" si="2"/>
        <v>-0.11380426402177291</v>
      </c>
    </row>
    <row r="13" spans="1:21" x14ac:dyDescent="0.25">
      <c r="A13" t="s">
        <v>64</v>
      </c>
      <c r="B13" t="s">
        <v>65</v>
      </c>
      <c r="C13" t="s">
        <v>14</v>
      </c>
      <c r="D13">
        <v>24.35</v>
      </c>
      <c r="E13">
        <v>24.75</v>
      </c>
      <c r="F13">
        <v>23.75</v>
      </c>
      <c r="G13" s="3">
        <v>24.35</v>
      </c>
      <c r="H13">
        <v>24.05</v>
      </c>
      <c r="I13">
        <v>24.1</v>
      </c>
      <c r="J13">
        <v>4323</v>
      </c>
      <c r="K13">
        <v>104871.05</v>
      </c>
      <c r="L13" s="1">
        <v>45240</v>
      </c>
      <c r="M13">
        <v>119</v>
      </c>
      <c r="N13" t="s">
        <v>66</v>
      </c>
      <c r="O13" s="5">
        <v>45240</v>
      </c>
      <c r="P13" s="5">
        <v>43777</v>
      </c>
      <c r="Q13" s="3">
        <v>14.05</v>
      </c>
      <c r="S13">
        <f t="shared" si="0"/>
        <v>1464</v>
      </c>
      <c r="T13">
        <f t="shared" si="1"/>
        <v>16.043835616438358</v>
      </c>
      <c r="U13" s="6">
        <f t="shared" si="2"/>
        <v>0.13947842945110445</v>
      </c>
    </row>
    <row r="14" spans="1:21" x14ac:dyDescent="0.25">
      <c r="A14" t="s">
        <v>67</v>
      </c>
      <c r="B14" t="s">
        <v>68</v>
      </c>
      <c r="C14" t="s">
        <v>14</v>
      </c>
      <c r="D14">
        <v>122.5</v>
      </c>
      <c r="E14">
        <v>125.95</v>
      </c>
      <c r="F14">
        <v>113</v>
      </c>
      <c r="G14" s="3">
        <v>114.75</v>
      </c>
      <c r="H14">
        <v>115.2</v>
      </c>
      <c r="I14">
        <v>124.05</v>
      </c>
      <c r="J14">
        <v>94588</v>
      </c>
      <c r="K14">
        <v>11055635.4</v>
      </c>
      <c r="L14" s="1">
        <v>45240</v>
      </c>
      <c r="M14">
        <v>2597</v>
      </c>
      <c r="N14" t="s">
        <v>69</v>
      </c>
      <c r="O14" s="5">
        <v>45240</v>
      </c>
      <c r="P14" s="5">
        <v>43777</v>
      </c>
      <c r="Q14" s="3">
        <v>40.85</v>
      </c>
      <c r="S14">
        <f t="shared" si="0"/>
        <v>1464</v>
      </c>
      <c r="T14">
        <f t="shared" si="1"/>
        <v>16.043835616438358</v>
      </c>
      <c r="U14" s="6">
        <f t="shared" si="2"/>
        <v>0.26597624188230462</v>
      </c>
    </row>
    <row r="15" spans="1:21" x14ac:dyDescent="0.25">
      <c r="A15" t="s">
        <v>70</v>
      </c>
      <c r="B15" t="s">
        <v>71</v>
      </c>
      <c r="C15" t="s">
        <v>14</v>
      </c>
      <c r="D15">
        <v>1461.45</v>
      </c>
      <c r="E15">
        <v>1479.8</v>
      </c>
      <c r="F15">
        <v>1446.8</v>
      </c>
      <c r="G15" s="3">
        <v>1468.95</v>
      </c>
      <c r="H15">
        <v>1477.6</v>
      </c>
      <c r="I15">
        <v>1460.05</v>
      </c>
      <c r="J15">
        <v>55245</v>
      </c>
      <c r="K15">
        <v>80976776.799999997</v>
      </c>
      <c r="L15" s="1">
        <v>45240</v>
      </c>
      <c r="M15">
        <v>6178</v>
      </c>
      <c r="N15" t="s">
        <v>72</v>
      </c>
      <c r="O15" s="5">
        <v>45240</v>
      </c>
      <c r="P15" s="5">
        <v>43777</v>
      </c>
      <c r="Q15" s="3">
        <v>1564.2</v>
      </c>
      <c r="S15">
        <f t="shared" si="0"/>
        <v>1464</v>
      </c>
      <c r="T15">
        <f t="shared" si="1"/>
        <v>16.043835616438358</v>
      </c>
      <c r="U15" s="6">
        <f t="shared" si="2"/>
        <v>-1.5633119320500821E-2</v>
      </c>
    </row>
    <row r="16" spans="1:21" x14ac:dyDescent="0.25">
      <c r="A16" t="s">
        <v>73</v>
      </c>
      <c r="B16" t="s">
        <v>74</v>
      </c>
      <c r="C16" t="s">
        <v>10</v>
      </c>
      <c r="D16">
        <v>50.9</v>
      </c>
      <c r="E16">
        <v>52.4</v>
      </c>
      <c r="F16">
        <v>50</v>
      </c>
      <c r="G16" s="3">
        <v>51.65</v>
      </c>
      <c r="H16">
        <v>51.5</v>
      </c>
      <c r="I16">
        <v>50.7</v>
      </c>
      <c r="J16">
        <v>69420</v>
      </c>
      <c r="K16">
        <v>3570108.1</v>
      </c>
      <c r="L16" s="1">
        <v>45240</v>
      </c>
      <c r="M16">
        <v>506</v>
      </c>
      <c r="N16" t="s">
        <v>75</v>
      </c>
      <c r="O16" s="5">
        <v>45240</v>
      </c>
      <c r="P16" s="5">
        <v>43777</v>
      </c>
      <c r="Q16" s="3">
        <v>31</v>
      </c>
      <c r="S16">
        <f t="shared" si="0"/>
        <v>1464</v>
      </c>
      <c r="T16">
        <f t="shared" si="1"/>
        <v>16.043835616438358</v>
      </c>
      <c r="U16" s="6">
        <f t="shared" si="2"/>
        <v>0.12932362347490134</v>
      </c>
    </row>
    <row r="17" spans="1:21" x14ac:dyDescent="0.25">
      <c r="A17" t="s">
        <v>76</v>
      </c>
      <c r="B17" t="s">
        <v>77</v>
      </c>
      <c r="C17" t="s">
        <v>14</v>
      </c>
      <c r="D17">
        <v>4328</v>
      </c>
      <c r="E17">
        <v>4382.95</v>
      </c>
      <c r="F17">
        <v>4223</v>
      </c>
      <c r="G17" s="3">
        <v>4239.3</v>
      </c>
      <c r="H17">
        <v>4250</v>
      </c>
      <c r="I17">
        <v>4310.5</v>
      </c>
      <c r="J17">
        <v>640836</v>
      </c>
      <c r="K17">
        <v>2759599001.8000002</v>
      </c>
      <c r="L17" s="1">
        <v>45240</v>
      </c>
      <c r="M17">
        <v>66083</v>
      </c>
      <c r="N17" t="s">
        <v>78</v>
      </c>
      <c r="O17" s="5">
        <v>45240</v>
      </c>
      <c r="P17" s="5">
        <v>43777</v>
      </c>
      <c r="Q17" s="3">
        <v>1462.7</v>
      </c>
      <c r="S17">
        <f t="shared" si="0"/>
        <v>1464</v>
      </c>
      <c r="T17">
        <f t="shared" si="1"/>
        <v>16.043835616438358</v>
      </c>
      <c r="U17" s="6">
        <f t="shared" si="2"/>
        <v>0.2742975796772944</v>
      </c>
    </row>
    <row r="18" spans="1:21" x14ac:dyDescent="0.25">
      <c r="A18" t="s">
        <v>79</v>
      </c>
      <c r="B18" t="s">
        <v>80</v>
      </c>
      <c r="C18" t="s">
        <v>14</v>
      </c>
      <c r="D18">
        <v>23879.45</v>
      </c>
      <c r="E18">
        <v>24142.9</v>
      </c>
      <c r="F18">
        <v>23505.05</v>
      </c>
      <c r="G18" s="3">
        <v>23705.65</v>
      </c>
      <c r="H18">
        <v>23680</v>
      </c>
      <c r="I18">
        <v>23879.45</v>
      </c>
      <c r="J18">
        <v>13934</v>
      </c>
      <c r="K18">
        <v>331535019.25</v>
      </c>
      <c r="L18" s="1">
        <v>45240</v>
      </c>
      <c r="M18">
        <v>5691</v>
      </c>
      <c r="N18" t="s">
        <v>81</v>
      </c>
      <c r="O18" s="5">
        <v>45240</v>
      </c>
      <c r="P18" s="5">
        <v>43777</v>
      </c>
      <c r="Q18" s="3">
        <v>11502.95</v>
      </c>
      <c r="S18">
        <f t="shared" si="0"/>
        <v>1464</v>
      </c>
      <c r="T18">
        <f t="shared" si="1"/>
        <v>16.043835616438358</v>
      </c>
      <c r="U18" s="6">
        <f t="shared" si="2"/>
        <v>0.18440804665399035</v>
      </c>
    </row>
    <row r="19" spans="1:21" x14ac:dyDescent="0.25">
      <c r="A19" t="s">
        <v>82</v>
      </c>
      <c r="B19" t="s">
        <v>83</v>
      </c>
      <c r="C19" t="s">
        <v>14</v>
      </c>
      <c r="D19">
        <v>173.5</v>
      </c>
      <c r="E19">
        <v>175.5</v>
      </c>
      <c r="F19">
        <v>172</v>
      </c>
      <c r="G19" s="3">
        <v>175.05</v>
      </c>
      <c r="H19">
        <v>175.5</v>
      </c>
      <c r="I19">
        <v>173.95</v>
      </c>
      <c r="J19">
        <v>1584858</v>
      </c>
      <c r="K19">
        <v>275898589.5</v>
      </c>
      <c r="L19" s="1">
        <v>45240</v>
      </c>
      <c r="M19">
        <v>15689</v>
      </c>
      <c r="N19" t="s">
        <v>84</v>
      </c>
      <c r="O19" s="5">
        <v>45240</v>
      </c>
      <c r="P19" s="5">
        <v>43777</v>
      </c>
      <c r="Q19" s="3">
        <v>86.85</v>
      </c>
      <c r="S19">
        <f t="shared" si="0"/>
        <v>1464</v>
      </c>
      <c r="T19">
        <f t="shared" si="1"/>
        <v>16.043835616438358</v>
      </c>
      <c r="U19" s="6">
        <f t="shared" si="2"/>
        <v>0.17861664643822639</v>
      </c>
    </row>
    <row r="20" spans="1:21" x14ac:dyDescent="0.25">
      <c r="A20" t="s">
        <v>85</v>
      </c>
      <c r="B20" t="s">
        <v>86</v>
      </c>
      <c r="C20" t="s">
        <v>14</v>
      </c>
      <c r="D20">
        <v>208.25</v>
      </c>
      <c r="E20">
        <v>218.3</v>
      </c>
      <c r="F20">
        <v>208.25</v>
      </c>
      <c r="G20" s="3">
        <v>216.6</v>
      </c>
      <c r="H20">
        <v>216</v>
      </c>
      <c r="I20">
        <v>215</v>
      </c>
      <c r="J20">
        <v>5179169</v>
      </c>
      <c r="K20">
        <v>1112540649.7</v>
      </c>
      <c r="L20" s="1">
        <v>45240</v>
      </c>
      <c r="M20">
        <v>35208</v>
      </c>
      <c r="N20" t="s">
        <v>87</v>
      </c>
      <c r="O20" s="5">
        <v>45240</v>
      </c>
      <c r="P20" s="5">
        <v>43777</v>
      </c>
      <c r="Q20" s="3">
        <v>204.6</v>
      </c>
      <c r="S20">
        <f t="shared" si="0"/>
        <v>1464</v>
      </c>
      <c r="T20">
        <f t="shared" si="1"/>
        <v>16.043835616438358</v>
      </c>
      <c r="U20" s="6">
        <f t="shared" si="2"/>
        <v>1.4235209133501847E-2</v>
      </c>
    </row>
    <row r="21" spans="1:21" x14ac:dyDescent="0.25">
      <c r="A21" t="s">
        <v>6910</v>
      </c>
      <c r="B21" t="s">
        <v>7798</v>
      </c>
      <c r="C21" t="s">
        <v>14</v>
      </c>
      <c r="D21">
        <v>44.42</v>
      </c>
      <c r="E21">
        <v>44.42</v>
      </c>
      <c r="F21">
        <v>43.75</v>
      </c>
      <c r="G21" s="3">
        <v>44.19</v>
      </c>
      <c r="H21">
        <v>44.2</v>
      </c>
      <c r="I21">
        <v>44.02</v>
      </c>
      <c r="J21">
        <v>47163</v>
      </c>
      <c r="K21">
        <v>2081269.22</v>
      </c>
      <c r="L21" s="1">
        <v>45240</v>
      </c>
      <c r="M21">
        <v>283</v>
      </c>
      <c r="N21" t="s">
        <v>6909</v>
      </c>
      <c r="O21" s="5">
        <v>45240</v>
      </c>
      <c r="P21" s="5">
        <v>43777</v>
      </c>
      <c r="Q21" s="3">
        <v>308</v>
      </c>
      <c r="S21">
        <f t="shared" si="0"/>
        <v>1464</v>
      </c>
      <c r="T21">
        <f t="shared" si="1"/>
        <v>16.043835616438358</v>
      </c>
      <c r="U21" s="6">
        <f t="shared" si="2"/>
        <v>-0.45592980336595224</v>
      </c>
    </row>
    <row r="22" spans="1:21" x14ac:dyDescent="0.25">
      <c r="A22" t="s">
        <v>6906</v>
      </c>
      <c r="B22" t="s">
        <v>7798</v>
      </c>
      <c r="C22" t="s">
        <v>14</v>
      </c>
      <c r="D22">
        <v>48.27</v>
      </c>
      <c r="E22">
        <v>48.27</v>
      </c>
      <c r="F22">
        <v>46.7</v>
      </c>
      <c r="G22" s="3">
        <v>47.14</v>
      </c>
      <c r="H22">
        <v>47.2</v>
      </c>
      <c r="I22">
        <v>47.1</v>
      </c>
      <c r="J22">
        <v>3135</v>
      </c>
      <c r="K22">
        <v>147534.82999999999</v>
      </c>
      <c r="L22" s="1">
        <v>45240</v>
      </c>
      <c r="M22">
        <v>129</v>
      </c>
      <c r="N22" t="s">
        <v>6905</v>
      </c>
      <c r="O22" s="5">
        <v>45240</v>
      </c>
      <c r="P22" s="5">
        <v>43777</v>
      </c>
      <c r="Q22" s="3">
        <v>288.74</v>
      </c>
      <c r="S22">
        <f t="shared" si="0"/>
        <v>1464</v>
      </c>
      <c r="T22">
        <f t="shared" si="1"/>
        <v>16.043835616438358</v>
      </c>
      <c r="U22" s="6">
        <f t="shared" si="2"/>
        <v>-0.42727517582009833</v>
      </c>
    </row>
    <row r="23" spans="1:21" x14ac:dyDescent="0.25">
      <c r="A23" t="s">
        <v>94</v>
      </c>
      <c r="B23" t="s">
        <v>95</v>
      </c>
      <c r="C23" t="s">
        <v>14</v>
      </c>
      <c r="D23">
        <v>1844</v>
      </c>
      <c r="E23">
        <v>1846.5</v>
      </c>
      <c r="F23">
        <v>1818</v>
      </c>
      <c r="G23" s="3">
        <v>1825.3</v>
      </c>
      <c r="H23">
        <v>1827</v>
      </c>
      <c r="I23">
        <v>1844.95</v>
      </c>
      <c r="J23">
        <v>259623</v>
      </c>
      <c r="K23">
        <v>474213995.75</v>
      </c>
      <c r="L23" s="1">
        <v>45240</v>
      </c>
      <c r="M23">
        <v>15952</v>
      </c>
      <c r="N23" t="s">
        <v>96</v>
      </c>
      <c r="O23" s="5">
        <v>45240</v>
      </c>
      <c r="P23" s="5">
        <v>43777</v>
      </c>
      <c r="Q23" s="3">
        <v>1506.4</v>
      </c>
      <c r="S23">
        <f t="shared" si="0"/>
        <v>1464</v>
      </c>
      <c r="T23">
        <f t="shared" si="1"/>
        <v>16.043835616438358</v>
      </c>
      <c r="U23" s="6">
        <f t="shared" si="2"/>
        <v>4.8161891748963903E-2</v>
      </c>
    </row>
    <row r="24" spans="1:21" x14ac:dyDescent="0.25">
      <c r="A24" t="s">
        <v>97</v>
      </c>
      <c r="B24" t="s">
        <v>98</v>
      </c>
      <c r="C24" t="s">
        <v>14</v>
      </c>
      <c r="D24">
        <v>1380</v>
      </c>
      <c r="E24">
        <v>1409.95</v>
      </c>
      <c r="F24">
        <v>1378.8</v>
      </c>
      <c r="G24" s="3">
        <v>1396</v>
      </c>
      <c r="H24">
        <v>1400</v>
      </c>
      <c r="I24">
        <v>1381.35</v>
      </c>
      <c r="J24">
        <v>11603</v>
      </c>
      <c r="K24">
        <v>16212004.5</v>
      </c>
      <c r="L24" s="1">
        <v>45240</v>
      </c>
      <c r="M24">
        <v>2165</v>
      </c>
      <c r="N24" t="s">
        <v>99</v>
      </c>
      <c r="O24" s="5">
        <v>45240</v>
      </c>
      <c r="P24" s="5">
        <v>43777</v>
      </c>
      <c r="Q24" s="3">
        <v>964.8</v>
      </c>
      <c r="S24">
        <f t="shared" si="0"/>
        <v>1464</v>
      </c>
      <c r="T24">
        <f t="shared" si="1"/>
        <v>16.043835616438358</v>
      </c>
      <c r="U24" s="6">
        <f t="shared" si="2"/>
        <v>9.3177706897758839E-2</v>
      </c>
    </row>
    <row r="25" spans="1:21" x14ac:dyDescent="0.25">
      <c r="A25" t="s">
        <v>103</v>
      </c>
      <c r="B25" t="s">
        <v>104</v>
      </c>
      <c r="C25" t="s">
        <v>14</v>
      </c>
      <c r="D25">
        <v>850</v>
      </c>
      <c r="E25">
        <v>894.7</v>
      </c>
      <c r="F25">
        <v>843.7</v>
      </c>
      <c r="G25" s="3">
        <v>854.45</v>
      </c>
      <c r="H25">
        <v>861.5</v>
      </c>
      <c r="I25">
        <v>807.25</v>
      </c>
      <c r="J25">
        <v>914003</v>
      </c>
      <c r="K25">
        <v>791090199.29999995</v>
      </c>
      <c r="L25" s="1">
        <v>45240</v>
      </c>
      <c r="M25">
        <v>34792</v>
      </c>
      <c r="N25" t="s">
        <v>105</v>
      </c>
      <c r="O25" s="5">
        <v>45240</v>
      </c>
      <c r="P25" s="5">
        <v>43777</v>
      </c>
      <c r="Q25" s="3">
        <v>85.15</v>
      </c>
      <c r="S25">
        <f t="shared" si="0"/>
        <v>1464</v>
      </c>
      <c r="T25">
        <f t="shared" si="1"/>
        <v>16.043835616438358</v>
      </c>
      <c r="U25" s="6">
        <f t="shared" si="2"/>
        <v>0.61830748749028253</v>
      </c>
    </row>
    <row r="26" spans="1:21" x14ac:dyDescent="0.25">
      <c r="A26" t="s">
        <v>118</v>
      </c>
      <c r="B26" t="s">
        <v>119</v>
      </c>
      <c r="C26" t="s">
        <v>14</v>
      </c>
      <c r="D26">
        <v>2220.25</v>
      </c>
      <c r="E26">
        <v>2237</v>
      </c>
      <c r="F26">
        <v>2198.5</v>
      </c>
      <c r="G26" s="3">
        <v>2205.1</v>
      </c>
      <c r="H26">
        <v>2209</v>
      </c>
      <c r="I26">
        <v>2214.65</v>
      </c>
      <c r="J26">
        <v>1072597</v>
      </c>
      <c r="K26">
        <v>2375324609.6500001</v>
      </c>
      <c r="L26" s="1">
        <v>45240</v>
      </c>
      <c r="M26">
        <v>45963</v>
      </c>
      <c r="N26" t="s">
        <v>120</v>
      </c>
      <c r="O26" s="5">
        <v>45240</v>
      </c>
      <c r="P26" s="5">
        <v>43777</v>
      </c>
      <c r="Q26" s="3">
        <v>208.05</v>
      </c>
      <c r="S26">
        <f t="shared" si="0"/>
        <v>1464</v>
      </c>
      <c r="T26">
        <f t="shared" si="1"/>
        <v>16.043835616438358</v>
      </c>
      <c r="U26" s="6">
        <f t="shared" si="2"/>
        <v>0.63408182814139646</v>
      </c>
    </row>
    <row r="27" spans="1:21" x14ac:dyDescent="0.25">
      <c r="A27" t="s">
        <v>121</v>
      </c>
      <c r="B27" t="s">
        <v>122</v>
      </c>
      <c r="C27" t="s">
        <v>14</v>
      </c>
      <c r="D27">
        <v>942.8</v>
      </c>
      <c r="E27">
        <v>946.2</v>
      </c>
      <c r="F27">
        <v>927.05</v>
      </c>
      <c r="G27" s="3">
        <v>938.7</v>
      </c>
      <c r="H27">
        <v>939.95</v>
      </c>
      <c r="I27">
        <v>938.1</v>
      </c>
      <c r="J27">
        <v>311274</v>
      </c>
      <c r="K27">
        <v>292299752.60000002</v>
      </c>
      <c r="L27" s="1">
        <v>45240</v>
      </c>
      <c r="M27">
        <v>13990</v>
      </c>
      <c r="N27" t="s">
        <v>123</v>
      </c>
      <c r="O27" s="5">
        <v>45240</v>
      </c>
      <c r="P27" s="5">
        <v>43777</v>
      </c>
      <c r="Q27" s="3">
        <v>86.7</v>
      </c>
      <c r="S27">
        <f t="shared" si="0"/>
        <v>1464</v>
      </c>
      <c r="T27">
        <f t="shared" si="1"/>
        <v>16.043835616438358</v>
      </c>
      <c r="U27" s="6">
        <f t="shared" si="2"/>
        <v>0.64023596799058602</v>
      </c>
    </row>
    <row r="28" spans="1:21" x14ac:dyDescent="0.25">
      <c r="A28" t="s">
        <v>124</v>
      </c>
      <c r="B28" t="s">
        <v>125</v>
      </c>
      <c r="C28" t="s">
        <v>14</v>
      </c>
      <c r="D28">
        <v>808</v>
      </c>
      <c r="E28">
        <v>818.8</v>
      </c>
      <c r="F28">
        <v>806.2</v>
      </c>
      <c r="G28" s="3">
        <v>808.6</v>
      </c>
      <c r="H28">
        <v>809.95</v>
      </c>
      <c r="I28">
        <v>806.2</v>
      </c>
      <c r="J28">
        <v>3903183</v>
      </c>
      <c r="K28">
        <v>3167742392.3499999</v>
      </c>
      <c r="L28" s="1">
        <v>45240</v>
      </c>
      <c r="M28">
        <v>66315</v>
      </c>
      <c r="N28" t="s">
        <v>126</v>
      </c>
      <c r="O28" s="5">
        <v>45240</v>
      </c>
      <c r="P28" s="5">
        <v>43777</v>
      </c>
      <c r="Q28" s="3">
        <v>386.15</v>
      </c>
      <c r="S28">
        <f t="shared" si="0"/>
        <v>1464</v>
      </c>
      <c r="T28">
        <f t="shared" si="1"/>
        <v>16.043835616438358</v>
      </c>
      <c r="U28" s="6">
        <f t="shared" si="2"/>
        <v>0.18857489792438376</v>
      </c>
    </row>
    <row r="29" spans="1:21" x14ac:dyDescent="0.25">
      <c r="A29" t="s">
        <v>127</v>
      </c>
      <c r="B29" t="s">
        <v>128</v>
      </c>
      <c r="C29" t="s">
        <v>14</v>
      </c>
      <c r="D29">
        <v>399.95</v>
      </c>
      <c r="E29">
        <v>406.8</v>
      </c>
      <c r="F29">
        <v>395.3</v>
      </c>
      <c r="G29" s="3">
        <v>399.4</v>
      </c>
      <c r="H29">
        <v>398.6</v>
      </c>
      <c r="I29">
        <v>401.1</v>
      </c>
      <c r="J29">
        <v>16574959</v>
      </c>
      <c r="K29">
        <v>6668485091.8000002</v>
      </c>
      <c r="L29" s="1">
        <v>45240</v>
      </c>
      <c r="M29">
        <v>98845</v>
      </c>
      <c r="N29" t="s">
        <v>129</v>
      </c>
      <c r="O29" s="5">
        <v>45240</v>
      </c>
      <c r="P29" s="5">
        <v>43777</v>
      </c>
      <c r="Q29" s="3">
        <v>68.7</v>
      </c>
      <c r="S29">
        <f t="shared" si="0"/>
        <v>1464</v>
      </c>
      <c r="T29">
        <f t="shared" si="1"/>
        <v>16.043835616438358</v>
      </c>
      <c r="U29" s="6">
        <f t="shared" si="2"/>
        <v>0.46383011174407685</v>
      </c>
    </row>
    <row r="30" spans="1:21" x14ac:dyDescent="0.25">
      <c r="A30" t="s">
        <v>130</v>
      </c>
      <c r="B30" t="s">
        <v>131</v>
      </c>
      <c r="C30" t="s">
        <v>14</v>
      </c>
      <c r="D30">
        <v>234.2</v>
      </c>
      <c r="E30">
        <v>234.85</v>
      </c>
      <c r="F30">
        <v>226.1</v>
      </c>
      <c r="G30" s="3">
        <v>227.55</v>
      </c>
      <c r="H30">
        <v>227.7</v>
      </c>
      <c r="I30">
        <v>236.3</v>
      </c>
      <c r="J30">
        <v>170444</v>
      </c>
      <c r="K30">
        <v>39091402.899999999</v>
      </c>
      <c r="L30" s="1">
        <v>45240</v>
      </c>
      <c r="M30">
        <v>5652</v>
      </c>
      <c r="N30" t="s">
        <v>132</v>
      </c>
      <c r="O30" s="5">
        <v>45240</v>
      </c>
      <c r="P30" s="5">
        <v>43777</v>
      </c>
      <c r="Q30" s="3">
        <v>300.85000000000002</v>
      </c>
      <c r="S30">
        <f t="shared" si="0"/>
        <v>1464</v>
      </c>
      <c r="T30">
        <f t="shared" si="1"/>
        <v>16.043835616438358</v>
      </c>
      <c r="U30" s="6">
        <f t="shared" si="2"/>
        <v>-6.9017349568694097E-2</v>
      </c>
    </row>
    <row r="31" spans="1:21" x14ac:dyDescent="0.25">
      <c r="A31" t="s">
        <v>136</v>
      </c>
      <c r="B31" t="s">
        <v>137</v>
      </c>
      <c r="C31" t="s">
        <v>14</v>
      </c>
      <c r="D31">
        <v>1459.85</v>
      </c>
      <c r="E31">
        <v>1518</v>
      </c>
      <c r="F31">
        <v>1453.05</v>
      </c>
      <c r="G31" s="3">
        <v>1502.75</v>
      </c>
      <c r="H31">
        <v>1502.1</v>
      </c>
      <c r="I31">
        <v>1446.95</v>
      </c>
      <c r="J31">
        <v>177670</v>
      </c>
      <c r="K31">
        <v>265257947.05000001</v>
      </c>
      <c r="L31" s="1">
        <v>45240</v>
      </c>
      <c r="M31">
        <v>18504</v>
      </c>
      <c r="N31" t="s">
        <v>138</v>
      </c>
      <c r="O31" s="5">
        <v>45240</v>
      </c>
      <c r="P31" s="5">
        <v>43777</v>
      </c>
      <c r="Q31" s="3">
        <v>312.8</v>
      </c>
      <c r="S31">
        <f t="shared" si="0"/>
        <v>1464</v>
      </c>
      <c r="T31">
        <f t="shared" si="1"/>
        <v>16.043835616438358</v>
      </c>
      <c r="U31" s="6">
        <f t="shared" si="2"/>
        <v>0.41107908291755102</v>
      </c>
    </row>
    <row r="32" spans="1:21" x14ac:dyDescent="0.25">
      <c r="A32" t="s">
        <v>139</v>
      </c>
      <c r="B32" t="s">
        <v>140</v>
      </c>
      <c r="C32" t="s">
        <v>10</v>
      </c>
      <c r="D32">
        <v>22.35</v>
      </c>
      <c r="E32">
        <v>22.35</v>
      </c>
      <c r="F32">
        <v>22.3</v>
      </c>
      <c r="G32" s="3">
        <v>22.3</v>
      </c>
      <c r="H32">
        <v>22.3</v>
      </c>
      <c r="I32">
        <v>22.35</v>
      </c>
      <c r="J32">
        <v>6208</v>
      </c>
      <c r="K32">
        <v>138710</v>
      </c>
      <c r="L32" s="1">
        <v>45240</v>
      </c>
      <c r="M32">
        <v>29</v>
      </c>
      <c r="N32" t="s">
        <v>141</v>
      </c>
      <c r="O32" s="5">
        <v>45240</v>
      </c>
      <c r="P32" s="5">
        <v>43777</v>
      </c>
      <c r="Q32" s="3">
        <v>8.75</v>
      </c>
      <c r="S32">
        <f t="shared" si="0"/>
        <v>1464</v>
      </c>
      <c r="T32">
        <f t="shared" si="1"/>
        <v>16.043835616438358</v>
      </c>
      <c r="U32" s="6">
        <f t="shared" si="2"/>
        <v>0.24017870574207123</v>
      </c>
    </row>
    <row r="33" spans="1:21" x14ac:dyDescent="0.25">
      <c r="A33" t="s">
        <v>142</v>
      </c>
      <c r="B33" t="s">
        <v>143</v>
      </c>
      <c r="C33" t="s">
        <v>14</v>
      </c>
      <c r="D33">
        <v>116.1</v>
      </c>
      <c r="E33">
        <v>118.1</v>
      </c>
      <c r="F33">
        <v>115.25</v>
      </c>
      <c r="G33" s="3">
        <v>115.7</v>
      </c>
      <c r="H33">
        <v>115.45</v>
      </c>
      <c r="I33">
        <v>116.5</v>
      </c>
      <c r="J33">
        <v>125307</v>
      </c>
      <c r="K33">
        <v>14601753.300000001</v>
      </c>
      <c r="L33" s="1">
        <v>45240</v>
      </c>
      <c r="M33">
        <v>1613</v>
      </c>
      <c r="N33" t="s">
        <v>144</v>
      </c>
      <c r="O33" s="5">
        <v>45240</v>
      </c>
      <c r="P33" s="5">
        <v>43777</v>
      </c>
      <c r="Q33" s="3">
        <v>15</v>
      </c>
      <c r="S33">
        <f t="shared" si="0"/>
        <v>1464</v>
      </c>
      <c r="T33">
        <f t="shared" si="1"/>
        <v>16.043835616438358</v>
      </c>
      <c r="U33" s="6">
        <f t="shared" si="2"/>
        <v>0.54319222714057425</v>
      </c>
    </row>
    <row r="34" spans="1:21" x14ac:dyDescent="0.25">
      <c r="A34" t="s">
        <v>145</v>
      </c>
      <c r="B34" t="s">
        <v>146</v>
      </c>
      <c r="C34" t="s">
        <v>14</v>
      </c>
      <c r="D34">
        <v>121.15</v>
      </c>
      <c r="E34">
        <v>123.35</v>
      </c>
      <c r="F34">
        <v>119</v>
      </c>
      <c r="G34" s="3">
        <v>120.6</v>
      </c>
      <c r="H34">
        <v>120.7</v>
      </c>
      <c r="I34">
        <v>121.55</v>
      </c>
      <c r="J34">
        <v>179919</v>
      </c>
      <c r="K34">
        <v>21723263.100000001</v>
      </c>
      <c r="L34" s="1">
        <v>45240</v>
      </c>
      <c r="M34">
        <v>2823</v>
      </c>
      <c r="N34" t="s">
        <v>147</v>
      </c>
      <c r="O34" s="5">
        <v>45240</v>
      </c>
      <c r="P34" s="5">
        <v>43777</v>
      </c>
      <c r="Q34" s="3">
        <v>57.85</v>
      </c>
      <c r="S34">
        <f t="shared" si="0"/>
        <v>1464</v>
      </c>
      <c r="T34">
        <f t="shared" si="1"/>
        <v>16.043835616438358</v>
      </c>
      <c r="U34" s="6">
        <f t="shared" si="2"/>
        <v>0.18741260772203638</v>
      </c>
    </row>
    <row r="35" spans="1:21" x14ac:dyDescent="0.25">
      <c r="A35" t="s">
        <v>148</v>
      </c>
      <c r="B35" t="s">
        <v>149</v>
      </c>
      <c r="C35" t="s">
        <v>14</v>
      </c>
      <c r="D35">
        <v>326.39999999999998</v>
      </c>
      <c r="E35">
        <v>334.35</v>
      </c>
      <c r="F35">
        <v>322.2</v>
      </c>
      <c r="G35" s="3">
        <v>324.39999999999998</v>
      </c>
      <c r="H35">
        <v>324.10000000000002</v>
      </c>
      <c r="I35">
        <v>329.25</v>
      </c>
      <c r="J35">
        <v>131539</v>
      </c>
      <c r="K35">
        <v>43076099.850000001</v>
      </c>
      <c r="L35" s="1">
        <v>45240</v>
      </c>
      <c r="M35">
        <v>7475</v>
      </c>
      <c r="N35" t="s">
        <v>150</v>
      </c>
      <c r="O35" s="5">
        <v>45240</v>
      </c>
      <c r="P35" s="5">
        <v>43777</v>
      </c>
      <c r="Q35" s="3">
        <v>178.1</v>
      </c>
      <c r="S35">
        <f t="shared" si="0"/>
        <v>1464</v>
      </c>
      <c r="T35">
        <f t="shared" si="1"/>
        <v>16.043835616438358</v>
      </c>
      <c r="U35" s="6">
        <f t="shared" si="2"/>
        <v>0.15232730387255167</v>
      </c>
    </row>
    <row r="36" spans="1:21" x14ac:dyDescent="0.25">
      <c r="A36" t="s">
        <v>151</v>
      </c>
      <c r="B36" t="s">
        <v>152</v>
      </c>
      <c r="C36" t="s">
        <v>14</v>
      </c>
      <c r="D36">
        <v>316.45</v>
      </c>
      <c r="E36">
        <v>317.8</v>
      </c>
      <c r="F36">
        <v>308.25</v>
      </c>
      <c r="G36" s="3">
        <v>310.5</v>
      </c>
      <c r="H36">
        <v>310.35000000000002</v>
      </c>
      <c r="I36">
        <v>315.85000000000002</v>
      </c>
      <c r="J36">
        <v>1010207</v>
      </c>
      <c r="K36">
        <v>315298658.30000001</v>
      </c>
      <c r="L36" s="1">
        <v>45240</v>
      </c>
      <c r="M36">
        <v>23752</v>
      </c>
      <c r="N36" t="s">
        <v>153</v>
      </c>
      <c r="O36" s="5">
        <v>45240</v>
      </c>
      <c r="P36" s="5">
        <v>43777</v>
      </c>
      <c r="Q36" s="3">
        <v>163.44999999999999</v>
      </c>
      <c r="S36">
        <f t="shared" si="0"/>
        <v>1464</v>
      </c>
      <c r="T36">
        <f t="shared" si="1"/>
        <v>16.043835616438358</v>
      </c>
      <c r="U36" s="6">
        <f t="shared" si="2"/>
        <v>0.16322320509906518</v>
      </c>
    </row>
    <row r="37" spans="1:21" x14ac:dyDescent="0.25">
      <c r="A37" t="s">
        <v>160</v>
      </c>
      <c r="B37" t="s">
        <v>161</v>
      </c>
      <c r="C37" t="s">
        <v>14</v>
      </c>
      <c r="D37">
        <v>1025.7</v>
      </c>
      <c r="E37">
        <v>1038.3</v>
      </c>
      <c r="F37">
        <v>1015.8</v>
      </c>
      <c r="G37" s="3">
        <v>1017.6</v>
      </c>
      <c r="H37">
        <v>1017.7</v>
      </c>
      <c r="I37">
        <v>1025.75</v>
      </c>
      <c r="J37">
        <v>109766</v>
      </c>
      <c r="K37">
        <v>112386700.90000001</v>
      </c>
      <c r="L37" s="1">
        <v>45240</v>
      </c>
      <c r="M37">
        <v>10148</v>
      </c>
      <c r="N37" t="s">
        <v>162</v>
      </c>
      <c r="O37" s="5">
        <v>45240</v>
      </c>
      <c r="P37" s="5">
        <v>43777</v>
      </c>
      <c r="Q37" s="3">
        <v>1395.75</v>
      </c>
      <c r="S37">
        <f t="shared" si="0"/>
        <v>1464</v>
      </c>
      <c r="T37">
        <f t="shared" si="1"/>
        <v>16.043835616438358</v>
      </c>
      <c r="U37" s="6">
        <f t="shared" si="2"/>
        <v>-7.8009685146732455E-2</v>
      </c>
    </row>
    <row r="38" spans="1:21" x14ac:dyDescent="0.25">
      <c r="A38" t="s">
        <v>163</v>
      </c>
      <c r="B38" t="s">
        <v>164</v>
      </c>
      <c r="C38" t="s">
        <v>14</v>
      </c>
      <c r="D38">
        <v>907</v>
      </c>
      <c r="E38">
        <v>911.1</v>
      </c>
      <c r="F38">
        <v>889</v>
      </c>
      <c r="G38" s="3">
        <v>892.25</v>
      </c>
      <c r="H38">
        <v>893</v>
      </c>
      <c r="I38">
        <v>901.4</v>
      </c>
      <c r="J38">
        <v>24081</v>
      </c>
      <c r="K38">
        <v>21647696.850000001</v>
      </c>
      <c r="L38" s="1">
        <v>45240</v>
      </c>
      <c r="M38">
        <v>2706</v>
      </c>
      <c r="N38" t="s">
        <v>165</v>
      </c>
      <c r="O38" s="5">
        <v>45240</v>
      </c>
      <c r="P38" s="5">
        <v>43777</v>
      </c>
      <c r="Q38" s="3">
        <v>114.95</v>
      </c>
      <c r="S38">
        <f t="shared" si="0"/>
        <v>1464</v>
      </c>
      <c r="T38">
        <f t="shared" si="1"/>
        <v>16.043835616438358</v>
      </c>
      <c r="U38" s="6">
        <f t="shared" si="2"/>
        <v>0.54497619724993029</v>
      </c>
    </row>
    <row r="39" spans="1:21" x14ac:dyDescent="0.25">
      <c r="A39" t="s">
        <v>169</v>
      </c>
      <c r="B39" t="s">
        <v>170</v>
      </c>
      <c r="C39" t="s">
        <v>10</v>
      </c>
      <c r="D39">
        <v>182.55</v>
      </c>
      <c r="E39">
        <v>186</v>
      </c>
      <c r="F39">
        <v>180.5</v>
      </c>
      <c r="G39" s="3">
        <v>182.85</v>
      </c>
      <c r="H39">
        <v>182.25</v>
      </c>
      <c r="I39">
        <v>182.55</v>
      </c>
      <c r="J39">
        <v>3662</v>
      </c>
      <c r="K39">
        <v>669445.6</v>
      </c>
      <c r="L39" s="1">
        <v>45240</v>
      </c>
      <c r="M39">
        <v>31</v>
      </c>
      <c r="N39" t="s">
        <v>171</v>
      </c>
      <c r="O39" s="5">
        <v>45240</v>
      </c>
      <c r="P39" s="5">
        <v>43777</v>
      </c>
      <c r="Q39" s="3">
        <v>46.7</v>
      </c>
      <c r="S39">
        <f t="shared" si="0"/>
        <v>1464</v>
      </c>
      <c r="T39">
        <f t="shared" si="1"/>
        <v>16.043835616438358</v>
      </c>
      <c r="U39" s="6">
        <f t="shared" si="2"/>
        <v>0.35519290299275941</v>
      </c>
    </row>
    <row r="40" spans="1:21" x14ac:dyDescent="0.25">
      <c r="A40" t="s">
        <v>172</v>
      </c>
      <c r="B40" t="s">
        <v>173</v>
      </c>
      <c r="C40" t="s">
        <v>14</v>
      </c>
      <c r="D40">
        <v>35.549999999999997</v>
      </c>
      <c r="E40">
        <v>39.4</v>
      </c>
      <c r="F40">
        <v>34.549999999999997</v>
      </c>
      <c r="G40" s="3">
        <v>37.299999999999997</v>
      </c>
      <c r="H40">
        <v>36.5</v>
      </c>
      <c r="I40">
        <v>35.9</v>
      </c>
      <c r="J40">
        <v>178684</v>
      </c>
      <c r="K40">
        <v>6538712.9500000002</v>
      </c>
      <c r="L40" s="1">
        <v>45240</v>
      </c>
      <c r="M40">
        <v>835</v>
      </c>
      <c r="N40" t="s">
        <v>174</v>
      </c>
      <c r="O40" s="5">
        <v>45240</v>
      </c>
      <c r="P40" s="5">
        <v>43777</v>
      </c>
      <c r="Q40" s="3">
        <v>120.8</v>
      </c>
      <c r="S40">
        <f t="shared" si="0"/>
        <v>1464</v>
      </c>
      <c r="T40">
        <f t="shared" si="1"/>
        <v>16.043835616438358</v>
      </c>
      <c r="U40" s="6">
        <f t="shared" si="2"/>
        <v>-0.28251040839431152</v>
      </c>
    </row>
    <row r="41" spans="1:21" x14ac:dyDescent="0.25">
      <c r="A41" t="s">
        <v>181</v>
      </c>
      <c r="B41" t="s">
        <v>182</v>
      </c>
      <c r="C41" t="s">
        <v>14</v>
      </c>
      <c r="D41">
        <v>113</v>
      </c>
      <c r="E41">
        <v>113</v>
      </c>
      <c r="F41">
        <v>110.7</v>
      </c>
      <c r="G41" s="3">
        <v>112.2</v>
      </c>
      <c r="H41">
        <v>112.65</v>
      </c>
      <c r="I41">
        <v>111</v>
      </c>
      <c r="J41">
        <v>12005</v>
      </c>
      <c r="K41">
        <v>1342145.3999999999</v>
      </c>
      <c r="L41" s="1">
        <v>45240</v>
      </c>
      <c r="M41">
        <v>182</v>
      </c>
      <c r="N41" t="s">
        <v>183</v>
      </c>
      <c r="O41" s="5">
        <v>45240</v>
      </c>
      <c r="P41" s="5">
        <v>43777</v>
      </c>
      <c r="Q41" s="3">
        <v>57.9</v>
      </c>
      <c r="S41">
        <f t="shared" si="0"/>
        <v>1464</v>
      </c>
      <c r="T41">
        <f t="shared" si="1"/>
        <v>16.043835616438358</v>
      </c>
      <c r="U41" s="6">
        <f t="shared" si="2"/>
        <v>0.16838737079420607</v>
      </c>
    </row>
    <row r="42" spans="1:21" x14ac:dyDescent="0.25">
      <c r="A42" t="s">
        <v>184</v>
      </c>
      <c r="B42" t="s">
        <v>185</v>
      </c>
      <c r="C42" t="s">
        <v>14</v>
      </c>
      <c r="D42">
        <v>129.15</v>
      </c>
      <c r="E42">
        <v>137</v>
      </c>
      <c r="F42">
        <v>126.1</v>
      </c>
      <c r="G42" s="3">
        <v>133.44999999999999</v>
      </c>
      <c r="H42">
        <v>133</v>
      </c>
      <c r="I42">
        <v>129.69999999999999</v>
      </c>
      <c r="J42">
        <v>23565</v>
      </c>
      <c r="K42">
        <v>3089985.2</v>
      </c>
      <c r="L42" s="1">
        <v>45240</v>
      </c>
      <c r="M42">
        <v>453</v>
      </c>
      <c r="N42" t="s">
        <v>186</v>
      </c>
      <c r="O42" s="5">
        <v>45240</v>
      </c>
      <c r="P42" s="5">
        <v>43777</v>
      </c>
      <c r="Q42" s="3">
        <v>181</v>
      </c>
      <c r="S42">
        <f t="shared" si="0"/>
        <v>1464</v>
      </c>
      <c r="T42">
        <f t="shared" si="1"/>
        <v>16.043835616438358</v>
      </c>
      <c r="U42" s="6">
        <f t="shared" si="2"/>
        <v>-7.5267207824322835E-2</v>
      </c>
    </row>
    <row r="43" spans="1:21" x14ac:dyDescent="0.25">
      <c r="A43" t="s">
        <v>187</v>
      </c>
      <c r="B43" t="s">
        <v>188</v>
      </c>
      <c r="C43" t="s">
        <v>14</v>
      </c>
      <c r="D43">
        <v>680.45</v>
      </c>
      <c r="E43">
        <v>711.25</v>
      </c>
      <c r="F43">
        <v>674</v>
      </c>
      <c r="G43" s="3">
        <v>680.8</v>
      </c>
      <c r="H43">
        <v>684.5</v>
      </c>
      <c r="I43">
        <v>681.85</v>
      </c>
      <c r="J43">
        <v>235239</v>
      </c>
      <c r="K43">
        <v>162822322.59999999</v>
      </c>
      <c r="L43" s="1">
        <v>45240</v>
      </c>
      <c r="M43">
        <v>14067</v>
      </c>
      <c r="N43" t="s">
        <v>189</v>
      </c>
      <c r="O43" s="5">
        <v>45240</v>
      </c>
      <c r="P43" s="5">
        <v>43777</v>
      </c>
      <c r="Q43" s="3">
        <v>300.75</v>
      </c>
      <c r="S43">
        <f t="shared" si="0"/>
        <v>1464</v>
      </c>
      <c r="T43">
        <f t="shared" si="1"/>
        <v>16.043835616438358</v>
      </c>
      <c r="U43" s="6">
        <f t="shared" si="2"/>
        <v>0.20896457949829106</v>
      </c>
    </row>
    <row r="44" spans="1:21" x14ac:dyDescent="0.25">
      <c r="A44" t="s">
        <v>190</v>
      </c>
      <c r="B44" t="s">
        <v>191</v>
      </c>
      <c r="C44" t="s">
        <v>14</v>
      </c>
      <c r="D44">
        <v>3610.05</v>
      </c>
      <c r="E44">
        <v>3638.8</v>
      </c>
      <c r="F44">
        <v>3542</v>
      </c>
      <c r="G44" s="3">
        <v>3559.5</v>
      </c>
      <c r="H44">
        <v>3555</v>
      </c>
      <c r="I44">
        <v>3611.15</v>
      </c>
      <c r="J44">
        <v>40915</v>
      </c>
      <c r="K44">
        <v>147263265.05000001</v>
      </c>
      <c r="L44" s="1">
        <v>45240</v>
      </c>
      <c r="M44">
        <v>9001</v>
      </c>
      <c r="N44" t="s">
        <v>192</v>
      </c>
      <c r="O44" s="5">
        <v>45240</v>
      </c>
      <c r="P44" s="5">
        <v>43777</v>
      </c>
      <c r="Q44" s="3">
        <v>1686</v>
      </c>
      <c r="S44">
        <f t="shared" si="0"/>
        <v>1464</v>
      </c>
      <c r="T44">
        <f t="shared" si="1"/>
        <v>16.043835616438358</v>
      </c>
      <c r="U44" s="6">
        <f t="shared" si="2"/>
        <v>0.19071172241267753</v>
      </c>
    </row>
    <row r="45" spans="1:21" x14ac:dyDescent="0.25">
      <c r="A45" t="s">
        <v>193</v>
      </c>
      <c r="B45" t="s">
        <v>194</v>
      </c>
      <c r="C45" t="s">
        <v>10</v>
      </c>
      <c r="D45">
        <v>22.4</v>
      </c>
      <c r="E45">
        <v>22.4</v>
      </c>
      <c r="F45">
        <v>21.6</v>
      </c>
      <c r="G45" s="3">
        <v>21.8</v>
      </c>
      <c r="H45">
        <v>21.8</v>
      </c>
      <c r="I45">
        <v>21.95</v>
      </c>
      <c r="J45">
        <v>67496</v>
      </c>
      <c r="K45">
        <v>1478406.05</v>
      </c>
      <c r="L45" s="1">
        <v>45240</v>
      </c>
      <c r="M45">
        <v>455</v>
      </c>
      <c r="N45" t="s">
        <v>195</v>
      </c>
      <c r="O45" s="5">
        <v>45240</v>
      </c>
      <c r="P45" s="5">
        <v>43777</v>
      </c>
      <c r="Q45" s="3">
        <v>11.25</v>
      </c>
      <c r="S45">
        <f t="shared" si="0"/>
        <v>1464</v>
      </c>
      <c r="T45">
        <f t="shared" si="1"/>
        <v>16.043835616438358</v>
      </c>
      <c r="U45" s="6">
        <f t="shared" si="2"/>
        <v>0.16838119574272703</v>
      </c>
    </row>
    <row r="46" spans="1:21" x14ac:dyDescent="0.25">
      <c r="A46" t="s">
        <v>199</v>
      </c>
      <c r="B46" t="s">
        <v>200</v>
      </c>
      <c r="C46" t="s">
        <v>14</v>
      </c>
      <c r="D46">
        <v>1875</v>
      </c>
      <c r="E46">
        <v>1910</v>
      </c>
      <c r="F46">
        <v>1858.1</v>
      </c>
      <c r="G46" s="3">
        <v>1887.85</v>
      </c>
      <c r="H46">
        <v>1885</v>
      </c>
      <c r="I46">
        <v>1875.15</v>
      </c>
      <c r="J46">
        <v>235241</v>
      </c>
      <c r="K46">
        <v>444544381.89999998</v>
      </c>
      <c r="L46" s="1">
        <v>45240</v>
      </c>
      <c r="M46">
        <v>13691</v>
      </c>
      <c r="N46" t="s">
        <v>201</v>
      </c>
      <c r="O46" s="5">
        <v>45240</v>
      </c>
      <c r="P46" s="5">
        <v>43777</v>
      </c>
      <c r="Q46" s="3">
        <v>988.8</v>
      </c>
      <c r="S46">
        <f t="shared" si="0"/>
        <v>1464</v>
      </c>
      <c r="T46">
        <f t="shared" si="1"/>
        <v>16.043835616438358</v>
      </c>
      <c r="U46" s="6">
        <f t="shared" si="2"/>
        <v>0.16452735942061292</v>
      </c>
    </row>
    <row r="47" spans="1:21" x14ac:dyDescent="0.25">
      <c r="A47" t="s">
        <v>202</v>
      </c>
      <c r="B47" t="s">
        <v>203</v>
      </c>
      <c r="C47" t="s">
        <v>14</v>
      </c>
      <c r="D47">
        <v>406</v>
      </c>
      <c r="E47">
        <v>409.9</v>
      </c>
      <c r="F47">
        <v>400</v>
      </c>
      <c r="G47" s="3">
        <v>401.75</v>
      </c>
      <c r="H47">
        <v>401.9</v>
      </c>
      <c r="I47">
        <v>406.65</v>
      </c>
      <c r="J47">
        <v>36642</v>
      </c>
      <c r="K47">
        <v>14831683.1</v>
      </c>
      <c r="L47" s="1">
        <v>45240</v>
      </c>
      <c r="M47">
        <v>3940</v>
      </c>
      <c r="N47" t="s">
        <v>204</v>
      </c>
      <c r="O47" s="5">
        <v>45240</v>
      </c>
      <c r="P47" s="5">
        <v>43777</v>
      </c>
      <c r="Q47" s="3">
        <v>130.35</v>
      </c>
      <c r="S47">
        <f t="shared" si="0"/>
        <v>1464</v>
      </c>
      <c r="T47">
        <f t="shared" si="1"/>
        <v>16.043835616438358</v>
      </c>
      <c r="U47" s="6">
        <f t="shared" si="2"/>
        <v>0.29071152507404374</v>
      </c>
    </row>
    <row r="48" spans="1:21" x14ac:dyDescent="0.25">
      <c r="A48" t="s">
        <v>208</v>
      </c>
      <c r="B48" t="s">
        <v>209</v>
      </c>
      <c r="C48" t="s">
        <v>14</v>
      </c>
      <c r="D48">
        <v>29.6</v>
      </c>
      <c r="E48">
        <v>29.85</v>
      </c>
      <c r="F48">
        <v>29.3</v>
      </c>
      <c r="G48" s="3">
        <v>29.65</v>
      </c>
      <c r="H48">
        <v>29.5</v>
      </c>
      <c r="I48">
        <v>29.4</v>
      </c>
      <c r="J48">
        <v>25745</v>
      </c>
      <c r="K48">
        <v>760107.1</v>
      </c>
      <c r="L48" s="1">
        <v>45240</v>
      </c>
      <c r="M48">
        <v>587</v>
      </c>
      <c r="N48" t="s">
        <v>210</v>
      </c>
      <c r="O48" s="5">
        <v>45240</v>
      </c>
      <c r="P48" s="5">
        <v>43777</v>
      </c>
      <c r="Q48" s="3">
        <v>63.2</v>
      </c>
      <c r="S48">
        <f t="shared" si="0"/>
        <v>1464</v>
      </c>
      <c r="T48">
        <f t="shared" si="1"/>
        <v>16.043835616438358</v>
      </c>
      <c r="U48" s="6">
        <f t="shared" si="2"/>
        <v>-0.18431208365609875</v>
      </c>
    </row>
    <row r="49" spans="1:21" x14ac:dyDescent="0.25">
      <c r="A49" t="s">
        <v>220</v>
      </c>
      <c r="B49" t="s">
        <v>221</v>
      </c>
      <c r="C49" t="s">
        <v>14</v>
      </c>
      <c r="D49">
        <v>246.1</v>
      </c>
      <c r="E49">
        <v>251.3</v>
      </c>
      <c r="F49">
        <v>246.1</v>
      </c>
      <c r="G49" s="3">
        <v>247.35</v>
      </c>
      <c r="H49">
        <v>248.1</v>
      </c>
      <c r="I49">
        <v>248.9</v>
      </c>
      <c r="J49">
        <v>2726</v>
      </c>
      <c r="K49">
        <v>676207.5</v>
      </c>
      <c r="L49" s="1">
        <v>45240</v>
      </c>
      <c r="M49">
        <v>335</v>
      </c>
      <c r="N49" t="s">
        <v>222</v>
      </c>
      <c r="O49" s="5">
        <v>45240</v>
      </c>
      <c r="P49" s="5">
        <v>43777</v>
      </c>
      <c r="Q49" s="3">
        <v>214</v>
      </c>
      <c r="S49">
        <f t="shared" si="0"/>
        <v>1464</v>
      </c>
      <c r="T49">
        <f t="shared" si="1"/>
        <v>16.043835616438358</v>
      </c>
      <c r="U49" s="6">
        <f t="shared" si="2"/>
        <v>3.6271620565271334E-2</v>
      </c>
    </row>
    <row r="50" spans="1:21" x14ac:dyDescent="0.25">
      <c r="A50" t="s">
        <v>223</v>
      </c>
      <c r="B50" t="s">
        <v>224</v>
      </c>
      <c r="C50" t="s">
        <v>10</v>
      </c>
      <c r="D50">
        <v>10.15</v>
      </c>
      <c r="E50">
        <v>10.35</v>
      </c>
      <c r="F50">
        <v>9.9499999999999993</v>
      </c>
      <c r="G50" s="3">
        <v>10.199999999999999</v>
      </c>
      <c r="H50">
        <v>10.3</v>
      </c>
      <c r="I50">
        <v>10.25</v>
      </c>
      <c r="J50">
        <v>493061</v>
      </c>
      <c r="K50">
        <v>4961067.8499999996</v>
      </c>
      <c r="L50" s="1">
        <v>45240</v>
      </c>
      <c r="M50">
        <v>574</v>
      </c>
      <c r="N50" t="s">
        <v>225</v>
      </c>
      <c r="O50" s="5">
        <v>45240</v>
      </c>
      <c r="P50" s="5">
        <v>43777</v>
      </c>
      <c r="Q50" s="3">
        <v>7.5</v>
      </c>
      <c r="S50">
        <f t="shared" si="0"/>
        <v>1464</v>
      </c>
      <c r="T50">
        <f t="shared" si="1"/>
        <v>16.043835616438358</v>
      </c>
      <c r="U50" s="6">
        <f t="shared" si="2"/>
        <v>7.7400476403782115E-2</v>
      </c>
    </row>
    <row r="51" spans="1:21" x14ac:dyDescent="0.25">
      <c r="A51" t="s">
        <v>226</v>
      </c>
      <c r="B51" t="s">
        <v>227</v>
      </c>
      <c r="C51" t="s">
        <v>14</v>
      </c>
      <c r="D51">
        <v>2447</v>
      </c>
      <c r="E51">
        <v>2473</v>
      </c>
      <c r="F51">
        <v>2421.15</v>
      </c>
      <c r="G51" s="3">
        <v>2452.6999999999998</v>
      </c>
      <c r="H51">
        <v>2450</v>
      </c>
      <c r="I51">
        <v>2438.0500000000002</v>
      </c>
      <c r="J51">
        <v>20382</v>
      </c>
      <c r="K51">
        <v>49865834.649999999</v>
      </c>
      <c r="L51" s="1">
        <v>45240</v>
      </c>
      <c r="M51">
        <v>2649</v>
      </c>
      <c r="N51" t="s">
        <v>228</v>
      </c>
      <c r="O51" s="5">
        <v>45240</v>
      </c>
      <c r="P51" s="5">
        <v>43777</v>
      </c>
      <c r="Q51" s="3">
        <v>2152.6999999999998</v>
      </c>
      <c r="S51">
        <f t="shared" si="0"/>
        <v>1464</v>
      </c>
      <c r="T51">
        <f t="shared" si="1"/>
        <v>16.043835616438358</v>
      </c>
      <c r="U51" s="6">
        <f t="shared" si="2"/>
        <v>3.2660145323695211E-2</v>
      </c>
    </row>
    <row r="52" spans="1:21" x14ac:dyDescent="0.25">
      <c r="A52" t="s">
        <v>229</v>
      </c>
      <c r="B52" t="s">
        <v>230</v>
      </c>
      <c r="C52" t="s">
        <v>14</v>
      </c>
      <c r="D52">
        <v>11.95</v>
      </c>
      <c r="E52">
        <v>13.15</v>
      </c>
      <c r="F52">
        <v>11.75</v>
      </c>
      <c r="G52" s="3">
        <v>12.7</v>
      </c>
      <c r="H52">
        <v>12.75</v>
      </c>
      <c r="I52">
        <v>12</v>
      </c>
      <c r="J52">
        <v>5883231</v>
      </c>
      <c r="K52">
        <v>74687511.25</v>
      </c>
      <c r="L52" s="1">
        <v>45240</v>
      </c>
      <c r="M52">
        <v>4625</v>
      </c>
      <c r="N52" t="s">
        <v>231</v>
      </c>
      <c r="O52" s="5">
        <v>45240</v>
      </c>
      <c r="P52" s="5">
        <v>43777</v>
      </c>
      <c r="Q52" s="3">
        <v>14.85</v>
      </c>
      <c r="S52">
        <f t="shared" si="0"/>
        <v>1464</v>
      </c>
      <c r="T52">
        <f t="shared" si="1"/>
        <v>16.043835616438358</v>
      </c>
      <c r="U52" s="6">
        <f t="shared" si="2"/>
        <v>-3.8803201617935823E-2</v>
      </c>
    </row>
    <row r="53" spans="1:21" x14ac:dyDescent="0.25">
      <c r="A53" t="s">
        <v>232</v>
      </c>
      <c r="B53" t="s">
        <v>233</v>
      </c>
      <c r="C53" t="s">
        <v>14</v>
      </c>
      <c r="D53">
        <v>860.05</v>
      </c>
      <c r="E53">
        <v>872.05</v>
      </c>
      <c r="F53">
        <v>835</v>
      </c>
      <c r="G53" s="3">
        <v>840.7</v>
      </c>
      <c r="H53">
        <v>845</v>
      </c>
      <c r="I53">
        <v>845.9</v>
      </c>
      <c r="J53">
        <v>38367</v>
      </c>
      <c r="K53">
        <v>32681871.600000001</v>
      </c>
      <c r="L53" s="1">
        <v>45240</v>
      </c>
      <c r="M53">
        <v>2929</v>
      </c>
      <c r="N53" t="s">
        <v>234</v>
      </c>
      <c r="O53" s="5">
        <v>45240</v>
      </c>
      <c r="P53" s="5">
        <v>43777</v>
      </c>
      <c r="Q53" s="3">
        <v>402.4</v>
      </c>
      <c r="S53">
        <f t="shared" si="0"/>
        <v>1464</v>
      </c>
      <c r="T53">
        <f t="shared" si="1"/>
        <v>16.043835616438358</v>
      </c>
      <c r="U53" s="6">
        <f t="shared" si="2"/>
        <v>0.18797703581030234</v>
      </c>
    </row>
    <row r="54" spans="1:21" x14ac:dyDescent="0.25">
      <c r="A54" t="s">
        <v>235</v>
      </c>
      <c r="B54" t="s">
        <v>236</v>
      </c>
      <c r="C54" t="s">
        <v>14</v>
      </c>
      <c r="D54">
        <v>78.349999999999994</v>
      </c>
      <c r="E54">
        <v>79.400000000000006</v>
      </c>
      <c r="F54">
        <v>77.95</v>
      </c>
      <c r="G54" s="3">
        <v>78.75</v>
      </c>
      <c r="H54">
        <v>79</v>
      </c>
      <c r="I54">
        <v>78.25</v>
      </c>
      <c r="J54">
        <v>613215</v>
      </c>
      <c r="K54">
        <v>48282361.299999997</v>
      </c>
      <c r="L54" s="1">
        <v>45240</v>
      </c>
      <c r="M54">
        <v>3139</v>
      </c>
      <c r="N54" t="s">
        <v>237</v>
      </c>
      <c r="O54" s="5">
        <v>45240</v>
      </c>
      <c r="P54" s="5">
        <v>43777</v>
      </c>
      <c r="Q54" s="3">
        <v>49.95</v>
      </c>
      <c r="S54">
        <f t="shared" si="0"/>
        <v>1464</v>
      </c>
      <c r="T54">
        <f t="shared" si="1"/>
        <v>16.043835616438358</v>
      </c>
      <c r="U54" s="6">
        <f t="shared" si="2"/>
        <v>0.11512868223711159</v>
      </c>
    </row>
    <row r="55" spans="1:21" x14ac:dyDescent="0.25">
      <c r="A55" t="s">
        <v>238</v>
      </c>
      <c r="B55" t="s">
        <v>239</v>
      </c>
      <c r="C55" t="s">
        <v>14</v>
      </c>
      <c r="D55">
        <v>835</v>
      </c>
      <c r="E55">
        <v>858</v>
      </c>
      <c r="F55">
        <v>827.5</v>
      </c>
      <c r="G55" s="3">
        <v>831.9</v>
      </c>
      <c r="H55">
        <v>830</v>
      </c>
      <c r="I55">
        <v>829.6</v>
      </c>
      <c r="J55">
        <v>20385</v>
      </c>
      <c r="K55">
        <v>17158080</v>
      </c>
      <c r="L55" s="1">
        <v>45240</v>
      </c>
      <c r="M55">
        <v>1989</v>
      </c>
      <c r="N55" t="s">
        <v>240</v>
      </c>
      <c r="O55" s="5">
        <v>45240</v>
      </c>
      <c r="P55" s="5">
        <v>43777</v>
      </c>
      <c r="Q55" s="3">
        <v>385.85</v>
      </c>
      <c r="S55">
        <f t="shared" si="0"/>
        <v>1464</v>
      </c>
      <c r="T55">
        <f t="shared" si="1"/>
        <v>16.043835616438358</v>
      </c>
      <c r="U55" s="6">
        <f t="shared" si="2"/>
        <v>0.196201202243933</v>
      </c>
    </row>
    <row r="56" spans="1:21" x14ac:dyDescent="0.25">
      <c r="A56" t="s">
        <v>241</v>
      </c>
      <c r="B56" t="s">
        <v>242</v>
      </c>
      <c r="C56" t="s">
        <v>14</v>
      </c>
      <c r="D56">
        <v>110.95</v>
      </c>
      <c r="E56">
        <v>110.95</v>
      </c>
      <c r="F56">
        <v>105.75</v>
      </c>
      <c r="G56" s="3">
        <v>106.75</v>
      </c>
      <c r="H56">
        <v>107.2</v>
      </c>
      <c r="I56">
        <v>107.45</v>
      </c>
      <c r="J56">
        <v>11523</v>
      </c>
      <c r="K56">
        <v>1237477.3</v>
      </c>
      <c r="L56" s="1">
        <v>45240</v>
      </c>
      <c r="M56">
        <v>528</v>
      </c>
      <c r="N56" t="s">
        <v>243</v>
      </c>
      <c r="O56" s="5">
        <v>45240</v>
      </c>
      <c r="P56" s="5">
        <v>43777</v>
      </c>
      <c r="Q56" s="3">
        <v>52.45</v>
      </c>
      <c r="S56">
        <f t="shared" si="0"/>
        <v>1464</v>
      </c>
      <c r="T56">
        <f t="shared" si="1"/>
        <v>16.043835616438358</v>
      </c>
      <c r="U56" s="6">
        <f t="shared" si="2"/>
        <v>0.18115424177395756</v>
      </c>
    </row>
    <row r="57" spans="1:21" x14ac:dyDescent="0.25">
      <c r="A57" t="s">
        <v>244</v>
      </c>
      <c r="B57" t="s">
        <v>245</v>
      </c>
      <c r="C57" t="s">
        <v>14</v>
      </c>
      <c r="D57">
        <v>4275.1000000000004</v>
      </c>
      <c r="E57">
        <v>4325</v>
      </c>
      <c r="F57">
        <v>4212.5</v>
      </c>
      <c r="G57" s="3">
        <v>4306.25</v>
      </c>
      <c r="H57">
        <v>4310</v>
      </c>
      <c r="I57">
        <v>4282.7</v>
      </c>
      <c r="J57">
        <v>361432</v>
      </c>
      <c r="K57">
        <v>1546582424.05</v>
      </c>
      <c r="L57" s="1">
        <v>45240</v>
      </c>
      <c r="M57">
        <v>33210</v>
      </c>
      <c r="N57" t="s">
        <v>246</v>
      </c>
      <c r="O57" s="5">
        <v>45240</v>
      </c>
      <c r="P57" s="5">
        <v>43777</v>
      </c>
      <c r="Q57" s="3">
        <v>2034.25</v>
      </c>
      <c r="S57">
        <f t="shared" si="0"/>
        <v>1464</v>
      </c>
      <c r="T57">
        <f t="shared" si="1"/>
        <v>16.043835616438358</v>
      </c>
      <c r="U57" s="6">
        <f t="shared" si="2"/>
        <v>0.1914115535978409</v>
      </c>
    </row>
    <row r="58" spans="1:21" x14ac:dyDescent="0.25">
      <c r="A58" t="s">
        <v>247</v>
      </c>
      <c r="B58" t="s">
        <v>248</v>
      </c>
      <c r="C58" t="s">
        <v>14</v>
      </c>
      <c r="D58">
        <v>2130.0500000000002</v>
      </c>
      <c r="E58">
        <v>2143.1</v>
      </c>
      <c r="F58">
        <v>2124</v>
      </c>
      <c r="G58" s="3">
        <v>2127.5</v>
      </c>
      <c r="H58">
        <v>2129.1999999999998</v>
      </c>
      <c r="I58">
        <v>2124.1999999999998</v>
      </c>
      <c r="J58">
        <v>20776</v>
      </c>
      <c r="K58">
        <v>44239403.299999997</v>
      </c>
      <c r="L58" s="1">
        <v>45240</v>
      </c>
      <c r="M58">
        <v>3579</v>
      </c>
      <c r="N58" t="s">
        <v>249</v>
      </c>
      <c r="O58" s="5">
        <v>45240</v>
      </c>
      <c r="P58" s="5">
        <v>43777</v>
      </c>
      <c r="Q58" s="3">
        <v>1015.2</v>
      </c>
      <c r="S58">
        <f t="shared" si="0"/>
        <v>1464</v>
      </c>
      <c r="T58">
        <f t="shared" si="1"/>
        <v>16.043835616438358</v>
      </c>
      <c r="U58" s="6">
        <f t="shared" si="2"/>
        <v>0.18877944705109506</v>
      </c>
    </row>
    <row r="59" spans="1:21" x14ac:dyDescent="0.25">
      <c r="A59" t="s">
        <v>250</v>
      </c>
      <c r="B59" t="s">
        <v>251</v>
      </c>
      <c r="C59" t="s">
        <v>14</v>
      </c>
      <c r="D59">
        <v>270</v>
      </c>
      <c r="E59">
        <v>275.85000000000002</v>
      </c>
      <c r="F59">
        <v>268.25</v>
      </c>
      <c r="G59" s="3">
        <v>271.55</v>
      </c>
      <c r="H59">
        <v>272</v>
      </c>
      <c r="I59">
        <v>265.85000000000002</v>
      </c>
      <c r="J59">
        <v>553293</v>
      </c>
      <c r="K59">
        <v>150536646.69999999</v>
      </c>
      <c r="L59" s="1">
        <v>45240</v>
      </c>
      <c r="M59">
        <v>11869</v>
      </c>
      <c r="N59" t="s">
        <v>252</v>
      </c>
      <c r="O59" s="5">
        <v>45240</v>
      </c>
      <c r="P59" s="5">
        <v>43777</v>
      </c>
      <c r="Q59" s="3">
        <v>101.75</v>
      </c>
      <c r="S59">
        <f t="shared" si="0"/>
        <v>1464</v>
      </c>
      <c r="T59">
        <f t="shared" si="1"/>
        <v>16.043835616438358</v>
      </c>
      <c r="U59" s="6">
        <f t="shared" si="2"/>
        <v>0.25237839917008298</v>
      </c>
    </row>
    <row r="60" spans="1:21" x14ac:dyDescent="0.25">
      <c r="A60" t="s">
        <v>253</v>
      </c>
      <c r="B60" t="s">
        <v>254</v>
      </c>
      <c r="C60" t="s">
        <v>14</v>
      </c>
      <c r="D60">
        <v>637</v>
      </c>
      <c r="E60">
        <v>637.45000000000005</v>
      </c>
      <c r="F60">
        <v>620</v>
      </c>
      <c r="G60" s="3">
        <v>630.04999999999995</v>
      </c>
      <c r="H60">
        <v>625</v>
      </c>
      <c r="I60">
        <v>664.55</v>
      </c>
      <c r="J60">
        <v>68599</v>
      </c>
      <c r="K60">
        <v>43178182.799999997</v>
      </c>
      <c r="L60" s="1">
        <v>45240</v>
      </c>
      <c r="M60">
        <v>4586</v>
      </c>
      <c r="N60" t="s">
        <v>255</v>
      </c>
      <c r="O60" s="5">
        <v>45240</v>
      </c>
      <c r="P60" s="5">
        <v>43777</v>
      </c>
      <c r="Q60" s="3">
        <v>283.35000000000002</v>
      </c>
      <c r="S60">
        <f t="shared" si="0"/>
        <v>1464</v>
      </c>
      <c r="T60">
        <f t="shared" si="1"/>
        <v>16.043835616438358</v>
      </c>
      <c r="U60" s="6">
        <f t="shared" si="2"/>
        <v>0.20427837983998831</v>
      </c>
    </row>
    <row r="61" spans="1:21" x14ac:dyDescent="0.25">
      <c r="A61" t="s">
        <v>262</v>
      </c>
      <c r="B61" t="s">
        <v>263</v>
      </c>
      <c r="C61" t="s">
        <v>14</v>
      </c>
      <c r="D61">
        <v>86.5</v>
      </c>
      <c r="E61">
        <v>89</v>
      </c>
      <c r="F61">
        <v>85.1</v>
      </c>
      <c r="G61" s="3">
        <v>87.25</v>
      </c>
      <c r="H61">
        <v>87.6</v>
      </c>
      <c r="I61">
        <v>86.4</v>
      </c>
      <c r="J61">
        <v>339742</v>
      </c>
      <c r="K61">
        <v>29679267.550000001</v>
      </c>
      <c r="L61" s="1">
        <v>45240</v>
      </c>
      <c r="M61">
        <v>3768</v>
      </c>
      <c r="N61" t="s">
        <v>264</v>
      </c>
      <c r="O61" s="5">
        <v>45240</v>
      </c>
      <c r="P61" s="5">
        <v>43777</v>
      </c>
      <c r="Q61" s="3">
        <v>17.5</v>
      </c>
      <c r="S61">
        <f t="shared" si="0"/>
        <v>1464</v>
      </c>
      <c r="T61">
        <f t="shared" si="1"/>
        <v>16.043835616438358</v>
      </c>
      <c r="U61" s="6">
        <f t="shared" si="2"/>
        <v>0.42128800072403561</v>
      </c>
    </row>
    <row r="62" spans="1:21" x14ac:dyDescent="0.25">
      <c r="A62" t="s">
        <v>265</v>
      </c>
      <c r="B62" t="s">
        <v>266</v>
      </c>
      <c r="C62" t="s">
        <v>14</v>
      </c>
      <c r="D62">
        <v>281.25</v>
      </c>
      <c r="E62">
        <v>283.60000000000002</v>
      </c>
      <c r="F62">
        <v>279</v>
      </c>
      <c r="G62" s="3">
        <v>281.7</v>
      </c>
      <c r="H62">
        <v>282</v>
      </c>
      <c r="I62">
        <v>278.60000000000002</v>
      </c>
      <c r="J62">
        <v>7101</v>
      </c>
      <c r="K62">
        <v>1992976.2</v>
      </c>
      <c r="L62" s="1">
        <v>45240</v>
      </c>
      <c r="M62">
        <v>537</v>
      </c>
      <c r="N62" t="s">
        <v>267</v>
      </c>
      <c r="O62" s="5">
        <v>45240</v>
      </c>
      <c r="P62" s="5">
        <v>43777</v>
      </c>
      <c r="Q62" s="3">
        <v>184.6</v>
      </c>
      <c r="S62">
        <f t="shared" si="0"/>
        <v>1464</v>
      </c>
      <c r="T62">
        <f t="shared" si="1"/>
        <v>16.043835616438358</v>
      </c>
      <c r="U62" s="6">
        <f t="shared" si="2"/>
        <v>0.10677437429787329</v>
      </c>
    </row>
    <row r="63" spans="1:21" x14ac:dyDescent="0.25">
      <c r="A63" t="s">
        <v>268</v>
      </c>
      <c r="B63" t="s">
        <v>269</v>
      </c>
      <c r="C63" t="s">
        <v>14</v>
      </c>
      <c r="D63">
        <v>2.15</v>
      </c>
      <c r="E63">
        <v>2.15</v>
      </c>
      <c r="F63">
        <v>2.0499999999999998</v>
      </c>
      <c r="G63" s="3">
        <v>2.0499999999999998</v>
      </c>
      <c r="H63">
        <v>2.0499999999999998</v>
      </c>
      <c r="I63">
        <v>2.1</v>
      </c>
      <c r="J63">
        <v>38270</v>
      </c>
      <c r="K63">
        <v>78985.649999999994</v>
      </c>
      <c r="L63" s="1">
        <v>45240</v>
      </c>
      <c r="M63">
        <v>76</v>
      </c>
      <c r="N63" t="s">
        <v>270</v>
      </c>
      <c r="O63" s="5">
        <v>45240</v>
      </c>
      <c r="P63" s="5">
        <v>43777</v>
      </c>
      <c r="Q63" s="3">
        <v>0.55000000000000004</v>
      </c>
      <c r="S63">
        <f t="shared" si="0"/>
        <v>1464</v>
      </c>
      <c r="T63">
        <f t="shared" si="1"/>
        <v>16.043835616438358</v>
      </c>
      <c r="U63" s="6">
        <f t="shared" si="2"/>
        <v>0.34184550439882599</v>
      </c>
    </row>
    <row r="64" spans="1:21" x14ac:dyDescent="0.25">
      <c r="A64" t="s">
        <v>271</v>
      </c>
      <c r="B64" t="s">
        <v>272</v>
      </c>
      <c r="C64" t="s">
        <v>14</v>
      </c>
      <c r="D64">
        <v>3128.25</v>
      </c>
      <c r="E64">
        <v>3128.25</v>
      </c>
      <c r="F64">
        <v>2970.55</v>
      </c>
      <c r="G64" s="3">
        <v>3051.65</v>
      </c>
      <c r="H64">
        <v>3054</v>
      </c>
      <c r="I64">
        <v>3128.25</v>
      </c>
      <c r="J64">
        <v>287244</v>
      </c>
      <c r="K64">
        <v>871094772.39999998</v>
      </c>
      <c r="L64" s="1">
        <v>45240</v>
      </c>
      <c r="M64">
        <v>36784</v>
      </c>
      <c r="N64" t="s">
        <v>273</v>
      </c>
      <c r="O64" s="5">
        <v>45240</v>
      </c>
      <c r="P64" s="5">
        <v>43777</v>
      </c>
      <c r="Q64" s="3">
        <v>976.05</v>
      </c>
      <c r="S64">
        <f t="shared" si="0"/>
        <v>1464</v>
      </c>
      <c r="T64">
        <f t="shared" si="1"/>
        <v>16.043835616438358</v>
      </c>
      <c r="U64" s="6">
        <f t="shared" si="2"/>
        <v>0.29454213367988746</v>
      </c>
    </row>
    <row r="65" spans="1:21" x14ac:dyDescent="0.25">
      <c r="A65" t="s">
        <v>277</v>
      </c>
      <c r="B65" t="s">
        <v>278</v>
      </c>
      <c r="C65" t="s">
        <v>14</v>
      </c>
      <c r="D65">
        <v>1525.95</v>
      </c>
      <c r="E65">
        <v>1525.95</v>
      </c>
      <c r="F65">
        <v>1500</v>
      </c>
      <c r="G65" s="3">
        <v>1506.85</v>
      </c>
      <c r="H65">
        <v>1508</v>
      </c>
      <c r="I65">
        <v>1530.55</v>
      </c>
      <c r="J65">
        <v>12017</v>
      </c>
      <c r="K65">
        <v>18096843.75</v>
      </c>
      <c r="L65" s="1">
        <v>45240</v>
      </c>
      <c r="M65">
        <v>1813</v>
      </c>
      <c r="N65" t="s">
        <v>279</v>
      </c>
      <c r="O65" s="5">
        <v>45240</v>
      </c>
      <c r="P65" s="5">
        <v>43777</v>
      </c>
      <c r="Q65" s="3">
        <v>864.3</v>
      </c>
      <c r="S65">
        <f t="shared" si="0"/>
        <v>1464</v>
      </c>
      <c r="T65">
        <f t="shared" si="1"/>
        <v>16.043835616438358</v>
      </c>
      <c r="U65" s="6">
        <f t="shared" si="2"/>
        <v>0.14101317308245243</v>
      </c>
    </row>
    <row r="66" spans="1:21" x14ac:dyDescent="0.25">
      <c r="A66" t="s">
        <v>280</v>
      </c>
      <c r="B66" t="s">
        <v>281</v>
      </c>
      <c r="C66" t="s">
        <v>14</v>
      </c>
      <c r="D66">
        <v>418.75</v>
      </c>
      <c r="E66">
        <v>419.85</v>
      </c>
      <c r="F66">
        <v>415.45</v>
      </c>
      <c r="G66" s="3">
        <v>418.1</v>
      </c>
      <c r="H66">
        <v>417.95</v>
      </c>
      <c r="I66">
        <v>418.3</v>
      </c>
      <c r="J66">
        <v>1025880</v>
      </c>
      <c r="K66">
        <v>428333545.14999998</v>
      </c>
      <c r="L66" s="1">
        <v>45240</v>
      </c>
      <c r="M66">
        <v>17442</v>
      </c>
      <c r="N66" t="s">
        <v>282</v>
      </c>
      <c r="O66" s="5">
        <v>45240</v>
      </c>
      <c r="P66" s="5">
        <v>43777</v>
      </c>
      <c r="Q66" s="3">
        <v>202.25</v>
      </c>
      <c r="S66">
        <f t="shared" si="0"/>
        <v>1464</v>
      </c>
      <c r="T66">
        <f t="shared" si="1"/>
        <v>16.043835616438358</v>
      </c>
      <c r="U66" s="6">
        <f t="shared" si="2"/>
        <v>0.18521825352791854</v>
      </c>
    </row>
    <row r="67" spans="1:21" x14ac:dyDescent="0.25">
      <c r="A67" t="s">
        <v>283</v>
      </c>
      <c r="B67" t="s">
        <v>284</v>
      </c>
      <c r="C67" t="s">
        <v>14</v>
      </c>
      <c r="D67">
        <v>78.650000000000006</v>
      </c>
      <c r="E67">
        <v>78.650000000000006</v>
      </c>
      <c r="F67">
        <v>73.75</v>
      </c>
      <c r="G67" s="3">
        <v>74.349999999999994</v>
      </c>
      <c r="H67">
        <v>73.900000000000006</v>
      </c>
      <c r="I67">
        <v>77.55</v>
      </c>
      <c r="J67">
        <v>120527</v>
      </c>
      <c r="K67">
        <v>8965654.1500000004</v>
      </c>
      <c r="L67" s="1">
        <v>45240</v>
      </c>
      <c r="M67">
        <v>2014</v>
      </c>
      <c r="N67" t="s">
        <v>285</v>
      </c>
      <c r="O67" s="5">
        <v>45240</v>
      </c>
      <c r="P67" s="5">
        <v>43777</v>
      </c>
      <c r="Q67" s="3">
        <v>19.75</v>
      </c>
      <c r="S67">
        <f t="shared" ref="S67:S130" si="3">O67-P67+1</f>
        <v>1464</v>
      </c>
      <c r="T67">
        <f t="shared" ref="T67:T130" si="4">(S67/365)*4</f>
        <v>16.043835616438358</v>
      </c>
      <c r="U67" s="6">
        <f t="shared" ref="U67:U130" si="5">(((G67/Q67)^(1/T67))-1)*4</f>
        <v>0.34453996478763216</v>
      </c>
    </row>
    <row r="68" spans="1:21" x14ac:dyDescent="0.25">
      <c r="A68" t="s">
        <v>289</v>
      </c>
      <c r="B68" t="s">
        <v>290</v>
      </c>
      <c r="C68" t="s">
        <v>14</v>
      </c>
      <c r="D68">
        <v>38.549999999999997</v>
      </c>
      <c r="E68">
        <v>38.549999999999997</v>
      </c>
      <c r="F68">
        <v>36.299999999999997</v>
      </c>
      <c r="G68" s="3">
        <v>36.549999999999997</v>
      </c>
      <c r="H68">
        <v>36.65</v>
      </c>
      <c r="I68">
        <v>38.25</v>
      </c>
      <c r="J68">
        <v>462947</v>
      </c>
      <c r="K68">
        <v>17381744.949999999</v>
      </c>
      <c r="L68" s="1">
        <v>45240</v>
      </c>
      <c r="M68">
        <v>1938</v>
      </c>
      <c r="N68" t="s">
        <v>291</v>
      </c>
      <c r="O68" s="5">
        <v>45240</v>
      </c>
      <c r="P68" s="5">
        <v>43777</v>
      </c>
      <c r="Q68" s="3">
        <v>18.95</v>
      </c>
      <c r="S68">
        <f t="shared" si="3"/>
        <v>1464</v>
      </c>
      <c r="T68">
        <f t="shared" si="4"/>
        <v>16.043835616438358</v>
      </c>
      <c r="U68" s="6">
        <f t="shared" si="5"/>
        <v>0.16716945630872448</v>
      </c>
    </row>
    <row r="69" spans="1:21" x14ac:dyDescent="0.25">
      <c r="A69" t="s">
        <v>295</v>
      </c>
      <c r="B69" t="s">
        <v>296</v>
      </c>
      <c r="C69" t="s">
        <v>14</v>
      </c>
      <c r="D69">
        <v>608.1</v>
      </c>
      <c r="E69">
        <v>611</v>
      </c>
      <c r="F69">
        <v>601.70000000000005</v>
      </c>
      <c r="G69" s="3">
        <v>602.6</v>
      </c>
      <c r="H69">
        <v>603</v>
      </c>
      <c r="I69">
        <v>607.54999999999995</v>
      </c>
      <c r="J69">
        <v>13773</v>
      </c>
      <c r="K69">
        <v>8339283.7999999998</v>
      </c>
      <c r="L69" s="1">
        <v>45240</v>
      </c>
      <c r="M69">
        <v>965</v>
      </c>
      <c r="N69" t="s">
        <v>297</v>
      </c>
      <c r="O69" s="5">
        <v>45240</v>
      </c>
      <c r="P69" s="5">
        <v>43777</v>
      </c>
      <c r="Q69" s="3">
        <v>492</v>
      </c>
      <c r="S69">
        <f t="shared" si="3"/>
        <v>1464</v>
      </c>
      <c r="T69">
        <f t="shared" si="4"/>
        <v>16.043835616438358</v>
      </c>
      <c r="U69" s="6">
        <f t="shared" si="5"/>
        <v>5.0876049090460285E-2</v>
      </c>
    </row>
    <row r="70" spans="1:21" x14ac:dyDescent="0.25">
      <c r="A70" t="s">
        <v>301</v>
      </c>
      <c r="B70" t="s">
        <v>302</v>
      </c>
      <c r="C70" t="s">
        <v>14</v>
      </c>
      <c r="D70">
        <v>247.25</v>
      </c>
      <c r="E70">
        <v>252.1</v>
      </c>
      <c r="F70">
        <v>246.3</v>
      </c>
      <c r="G70" s="3">
        <v>247.55</v>
      </c>
      <c r="H70">
        <v>247</v>
      </c>
      <c r="I70">
        <v>247.8</v>
      </c>
      <c r="J70">
        <v>788615</v>
      </c>
      <c r="K70">
        <v>196985323</v>
      </c>
      <c r="L70" s="1">
        <v>45240</v>
      </c>
      <c r="M70">
        <v>10083</v>
      </c>
      <c r="N70" t="s">
        <v>303</v>
      </c>
      <c r="O70" s="5">
        <v>45240</v>
      </c>
      <c r="P70" s="5">
        <v>43777</v>
      </c>
      <c r="Q70" s="3">
        <v>33.049999999999997</v>
      </c>
      <c r="S70">
        <f t="shared" si="3"/>
        <v>1464</v>
      </c>
      <c r="T70">
        <f t="shared" si="4"/>
        <v>16.043835616438358</v>
      </c>
      <c r="U70" s="6">
        <f t="shared" si="5"/>
        <v>0.53488601464908214</v>
      </c>
    </row>
    <row r="71" spans="1:21" x14ac:dyDescent="0.25">
      <c r="A71" t="s">
        <v>307</v>
      </c>
      <c r="B71" t="s">
        <v>308</v>
      </c>
      <c r="C71" t="s">
        <v>14</v>
      </c>
      <c r="D71">
        <v>107.5</v>
      </c>
      <c r="E71">
        <v>109.7</v>
      </c>
      <c r="F71">
        <v>106.95</v>
      </c>
      <c r="G71" s="3">
        <v>108.2</v>
      </c>
      <c r="H71">
        <v>108.5</v>
      </c>
      <c r="I71">
        <v>107.95</v>
      </c>
      <c r="J71">
        <v>129429</v>
      </c>
      <c r="K71">
        <v>14017842.949999999</v>
      </c>
      <c r="L71" s="1">
        <v>45240</v>
      </c>
      <c r="M71">
        <v>1789</v>
      </c>
      <c r="N71" t="s">
        <v>309</v>
      </c>
      <c r="O71" s="5">
        <v>45240</v>
      </c>
      <c r="P71" s="5">
        <v>43777</v>
      </c>
      <c r="Q71" s="3">
        <v>290.10000000000002</v>
      </c>
      <c r="S71">
        <f t="shared" si="3"/>
        <v>1464</v>
      </c>
      <c r="T71">
        <f t="shared" si="4"/>
        <v>16.043835616438358</v>
      </c>
      <c r="U71" s="6">
        <f t="shared" si="5"/>
        <v>-0.23848234781789301</v>
      </c>
    </row>
    <row r="72" spans="1:21" x14ac:dyDescent="0.25">
      <c r="A72" t="s">
        <v>313</v>
      </c>
      <c r="B72" t="s">
        <v>314</v>
      </c>
      <c r="C72" t="s">
        <v>14</v>
      </c>
      <c r="D72">
        <v>42.35</v>
      </c>
      <c r="E72">
        <v>43.5</v>
      </c>
      <c r="F72">
        <v>42.35</v>
      </c>
      <c r="G72" s="3">
        <v>42.35</v>
      </c>
      <c r="H72">
        <v>42.35</v>
      </c>
      <c r="I72">
        <v>44.55</v>
      </c>
      <c r="J72">
        <v>99770</v>
      </c>
      <c r="K72">
        <v>4259321.6500000004</v>
      </c>
      <c r="L72" s="1">
        <v>45240</v>
      </c>
      <c r="M72">
        <v>885</v>
      </c>
      <c r="N72" t="s">
        <v>315</v>
      </c>
      <c r="O72" s="5">
        <v>45240</v>
      </c>
      <c r="P72" s="5">
        <v>43777</v>
      </c>
      <c r="Q72" s="3">
        <v>9.4499999999999993</v>
      </c>
      <c r="S72">
        <f t="shared" si="3"/>
        <v>1464</v>
      </c>
      <c r="T72">
        <f t="shared" si="4"/>
        <v>16.043835616438358</v>
      </c>
      <c r="U72" s="6">
        <f t="shared" si="5"/>
        <v>0.39200273294968024</v>
      </c>
    </row>
    <row r="73" spans="1:21" x14ac:dyDescent="0.25">
      <c r="A73" t="s">
        <v>316</v>
      </c>
      <c r="B73" t="s">
        <v>317</v>
      </c>
      <c r="C73" t="s">
        <v>10</v>
      </c>
      <c r="D73">
        <v>4.6500000000000004</v>
      </c>
      <c r="E73">
        <v>4.95</v>
      </c>
      <c r="F73">
        <v>4.6500000000000004</v>
      </c>
      <c r="G73" s="3">
        <v>4.95</v>
      </c>
      <c r="H73">
        <v>4.95</v>
      </c>
      <c r="I73">
        <v>4.75</v>
      </c>
      <c r="J73">
        <v>162685</v>
      </c>
      <c r="K73">
        <v>800365</v>
      </c>
      <c r="L73" s="1">
        <v>45240</v>
      </c>
      <c r="M73">
        <v>279</v>
      </c>
      <c r="N73" t="s">
        <v>318</v>
      </c>
      <c r="O73" s="5">
        <v>45240</v>
      </c>
      <c r="P73" s="5">
        <v>43777</v>
      </c>
      <c r="Q73" s="3">
        <v>0.5</v>
      </c>
      <c r="S73">
        <f t="shared" si="3"/>
        <v>1464</v>
      </c>
      <c r="T73">
        <f t="shared" si="4"/>
        <v>16.043835616438358</v>
      </c>
      <c r="U73" s="6">
        <f t="shared" si="5"/>
        <v>0.61442053418242626</v>
      </c>
    </row>
    <row r="74" spans="1:21" x14ac:dyDescent="0.25">
      <c r="A74" t="s">
        <v>322</v>
      </c>
      <c r="B74" t="s">
        <v>323</v>
      </c>
      <c r="C74" t="s">
        <v>10</v>
      </c>
      <c r="D74">
        <v>0.75</v>
      </c>
      <c r="E74">
        <v>0.75</v>
      </c>
      <c r="F74">
        <v>0.7</v>
      </c>
      <c r="G74" s="3">
        <v>0.75</v>
      </c>
      <c r="H74">
        <v>0.75</v>
      </c>
      <c r="I74">
        <v>0.75</v>
      </c>
      <c r="J74">
        <v>89804</v>
      </c>
      <c r="K74">
        <v>65417.25</v>
      </c>
      <c r="L74" s="1">
        <v>45240</v>
      </c>
      <c r="M74">
        <v>161</v>
      </c>
      <c r="N74" t="s">
        <v>324</v>
      </c>
      <c r="O74" s="5">
        <v>45240</v>
      </c>
      <c r="P74" s="5">
        <v>43777</v>
      </c>
      <c r="Q74" s="3">
        <v>0.7</v>
      </c>
      <c r="S74">
        <f t="shared" si="3"/>
        <v>1464</v>
      </c>
      <c r="T74">
        <f t="shared" si="4"/>
        <v>16.043835616438358</v>
      </c>
      <c r="U74" s="6">
        <f t="shared" si="5"/>
        <v>1.7238129359203214E-2</v>
      </c>
    </row>
    <row r="75" spans="1:21" x14ac:dyDescent="0.25">
      <c r="A75" t="s">
        <v>325</v>
      </c>
      <c r="B75" t="s">
        <v>326</v>
      </c>
      <c r="C75" t="s">
        <v>14</v>
      </c>
      <c r="D75">
        <v>2493</v>
      </c>
      <c r="E75">
        <v>2620</v>
      </c>
      <c r="F75">
        <v>2452.3000000000002</v>
      </c>
      <c r="G75" s="3">
        <v>2579.5</v>
      </c>
      <c r="H75">
        <v>2590</v>
      </c>
      <c r="I75">
        <v>2449.85</v>
      </c>
      <c r="J75">
        <v>57145</v>
      </c>
      <c r="K75">
        <v>146220705.80000001</v>
      </c>
      <c r="L75" s="1">
        <v>45240</v>
      </c>
      <c r="M75">
        <v>8266</v>
      </c>
      <c r="N75" t="s">
        <v>327</v>
      </c>
      <c r="O75" s="5">
        <v>45240</v>
      </c>
      <c r="P75" s="5">
        <v>43777</v>
      </c>
      <c r="Q75" s="3">
        <v>512.79999999999995</v>
      </c>
      <c r="S75">
        <f t="shared" si="3"/>
        <v>1464</v>
      </c>
      <c r="T75">
        <f t="shared" si="4"/>
        <v>16.043835616438358</v>
      </c>
      <c r="U75" s="6">
        <f t="shared" si="5"/>
        <v>0.42373807012473375</v>
      </c>
    </row>
    <row r="76" spans="1:21" x14ac:dyDescent="0.25">
      <c r="A76" t="s">
        <v>331</v>
      </c>
      <c r="B76" t="s">
        <v>332</v>
      </c>
      <c r="C76" t="s">
        <v>14</v>
      </c>
      <c r="D76">
        <v>5152</v>
      </c>
      <c r="E76">
        <v>5258.1</v>
      </c>
      <c r="F76">
        <v>5060</v>
      </c>
      <c r="G76" s="3">
        <v>5107.6000000000004</v>
      </c>
      <c r="H76">
        <v>5085</v>
      </c>
      <c r="I76">
        <v>5185.3999999999996</v>
      </c>
      <c r="J76">
        <v>67686</v>
      </c>
      <c r="K76">
        <v>348880067.05000001</v>
      </c>
      <c r="L76" s="1">
        <v>45240</v>
      </c>
      <c r="M76">
        <v>12037</v>
      </c>
      <c r="N76" t="s">
        <v>333</v>
      </c>
      <c r="O76" s="5">
        <v>45240</v>
      </c>
      <c r="P76" s="5">
        <v>43777</v>
      </c>
      <c r="Q76" s="3">
        <v>519.70000000000005</v>
      </c>
      <c r="S76">
        <f t="shared" si="3"/>
        <v>1464</v>
      </c>
      <c r="T76">
        <f t="shared" si="4"/>
        <v>16.043835616438358</v>
      </c>
      <c r="U76" s="6">
        <f t="shared" si="5"/>
        <v>0.61232098228102316</v>
      </c>
    </row>
    <row r="77" spans="1:21" x14ac:dyDescent="0.25">
      <c r="A77" t="s">
        <v>334</v>
      </c>
      <c r="B77" t="s">
        <v>335</v>
      </c>
      <c r="C77" t="s">
        <v>14</v>
      </c>
      <c r="D77">
        <v>219</v>
      </c>
      <c r="E77">
        <v>223.9</v>
      </c>
      <c r="F77">
        <v>210.75</v>
      </c>
      <c r="G77" s="3">
        <v>212.35</v>
      </c>
      <c r="H77">
        <v>212.2</v>
      </c>
      <c r="I77">
        <v>221.4</v>
      </c>
      <c r="J77">
        <v>78952</v>
      </c>
      <c r="K77">
        <v>17074956.899999999</v>
      </c>
      <c r="L77" s="1">
        <v>45240</v>
      </c>
      <c r="M77">
        <v>3197</v>
      </c>
      <c r="N77" t="s">
        <v>336</v>
      </c>
      <c r="O77" s="5">
        <v>45240</v>
      </c>
      <c r="P77" s="5">
        <v>43777</v>
      </c>
      <c r="Q77" s="3">
        <v>157.15</v>
      </c>
      <c r="S77">
        <f t="shared" si="3"/>
        <v>1464</v>
      </c>
      <c r="T77">
        <f t="shared" si="4"/>
        <v>16.043835616438358</v>
      </c>
      <c r="U77" s="6">
        <f t="shared" si="5"/>
        <v>7.5761694814980629E-2</v>
      </c>
    </row>
    <row r="78" spans="1:21" x14ac:dyDescent="0.25">
      <c r="A78" t="s">
        <v>337</v>
      </c>
      <c r="B78" t="s">
        <v>338</v>
      </c>
      <c r="C78" t="s">
        <v>14</v>
      </c>
      <c r="D78">
        <v>486.95</v>
      </c>
      <c r="E78">
        <v>492.9</v>
      </c>
      <c r="F78">
        <v>481.6</v>
      </c>
      <c r="G78" s="3">
        <v>490.95</v>
      </c>
      <c r="H78">
        <v>492.9</v>
      </c>
      <c r="I78">
        <v>482.4</v>
      </c>
      <c r="J78">
        <v>24379</v>
      </c>
      <c r="K78">
        <v>11934218.9</v>
      </c>
      <c r="L78" s="1">
        <v>45240</v>
      </c>
      <c r="M78">
        <v>1667</v>
      </c>
      <c r="N78" t="s">
        <v>339</v>
      </c>
      <c r="O78" s="5">
        <v>45240</v>
      </c>
      <c r="P78" s="5">
        <v>43777</v>
      </c>
      <c r="Q78" s="3">
        <v>166.05</v>
      </c>
      <c r="S78">
        <f t="shared" si="3"/>
        <v>1464</v>
      </c>
      <c r="T78">
        <f t="shared" si="4"/>
        <v>16.043835616438358</v>
      </c>
      <c r="U78" s="6">
        <f t="shared" si="5"/>
        <v>0.27961296421653792</v>
      </c>
    </row>
    <row r="79" spans="1:21" x14ac:dyDescent="0.25">
      <c r="A79" t="s">
        <v>340</v>
      </c>
      <c r="B79" t="s">
        <v>341</v>
      </c>
      <c r="C79" t="s">
        <v>14</v>
      </c>
      <c r="D79">
        <v>217.2</v>
      </c>
      <c r="E79">
        <v>217.2</v>
      </c>
      <c r="F79">
        <v>214</v>
      </c>
      <c r="G79" s="3">
        <v>214.65</v>
      </c>
      <c r="H79">
        <v>215.15</v>
      </c>
      <c r="I79">
        <v>217.2</v>
      </c>
      <c r="J79">
        <v>31823</v>
      </c>
      <c r="K79">
        <v>6843339.1500000004</v>
      </c>
      <c r="L79" s="1">
        <v>45240</v>
      </c>
      <c r="M79">
        <v>1310</v>
      </c>
      <c r="N79" t="s">
        <v>342</v>
      </c>
      <c r="O79" s="5">
        <v>45240</v>
      </c>
      <c r="P79" s="5">
        <v>43777</v>
      </c>
      <c r="Q79" s="3">
        <v>315.95</v>
      </c>
      <c r="S79">
        <f t="shared" si="3"/>
        <v>1464</v>
      </c>
      <c r="T79">
        <f t="shared" si="4"/>
        <v>16.043835616438358</v>
      </c>
      <c r="U79" s="6">
        <f t="shared" si="5"/>
        <v>-9.5227878646829911E-2</v>
      </c>
    </row>
    <row r="80" spans="1:21" x14ac:dyDescent="0.25">
      <c r="A80" t="s">
        <v>343</v>
      </c>
      <c r="B80" t="s">
        <v>344</v>
      </c>
      <c r="C80" t="s">
        <v>14</v>
      </c>
      <c r="D80">
        <v>1650.8</v>
      </c>
      <c r="E80">
        <v>1666.35</v>
      </c>
      <c r="F80">
        <v>1626.05</v>
      </c>
      <c r="G80" s="3">
        <v>1654.55</v>
      </c>
      <c r="H80">
        <v>1656.45</v>
      </c>
      <c r="I80">
        <v>1646.35</v>
      </c>
      <c r="J80">
        <v>1217739</v>
      </c>
      <c r="K80">
        <v>2011642841.8499999</v>
      </c>
      <c r="L80" s="1">
        <v>45240</v>
      </c>
      <c r="M80">
        <v>36767</v>
      </c>
      <c r="N80" t="s">
        <v>345</v>
      </c>
      <c r="O80" s="5">
        <v>45240</v>
      </c>
      <c r="P80" s="5">
        <v>43777</v>
      </c>
      <c r="Q80" s="3">
        <v>1438.55</v>
      </c>
      <c r="S80">
        <f t="shared" si="3"/>
        <v>1464</v>
      </c>
      <c r="T80">
        <f t="shared" si="4"/>
        <v>16.043835616438358</v>
      </c>
      <c r="U80" s="6">
        <f t="shared" si="5"/>
        <v>3.5030296569275698E-2</v>
      </c>
    </row>
    <row r="81" spans="1:21" x14ac:dyDescent="0.25">
      <c r="A81" t="s">
        <v>346</v>
      </c>
      <c r="B81" t="s">
        <v>347</v>
      </c>
      <c r="C81" t="s">
        <v>14</v>
      </c>
      <c r="D81">
        <v>736.45</v>
      </c>
      <c r="E81">
        <v>741.75</v>
      </c>
      <c r="F81">
        <v>724</v>
      </c>
      <c r="G81" s="3">
        <v>726.6</v>
      </c>
      <c r="H81">
        <v>726</v>
      </c>
      <c r="I81">
        <v>734.2</v>
      </c>
      <c r="J81">
        <v>74862</v>
      </c>
      <c r="K81">
        <v>54826472.700000003</v>
      </c>
      <c r="L81" s="1">
        <v>45240</v>
      </c>
      <c r="M81">
        <v>8933</v>
      </c>
      <c r="N81" t="s">
        <v>348</v>
      </c>
      <c r="O81" s="5">
        <v>45240</v>
      </c>
      <c r="P81" s="5">
        <v>43777</v>
      </c>
      <c r="Q81" s="3">
        <v>577.04999999999995</v>
      </c>
      <c r="S81">
        <f t="shared" si="3"/>
        <v>1464</v>
      </c>
      <c r="T81">
        <f t="shared" si="4"/>
        <v>16.043835616438358</v>
      </c>
      <c r="U81" s="6">
        <f t="shared" si="5"/>
        <v>5.786899978461868E-2</v>
      </c>
    </row>
    <row r="82" spans="1:21" x14ac:dyDescent="0.25">
      <c r="A82" t="s">
        <v>349</v>
      </c>
      <c r="B82" t="s">
        <v>350</v>
      </c>
      <c r="C82" t="s">
        <v>14</v>
      </c>
      <c r="D82">
        <v>114</v>
      </c>
      <c r="E82">
        <v>120.4</v>
      </c>
      <c r="F82">
        <v>112.05</v>
      </c>
      <c r="G82" s="3">
        <v>116.85</v>
      </c>
      <c r="H82">
        <v>116.95</v>
      </c>
      <c r="I82">
        <v>113.2</v>
      </c>
      <c r="J82">
        <v>6058222</v>
      </c>
      <c r="K82">
        <v>710702191.95000005</v>
      </c>
      <c r="L82" s="1">
        <v>45240</v>
      </c>
      <c r="M82">
        <v>45581</v>
      </c>
      <c r="N82" t="s">
        <v>351</v>
      </c>
      <c r="O82" s="5">
        <v>45240</v>
      </c>
      <c r="P82" s="5">
        <v>43777</v>
      </c>
      <c r="Q82" s="3">
        <v>82.25</v>
      </c>
      <c r="S82">
        <f t="shared" si="3"/>
        <v>1464</v>
      </c>
      <c r="T82">
        <f t="shared" si="4"/>
        <v>16.043835616438358</v>
      </c>
      <c r="U82" s="6">
        <f t="shared" si="5"/>
        <v>8.8507055253817413E-2</v>
      </c>
    </row>
    <row r="83" spans="1:21" x14ac:dyDescent="0.25">
      <c r="A83" t="s">
        <v>352</v>
      </c>
      <c r="B83" t="s">
        <v>353</v>
      </c>
      <c r="C83" t="s">
        <v>14</v>
      </c>
      <c r="D83">
        <v>5300</v>
      </c>
      <c r="E83">
        <v>5338</v>
      </c>
      <c r="F83">
        <v>5218.6499999999996</v>
      </c>
      <c r="G83" s="3">
        <v>5278.5</v>
      </c>
      <c r="H83">
        <v>5261.8</v>
      </c>
      <c r="I83">
        <v>5297.6</v>
      </c>
      <c r="J83">
        <v>696409</v>
      </c>
      <c r="K83">
        <v>3671332027.8499999</v>
      </c>
      <c r="L83" s="1">
        <v>45240</v>
      </c>
      <c r="M83">
        <v>62330</v>
      </c>
      <c r="N83" t="s">
        <v>354</v>
      </c>
      <c r="O83" s="5">
        <v>45240</v>
      </c>
      <c r="P83" s="5">
        <v>43777</v>
      </c>
      <c r="Q83" s="3">
        <v>1418.6</v>
      </c>
      <c r="S83">
        <f t="shared" si="3"/>
        <v>1464</v>
      </c>
      <c r="T83">
        <f t="shared" si="4"/>
        <v>16.043835616438358</v>
      </c>
      <c r="U83" s="6">
        <f t="shared" si="5"/>
        <v>0.34138403471839407</v>
      </c>
    </row>
    <row r="84" spans="1:21" x14ac:dyDescent="0.25">
      <c r="A84" t="s">
        <v>358</v>
      </c>
      <c r="B84" t="s">
        <v>359</v>
      </c>
      <c r="C84" t="s">
        <v>14</v>
      </c>
      <c r="D84">
        <v>417.85</v>
      </c>
      <c r="E84">
        <v>419.5</v>
      </c>
      <c r="F84">
        <v>412.9</v>
      </c>
      <c r="G84" s="3">
        <v>418.7</v>
      </c>
      <c r="H84">
        <v>418.5</v>
      </c>
      <c r="I84">
        <v>417.85</v>
      </c>
      <c r="J84">
        <v>1716232</v>
      </c>
      <c r="K84">
        <v>715331125.54999995</v>
      </c>
      <c r="L84" s="1">
        <v>45240</v>
      </c>
      <c r="M84">
        <v>30661</v>
      </c>
      <c r="N84" t="s">
        <v>360</v>
      </c>
      <c r="O84" s="5">
        <v>45240</v>
      </c>
      <c r="P84" s="5">
        <v>43777</v>
      </c>
      <c r="Q84" s="3">
        <v>165.15</v>
      </c>
      <c r="S84">
        <f t="shared" si="3"/>
        <v>1464</v>
      </c>
      <c r="T84">
        <f t="shared" si="4"/>
        <v>16.043835616438358</v>
      </c>
      <c r="U84" s="6">
        <f t="shared" si="5"/>
        <v>0.23879606038352641</v>
      </c>
    </row>
    <row r="85" spans="1:21" x14ac:dyDescent="0.25">
      <c r="A85" t="s">
        <v>361</v>
      </c>
      <c r="B85" t="s">
        <v>362</v>
      </c>
      <c r="C85" t="s">
        <v>14</v>
      </c>
      <c r="D85">
        <v>1739</v>
      </c>
      <c r="E85">
        <v>1775</v>
      </c>
      <c r="F85">
        <v>1725.1</v>
      </c>
      <c r="G85" s="3">
        <v>1732.2</v>
      </c>
      <c r="H85">
        <v>1727</v>
      </c>
      <c r="I85">
        <v>1734.05</v>
      </c>
      <c r="J85">
        <v>1969</v>
      </c>
      <c r="K85">
        <v>3438740.1</v>
      </c>
      <c r="L85" s="1">
        <v>45240</v>
      </c>
      <c r="M85">
        <v>337</v>
      </c>
      <c r="N85" t="s">
        <v>363</v>
      </c>
      <c r="O85" s="5">
        <v>45240</v>
      </c>
      <c r="P85" s="5">
        <v>43777</v>
      </c>
      <c r="Q85" s="3">
        <v>801.9</v>
      </c>
      <c r="S85">
        <f t="shared" si="3"/>
        <v>1464</v>
      </c>
      <c r="T85">
        <f t="shared" si="4"/>
        <v>16.043835616438358</v>
      </c>
      <c r="U85" s="6">
        <f t="shared" si="5"/>
        <v>0.19669819412284273</v>
      </c>
    </row>
    <row r="86" spans="1:21" x14ac:dyDescent="0.25">
      <c r="A86" t="s">
        <v>364</v>
      </c>
      <c r="B86" t="s">
        <v>365</v>
      </c>
      <c r="C86" t="s">
        <v>14</v>
      </c>
      <c r="D86">
        <v>245.75</v>
      </c>
      <c r="E86">
        <v>254.65</v>
      </c>
      <c r="F86">
        <v>245.2</v>
      </c>
      <c r="G86" s="3">
        <v>253.35</v>
      </c>
      <c r="H86">
        <v>254.5</v>
      </c>
      <c r="I86">
        <v>246.6</v>
      </c>
      <c r="J86">
        <v>262835</v>
      </c>
      <c r="K86">
        <v>66027478.5</v>
      </c>
      <c r="L86" s="1">
        <v>45240</v>
      </c>
      <c r="M86">
        <v>8097</v>
      </c>
      <c r="N86" t="s">
        <v>366</v>
      </c>
      <c r="O86" s="5">
        <v>45240</v>
      </c>
      <c r="P86" s="5">
        <v>43777</v>
      </c>
      <c r="Q86" s="3">
        <v>171.15</v>
      </c>
      <c r="S86">
        <f t="shared" si="3"/>
        <v>1464</v>
      </c>
      <c r="T86">
        <f t="shared" si="4"/>
        <v>16.043835616438358</v>
      </c>
      <c r="U86" s="6">
        <f t="shared" si="5"/>
        <v>9.8995134889751313E-2</v>
      </c>
    </row>
    <row r="87" spans="1:21" x14ac:dyDescent="0.25">
      <c r="A87" t="s">
        <v>370</v>
      </c>
      <c r="B87" t="s">
        <v>371</v>
      </c>
      <c r="C87" t="s">
        <v>10</v>
      </c>
      <c r="D87">
        <v>80.099999999999994</v>
      </c>
      <c r="E87">
        <v>80.099999999999994</v>
      </c>
      <c r="F87">
        <v>77.05</v>
      </c>
      <c r="G87" s="3">
        <v>78.3</v>
      </c>
      <c r="H87">
        <v>78.900000000000006</v>
      </c>
      <c r="I87">
        <v>80.05</v>
      </c>
      <c r="J87">
        <v>23452</v>
      </c>
      <c r="K87">
        <v>1838160.2</v>
      </c>
      <c r="L87" s="1">
        <v>45240</v>
      </c>
      <c r="M87">
        <v>256</v>
      </c>
      <c r="N87" t="s">
        <v>372</v>
      </c>
      <c r="O87" s="5">
        <v>45240</v>
      </c>
      <c r="P87" s="5">
        <v>43777</v>
      </c>
      <c r="Q87" s="3">
        <v>28.35</v>
      </c>
      <c r="S87">
        <f t="shared" si="3"/>
        <v>1464</v>
      </c>
      <c r="T87">
        <f t="shared" si="4"/>
        <v>16.043835616438358</v>
      </c>
      <c r="U87" s="6">
        <f t="shared" si="5"/>
        <v>0.26147742364165705</v>
      </c>
    </row>
    <row r="88" spans="1:21" x14ac:dyDescent="0.25">
      <c r="A88" t="s">
        <v>373</v>
      </c>
      <c r="B88" t="s">
        <v>374</v>
      </c>
      <c r="C88" t="s">
        <v>14</v>
      </c>
      <c r="D88">
        <v>25.05</v>
      </c>
      <c r="E88">
        <v>25.25</v>
      </c>
      <c r="F88">
        <v>24.5</v>
      </c>
      <c r="G88" s="3">
        <v>24.85</v>
      </c>
      <c r="H88">
        <v>24.5</v>
      </c>
      <c r="I88">
        <v>24.9</v>
      </c>
      <c r="J88">
        <v>19265</v>
      </c>
      <c r="K88">
        <v>480957.5</v>
      </c>
      <c r="L88" s="1">
        <v>45240</v>
      </c>
      <c r="M88">
        <v>338</v>
      </c>
      <c r="N88" t="s">
        <v>375</v>
      </c>
      <c r="O88" s="5">
        <v>45240</v>
      </c>
      <c r="P88" s="5">
        <v>43777</v>
      </c>
      <c r="Q88" s="3">
        <v>19.2</v>
      </c>
      <c r="S88">
        <f t="shared" si="3"/>
        <v>1464</v>
      </c>
      <c r="T88">
        <f t="shared" si="4"/>
        <v>16.043835616438358</v>
      </c>
      <c r="U88" s="6">
        <f t="shared" si="5"/>
        <v>6.4830439407186802E-2</v>
      </c>
    </row>
    <row r="89" spans="1:21" x14ac:dyDescent="0.25">
      <c r="A89" t="s">
        <v>382</v>
      </c>
      <c r="B89" t="s">
        <v>383</v>
      </c>
      <c r="C89" t="s">
        <v>14</v>
      </c>
      <c r="D89">
        <v>173</v>
      </c>
      <c r="E89">
        <v>176.15</v>
      </c>
      <c r="F89">
        <v>171</v>
      </c>
      <c r="G89" s="3">
        <v>174.6</v>
      </c>
      <c r="H89">
        <v>174.55</v>
      </c>
      <c r="I89">
        <v>173.85</v>
      </c>
      <c r="J89">
        <v>31625</v>
      </c>
      <c r="K89">
        <v>5519313.0499999998</v>
      </c>
      <c r="L89" s="1">
        <v>45240</v>
      </c>
      <c r="M89">
        <v>762</v>
      </c>
      <c r="N89" t="s">
        <v>384</v>
      </c>
      <c r="O89" s="5">
        <v>45240</v>
      </c>
      <c r="P89" s="5">
        <v>43777</v>
      </c>
      <c r="Q89" s="3">
        <v>64.349999999999994</v>
      </c>
      <c r="S89">
        <f t="shared" si="3"/>
        <v>1464</v>
      </c>
      <c r="T89">
        <f t="shared" si="4"/>
        <v>16.043835616438358</v>
      </c>
      <c r="U89" s="6">
        <f t="shared" si="5"/>
        <v>0.25676275407506033</v>
      </c>
    </row>
    <row r="90" spans="1:21" x14ac:dyDescent="0.25">
      <c r="A90" t="s">
        <v>388</v>
      </c>
      <c r="B90" t="s">
        <v>389</v>
      </c>
      <c r="C90" t="s">
        <v>14</v>
      </c>
      <c r="D90">
        <v>211.75</v>
      </c>
      <c r="E90">
        <v>222.5</v>
      </c>
      <c r="F90">
        <v>210.5</v>
      </c>
      <c r="G90" s="3">
        <v>216.6</v>
      </c>
      <c r="H90">
        <v>216.9</v>
      </c>
      <c r="I90">
        <v>213.9</v>
      </c>
      <c r="J90">
        <v>316899</v>
      </c>
      <c r="K90">
        <v>69153497.450000003</v>
      </c>
      <c r="L90" s="1">
        <v>45240</v>
      </c>
      <c r="M90">
        <v>9082</v>
      </c>
      <c r="N90" t="s">
        <v>390</v>
      </c>
      <c r="O90" s="5">
        <v>45240</v>
      </c>
      <c r="P90" s="5">
        <v>43777</v>
      </c>
      <c r="Q90" s="3">
        <v>26.6</v>
      </c>
      <c r="S90">
        <f t="shared" si="3"/>
        <v>1464</v>
      </c>
      <c r="T90">
        <f t="shared" si="4"/>
        <v>16.043835616438358</v>
      </c>
      <c r="U90" s="6">
        <f t="shared" si="5"/>
        <v>0.5585635488518772</v>
      </c>
    </row>
    <row r="91" spans="1:21" x14ac:dyDescent="0.25">
      <c r="A91" t="s">
        <v>391</v>
      </c>
      <c r="B91" t="s">
        <v>392</v>
      </c>
      <c r="C91" t="s">
        <v>14</v>
      </c>
      <c r="D91">
        <v>2127</v>
      </c>
      <c r="E91">
        <v>2166.6</v>
      </c>
      <c r="F91">
        <v>2125</v>
      </c>
      <c r="G91" s="3">
        <v>2136.65</v>
      </c>
      <c r="H91">
        <v>2130.1</v>
      </c>
      <c r="I91">
        <v>2138.6</v>
      </c>
      <c r="J91">
        <v>10395</v>
      </c>
      <c r="K91">
        <v>22212446.649999999</v>
      </c>
      <c r="L91" s="1">
        <v>45240</v>
      </c>
      <c r="M91">
        <v>2016</v>
      </c>
      <c r="N91" t="s">
        <v>393</v>
      </c>
      <c r="O91" s="5">
        <v>45240</v>
      </c>
      <c r="P91" s="5">
        <v>43777</v>
      </c>
      <c r="Q91" s="3">
        <v>564.25</v>
      </c>
      <c r="S91">
        <f t="shared" si="3"/>
        <v>1464</v>
      </c>
      <c r="T91">
        <f t="shared" si="4"/>
        <v>16.043835616438358</v>
      </c>
      <c r="U91" s="6">
        <f t="shared" si="5"/>
        <v>0.3461289541728334</v>
      </c>
    </row>
    <row r="92" spans="1:21" x14ac:dyDescent="0.25">
      <c r="A92" t="s">
        <v>394</v>
      </c>
      <c r="B92" t="s">
        <v>395</v>
      </c>
      <c r="C92" t="s">
        <v>10</v>
      </c>
      <c r="D92">
        <v>47.35</v>
      </c>
      <c r="E92">
        <v>48</v>
      </c>
      <c r="F92">
        <v>46</v>
      </c>
      <c r="G92" s="3">
        <v>47.55</v>
      </c>
      <c r="H92">
        <v>47.8</v>
      </c>
      <c r="I92">
        <v>47.35</v>
      </c>
      <c r="J92">
        <v>21210</v>
      </c>
      <c r="K92">
        <v>996183.9</v>
      </c>
      <c r="L92" s="1">
        <v>45240</v>
      </c>
      <c r="M92">
        <v>117</v>
      </c>
      <c r="N92" t="s">
        <v>396</v>
      </c>
      <c r="O92" s="5">
        <v>45240</v>
      </c>
      <c r="P92" s="5">
        <v>43777</v>
      </c>
      <c r="Q92" s="3">
        <v>39.65</v>
      </c>
      <c r="S92">
        <f t="shared" si="3"/>
        <v>1464</v>
      </c>
      <c r="T92">
        <f t="shared" si="4"/>
        <v>16.043835616438358</v>
      </c>
      <c r="U92" s="6">
        <f t="shared" si="5"/>
        <v>4.5556070895707457E-2</v>
      </c>
    </row>
    <row r="93" spans="1:21" x14ac:dyDescent="0.25">
      <c r="A93" t="s">
        <v>397</v>
      </c>
      <c r="B93" t="s">
        <v>398</v>
      </c>
      <c r="C93" t="s">
        <v>14</v>
      </c>
      <c r="D93">
        <v>389.9</v>
      </c>
      <c r="E93">
        <v>479.35</v>
      </c>
      <c r="F93">
        <v>385.05</v>
      </c>
      <c r="G93" s="3">
        <v>444.4</v>
      </c>
      <c r="H93">
        <v>447</v>
      </c>
      <c r="I93">
        <v>437.3</v>
      </c>
      <c r="J93">
        <v>467379</v>
      </c>
      <c r="K93">
        <v>206597591.90000001</v>
      </c>
      <c r="L93" s="1">
        <v>45240</v>
      </c>
      <c r="M93">
        <v>34800</v>
      </c>
      <c r="N93" t="s">
        <v>399</v>
      </c>
      <c r="O93" s="5">
        <v>45240</v>
      </c>
      <c r="P93" s="5">
        <v>43777</v>
      </c>
      <c r="Q93" s="3">
        <v>52.15</v>
      </c>
      <c r="S93">
        <f t="shared" si="3"/>
        <v>1464</v>
      </c>
      <c r="T93">
        <f t="shared" si="4"/>
        <v>16.043835616438358</v>
      </c>
      <c r="U93" s="6">
        <f t="shared" si="5"/>
        <v>0.57149842726840205</v>
      </c>
    </row>
    <row r="94" spans="1:21" x14ac:dyDescent="0.25">
      <c r="A94" t="s">
        <v>400</v>
      </c>
      <c r="B94" t="s">
        <v>401</v>
      </c>
      <c r="C94" t="s">
        <v>14</v>
      </c>
      <c r="D94">
        <v>4.05</v>
      </c>
      <c r="E94">
        <v>4.2</v>
      </c>
      <c r="F94">
        <v>4.05</v>
      </c>
      <c r="G94" s="3">
        <v>4.1500000000000004</v>
      </c>
      <c r="H94">
        <v>4.2</v>
      </c>
      <c r="I94">
        <v>4.0999999999999996</v>
      </c>
      <c r="J94">
        <v>222983</v>
      </c>
      <c r="K94">
        <v>927852.55</v>
      </c>
      <c r="L94" s="1">
        <v>45240</v>
      </c>
      <c r="M94">
        <v>333</v>
      </c>
      <c r="N94" t="s">
        <v>402</v>
      </c>
      <c r="O94" s="5">
        <v>45240</v>
      </c>
      <c r="P94" s="5">
        <v>43777</v>
      </c>
      <c r="Q94" s="3">
        <v>17.95</v>
      </c>
      <c r="S94">
        <f t="shared" si="3"/>
        <v>1464</v>
      </c>
      <c r="T94">
        <f t="shared" si="4"/>
        <v>16.043835616438358</v>
      </c>
      <c r="U94" s="6">
        <f t="shared" si="5"/>
        <v>-0.34895169905182311</v>
      </c>
    </row>
    <row r="95" spans="1:21" x14ac:dyDescent="0.25">
      <c r="A95" t="s">
        <v>403</v>
      </c>
      <c r="B95" t="s">
        <v>404</v>
      </c>
      <c r="C95" t="s">
        <v>10</v>
      </c>
      <c r="D95">
        <v>18.95</v>
      </c>
      <c r="E95">
        <v>19.8</v>
      </c>
      <c r="F95">
        <v>18.75</v>
      </c>
      <c r="G95" s="3">
        <v>19.05</v>
      </c>
      <c r="H95">
        <v>19</v>
      </c>
      <c r="I95">
        <v>19.05</v>
      </c>
      <c r="J95">
        <v>6252</v>
      </c>
      <c r="K95">
        <v>120277.45</v>
      </c>
      <c r="L95" s="1">
        <v>45240</v>
      </c>
      <c r="M95">
        <v>35</v>
      </c>
      <c r="N95" t="s">
        <v>405</v>
      </c>
      <c r="O95" s="5">
        <v>45240</v>
      </c>
      <c r="P95" s="5">
        <v>43777</v>
      </c>
      <c r="Q95" s="3">
        <v>24.75</v>
      </c>
      <c r="S95">
        <f t="shared" si="3"/>
        <v>1464</v>
      </c>
      <c r="T95">
        <f t="shared" si="4"/>
        <v>16.043835616438358</v>
      </c>
      <c r="U95" s="6">
        <f t="shared" si="5"/>
        <v>-6.4731312121756091E-2</v>
      </c>
    </row>
    <row r="96" spans="1:21" x14ac:dyDescent="0.25">
      <c r="A96" t="s">
        <v>415</v>
      </c>
      <c r="B96" t="s">
        <v>416</v>
      </c>
      <c r="C96" t="s">
        <v>14</v>
      </c>
      <c r="D96">
        <v>200</v>
      </c>
      <c r="E96">
        <v>215.95</v>
      </c>
      <c r="F96">
        <v>199.1</v>
      </c>
      <c r="G96" s="3">
        <v>212.15</v>
      </c>
      <c r="H96">
        <v>211.65</v>
      </c>
      <c r="I96">
        <v>200.45</v>
      </c>
      <c r="J96">
        <v>5961621</v>
      </c>
      <c r="K96">
        <v>1258519225.75</v>
      </c>
      <c r="L96" s="1">
        <v>45240</v>
      </c>
      <c r="M96">
        <v>49158</v>
      </c>
      <c r="N96" t="s">
        <v>417</v>
      </c>
      <c r="O96" s="5">
        <v>45240</v>
      </c>
      <c r="P96" s="5">
        <v>43777</v>
      </c>
      <c r="Q96" s="3">
        <v>52.5</v>
      </c>
      <c r="S96">
        <f t="shared" si="3"/>
        <v>1464</v>
      </c>
      <c r="T96">
        <f t="shared" si="4"/>
        <v>16.043835616438358</v>
      </c>
      <c r="U96" s="6">
        <f t="shared" si="5"/>
        <v>0.36376805198499707</v>
      </c>
    </row>
    <row r="97" spans="1:21" x14ac:dyDescent="0.25">
      <c r="A97" t="s">
        <v>418</v>
      </c>
      <c r="B97" t="s">
        <v>419</v>
      </c>
      <c r="C97" t="s">
        <v>14</v>
      </c>
      <c r="D97">
        <v>378</v>
      </c>
      <c r="E97">
        <v>397</v>
      </c>
      <c r="F97">
        <v>375</v>
      </c>
      <c r="G97" s="3">
        <v>380.7</v>
      </c>
      <c r="H97">
        <v>379.9</v>
      </c>
      <c r="I97">
        <v>377.4</v>
      </c>
      <c r="J97">
        <v>1430975</v>
      </c>
      <c r="K97">
        <v>556102275</v>
      </c>
      <c r="L97" s="1">
        <v>45240</v>
      </c>
      <c r="M97">
        <v>33375</v>
      </c>
      <c r="N97" t="s">
        <v>420</v>
      </c>
      <c r="O97" s="5">
        <v>45240</v>
      </c>
      <c r="P97" s="5">
        <v>43777</v>
      </c>
      <c r="Q97" s="3">
        <v>425.35</v>
      </c>
      <c r="S97">
        <f t="shared" si="3"/>
        <v>1464</v>
      </c>
      <c r="T97">
        <f t="shared" si="4"/>
        <v>16.043835616438358</v>
      </c>
      <c r="U97" s="6">
        <f t="shared" si="5"/>
        <v>-2.7554080653167112E-2</v>
      </c>
    </row>
    <row r="98" spans="1:21" x14ac:dyDescent="0.25">
      <c r="A98" t="s">
        <v>421</v>
      </c>
      <c r="B98" t="s">
        <v>422</v>
      </c>
      <c r="C98" t="s">
        <v>14</v>
      </c>
      <c r="D98">
        <v>353.8</v>
      </c>
      <c r="E98">
        <v>355.3</v>
      </c>
      <c r="F98">
        <v>349.95</v>
      </c>
      <c r="G98" s="3">
        <v>350.65</v>
      </c>
      <c r="H98">
        <v>350.5</v>
      </c>
      <c r="I98">
        <v>353.8</v>
      </c>
      <c r="J98">
        <v>68093</v>
      </c>
      <c r="K98">
        <v>23960121.5</v>
      </c>
      <c r="L98" s="1">
        <v>45240</v>
      </c>
      <c r="M98">
        <v>4149</v>
      </c>
      <c r="N98" t="s">
        <v>423</v>
      </c>
      <c r="O98" s="5">
        <v>45240</v>
      </c>
      <c r="P98" s="5">
        <v>43777</v>
      </c>
      <c r="Q98" s="3">
        <v>101.2</v>
      </c>
      <c r="S98">
        <f t="shared" si="3"/>
        <v>1464</v>
      </c>
      <c r="T98">
        <f t="shared" si="4"/>
        <v>16.043835616438358</v>
      </c>
      <c r="U98" s="6">
        <f t="shared" si="5"/>
        <v>0.32213834384811157</v>
      </c>
    </row>
    <row r="99" spans="1:21" x14ac:dyDescent="0.25">
      <c r="A99" t="s">
        <v>424</v>
      </c>
      <c r="B99" t="s">
        <v>425</v>
      </c>
      <c r="C99" t="s">
        <v>14</v>
      </c>
      <c r="D99">
        <v>563.79999999999995</v>
      </c>
      <c r="E99">
        <v>563.79999999999995</v>
      </c>
      <c r="F99">
        <v>553.79999999999995</v>
      </c>
      <c r="G99" s="3">
        <v>558.6</v>
      </c>
      <c r="H99">
        <v>559</v>
      </c>
      <c r="I99">
        <v>560.70000000000005</v>
      </c>
      <c r="J99">
        <v>25603</v>
      </c>
      <c r="K99">
        <v>14276526.699999999</v>
      </c>
      <c r="L99" s="1">
        <v>45240</v>
      </c>
      <c r="M99">
        <v>1810</v>
      </c>
      <c r="N99" t="s">
        <v>426</v>
      </c>
      <c r="O99" s="5">
        <v>45240</v>
      </c>
      <c r="P99" s="5">
        <v>43777</v>
      </c>
      <c r="Q99" s="3">
        <v>190.55</v>
      </c>
      <c r="S99">
        <f t="shared" si="3"/>
        <v>1464</v>
      </c>
      <c r="T99">
        <f t="shared" si="4"/>
        <v>16.043835616438358</v>
      </c>
      <c r="U99" s="6">
        <f t="shared" si="5"/>
        <v>0.2773370835507043</v>
      </c>
    </row>
    <row r="100" spans="1:21" x14ac:dyDescent="0.25">
      <c r="A100" t="s">
        <v>427</v>
      </c>
      <c r="B100" t="s">
        <v>428</v>
      </c>
      <c r="C100" t="s">
        <v>14</v>
      </c>
      <c r="D100">
        <v>295</v>
      </c>
      <c r="E100">
        <v>300.14999999999998</v>
      </c>
      <c r="F100">
        <v>288.35000000000002</v>
      </c>
      <c r="G100" s="3">
        <v>298.75</v>
      </c>
      <c r="H100">
        <v>299</v>
      </c>
      <c r="I100">
        <v>292.3</v>
      </c>
      <c r="J100">
        <v>61797</v>
      </c>
      <c r="K100">
        <v>18239630</v>
      </c>
      <c r="L100" s="1">
        <v>45240</v>
      </c>
      <c r="M100">
        <v>2151</v>
      </c>
      <c r="N100" t="s">
        <v>429</v>
      </c>
      <c r="O100" s="5">
        <v>45240</v>
      </c>
      <c r="P100" s="5">
        <v>43777</v>
      </c>
      <c r="Q100" s="3">
        <v>150.05000000000001</v>
      </c>
      <c r="S100">
        <f t="shared" si="3"/>
        <v>1464</v>
      </c>
      <c r="T100">
        <f t="shared" si="4"/>
        <v>16.043835616438358</v>
      </c>
      <c r="U100" s="6">
        <f t="shared" si="5"/>
        <v>0.1754271896900006</v>
      </c>
    </row>
    <row r="101" spans="1:21" x14ac:dyDescent="0.25">
      <c r="A101" t="s">
        <v>430</v>
      </c>
      <c r="B101" t="s">
        <v>431</v>
      </c>
      <c r="C101" t="s">
        <v>14</v>
      </c>
      <c r="D101">
        <v>400</v>
      </c>
      <c r="E101">
        <v>402</v>
      </c>
      <c r="F101">
        <v>395</v>
      </c>
      <c r="G101" s="3">
        <v>397.25</v>
      </c>
      <c r="H101">
        <v>396.25</v>
      </c>
      <c r="I101">
        <v>402.15</v>
      </c>
      <c r="J101">
        <v>10199</v>
      </c>
      <c r="K101">
        <v>4060330.8</v>
      </c>
      <c r="L101" s="1">
        <v>45240</v>
      </c>
      <c r="M101">
        <v>970</v>
      </c>
      <c r="N101" t="s">
        <v>432</v>
      </c>
      <c r="O101" s="5">
        <v>45240</v>
      </c>
      <c r="P101" s="5">
        <v>43777</v>
      </c>
      <c r="Q101" s="3">
        <v>32.700000000000003</v>
      </c>
      <c r="S101">
        <f t="shared" si="3"/>
        <v>1464</v>
      </c>
      <c r="T101">
        <f t="shared" si="4"/>
        <v>16.043835616438358</v>
      </c>
      <c r="U101" s="6">
        <f t="shared" si="5"/>
        <v>0.67365933684784896</v>
      </c>
    </row>
    <row r="102" spans="1:21" x14ac:dyDescent="0.25">
      <c r="A102" t="s">
        <v>436</v>
      </c>
      <c r="B102" t="s">
        <v>437</v>
      </c>
      <c r="C102" t="s">
        <v>10</v>
      </c>
      <c r="D102">
        <v>319.8</v>
      </c>
      <c r="E102">
        <v>324</v>
      </c>
      <c r="F102">
        <v>306</v>
      </c>
      <c r="G102" s="3">
        <v>310.8</v>
      </c>
      <c r="H102">
        <v>313</v>
      </c>
      <c r="I102">
        <v>317.95</v>
      </c>
      <c r="J102">
        <v>218858</v>
      </c>
      <c r="K102">
        <v>68744115.700000003</v>
      </c>
      <c r="L102" s="1">
        <v>45240</v>
      </c>
      <c r="M102">
        <v>1475</v>
      </c>
      <c r="N102" t="s">
        <v>438</v>
      </c>
      <c r="O102" s="5">
        <v>45240</v>
      </c>
      <c r="P102" s="5">
        <v>43777</v>
      </c>
      <c r="Q102" s="3">
        <v>27.6</v>
      </c>
      <c r="S102">
        <f t="shared" si="3"/>
        <v>1464</v>
      </c>
      <c r="T102">
        <f t="shared" si="4"/>
        <v>16.043835616438358</v>
      </c>
      <c r="U102" s="6">
        <f t="shared" si="5"/>
        <v>0.65161395902347508</v>
      </c>
    </row>
    <row r="103" spans="1:21" x14ac:dyDescent="0.25">
      <c r="A103" t="s">
        <v>439</v>
      </c>
      <c r="B103" t="s">
        <v>440</v>
      </c>
      <c r="C103" t="s">
        <v>14</v>
      </c>
      <c r="D103">
        <v>227.8</v>
      </c>
      <c r="E103">
        <v>240.1</v>
      </c>
      <c r="F103">
        <v>223</v>
      </c>
      <c r="G103" s="3">
        <v>236.1</v>
      </c>
      <c r="H103">
        <v>236.05</v>
      </c>
      <c r="I103">
        <v>227.2</v>
      </c>
      <c r="J103">
        <v>279629</v>
      </c>
      <c r="K103">
        <v>65491938.75</v>
      </c>
      <c r="L103" s="1">
        <v>45240</v>
      </c>
      <c r="M103">
        <v>5290</v>
      </c>
      <c r="N103" t="s">
        <v>441</v>
      </c>
      <c r="O103" s="5">
        <v>45240</v>
      </c>
      <c r="P103" s="5">
        <v>43777</v>
      </c>
      <c r="Q103" s="3">
        <v>99.65</v>
      </c>
      <c r="S103">
        <f t="shared" si="3"/>
        <v>1464</v>
      </c>
      <c r="T103">
        <f t="shared" si="4"/>
        <v>16.043835616438358</v>
      </c>
      <c r="U103" s="6">
        <f t="shared" si="5"/>
        <v>0.22094494254478825</v>
      </c>
    </row>
    <row r="104" spans="1:21" x14ac:dyDescent="0.25">
      <c r="A104" t="s">
        <v>442</v>
      </c>
      <c r="B104" t="s">
        <v>443</v>
      </c>
      <c r="C104" t="s">
        <v>14</v>
      </c>
      <c r="D104">
        <v>14.8</v>
      </c>
      <c r="E104">
        <v>14.8</v>
      </c>
      <c r="F104">
        <v>14.35</v>
      </c>
      <c r="G104" s="3">
        <v>14.6</v>
      </c>
      <c r="H104">
        <v>14.35</v>
      </c>
      <c r="I104">
        <v>14.8</v>
      </c>
      <c r="J104">
        <v>131412</v>
      </c>
      <c r="K104">
        <v>1921508.65</v>
      </c>
      <c r="L104" s="1">
        <v>45240</v>
      </c>
      <c r="M104">
        <v>448</v>
      </c>
      <c r="N104" t="s">
        <v>444</v>
      </c>
      <c r="O104" s="5">
        <v>45240</v>
      </c>
      <c r="P104" s="5">
        <v>43777</v>
      </c>
      <c r="Q104" s="3">
        <v>7.85</v>
      </c>
      <c r="S104">
        <f t="shared" si="3"/>
        <v>1464</v>
      </c>
      <c r="T104">
        <f t="shared" si="4"/>
        <v>16.043835616438358</v>
      </c>
      <c r="U104" s="6">
        <f t="shared" si="5"/>
        <v>0.15773373197940632</v>
      </c>
    </row>
    <row r="105" spans="1:21" x14ac:dyDescent="0.25">
      <c r="A105" t="s">
        <v>445</v>
      </c>
      <c r="B105" t="s">
        <v>446</v>
      </c>
      <c r="C105" t="s">
        <v>14</v>
      </c>
      <c r="D105">
        <v>139.94999999999999</v>
      </c>
      <c r="E105">
        <v>143.6</v>
      </c>
      <c r="F105">
        <v>136.75</v>
      </c>
      <c r="G105" s="3">
        <v>139.15</v>
      </c>
      <c r="H105">
        <v>139.19999999999999</v>
      </c>
      <c r="I105">
        <v>140.5</v>
      </c>
      <c r="J105">
        <v>2435499</v>
      </c>
      <c r="K105">
        <v>341346978.25</v>
      </c>
      <c r="L105" s="1">
        <v>45240</v>
      </c>
      <c r="M105">
        <v>16602</v>
      </c>
      <c r="N105" t="s">
        <v>447</v>
      </c>
      <c r="O105" s="5">
        <v>45240</v>
      </c>
      <c r="P105" s="5">
        <v>43777</v>
      </c>
      <c r="Q105" s="3">
        <v>96.95</v>
      </c>
      <c r="S105">
        <f t="shared" si="3"/>
        <v>1464</v>
      </c>
      <c r="T105">
        <f t="shared" si="4"/>
        <v>16.043835616438358</v>
      </c>
      <c r="U105" s="6">
        <f t="shared" si="5"/>
        <v>9.1114689352905565E-2</v>
      </c>
    </row>
    <row r="106" spans="1:21" x14ac:dyDescent="0.25">
      <c r="A106" t="s">
        <v>451</v>
      </c>
      <c r="B106" t="s">
        <v>452</v>
      </c>
      <c r="C106" t="s">
        <v>14</v>
      </c>
      <c r="D106">
        <v>171.3</v>
      </c>
      <c r="E106">
        <v>174.25</v>
      </c>
      <c r="F106">
        <v>168.55</v>
      </c>
      <c r="G106" s="3">
        <v>173.8</v>
      </c>
      <c r="H106">
        <v>173.75</v>
      </c>
      <c r="I106">
        <v>170.4</v>
      </c>
      <c r="J106">
        <v>11807704</v>
      </c>
      <c r="K106">
        <v>2034699392.1500001</v>
      </c>
      <c r="L106" s="1">
        <v>45240</v>
      </c>
      <c r="M106">
        <v>65258</v>
      </c>
      <c r="N106" t="s">
        <v>453</v>
      </c>
      <c r="O106" s="5">
        <v>45240</v>
      </c>
      <c r="P106" s="5">
        <v>43777</v>
      </c>
      <c r="Q106" s="3">
        <v>76.55</v>
      </c>
      <c r="S106">
        <f t="shared" si="3"/>
        <v>1464</v>
      </c>
      <c r="T106">
        <f t="shared" si="4"/>
        <v>16.043835616438358</v>
      </c>
      <c r="U106" s="6">
        <f t="shared" si="5"/>
        <v>0.20974429623052426</v>
      </c>
    </row>
    <row r="107" spans="1:21" x14ac:dyDescent="0.25">
      <c r="A107" t="s">
        <v>457</v>
      </c>
      <c r="B107" t="s">
        <v>458</v>
      </c>
      <c r="C107" t="s">
        <v>14</v>
      </c>
      <c r="D107">
        <v>201.05</v>
      </c>
      <c r="E107">
        <v>205</v>
      </c>
      <c r="F107">
        <v>200.6</v>
      </c>
      <c r="G107" s="3">
        <v>201.35</v>
      </c>
      <c r="H107">
        <v>201</v>
      </c>
      <c r="I107">
        <v>211.15</v>
      </c>
      <c r="J107">
        <v>29383</v>
      </c>
      <c r="K107">
        <v>5910827.9000000004</v>
      </c>
      <c r="L107" s="1">
        <v>45240</v>
      </c>
      <c r="M107">
        <v>297</v>
      </c>
      <c r="N107" t="s">
        <v>459</v>
      </c>
      <c r="O107" s="5">
        <v>45240</v>
      </c>
      <c r="P107" s="5">
        <v>43777</v>
      </c>
      <c r="Q107" s="3">
        <v>100</v>
      </c>
      <c r="S107">
        <f t="shared" si="3"/>
        <v>1464</v>
      </c>
      <c r="T107">
        <f t="shared" si="4"/>
        <v>16.043835616438358</v>
      </c>
      <c r="U107" s="6">
        <f t="shared" si="5"/>
        <v>0.17835238833686784</v>
      </c>
    </row>
    <row r="108" spans="1:21" x14ac:dyDescent="0.25">
      <c r="A108" t="s">
        <v>460</v>
      </c>
      <c r="B108" t="s">
        <v>461</v>
      </c>
      <c r="C108" t="s">
        <v>14</v>
      </c>
      <c r="D108">
        <v>3070</v>
      </c>
      <c r="E108">
        <v>3085</v>
      </c>
      <c r="F108">
        <v>3040.1</v>
      </c>
      <c r="G108" s="3">
        <v>3076.45</v>
      </c>
      <c r="H108">
        <v>3080</v>
      </c>
      <c r="I108">
        <v>3080.2</v>
      </c>
      <c r="J108">
        <v>364232</v>
      </c>
      <c r="K108">
        <v>1115647633.3499999</v>
      </c>
      <c r="L108" s="1">
        <v>45240</v>
      </c>
      <c r="M108">
        <v>40004</v>
      </c>
      <c r="N108" t="s">
        <v>462</v>
      </c>
      <c r="O108" s="5">
        <v>45240</v>
      </c>
      <c r="P108" s="5">
        <v>43777</v>
      </c>
      <c r="Q108" s="3">
        <v>1794.85</v>
      </c>
      <c r="S108">
        <f t="shared" si="3"/>
        <v>1464</v>
      </c>
      <c r="T108">
        <f t="shared" si="4"/>
        <v>16.043835616438358</v>
      </c>
      <c r="U108" s="6">
        <f t="shared" si="5"/>
        <v>0.1366272159530757</v>
      </c>
    </row>
    <row r="109" spans="1:21" x14ac:dyDescent="0.25">
      <c r="A109" t="s">
        <v>463</v>
      </c>
      <c r="B109" t="s">
        <v>464</v>
      </c>
      <c r="C109" t="s">
        <v>14</v>
      </c>
      <c r="D109">
        <v>79.7</v>
      </c>
      <c r="E109">
        <v>81.95</v>
      </c>
      <c r="F109">
        <v>79.2</v>
      </c>
      <c r="G109" s="3">
        <v>80.650000000000006</v>
      </c>
      <c r="H109">
        <v>80.650000000000006</v>
      </c>
      <c r="I109">
        <v>79.95</v>
      </c>
      <c r="J109">
        <v>1082453</v>
      </c>
      <c r="K109">
        <v>87279166.599999994</v>
      </c>
      <c r="L109" s="1">
        <v>45240</v>
      </c>
      <c r="M109">
        <v>4958</v>
      </c>
      <c r="N109" t="s">
        <v>465</v>
      </c>
      <c r="O109" s="5">
        <v>45240</v>
      </c>
      <c r="P109" s="5">
        <v>43777</v>
      </c>
      <c r="Q109" s="3">
        <v>225.2</v>
      </c>
      <c r="S109">
        <f t="shared" si="3"/>
        <v>1464</v>
      </c>
      <c r="T109">
        <f t="shared" si="4"/>
        <v>16.043835616438358</v>
      </c>
      <c r="U109" s="6">
        <f t="shared" si="5"/>
        <v>-0.24799511210026903</v>
      </c>
    </row>
    <row r="110" spans="1:21" x14ac:dyDescent="0.25">
      <c r="A110" t="s">
        <v>469</v>
      </c>
      <c r="B110" t="s">
        <v>470</v>
      </c>
      <c r="C110" t="s">
        <v>14</v>
      </c>
      <c r="D110">
        <v>240.2</v>
      </c>
      <c r="E110">
        <v>240.2</v>
      </c>
      <c r="F110">
        <v>228.3</v>
      </c>
      <c r="G110" s="3">
        <v>231.85</v>
      </c>
      <c r="H110">
        <v>230.95</v>
      </c>
      <c r="I110">
        <v>233.3</v>
      </c>
      <c r="J110">
        <v>2051</v>
      </c>
      <c r="K110">
        <v>473514.3</v>
      </c>
      <c r="L110" s="1">
        <v>45240</v>
      </c>
      <c r="M110">
        <v>133</v>
      </c>
      <c r="N110" t="s">
        <v>471</v>
      </c>
      <c r="O110" s="5">
        <v>45240</v>
      </c>
      <c r="P110" s="5">
        <v>43777</v>
      </c>
      <c r="Q110" s="3">
        <v>144</v>
      </c>
      <c r="S110">
        <f t="shared" si="3"/>
        <v>1464</v>
      </c>
      <c r="T110">
        <f t="shared" si="4"/>
        <v>16.043835616438358</v>
      </c>
      <c r="U110" s="6">
        <f t="shared" si="5"/>
        <v>0.12052408993235719</v>
      </c>
    </row>
    <row r="111" spans="1:21" x14ac:dyDescent="0.25">
      <c r="A111" t="s">
        <v>472</v>
      </c>
      <c r="B111" t="s">
        <v>473</v>
      </c>
      <c r="C111" t="s">
        <v>14</v>
      </c>
      <c r="D111">
        <v>1230.25</v>
      </c>
      <c r="E111">
        <v>1260.6500000000001</v>
      </c>
      <c r="F111">
        <v>1224.95</v>
      </c>
      <c r="G111" s="3">
        <v>1248.5</v>
      </c>
      <c r="H111">
        <v>1241</v>
      </c>
      <c r="I111">
        <v>1226.05</v>
      </c>
      <c r="J111">
        <v>7415</v>
      </c>
      <c r="K111">
        <v>9220176</v>
      </c>
      <c r="L111" s="1">
        <v>45240</v>
      </c>
      <c r="M111">
        <v>961</v>
      </c>
      <c r="N111" t="s">
        <v>474</v>
      </c>
      <c r="O111" s="5">
        <v>45240</v>
      </c>
      <c r="P111" s="5">
        <v>43777</v>
      </c>
      <c r="Q111" s="3">
        <v>359.7</v>
      </c>
      <c r="S111">
        <f t="shared" si="3"/>
        <v>1464</v>
      </c>
      <c r="T111">
        <f t="shared" si="4"/>
        <v>16.043835616438358</v>
      </c>
      <c r="U111" s="6">
        <f t="shared" si="5"/>
        <v>0.3226065627949426</v>
      </c>
    </row>
    <row r="112" spans="1:21" x14ac:dyDescent="0.25">
      <c r="A112" t="s">
        <v>475</v>
      </c>
      <c r="B112" t="s">
        <v>476</v>
      </c>
      <c r="C112" t="s">
        <v>14</v>
      </c>
      <c r="D112">
        <v>333.65</v>
      </c>
      <c r="E112">
        <v>341.3</v>
      </c>
      <c r="F112">
        <v>329.8</v>
      </c>
      <c r="G112" s="3">
        <v>339.35</v>
      </c>
      <c r="H112">
        <v>337.2</v>
      </c>
      <c r="I112">
        <v>333.1</v>
      </c>
      <c r="J112">
        <v>165661</v>
      </c>
      <c r="K112">
        <v>55837997.850000001</v>
      </c>
      <c r="L112" s="1">
        <v>45240</v>
      </c>
      <c r="M112">
        <v>7241</v>
      </c>
      <c r="N112" t="s">
        <v>477</v>
      </c>
      <c r="O112" s="5">
        <v>45240</v>
      </c>
      <c r="P112" s="5">
        <v>43777</v>
      </c>
      <c r="Q112" s="3">
        <v>144.75</v>
      </c>
      <c r="S112">
        <f t="shared" si="3"/>
        <v>1464</v>
      </c>
      <c r="T112">
        <f t="shared" si="4"/>
        <v>16.043835616438358</v>
      </c>
      <c r="U112" s="6">
        <f t="shared" si="5"/>
        <v>0.21816567509964813</v>
      </c>
    </row>
    <row r="113" spans="1:21" x14ac:dyDescent="0.25">
      <c r="A113" t="s">
        <v>478</v>
      </c>
      <c r="B113" t="s">
        <v>479</v>
      </c>
      <c r="C113" t="s">
        <v>14</v>
      </c>
      <c r="D113">
        <v>1890</v>
      </c>
      <c r="E113">
        <v>1902</v>
      </c>
      <c r="F113">
        <v>1876.05</v>
      </c>
      <c r="G113" s="3">
        <v>1891.35</v>
      </c>
      <c r="H113">
        <v>1890.25</v>
      </c>
      <c r="I113">
        <v>1899.25</v>
      </c>
      <c r="J113">
        <v>137779</v>
      </c>
      <c r="K113">
        <v>260277791.80000001</v>
      </c>
      <c r="L113" s="1">
        <v>45240</v>
      </c>
      <c r="M113">
        <v>17168</v>
      </c>
      <c r="N113" t="s">
        <v>480</v>
      </c>
      <c r="O113" s="5">
        <v>45240</v>
      </c>
      <c r="P113" s="5">
        <v>43777</v>
      </c>
      <c r="Q113" s="3">
        <v>1103.95</v>
      </c>
      <c r="S113">
        <f t="shared" si="3"/>
        <v>1464</v>
      </c>
      <c r="T113">
        <f t="shared" si="4"/>
        <v>16.043835616438358</v>
      </c>
      <c r="U113" s="6">
        <f t="shared" si="5"/>
        <v>0.13650895514518435</v>
      </c>
    </row>
    <row r="114" spans="1:21" x14ac:dyDescent="0.25">
      <c r="A114" t="s">
        <v>481</v>
      </c>
      <c r="B114" t="s">
        <v>482</v>
      </c>
      <c r="C114" t="s">
        <v>14</v>
      </c>
      <c r="D114">
        <v>508.45</v>
      </c>
      <c r="E114">
        <v>521.5</v>
      </c>
      <c r="F114">
        <v>506</v>
      </c>
      <c r="G114" s="3">
        <v>516.45000000000005</v>
      </c>
      <c r="H114">
        <v>518.65</v>
      </c>
      <c r="I114">
        <v>505.3</v>
      </c>
      <c r="J114">
        <v>951270</v>
      </c>
      <c r="K114">
        <v>489426024.85000002</v>
      </c>
      <c r="L114" s="1">
        <v>45240</v>
      </c>
      <c r="M114">
        <v>26320</v>
      </c>
      <c r="N114" t="s">
        <v>483</v>
      </c>
      <c r="O114" s="5">
        <v>45240</v>
      </c>
      <c r="P114" s="5">
        <v>43777</v>
      </c>
      <c r="Q114" s="3">
        <v>75.599999999999994</v>
      </c>
      <c r="S114">
        <f t="shared" si="3"/>
        <v>1464</v>
      </c>
      <c r="T114">
        <f t="shared" si="4"/>
        <v>16.043835616438358</v>
      </c>
      <c r="U114" s="6">
        <f t="shared" si="5"/>
        <v>0.50893673960196839</v>
      </c>
    </row>
    <row r="115" spans="1:21" x14ac:dyDescent="0.25">
      <c r="A115" t="s">
        <v>484</v>
      </c>
      <c r="B115" t="s">
        <v>485</v>
      </c>
      <c r="C115" t="s">
        <v>14</v>
      </c>
      <c r="D115">
        <v>4912.6000000000004</v>
      </c>
      <c r="E115">
        <v>4996.8999999999996</v>
      </c>
      <c r="F115">
        <v>4650</v>
      </c>
      <c r="G115" s="3">
        <v>4652.8999999999996</v>
      </c>
      <c r="H115">
        <v>4650</v>
      </c>
      <c r="I115">
        <v>4912.6000000000004</v>
      </c>
      <c r="J115">
        <v>51480</v>
      </c>
      <c r="K115">
        <v>244027393.44999999</v>
      </c>
      <c r="L115" s="1">
        <v>45240</v>
      </c>
      <c r="M115">
        <v>11599</v>
      </c>
      <c r="N115" t="s">
        <v>486</v>
      </c>
      <c r="O115" s="5">
        <v>45240</v>
      </c>
      <c r="P115" s="5">
        <v>43777</v>
      </c>
      <c r="Q115" s="3">
        <v>2492</v>
      </c>
      <c r="S115">
        <f t="shared" si="3"/>
        <v>1464</v>
      </c>
      <c r="T115">
        <f t="shared" si="4"/>
        <v>16.043835616438358</v>
      </c>
      <c r="U115" s="6">
        <f t="shared" si="5"/>
        <v>0.15874377739587064</v>
      </c>
    </row>
    <row r="116" spans="1:21" x14ac:dyDescent="0.25">
      <c r="A116" t="s">
        <v>487</v>
      </c>
      <c r="B116" t="s">
        <v>488</v>
      </c>
      <c r="C116" t="s">
        <v>10</v>
      </c>
      <c r="D116">
        <v>30.3</v>
      </c>
      <c r="E116">
        <v>30.3</v>
      </c>
      <c r="F116">
        <v>28.5</v>
      </c>
      <c r="G116" s="3">
        <v>28.7</v>
      </c>
      <c r="H116">
        <v>28.7</v>
      </c>
      <c r="I116">
        <v>29</v>
      </c>
      <c r="J116">
        <v>12287</v>
      </c>
      <c r="K116">
        <v>360485.75</v>
      </c>
      <c r="L116" s="1">
        <v>45240</v>
      </c>
      <c r="M116">
        <v>93</v>
      </c>
      <c r="N116" t="s">
        <v>489</v>
      </c>
      <c r="O116" s="5">
        <v>45240</v>
      </c>
      <c r="P116" s="5">
        <v>43777</v>
      </c>
      <c r="Q116" s="3">
        <v>39</v>
      </c>
      <c r="S116">
        <f t="shared" si="3"/>
        <v>1464</v>
      </c>
      <c r="T116">
        <f t="shared" si="4"/>
        <v>16.043835616438358</v>
      </c>
      <c r="U116" s="6">
        <f t="shared" si="5"/>
        <v>-7.5730591348603937E-2</v>
      </c>
    </row>
    <row r="117" spans="1:21" x14ac:dyDescent="0.25">
      <c r="A117" t="s">
        <v>496</v>
      </c>
      <c r="B117" t="s">
        <v>497</v>
      </c>
      <c r="C117" t="s">
        <v>14</v>
      </c>
      <c r="D117">
        <v>803.9</v>
      </c>
      <c r="E117">
        <v>803.9</v>
      </c>
      <c r="F117">
        <v>782.4</v>
      </c>
      <c r="G117" s="3">
        <v>788.35</v>
      </c>
      <c r="H117">
        <v>786</v>
      </c>
      <c r="I117">
        <v>802.15</v>
      </c>
      <c r="J117">
        <v>5110</v>
      </c>
      <c r="K117">
        <v>4046115.1</v>
      </c>
      <c r="L117" s="1">
        <v>45240</v>
      </c>
      <c r="M117">
        <v>610</v>
      </c>
      <c r="N117" t="s">
        <v>498</v>
      </c>
      <c r="O117" s="5">
        <v>45240</v>
      </c>
      <c r="P117" s="5">
        <v>43777</v>
      </c>
      <c r="Q117" s="3">
        <v>623.6</v>
      </c>
      <c r="S117">
        <f t="shared" si="3"/>
        <v>1464</v>
      </c>
      <c r="T117">
        <f t="shared" si="4"/>
        <v>16.043835616438358</v>
      </c>
      <c r="U117" s="6">
        <f t="shared" si="5"/>
        <v>5.8877232668446133E-2</v>
      </c>
    </row>
    <row r="118" spans="1:21" x14ac:dyDescent="0.25">
      <c r="A118" t="s">
        <v>505</v>
      </c>
      <c r="B118" t="s">
        <v>506</v>
      </c>
      <c r="C118" t="s">
        <v>14</v>
      </c>
      <c r="D118">
        <v>17.75</v>
      </c>
      <c r="E118">
        <v>17.850000000000001</v>
      </c>
      <c r="F118">
        <v>17.5</v>
      </c>
      <c r="G118" s="3">
        <v>17.850000000000001</v>
      </c>
      <c r="H118">
        <v>17.850000000000001</v>
      </c>
      <c r="I118">
        <v>17</v>
      </c>
      <c r="J118">
        <v>54270</v>
      </c>
      <c r="K118">
        <v>967979.65</v>
      </c>
      <c r="L118" s="1">
        <v>45240</v>
      </c>
      <c r="M118">
        <v>156</v>
      </c>
      <c r="N118" t="s">
        <v>507</v>
      </c>
      <c r="O118" s="5">
        <v>45240</v>
      </c>
      <c r="P118" s="5">
        <v>43777</v>
      </c>
      <c r="Q118" s="3">
        <v>7</v>
      </c>
      <c r="S118">
        <f t="shared" si="3"/>
        <v>1464</v>
      </c>
      <c r="T118">
        <f t="shared" si="4"/>
        <v>16.043835616438358</v>
      </c>
      <c r="U118" s="6">
        <f t="shared" si="5"/>
        <v>0.24032680981456966</v>
      </c>
    </row>
    <row r="119" spans="1:21" x14ac:dyDescent="0.25">
      <c r="A119" t="s">
        <v>508</v>
      </c>
      <c r="B119" t="s">
        <v>509</v>
      </c>
      <c r="C119" t="s">
        <v>14</v>
      </c>
      <c r="D119">
        <v>6641.6</v>
      </c>
      <c r="E119">
        <v>6682.75</v>
      </c>
      <c r="F119">
        <v>6606</v>
      </c>
      <c r="G119" s="3">
        <v>6651.3</v>
      </c>
      <c r="H119">
        <v>6651.4</v>
      </c>
      <c r="I119">
        <v>6641.6</v>
      </c>
      <c r="J119">
        <v>30679</v>
      </c>
      <c r="K119">
        <v>203978730.44999999</v>
      </c>
      <c r="L119" s="1">
        <v>45240</v>
      </c>
      <c r="M119">
        <v>4161</v>
      </c>
      <c r="N119" t="s">
        <v>510</v>
      </c>
      <c r="O119" s="5">
        <v>45240</v>
      </c>
      <c r="P119" s="5">
        <v>43777</v>
      </c>
      <c r="Q119" s="3">
        <v>4202.7</v>
      </c>
      <c r="S119">
        <f t="shared" si="3"/>
        <v>1464</v>
      </c>
      <c r="T119">
        <f t="shared" si="4"/>
        <v>16.043835616438358</v>
      </c>
      <c r="U119" s="6">
        <f t="shared" si="5"/>
        <v>0.11611100686786813</v>
      </c>
    </row>
    <row r="120" spans="1:21" x14ac:dyDescent="0.25">
      <c r="A120" t="s">
        <v>511</v>
      </c>
      <c r="B120" t="s">
        <v>512</v>
      </c>
      <c r="C120" t="s">
        <v>14</v>
      </c>
      <c r="D120">
        <v>628.4</v>
      </c>
      <c r="E120">
        <v>637.5</v>
      </c>
      <c r="F120">
        <v>626.15</v>
      </c>
      <c r="G120" s="3">
        <v>630.70000000000005</v>
      </c>
      <c r="H120">
        <v>628.25</v>
      </c>
      <c r="I120">
        <v>623.6</v>
      </c>
      <c r="J120">
        <v>111230</v>
      </c>
      <c r="K120">
        <v>70323075.200000003</v>
      </c>
      <c r="L120" s="1">
        <v>45240</v>
      </c>
      <c r="M120">
        <v>3632</v>
      </c>
      <c r="N120" t="s">
        <v>513</v>
      </c>
      <c r="O120" s="5">
        <v>45240</v>
      </c>
      <c r="P120" s="5">
        <v>43777</v>
      </c>
      <c r="Q120" s="3">
        <v>217.55</v>
      </c>
      <c r="S120">
        <f t="shared" si="3"/>
        <v>1464</v>
      </c>
      <c r="T120">
        <f t="shared" si="4"/>
        <v>16.043835616438358</v>
      </c>
      <c r="U120" s="6">
        <f t="shared" si="5"/>
        <v>0.27437417060900859</v>
      </c>
    </row>
    <row r="121" spans="1:21" x14ac:dyDescent="0.25">
      <c r="A121" t="s">
        <v>514</v>
      </c>
      <c r="B121" t="s">
        <v>515</v>
      </c>
      <c r="C121" t="s">
        <v>14</v>
      </c>
      <c r="D121">
        <v>689.8</v>
      </c>
      <c r="E121">
        <v>700.55</v>
      </c>
      <c r="F121">
        <v>683.4</v>
      </c>
      <c r="G121" s="3">
        <v>699.25</v>
      </c>
      <c r="H121">
        <v>700</v>
      </c>
      <c r="I121">
        <v>690.55</v>
      </c>
      <c r="J121">
        <v>1514007</v>
      </c>
      <c r="K121">
        <v>1054489971.55</v>
      </c>
      <c r="L121" s="1">
        <v>45240</v>
      </c>
      <c r="M121">
        <v>35646</v>
      </c>
      <c r="N121" t="s">
        <v>516</v>
      </c>
      <c r="O121" s="5">
        <v>45240</v>
      </c>
      <c r="P121" s="5">
        <v>43777</v>
      </c>
      <c r="Q121" s="3">
        <v>689.5</v>
      </c>
      <c r="S121">
        <f t="shared" si="3"/>
        <v>1464</v>
      </c>
      <c r="T121">
        <f t="shared" si="4"/>
        <v>16.043835616438358</v>
      </c>
      <c r="U121" s="6">
        <f t="shared" si="5"/>
        <v>3.5023498439050726E-3</v>
      </c>
    </row>
    <row r="122" spans="1:21" x14ac:dyDescent="0.25">
      <c r="A122" t="s">
        <v>517</v>
      </c>
      <c r="B122" t="s">
        <v>518</v>
      </c>
      <c r="C122" t="s">
        <v>10</v>
      </c>
      <c r="D122">
        <v>1792.85</v>
      </c>
      <c r="E122">
        <v>1819</v>
      </c>
      <c r="F122">
        <v>1716</v>
      </c>
      <c r="G122" s="3">
        <v>1767.3</v>
      </c>
      <c r="H122">
        <v>1778</v>
      </c>
      <c r="I122">
        <v>1792.85</v>
      </c>
      <c r="J122">
        <v>6541</v>
      </c>
      <c r="K122">
        <v>11576649.15</v>
      </c>
      <c r="L122" s="1">
        <v>45240</v>
      </c>
      <c r="M122">
        <v>532</v>
      </c>
      <c r="N122" t="s">
        <v>519</v>
      </c>
      <c r="O122" s="5">
        <v>45240</v>
      </c>
      <c r="P122" s="5">
        <v>43777</v>
      </c>
      <c r="Q122" s="3">
        <v>77.8</v>
      </c>
      <c r="S122">
        <f t="shared" si="3"/>
        <v>1464</v>
      </c>
      <c r="T122">
        <f t="shared" si="4"/>
        <v>16.043835616438358</v>
      </c>
      <c r="U122" s="6">
        <f t="shared" si="5"/>
        <v>0.85958345750605147</v>
      </c>
    </row>
    <row r="123" spans="1:21" x14ac:dyDescent="0.25">
      <c r="A123" t="s">
        <v>520</v>
      </c>
      <c r="B123" t="s">
        <v>521</v>
      </c>
      <c r="C123" t="s">
        <v>14</v>
      </c>
      <c r="D123">
        <v>964</v>
      </c>
      <c r="E123">
        <v>984</v>
      </c>
      <c r="F123">
        <v>941.55</v>
      </c>
      <c r="G123" s="3">
        <v>979.7</v>
      </c>
      <c r="H123">
        <v>977.15</v>
      </c>
      <c r="I123">
        <v>950.75</v>
      </c>
      <c r="J123">
        <v>5495149</v>
      </c>
      <c r="K123">
        <v>5323413894.25</v>
      </c>
      <c r="L123" s="1">
        <v>45240</v>
      </c>
      <c r="M123">
        <v>123031</v>
      </c>
      <c r="N123" t="s">
        <v>522</v>
      </c>
      <c r="O123" s="5">
        <v>45240</v>
      </c>
      <c r="P123" s="5">
        <v>43777</v>
      </c>
      <c r="Q123" s="3">
        <v>439.95</v>
      </c>
      <c r="S123">
        <f t="shared" si="3"/>
        <v>1464</v>
      </c>
      <c r="T123">
        <f t="shared" si="4"/>
        <v>16.043835616438358</v>
      </c>
      <c r="U123" s="6">
        <f t="shared" si="5"/>
        <v>0.20466335323920148</v>
      </c>
    </row>
    <row r="124" spans="1:21" x14ac:dyDescent="0.25">
      <c r="A124" t="s">
        <v>526</v>
      </c>
      <c r="B124" t="s">
        <v>527</v>
      </c>
      <c r="C124" t="s">
        <v>10</v>
      </c>
      <c r="D124">
        <v>70.599999999999994</v>
      </c>
      <c r="E124">
        <v>70.599999999999994</v>
      </c>
      <c r="F124">
        <v>68.05</v>
      </c>
      <c r="G124" s="3">
        <v>69.349999999999994</v>
      </c>
      <c r="H124">
        <v>69.599999999999994</v>
      </c>
      <c r="I124">
        <v>67.3</v>
      </c>
      <c r="J124">
        <v>1271</v>
      </c>
      <c r="K124">
        <v>88308.45</v>
      </c>
      <c r="L124" s="1">
        <v>45240</v>
      </c>
      <c r="M124">
        <v>22</v>
      </c>
      <c r="N124" t="s">
        <v>528</v>
      </c>
      <c r="O124" s="5">
        <v>45240</v>
      </c>
      <c r="P124" s="5">
        <v>43777</v>
      </c>
      <c r="Q124" s="3">
        <v>27.75</v>
      </c>
      <c r="S124">
        <f t="shared" si="3"/>
        <v>1464</v>
      </c>
      <c r="T124">
        <f t="shared" si="4"/>
        <v>16.043835616438358</v>
      </c>
      <c r="U124" s="6">
        <f t="shared" si="5"/>
        <v>0.2350011363038913</v>
      </c>
    </row>
    <row r="125" spans="1:21" x14ac:dyDescent="0.25">
      <c r="A125" t="s">
        <v>529</v>
      </c>
      <c r="B125" t="s">
        <v>530</v>
      </c>
      <c r="C125" t="s">
        <v>14</v>
      </c>
      <c r="D125">
        <v>2380.6999999999998</v>
      </c>
      <c r="E125">
        <v>2389.9499999999998</v>
      </c>
      <c r="F125">
        <v>2335</v>
      </c>
      <c r="G125" s="3">
        <v>2346.6999999999998</v>
      </c>
      <c r="H125">
        <v>2355</v>
      </c>
      <c r="I125">
        <v>2368.85</v>
      </c>
      <c r="J125">
        <v>12566</v>
      </c>
      <c r="K125">
        <v>29578392.949999999</v>
      </c>
      <c r="L125" s="1">
        <v>45240</v>
      </c>
      <c r="M125">
        <v>2534</v>
      </c>
      <c r="N125" t="s">
        <v>531</v>
      </c>
      <c r="O125" s="5">
        <v>45240</v>
      </c>
      <c r="P125" s="5">
        <v>43777</v>
      </c>
      <c r="Q125" s="3">
        <v>831.5</v>
      </c>
      <c r="S125">
        <f t="shared" si="3"/>
        <v>1464</v>
      </c>
      <c r="T125">
        <f t="shared" si="4"/>
        <v>16.043835616438358</v>
      </c>
      <c r="U125" s="6">
        <f t="shared" si="5"/>
        <v>0.26722215230702417</v>
      </c>
    </row>
    <row r="126" spans="1:21" x14ac:dyDescent="0.25">
      <c r="A126" t="s">
        <v>532</v>
      </c>
      <c r="B126" t="s">
        <v>533</v>
      </c>
      <c r="C126" t="s">
        <v>10</v>
      </c>
      <c r="D126">
        <v>100.75</v>
      </c>
      <c r="E126">
        <v>100.75</v>
      </c>
      <c r="F126">
        <v>100.75</v>
      </c>
      <c r="G126" s="3">
        <v>100.75</v>
      </c>
      <c r="H126">
        <v>100.75</v>
      </c>
      <c r="I126">
        <v>102.8</v>
      </c>
      <c r="J126">
        <v>44739</v>
      </c>
      <c r="K126">
        <v>4507454.25</v>
      </c>
      <c r="L126" s="1">
        <v>45240</v>
      </c>
      <c r="M126">
        <v>116</v>
      </c>
      <c r="N126" t="s">
        <v>534</v>
      </c>
      <c r="O126" s="5">
        <v>45240</v>
      </c>
      <c r="P126" s="5">
        <v>43777</v>
      </c>
      <c r="Q126" s="3">
        <v>22.6</v>
      </c>
      <c r="S126">
        <f t="shared" si="3"/>
        <v>1464</v>
      </c>
      <c r="T126">
        <f t="shared" si="4"/>
        <v>16.043835616438358</v>
      </c>
      <c r="U126" s="6">
        <f t="shared" si="5"/>
        <v>0.39056266403732653</v>
      </c>
    </row>
    <row r="127" spans="1:21" x14ac:dyDescent="0.25">
      <c r="A127" t="s">
        <v>535</v>
      </c>
      <c r="B127" t="s">
        <v>536</v>
      </c>
      <c r="C127" t="s">
        <v>14</v>
      </c>
      <c r="D127">
        <v>700</v>
      </c>
      <c r="E127">
        <v>716.35</v>
      </c>
      <c r="F127">
        <v>696.1</v>
      </c>
      <c r="G127" s="3">
        <v>702.1</v>
      </c>
      <c r="H127">
        <v>702</v>
      </c>
      <c r="I127">
        <v>702.8</v>
      </c>
      <c r="J127">
        <v>92841</v>
      </c>
      <c r="K127">
        <v>65421620.549999997</v>
      </c>
      <c r="L127" s="1">
        <v>45240</v>
      </c>
      <c r="M127">
        <v>5659</v>
      </c>
      <c r="N127" t="s">
        <v>537</v>
      </c>
      <c r="O127" s="5">
        <v>45240</v>
      </c>
      <c r="P127" s="5">
        <v>43777</v>
      </c>
      <c r="Q127" s="3">
        <v>258.60000000000002</v>
      </c>
      <c r="S127">
        <f t="shared" si="3"/>
        <v>1464</v>
      </c>
      <c r="T127">
        <f t="shared" si="4"/>
        <v>16.043835616438358</v>
      </c>
      <c r="U127" s="6">
        <f t="shared" si="5"/>
        <v>0.25693061742856571</v>
      </c>
    </row>
    <row r="128" spans="1:21" x14ac:dyDescent="0.25">
      <c r="A128" t="s">
        <v>541</v>
      </c>
      <c r="B128" t="s">
        <v>542</v>
      </c>
      <c r="C128" t="s">
        <v>14</v>
      </c>
      <c r="D128">
        <v>394.6</v>
      </c>
      <c r="E128">
        <v>396.75</v>
      </c>
      <c r="F128">
        <v>393.3</v>
      </c>
      <c r="G128" s="3">
        <v>395.85</v>
      </c>
      <c r="H128">
        <v>396.5</v>
      </c>
      <c r="I128">
        <v>394.7</v>
      </c>
      <c r="J128">
        <v>60458</v>
      </c>
      <c r="K128">
        <v>23876532.899999999</v>
      </c>
      <c r="L128" s="1">
        <v>45240</v>
      </c>
      <c r="M128">
        <v>3301</v>
      </c>
      <c r="N128" t="s">
        <v>543</v>
      </c>
      <c r="O128" s="5">
        <v>45240</v>
      </c>
      <c r="P128" s="5">
        <v>43777</v>
      </c>
      <c r="Q128" s="3">
        <v>553.95000000000005</v>
      </c>
      <c r="S128">
        <f t="shared" si="3"/>
        <v>1464</v>
      </c>
      <c r="T128">
        <f t="shared" si="4"/>
        <v>16.043835616438358</v>
      </c>
      <c r="U128" s="6">
        <f t="shared" si="5"/>
        <v>-8.2908937458671783E-2</v>
      </c>
    </row>
    <row r="129" spans="1:21" x14ac:dyDescent="0.25">
      <c r="A129" t="s">
        <v>544</v>
      </c>
      <c r="B129" t="s">
        <v>545</v>
      </c>
      <c r="C129" t="s">
        <v>14</v>
      </c>
      <c r="D129">
        <v>285</v>
      </c>
      <c r="E129">
        <v>290</v>
      </c>
      <c r="F129">
        <v>279.35000000000002</v>
      </c>
      <c r="G129" s="3">
        <v>288.3</v>
      </c>
      <c r="H129">
        <v>289.89999999999998</v>
      </c>
      <c r="I129">
        <v>284.7</v>
      </c>
      <c r="J129">
        <v>27148</v>
      </c>
      <c r="K129">
        <v>7749600.3499999996</v>
      </c>
      <c r="L129" s="1">
        <v>45240</v>
      </c>
      <c r="M129">
        <v>723</v>
      </c>
      <c r="N129" t="s">
        <v>546</v>
      </c>
      <c r="O129" s="5">
        <v>45240</v>
      </c>
      <c r="P129" s="5">
        <v>43777</v>
      </c>
      <c r="Q129" s="3">
        <v>72.05</v>
      </c>
      <c r="S129">
        <f t="shared" si="3"/>
        <v>1464</v>
      </c>
      <c r="T129">
        <f t="shared" si="4"/>
        <v>16.043835616438358</v>
      </c>
      <c r="U129" s="6">
        <f t="shared" si="5"/>
        <v>0.36109272701103912</v>
      </c>
    </row>
    <row r="130" spans="1:21" x14ac:dyDescent="0.25">
      <c r="A130" t="s">
        <v>553</v>
      </c>
      <c r="B130" t="s">
        <v>554</v>
      </c>
      <c r="C130" t="s">
        <v>14</v>
      </c>
      <c r="D130">
        <v>88.25</v>
      </c>
      <c r="E130">
        <v>93</v>
      </c>
      <c r="F130">
        <v>85.8</v>
      </c>
      <c r="G130" s="3">
        <v>88.65</v>
      </c>
      <c r="H130">
        <v>89</v>
      </c>
      <c r="I130">
        <v>89.05</v>
      </c>
      <c r="J130">
        <v>571384</v>
      </c>
      <c r="K130">
        <v>51075229.049999997</v>
      </c>
      <c r="L130" s="1">
        <v>45240</v>
      </c>
      <c r="M130">
        <v>5838</v>
      </c>
      <c r="N130" t="s">
        <v>555</v>
      </c>
      <c r="O130" s="5">
        <v>45240</v>
      </c>
      <c r="P130" s="5">
        <v>43777</v>
      </c>
      <c r="Q130" s="3">
        <v>29.05</v>
      </c>
      <c r="S130">
        <f t="shared" si="3"/>
        <v>1464</v>
      </c>
      <c r="T130">
        <f t="shared" si="4"/>
        <v>16.043835616438358</v>
      </c>
      <c r="U130" s="6">
        <f t="shared" si="5"/>
        <v>0.28805688271525121</v>
      </c>
    </row>
    <row r="131" spans="1:21" x14ac:dyDescent="0.25">
      <c r="A131" t="s">
        <v>562</v>
      </c>
      <c r="B131" t="s">
        <v>563</v>
      </c>
      <c r="C131" t="s">
        <v>14</v>
      </c>
      <c r="D131">
        <v>1017.9</v>
      </c>
      <c r="E131">
        <v>1031</v>
      </c>
      <c r="F131">
        <v>1016.65</v>
      </c>
      <c r="G131" s="3">
        <v>1029.2</v>
      </c>
      <c r="H131">
        <v>1029.8</v>
      </c>
      <c r="I131">
        <v>1021.9</v>
      </c>
      <c r="J131">
        <v>3294063</v>
      </c>
      <c r="K131">
        <v>3374359818.3499999</v>
      </c>
      <c r="L131" s="1">
        <v>45240</v>
      </c>
      <c r="M131">
        <v>110355</v>
      </c>
      <c r="N131" t="s">
        <v>564</v>
      </c>
      <c r="O131" s="5">
        <v>45240</v>
      </c>
      <c r="P131" s="5">
        <v>43777</v>
      </c>
      <c r="Q131" s="3">
        <v>725.5</v>
      </c>
      <c r="S131">
        <f t="shared" ref="S131:S194" si="6">O131-P131+1</f>
        <v>1464</v>
      </c>
      <c r="T131">
        <f t="shared" ref="T131:T194" si="7">(S131/365)*4</f>
        <v>16.043835616438358</v>
      </c>
      <c r="U131" s="6">
        <f t="shared" ref="U131:U194" si="8">(((G131/Q131)^(1/T131))-1)*4</f>
        <v>8.813713953631197E-2</v>
      </c>
    </row>
    <row r="132" spans="1:21" x14ac:dyDescent="0.25">
      <c r="A132" t="s">
        <v>565</v>
      </c>
      <c r="B132" t="s">
        <v>566</v>
      </c>
      <c r="C132" t="s">
        <v>14</v>
      </c>
      <c r="D132">
        <v>517.04999999999995</v>
      </c>
      <c r="E132">
        <v>542.9</v>
      </c>
      <c r="F132">
        <v>517.04999999999995</v>
      </c>
      <c r="G132" s="3">
        <v>540.54999999999995</v>
      </c>
      <c r="H132">
        <v>540.70000000000005</v>
      </c>
      <c r="I132">
        <v>517.04999999999995</v>
      </c>
      <c r="J132">
        <v>37231</v>
      </c>
      <c r="K132">
        <v>19893879.350000001</v>
      </c>
      <c r="L132" s="1">
        <v>45240</v>
      </c>
      <c r="M132">
        <v>1418</v>
      </c>
      <c r="N132" t="s">
        <v>567</v>
      </c>
      <c r="O132" s="5">
        <v>45240</v>
      </c>
      <c r="P132" s="5">
        <v>43777</v>
      </c>
      <c r="Q132" s="3">
        <v>71.2</v>
      </c>
      <c r="S132">
        <f t="shared" si="6"/>
        <v>1464</v>
      </c>
      <c r="T132">
        <f t="shared" si="7"/>
        <v>16.043835616438358</v>
      </c>
      <c r="U132" s="6">
        <f t="shared" si="8"/>
        <v>0.53870441138487468</v>
      </c>
    </row>
    <row r="133" spans="1:21" x14ac:dyDescent="0.25">
      <c r="A133" t="s">
        <v>6852</v>
      </c>
      <c r="B133" t="s">
        <v>7798</v>
      </c>
      <c r="C133" t="s">
        <v>14</v>
      </c>
      <c r="D133">
        <v>51.38</v>
      </c>
      <c r="E133">
        <v>51.67</v>
      </c>
      <c r="F133">
        <v>51.33</v>
      </c>
      <c r="G133" s="3">
        <v>51.58</v>
      </c>
      <c r="H133">
        <v>51.6</v>
      </c>
      <c r="I133">
        <v>51.18</v>
      </c>
      <c r="J133">
        <v>203822</v>
      </c>
      <c r="K133">
        <v>10513572.859999999</v>
      </c>
      <c r="L133" s="1">
        <v>45240</v>
      </c>
      <c r="M133">
        <v>2741</v>
      </c>
      <c r="N133" t="s">
        <v>6851</v>
      </c>
      <c r="O133" s="5">
        <v>45240</v>
      </c>
      <c r="P133" s="5">
        <v>43777</v>
      </c>
      <c r="Q133" s="3">
        <v>3333.6</v>
      </c>
      <c r="S133">
        <f t="shared" si="6"/>
        <v>1464</v>
      </c>
      <c r="T133">
        <f t="shared" si="7"/>
        <v>16.043835616438358</v>
      </c>
      <c r="U133" s="6">
        <f t="shared" si="8"/>
        <v>-0.91527011840226802</v>
      </c>
    </row>
    <row r="134" spans="1:21" x14ac:dyDescent="0.25">
      <c r="A134" t="s">
        <v>6846</v>
      </c>
      <c r="B134" t="s">
        <v>7798</v>
      </c>
      <c r="C134" t="s">
        <v>14</v>
      </c>
      <c r="D134">
        <v>209.49</v>
      </c>
      <c r="E134">
        <v>209.49</v>
      </c>
      <c r="F134">
        <v>207.31</v>
      </c>
      <c r="G134" s="3">
        <v>208.46</v>
      </c>
      <c r="H134">
        <v>209.31</v>
      </c>
      <c r="I134">
        <v>208.93</v>
      </c>
      <c r="J134">
        <v>3328</v>
      </c>
      <c r="K134">
        <v>692897.51</v>
      </c>
      <c r="L134" s="1">
        <v>45240</v>
      </c>
      <c r="M134">
        <v>138</v>
      </c>
      <c r="N134" t="s">
        <v>6845</v>
      </c>
      <c r="O134" s="5">
        <v>45240</v>
      </c>
      <c r="P134" s="5">
        <v>43777</v>
      </c>
      <c r="Q134" s="3">
        <v>1228.5899999999999</v>
      </c>
      <c r="S134">
        <f t="shared" si="6"/>
        <v>1464</v>
      </c>
      <c r="T134">
        <f t="shared" si="7"/>
        <v>16.043835616438358</v>
      </c>
      <c r="U134" s="6">
        <f t="shared" si="8"/>
        <v>-0.41868492475334618</v>
      </c>
    </row>
    <row r="135" spans="1:21" x14ac:dyDescent="0.25">
      <c r="A135" t="s">
        <v>571</v>
      </c>
      <c r="B135" t="s">
        <v>572</v>
      </c>
      <c r="C135" t="s">
        <v>14</v>
      </c>
      <c r="D135">
        <v>67.95</v>
      </c>
      <c r="E135">
        <v>67.95</v>
      </c>
      <c r="F135">
        <v>66.650000000000006</v>
      </c>
      <c r="G135" s="3">
        <v>67.150000000000006</v>
      </c>
      <c r="H135">
        <v>67.849999999999994</v>
      </c>
      <c r="I135">
        <v>66.45</v>
      </c>
      <c r="J135">
        <v>9936</v>
      </c>
      <c r="K135">
        <v>666645.19999999995</v>
      </c>
      <c r="L135" s="1">
        <v>45240</v>
      </c>
      <c r="M135">
        <v>323</v>
      </c>
      <c r="N135" t="s">
        <v>573</v>
      </c>
      <c r="O135" s="5">
        <v>45240</v>
      </c>
      <c r="P135" s="5">
        <v>43777</v>
      </c>
      <c r="Q135" s="3">
        <v>30.6</v>
      </c>
      <c r="S135">
        <f t="shared" si="6"/>
        <v>1464</v>
      </c>
      <c r="T135">
        <f t="shared" si="7"/>
        <v>16.043835616438358</v>
      </c>
      <c r="U135" s="6">
        <f t="shared" si="8"/>
        <v>0.20082405272210391</v>
      </c>
    </row>
    <row r="136" spans="1:21" x14ac:dyDescent="0.25">
      <c r="A136" t="s">
        <v>577</v>
      </c>
      <c r="B136" t="s">
        <v>578</v>
      </c>
      <c r="C136" t="s">
        <v>10</v>
      </c>
      <c r="D136">
        <v>5.8</v>
      </c>
      <c r="E136">
        <v>5.8</v>
      </c>
      <c r="F136">
        <v>5.75</v>
      </c>
      <c r="G136" s="3">
        <v>5.75</v>
      </c>
      <c r="H136">
        <v>5.75</v>
      </c>
      <c r="I136">
        <v>5.7</v>
      </c>
      <c r="J136">
        <v>141982</v>
      </c>
      <c r="K136">
        <v>820320.05</v>
      </c>
      <c r="L136" s="1">
        <v>45240</v>
      </c>
      <c r="M136">
        <v>232</v>
      </c>
      <c r="N136" t="s">
        <v>579</v>
      </c>
      <c r="O136" s="5">
        <v>45240</v>
      </c>
      <c r="P136" s="5">
        <v>43777</v>
      </c>
      <c r="Q136" s="3">
        <v>2</v>
      </c>
      <c r="S136">
        <f t="shared" si="6"/>
        <v>1464</v>
      </c>
      <c r="T136">
        <f t="shared" si="7"/>
        <v>16.043835616438358</v>
      </c>
      <c r="U136" s="6">
        <f t="shared" si="8"/>
        <v>0.27215044001302058</v>
      </c>
    </row>
    <row r="137" spans="1:21" x14ac:dyDescent="0.25">
      <c r="A137" t="s">
        <v>583</v>
      </c>
      <c r="B137" t="s">
        <v>584</v>
      </c>
      <c r="C137" t="s">
        <v>14</v>
      </c>
      <c r="D137">
        <v>5409.95</v>
      </c>
      <c r="E137">
        <v>5427.05</v>
      </c>
      <c r="F137">
        <v>5349.05</v>
      </c>
      <c r="G137" s="3">
        <v>5392.05</v>
      </c>
      <c r="H137">
        <v>5391.6</v>
      </c>
      <c r="I137">
        <v>5418.9</v>
      </c>
      <c r="J137">
        <v>149325</v>
      </c>
      <c r="K137">
        <v>804218826.39999998</v>
      </c>
      <c r="L137" s="1">
        <v>45240</v>
      </c>
      <c r="M137">
        <v>25480</v>
      </c>
      <c r="N137" t="s">
        <v>585</v>
      </c>
      <c r="O137" s="5">
        <v>45240</v>
      </c>
      <c r="P137" s="5">
        <v>43777</v>
      </c>
      <c r="Q137" s="3">
        <v>3245.55</v>
      </c>
      <c r="S137">
        <f t="shared" si="6"/>
        <v>1464</v>
      </c>
      <c r="T137">
        <f t="shared" si="7"/>
        <v>16.043835616438358</v>
      </c>
      <c r="U137" s="6">
        <f t="shared" si="8"/>
        <v>0.12858703031230778</v>
      </c>
    </row>
    <row r="138" spans="1:21" x14ac:dyDescent="0.25">
      <c r="A138" t="s">
        <v>586</v>
      </c>
      <c r="B138" t="s">
        <v>587</v>
      </c>
      <c r="C138" t="s">
        <v>14</v>
      </c>
      <c r="D138">
        <v>221.25</v>
      </c>
      <c r="E138">
        <v>228.5</v>
      </c>
      <c r="F138">
        <v>220.6</v>
      </c>
      <c r="G138" s="3">
        <v>226.05</v>
      </c>
      <c r="H138">
        <v>225.6</v>
      </c>
      <c r="I138">
        <v>219.85</v>
      </c>
      <c r="J138">
        <v>649150</v>
      </c>
      <c r="K138">
        <v>146418892.40000001</v>
      </c>
      <c r="L138" s="1">
        <v>45240</v>
      </c>
      <c r="M138">
        <v>11984</v>
      </c>
      <c r="N138" t="s">
        <v>588</v>
      </c>
      <c r="O138" s="5">
        <v>45240</v>
      </c>
      <c r="P138" s="5">
        <v>43777</v>
      </c>
      <c r="Q138" s="3">
        <v>249.8</v>
      </c>
      <c r="S138">
        <f t="shared" si="6"/>
        <v>1464</v>
      </c>
      <c r="T138">
        <f t="shared" si="7"/>
        <v>16.043835616438358</v>
      </c>
      <c r="U138" s="6">
        <f t="shared" si="8"/>
        <v>-2.4830465848480809E-2</v>
      </c>
    </row>
    <row r="139" spans="1:21" x14ac:dyDescent="0.25">
      <c r="A139" t="s">
        <v>589</v>
      </c>
      <c r="B139" t="s">
        <v>590</v>
      </c>
      <c r="C139" t="s">
        <v>14</v>
      </c>
      <c r="D139">
        <v>1018.1</v>
      </c>
      <c r="E139">
        <v>1022.2</v>
      </c>
      <c r="F139">
        <v>1004.5</v>
      </c>
      <c r="G139" s="3">
        <v>1008.65</v>
      </c>
      <c r="H139">
        <v>1008</v>
      </c>
      <c r="I139">
        <v>1013.4</v>
      </c>
      <c r="J139">
        <v>27076</v>
      </c>
      <c r="K139">
        <v>27394550.25</v>
      </c>
      <c r="L139" s="1">
        <v>45240</v>
      </c>
      <c r="M139">
        <v>3741</v>
      </c>
      <c r="N139" t="s">
        <v>591</v>
      </c>
      <c r="O139" s="5">
        <v>45240</v>
      </c>
      <c r="P139" s="5">
        <v>43777</v>
      </c>
      <c r="Q139" s="3">
        <v>325.05</v>
      </c>
      <c r="S139">
        <f t="shared" si="6"/>
        <v>1464</v>
      </c>
      <c r="T139">
        <f t="shared" si="7"/>
        <v>16.043835616438358</v>
      </c>
      <c r="U139" s="6">
        <f t="shared" si="8"/>
        <v>0.29252571846230779</v>
      </c>
    </row>
    <row r="140" spans="1:21" x14ac:dyDescent="0.25">
      <c r="A140" t="s">
        <v>592</v>
      </c>
      <c r="B140" t="s">
        <v>593</v>
      </c>
      <c r="C140" t="s">
        <v>14</v>
      </c>
      <c r="D140">
        <v>1581</v>
      </c>
      <c r="E140">
        <v>1598.8</v>
      </c>
      <c r="F140">
        <v>1572.65</v>
      </c>
      <c r="G140" s="3">
        <v>1596</v>
      </c>
      <c r="H140">
        <v>1594</v>
      </c>
      <c r="I140">
        <v>1582.25</v>
      </c>
      <c r="J140">
        <v>672720</v>
      </c>
      <c r="K140">
        <v>1069040443.5</v>
      </c>
      <c r="L140" s="1">
        <v>45240</v>
      </c>
      <c r="M140">
        <v>34416</v>
      </c>
      <c r="N140" t="s">
        <v>594</v>
      </c>
      <c r="O140" s="5">
        <v>45240</v>
      </c>
      <c r="P140" s="5">
        <v>43777</v>
      </c>
      <c r="Q140" s="3">
        <v>8818.85</v>
      </c>
      <c r="S140">
        <f t="shared" si="6"/>
        <v>1464</v>
      </c>
      <c r="T140">
        <f t="shared" si="7"/>
        <v>16.043835616438358</v>
      </c>
      <c r="U140" s="6">
        <f t="shared" si="8"/>
        <v>-0.4042617338039256</v>
      </c>
    </row>
    <row r="141" spans="1:21" x14ac:dyDescent="0.25">
      <c r="A141" t="s">
        <v>598</v>
      </c>
      <c r="B141" t="s">
        <v>599</v>
      </c>
      <c r="C141" t="s">
        <v>14</v>
      </c>
      <c r="D141">
        <v>31.1</v>
      </c>
      <c r="E141">
        <v>33.25</v>
      </c>
      <c r="F141">
        <v>30.75</v>
      </c>
      <c r="G141" s="3">
        <v>32.4</v>
      </c>
      <c r="H141">
        <v>32.450000000000003</v>
      </c>
      <c r="I141">
        <v>31.7</v>
      </c>
      <c r="J141">
        <v>28935705</v>
      </c>
      <c r="K141">
        <v>934254703.14999998</v>
      </c>
      <c r="L141" s="1">
        <v>45240</v>
      </c>
      <c r="M141">
        <v>31545</v>
      </c>
      <c r="N141" t="s">
        <v>600</v>
      </c>
      <c r="O141" s="5">
        <v>45240</v>
      </c>
      <c r="P141" s="5">
        <v>43777</v>
      </c>
      <c r="Q141" s="3">
        <v>6.95</v>
      </c>
      <c r="S141">
        <f t="shared" si="6"/>
        <v>1464</v>
      </c>
      <c r="T141">
        <f t="shared" si="7"/>
        <v>16.043835616438358</v>
      </c>
      <c r="U141" s="6">
        <f t="shared" si="8"/>
        <v>0.40281905583737565</v>
      </c>
    </row>
    <row r="142" spans="1:21" x14ac:dyDescent="0.25">
      <c r="A142" t="s">
        <v>601</v>
      </c>
      <c r="B142" t="s">
        <v>602</v>
      </c>
      <c r="C142" t="s">
        <v>14</v>
      </c>
      <c r="D142">
        <v>7015.05</v>
      </c>
      <c r="E142">
        <v>7150</v>
      </c>
      <c r="F142">
        <v>7015.05</v>
      </c>
      <c r="G142" s="3">
        <v>7138.6</v>
      </c>
      <c r="H142">
        <v>7095</v>
      </c>
      <c r="I142">
        <v>7073.8</v>
      </c>
      <c r="J142">
        <v>14493</v>
      </c>
      <c r="K142">
        <v>103200629.55</v>
      </c>
      <c r="L142" s="1">
        <v>45240</v>
      </c>
      <c r="M142">
        <v>4609</v>
      </c>
      <c r="N142" t="s">
        <v>603</v>
      </c>
      <c r="O142" s="5">
        <v>45240</v>
      </c>
      <c r="P142" s="5">
        <v>43777</v>
      </c>
      <c r="Q142" s="3">
        <v>3777.1</v>
      </c>
      <c r="S142">
        <f t="shared" si="6"/>
        <v>1464</v>
      </c>
      <c r="T142">
        <f t="shared" si="7"/>
        <v>16.043835616438358</v>
      </c>
      <c r="U142" s="6">
        <f t="shared" si="8"/>
        <v>0.16189570529160768</v>
      </c>
    </row>
    <row r="143" spans="1:21" x14ac:dyDescent="0.25">
      <c r="A143" t="s">
        <v>604</v>
      </c>
      <c r="B143" t="s">
        <v>605</v>
      </c>
      <c r="C143" t="s">
        <v>14</v>
      </c>
      <c r="D143">
        <v>7370</v>
      </c>
      <c r="E143">
        <v>7454</v>
      </c>
      <c r="F143">
        <v>7346.45</v>
      </c>
      <c r="G143" s="3">
        <v>7444.8</v>
      </c>
      <c r="H143">
        <v>7450.3</v>
      </c>
      <c r="I143">
        <v>7386.7</v>
      </c>
      <c r="J143">
        <v>496261</v>
      </c>
      <c r="K143">
        <v>3684870710.0999999</v>
      </c>
      <c r="L143" s="1">
        <v>45240</v>
      </c>
      <c r="M143">
        <v>53636</v>
      </c>
      <c r="N143" t="s">
        <v>606</v>
      </c>
      <c r="O143" s="5">
        <v>45240</v>
      </c>
      <c r="P143" s="5">
        <v>43777</v>
      </c>
      <c r="Q143" s="3">
        <v>4159.45</v>
      </c>
      <c r="S143">
        <f t="shared" si="6"/>
        <v>1464</v>
      </c>
      <c r="T143">
        <f t="shared" si="7"/>
        <v>16.043835616438358</v>
      </c>
      <c r="U143" s="6">
        <f t="shared" si="8"/>
        <v>0.14780078489284776</v>
      </c>
    </row>
    <row r="144" spans="1:21" x14ac:dyDescent="0.25">
      <c r="A144" t="s">
        <v>607</v>
      </c>
      <c r="B144" t="s">
        <v>608</v>
      </c>
      <c r="C144" t="s">
        <v>14</v>
      </c>
      <c r="D144">
        <v>75</v>
      </c>
      <c r="E144">
        <v>76.45</v>
      </c>
      <c r="F144">
        <v>71.25</v>
      </c>
      <c r="G144" s="3">
        <v>71.849999999999994</v>
      </c>
      <c r="H144">
        <v>71.599999999999994</v>
      </c>
      <c r="I144">
        <v>74.650000000000006</v>
      </c>
      <c r="J144">
        <v>1272719</v>
      </c>
      <c r="K144">
        <v>92774223.25</v>
      </c>
      <c r="L144" s="1">
        <v>45240</v>
      </c>
      <c r="M144">
        <v>6092</v>
      </c>
      <c r="N144" t="s">
        <v>609</v>
      </c>
      <c r="O144" s="5">
        <v>45240</v>
      </c>
      <c r="P144" s="5">
        <v>43777</v>
      </c>
      <c r="Q144" s="3">
        <v>56.4</v>
      </c>
      <c r="S144">
        <f t="shared" si="6"/>
        <v>1464</v>
      </c>
      <c r="T144">
        <f t="shared" si="7"/>
        <v>16.043835616438358</v>
      </c>
      <c r="U144" s="6">
        <f t="shared" si="8"/>
        <v>6.0820240252073887E-2</v>
      </c>
    </row>
    <row r="145" spans="1:21" x14ac:dyDescent="0.25">
      <c r="A145" t="s">
        <v>610</v>
      </c>
      <c r="B145" t="s">
        <v>611</v>
      </c>
      <c r="C145" t="s">
        <v>14</v>
      </c>
      <c r="D145">
        <v>2000</v>
      </c>
      <c r="E145">
        <v>2053.4</v>
      </c>
      <c r="F145">
        <v>2000</v>
      </c>
      <c r="G145" s="3">
        <v>2025</v>
      </c>
      <c r="H145">
        <v>2022.95</v>
      </c>
      <c r="I145">
        <v>2010.7</v>
      </c>
      <c r="J145">
        <v>46964</v>
      </c>
      <c r="K145">
        <v>95027069.700000003</v>
      </c>
      <c r="L145" s="1">
        <v>45240</v>
      </c>
      <c r="M145">
        <v>7241</v>
      </c>
      <c r="N145" t="s">
        <v>612</v>
      </c>
      <c r="O145" s="5">
        <v>45240</v>
      </c>
      <c r="P145" s="5">
        <v>43777</v>
      </c>
      <c r="Q145" s="3">
        <v>379.75</v>
      </c>
      <c r="S145">
        <f t="shared" si="6"/>
        <v>1464</v>
      </c>
      <c r="T145">
        <f t="shared" si="7"/>
        <v>16.043835616438358</v>
      </c>
      <c r="U145" s="6">
        <f t="shared" si="8"/>
        <v>0.4398552407354952</v>
      </c>
    </row>
    <row r="146" spans="1:21" x14ac:dyDescent="0.25">
      <c r="A146" t="s">
        <v>613</v>
      </c>
      <c r="B146" t="s">
        <v>614</v>
      </c>
      <c r="C146" t="s">
        <v>14</v>
      </c>
      <c r="D146">
        <v>416.3</v>
      </c>
      <c r="E146">
        <v>421.4</v>
      </c>
      <c r="F146">
        <v>415.8</v>
      </c>
      <c r="G146" s="3">
        <v>419.25</v>
      </c>
      <c r="H146">
        <v>419.1</v>
      </c>
      <c r="I146">
        <v>416.3</v>
      </c>
      <c r="J146">
        <v>327</v>
      </c>
      <c r="K146">
        <v>136943.75</v>
      </c>
      <c r="L146" s="1">
        <v>45240</v>
      </c>
      <c r="M146">
        <v>60</v>
      </c>
      <c r="N146" t="s">
        <v>615</v>
      </c>
      <c r="O146" s="5">
        <v>45240</v>
      </c>
      <c r="P146" s="5">
        <v>43777</v>
      </c>
      <c r="Q146" s="3">
        <v>75.55</v>
      </c>
      <c r="S146">
        <f t="shared" si="6"/>
        <v>1464</v>
      </c>
      <c r="T146">
        <f t="shared" si="7"/>
        <v>16.043835616438358</v>
      </c>
      <c r="U146" s="6">
        <f t="shared" si="8"/>
        <v>0.45089976557772804</v>
      </c>
    </row>
    <row r="147" spans="1:21" x14ac:dyDescent="0.25">
      <c r="A147" t="s">
        <v>616</v>
      </c>
      <c r="B147" t="s">
        <v>617</v>
      </c>
      <c r="C147" t="s">
        <v>14</v>
      </c>
      <c r="D147">
        <v>29.2</v>
      </c>
      <c r="E147">
        <v>30.15</v>
      </c>
      <c r="F147">
        <v>29.1</v>
      </c>
      <c r="G147" s="3">
        <v>29.3</v>
      </c>
      <c r="H147">
        <v>29.3</v>
      </c>
      <c r="I147">
        <v>29.6</v>
      </c>
      <c r="J147">
        <v>21258</v>
      </c>
      <c r="K147">
        <v>627406.69999999995</v>
      </c>
      <c r="L147" s="1">
        <v>45240</v>
      </c>
      <c r="M147">
        <v>468</v>
      </c>
      <c r="N147" t="s">
        <v>618</v>
      </c>
      <c r="O147" s="5">
        <v>45240</v>
      </c>
      <c r="P147" s="5">
        <v>43777</v>
      </c>
      <c r="Q147" s="3">
        <v>18.350000000000001</v>
      </c>
      <c r="S147">
        <f t="shared" si="6"/>
        <v>1464</v>
      </c>
      <c r="T147">
        <f t="shared" si="7"/>
        <v>16.043835616438358</v>
      </c>
      <c r="U147" s="6">
        <f t="shared" si="8"/>
        <v>0.11838798744658341</v>
      </c>
    </row>
    <row r="148" spans="1:21" x14ac:dyDescent="0.25">
      <c r="A148" t="s">
        <v>619</v>
      </c>
      <c r="B148" t="s">
        <v>620</v>
      </c>
      <c r="C148" t="s">
        <v>14</v>
      </c>
      <c r="D148">
        <v>2580</v>
      </c>
      <c r="E148">
        <v>2583.75</v>
      </c>
      <c r="F148">
        <v>2547</v>
      </c>
      <c r="G148" s="3">
        <v>2566.5500000000002</v>
      </c>
      <c r="H148">
        <v>2580</v>
      </c>
      <c r="I148">
        <v>2584.15</v>
      </c>
      <c r="J148">
        <v>103882</v>
      </c>
      <c r="K148">
        <v>266553258.94999999</v>
      </c>
      <c r="L148" s="1">
        <v>45240</v>
      </c>
      <c r="M148">
        <v>10325</v>
      </c>
      <c r="N148" t="s">
        <v>621</v>
      </c>
      <c r="O148" s="5">
        <v>45240</v>
      </c>
      <c r="P148" s="5">
        <v>43777</v>
      </c>
      <c r="Q148" s="3">
        <v>850.75</v>
      </c>
      <c r="S148">
        <f t="shared" si="6"/>
        <v>1464</v>
      </c>
      <c r="T148">
        <f t="shared" si="7"/>
        <v>16.043835616438358</v>
      </c>
      <c r="U148" s="6">
        <f t="shared" si="8"/>
        <v>0.28499024003305262</v>
      </c>
    </row>
    <row r="149" spans="1:21" x14ac:dyDescent="0.25">
      <c r="A149" t="s">
        <v>622</v>
      </c>
      <c r="B149" t="s">
        <v>623</v>
      </c>
      <c r="C149" t="s">
        <v>14</v>
      </c>
      <c r="D149">
        <v>145</v>
      </c>
      <c r="E149">
        <v>146.35</v>
      </c>
      <c r="F149">
        <v>144</v>
      </c>
      <c r="G149" s="3">
        <v>144.80000000000001</v>
      </c>
      <c r="H149">
        <v>145.44999999999999</v>
      </c>
      <c r="I149">
        <v>145</v>
      </c>
      <c r="J149">
        <v>308375</v>
      </c>
      <c r="K149">
        <v>44763063.5</v>
      </c>
      <c r="L149" s="1">
        <v>45240</v>
      </c>
      <c r="M149">
        <v>4458</v>
      </c>
      <c r="N149" t="s">
        <v>624</v>
      </c>
      <c r="O149" s="5">
        <v>45240</v>
      </c>
      <c r="P149" s="5">
        <v>43777</v>
      </c>
      <c r="Q149" s="3">
        <v>198.05</v>
      </c>
      <c r="S149">
        <f t="shared" si="6"/>
        <v>1464</v>
      </c>
      <c r="T149">
        <f t="shared" si="7"/>
        <v>16.043835616438358</v>
      </c>
      <c r="U149" s="6">
        <f t="shared" si="8"/>
        <v>-7.7320519766108653E-2</v>
      </c>
    </row>
    <row r="150" spans="1:21" x14ac:dyDescent="0.25">
      <c r="A150" t="s">
        <v>625</v>
      </c>
      <c r="B150" t="s">
        <v>626</v>
      </c>
      <c r="C150" t="s">
        <v>14</v>
      </c>
      <c r="D150">
        <v>93.5</v>
      </c>
      <c r="E150">
        <v>94.85</v>
      </c>
      <c r="F150">
        <v>92.25</v>
      </c>
      <c r="G150" s="3">
        <v>93.65</v>
      </c>
      <c r="H150">
        <v>93.6</v>
      </c>
      <c r="I150">
        <v>93.5</v>
      </c>
      <c r="J150">
        <v>18995</v>
      </c>
      <c r="K150">
        <v>1773443.25</v>
      </c>
      <c r="L150" s="1">
        <v>45240</v>
      </c>
      <c r="M150">
        <v>526</v>
      </c>
      <c r="N150" t="s">
        <v>627</v>
      </c>
      <c r="O150" s="5">
        <v>45240</v>
      </c>
      <c r="P150" s="5">
        <v>43777</v>
      </c>
      <c r="Q150" s="3">
        <v>46.8</v>
      </c>
      <c r="S150">
        <f t="shared" si="6"/>
        <v>1464</v>
      </c>
      <c r="T150">
        <f t="shared" si="7"/>
        <v>16.043835616438358</v>
      </c>
      <c r="U150" s="6">
        <f t="shared" si="8"/>
        <v>0.17673976318899154</v>
      </c>
    </row>
    <row r="151" spans="1:21" x14ac:dyDescent="0.25">
      <c r="A151" t="s">
        <v>628</v>
      </c>
      <c r="B151" t="s">
        <v>629</v>
      </c>
      <c r="C151" t="s">
        <v>14</v>
      </c>
      <c r="D151">
        <v>430.25</v>
      </c>
      <c r="E151">
        <v>439.9</v>
      </c>
      <c r="F151">
        <v>430.25</v>
      </c>
      <c r="G151" s="3">
        <v>437.5</v>
      </c>
      <c r="H151">
        <v>436.7</v>
      </c>
      <c r="I151">
        <v>432.6</v>
      </c>
      <c r="J151">
        <v>1373853</v>
      </c>
      <c r="K151">
        <v>600666580.10000002</v>
      </c>
      <c r="L151" s="1">
        <v>45240</v>
      </c>
      <c r="M151">
        <v>20061</v>
      </c>
      <c r="N151" t="s">
        <v>630</v>
      </c>
      <c r="O151" s="5">
        <v>45240</v>
      </c>
      <c r="P151" s="5">
        <v>43777</v>
      </c>
      <c r="Q151" s="3">
        <v>149.5</v>
      </c>
      <c r="S151">
        <f t="shared" si="6"/>
        <v>1464</v>
      </c>
      <c r="T151">
        <f t="shared" si="7"/>
        <v>16.043835616438358</v>
      </c>
      <c r="U151" s="6">
        <f t="shared" si="8"/>
        <v>0.27687356224837512</v>
      </c>
    </row>
    <row r="152" spans="1:21" x14ac:dyDescent="0.25">
      <c r="A152" t="s">
        <v>631</v>
      </c>
      <c r="B152" t="s">
        <v>632</v>
      </c>
      <c r="C152" t="s">
        <v>14</v>
      </c>
      <c r="D152">
        <v>90.9</v>
      </c>
      <c r="E152">
        <v>91.65</v>
      </c>
      <c r="F152">
        <v>90.3</v>
      </c>
      <c r="G152" s="3">
        <v>90.5</v>
      </c>
      <c r="H152">
        <v>90.5</v>
      </c>
      <c r="I152">
        <v>90.85</v>
      </c>
      <c r="J152">
        <v>15623</v>
      </c>
      <c r="K152">
        <v>1416764</v>
      </c>
      <c r="L152" s="1">
        <v>45240</v>
      </c>
      <c r="M152">
        <v>451</v>
      </c>
      <c r="N152" t="s">
        <v>633</v>
      </c>
      <c r="O152" s="5">
        <v>45240</v>
      </c>
      <c r="P152" s="5">
        <v>43777</v>
      </c>
      <c r="Q152" s="3">
        <v>33.25</v>
      </c>
      <c r="S152">
        <f t="shared" si="6"/>
        <v>1464</v>
      </c>
      <c r="T152">
        <f t="shared" si="7"/>
        <v>16.043835616438358</v>
      </c>
      <c r="U152" s="6">
        <f t="shared" si="8"/>
        <v>0.25759444988798563</v>
      </c>
    </row>
    <row r="153" spans="1:21" x14ac:dyDescent="0.25">
      <c r="A153" t="s">
        <v>634</v>
      </c>
      <c r="B153" t="s">
        <v>635</v>
      </c>
      <c r="C153" t="s">
        <v>14</v>
      </c>
      <c r="D153">
        <v>2560.0500000000002</v>
      </c>
      <c r="E153">
        <v>2610</v>
      </c>
      <c r="F153">
        <v>2560</v>
      </c>
      <c r="G153" s="3">
        <v>2580.15</v>
      </c>
      <c r="H153">
        <v>2599</v>
      </c>
      <c r="I153">
        <v>2559.25</v>
      </c>
      <c r="J153">
        <v>1052</v>
      </c>
      <c r="K153">
        <v>2726900.65</v>
      </c>
      <c r="L153" s="1">
        <v>45240</v>
      </c>
      <c r="M153">
        <v>225</v>
      </c>
      <c r="N153" t="s">
        <v>636</v>
      </c>
      <c r="O153" s="5">
        <v>45240</v>
      </c>
      <c r="P153" s="5">
        <v>43777</v>
      </c>
      <c r="Q153" s="3">
        <v>1182.3</v>
      </c>
      <c r="S153">
        <f t="shared" si="6"/>
        <v>1464</v>
      </c>
      <c r="T153">
        <f t="shared" si="7"/>
        <v>16.043835616438358</v>
      </c>
      <c r="U153" s="6">
        <f t="shared" si="8"/>
        <v>0.19937293810127077</v>
      </c>
    </row>
    <row r="154" spans="1:21" x14ac:dyDescent="0.25">
      <c r="A154" t="s">
        <v>637</v>
      </c>
      <c r="B154" t="s">
        <v>638</v>
      </c>
      <c r="C154" t="s">
        <v>14</v>
      </c>
      <c r="D154">
        <v>522.79999999999995</v>
      </c>
      <c r="E154">
        <v>534.70000000000005</v>
      </c>
      <c r="F154">
        <v>513.1</v>
      </c>
      <c r="G154" s="3">
        <v>532.70000000000005</v>
      </c>
      <c r="H154">
        <v>533.45000000000005</v>
      </c>
      <c r="I154">
        <v>525.5</v>
      </c>
      <c r="J154">
        <v>212708</v>
      </c>
      <c r="K154">
        <v>111826432.65000001</v>
      </c>
      <c r="L154" s="1">
        <v>45240</v>
      </c>
      <c r="M154">
        <v>10338</v>
      </c>
      <c r="N154" t="s">
        <v>639</v>
      </c>
      <c r="O154" s="5">
        <v>45240</v>
      </c>
      <c r="P154" s="5">
        <v>43777</v>
      </c>
      <c r="Q154" s="3">
        <v>106.8</v>
      </c>
      <c r="S154">
        <f t="shared" si="6"/>
        <v>1464</v>
      </c>
      <c r="T154">
        <f t="shared" si="7"/>
        <v>16.043835616438358</v>
      </c>
      <c r="U154" s="6">
        <f t="shared" si="8"/>
        <v>0.42140479315915069</v>
      </c>
    </row>
    <row r="155" spans="1:21" x14ac:dyDescent="0.25">
      <c r="A155" t="s">
        <v>640</v>
      </c>
      <c r="B155" t="s">
        <v>641</v>
      </c>
      <c r="C155" t="s">
        <v>14</v>
      </c>
      <c r="D155">
        <v>217.2</v>
      </c>
      <c r="E155">
        <v>218.25</v>
      </c>
      <c r="F155">
        <v>214.6</v>
      </c>
      <c r="G155" s="3">
        <v>217.75</v>
      </c>
      <c r="H155">
        <v>218.1</v>
      </c>
      <c r="I155">
        <v>217.2</v>
      </c>
      <c r="J155">
        <v>2769494</v>
      </c>
      <c r="K155">
        <v>599588682.14999998</v>
      </c>
      <c r="L155" s="1">
        <v>45240</v>
      </c>
      <c r="M155">
        <v>24095</v>
      </c>
      <c r="N155" t="s">
        <v>642</v>
      </c>
      <c r="O155" s="5">
        <v>45240</v>
      </c>
      <c r="P155" s="5">
        <v>43777</v>
      </c>
      <c r="Q155" s="3">
        <v>550.79999999999995</v>
      </c>
      <c r="S155">
        <f t="shared" si="6"/>
        <v>1464</v>
      </c>
      <c r="T155">
        <f t="shared" si="7"/>
        <v>16.043835616438358</v>
      </c>
      <c r="U155" s="6">
        <f t="shared" si="8"/>
        <v>-0.22480768511300564</v>
      </c>
    </row>
    <row r="156" spans="1:21" x14ac:dyDescent="0.25">
      <c r="A156" t="s">
        <v>643</v>
      </c>
      <c r="B156" t="s">
        <v>644</v>
      </c>
      <c r="C156" t="s">
        <v>14</v>
      </c>
      <c r="D156">
        <v>47.65</v>
      </c>
      <c r="E156">
        <v>47.85</v>
      </c>
      <c r="F156">
        <v>46.05</v>
      </c>
      <c r="G156" s="3">
        <v>46.65</v>
      </c>
      <c r="H156">
        <v>46.55</v>
      </c>
      <c r="I156">
        <v>48.4</v>
      </c>
      <c r="J156">
        <v>39254</v>
      </c>
      <c r="K156">
        <v>1839476.65</v>
      </c>
      <c r="L156" s="1">
        <v>45240</v>
      </c>
      <c r="M156">
        <v>826</v>
      </c>
      <c r="N156" t="s">
        <v>645</v>
      </c>
      <c r="O156" s="5">
        <v>45240</v>
      </c>
      <c r="P156" s="5">
        <v>43777</v>
      </c>
      <c r="Q156" s="3">
        <v>17.649999999999999</v>
      </c>
      <c r="S156">
        <f t="shared" si="6"/>
        <v>1464</v>
      </c>
      <c r="T156">
        <f t="shared" si="7"/>
        <v>16.043835616438358</v>
      </c>
      <c r="U156" s="6">
        <f t="shared" si="8"/>
        <v>0.2498107806346983</v>
      </c>
    </row>
    <row r="157" spans="1:21" x14ac:dyDescent="0.25">
      <c r="A157" t="s">
        <v>649</v>
      </c>
      <c r="B157" t="s">
        <v>650</v>
      </c>
      <c r="C157" t="s">
        <v>14</v>
      </c>
      <c r="D157">
        <v>192.5</v>
      </c>
      <c r="E157">
        <v>195.25</v>
      </c>
      <c r="F157">
        <v>191.75</v>
      </c>
      <c r="G157" s="3">
        <v>194.85</v>
      </c>
      <c r="H157">
        <v>195.05</v>
      </c>
      <c r="I157">
        <v>193</v>
      </c>
      <c r="J157">
        <v>10091704</v>
      </c>
      <c r="K157">
        <v>1956575772.3</v>
      </c>
      <c r="L157" s="1">
        <v>45240</v>
      </c>
      <c r="M157">
        <v>42992</v>
      </c>
      <c r="N157" t="s">
        <v>651</v>
      </c>
      <c r="O157" s="5">
        <v>45240</v>
      </c>
      <c r="P157" s="5">
        <v>43777</v>
      </c>
      <c r="Q157" s="3">
        <v>93.8</v>
      </c>
      <c r="S157">
        <f t="shared" si="6"/>
        <v>1464</v>
      </c>
      <c r="T157">
        <f t="shared" si="7"/>
        <v>16.043835616438358</v>
      </c>
      <c r="U157" s="6">
        <f t="shared" si="8"/>
        <v>0.18648338623681404</v>
      </c>
    </row>
    <row r="158" spans="1:21" x14ac:dyDescent="0.25">
      <c r="A158" t="s">
        <v>6838</v>
      </c>
      <c r="B158" t="s">
        <v>7798</v>
      </c>
      <c r="C158" t="s">
        <v>14</v>
      </c>
      <c r="D158">
        <v>441.59</v>
      </c>
      <c r="E158">
        <v>447.09</v>
      </c>
      <c r="F158">
        <v>441.59</v>
      </c>
      <c r="G158" s="3">
        <v>446.11</v>
      </c>
      <c r="H158">
        <v>446.27</v>
      </c>
      <c r="I158">
        <v>445.59</v>
      </c>
      <c r="J158">
        <v>387911</v>
      </c>
      <c r="K158">
        <v>172755543.24000001</v>
      </c>
      <c r="L158" s="1">
        <v>45240</v>
      </c>
      <c r="M158">
        <v>5067</v>
      </c>
      <c r="N158" t="s">
        <v>6837</v>
      </c>
      <c r="O158" s="5">
        <v>45240</v>
      </c>
      <c r="P158" s="5">
        <v>43777</v>
      </c>
      <c r="Q158" s="3">
        <v>3141.19</v>
      </c>
      <c r="S158">
        <f t="shared" si="6"/>
        <v>1464</v>
      </c>
      <c r="T158">
        <f t="shared" si="7"/>
        <v>16.043835616438358</v>
      </c>
      <c r="U158" s="6">
        <f t="shared" si="8"/>
        <v>-0.45818008796904719</v>
      </c>
    </row>
    <row r="159" spans="1:21" x14ac:dyDescent="0.25">
      <c r="A159" t="s">
        <v>652</v>
      </c>
      <c r="B159" t="s">
        <v>653</v>
      </c>
      <c r="C159" t="s">
        <v>14</v>
      </c>
      <c r="D159">
        <v>103.7</v>
      </c>
      <c r="E159">
        <v>103.8</v>
      </c>
      <c r="F159">
        <v>102.5</v>
      </c>
      <c r="G159" s="3">
        <v>103</v>
      </c>
      <c r="H159">
        <v>103.05</v>
      </c>
      <c r="I159">
        <v>103.95</v>
      </c>
      <c r="J159">
        <v>5236922</v>
      </c>
      <c r="K159">
        <v>540111824.54999995</v>
      </c>
      <c r="L159" s="1">
        <v>45240</v>
      </c>
      <c r="M159">
        <v>20567</v>
      </c>
      <c r="N159" t="s">
        <v>654</v>
      </c>
      <c r="O159" s="5">
        <v>45240</v>
      </c>
      <c r="P159" s="5">
        <v>43777</v>
      </c>
      <c r="Q159" s="3">
        <v>66.45</v>
      </c>
      <c r="S159">
        <f t="shared" si="6"/>
        <v>1464</v>
      </c>
      <c r="T159">
        <f t="shared" si="7"/>
        <v>16.043835616438358</v>
      </c>
      <c r="U159" s="6">
        <f t="shared" si="8"/>
        <v>0.11077661694373742</v>
      </c>
    </row>
    <row r="160" spans="1:21" x14ac:dyDescent="0.25">
      <c r="A160" t="s">
        <v>655</v>
      </c>
      <c r="B160" t="s">
        <v>656</v>
      </c>
      <c r="C160" t="s">
        <v>14</v>
      </c>
      <c r="D160">
        <v>143.75</v>
      </c>
      <c r="E160">
        <v>143.75</v>
      </c>
      <c r="F160">
        <v>141.1</v>
      </c>
      <c r="G160" s="3">
        <v>141.6</v>
      </c>
      <c r="H160">
        <v>141.6</v>
      </c>
      <c r="I160">
        <v>143</v>
      </c>
      <c r="J160">
        <v>72668</v>
      </c>
      <c r="K160">
        <v>10309541.199999999</v>
      </c>
      <c r="L160" s="1">
        <v>45240</v>
      </c>
      <c r="M160">
        <v>1149</v>
      </c>
      <c r="N160" t="s">
        <v>657</v>
      </c>
      <c r="O160" s="5">
        <v>45240</v>
      </c>
      <c r="P160" s="5">
        <v>43777</v>
      </c>
      <c r="Q160" s="3">
        <v>73.75</v>
      </c>
      <c r="S160">
        <f t="shared" si="6"/>
        <v>1464</v>
      </c>
      <c r="T160">
        <f t="shared" si="7"/>
        <v>16.043835616438358</v>
      </c>
      <c r="U160" s="6">
        <f t="shared" si="8"/>
        <v>0.16598728572223909</v>
      </c>
    </row>
    <row r="161" spans="1:21" x14ac:dyDescent="0.25">
      <c r="A161" t="s">
        <v>661</v>
      </c>
      <c r="B161" t="s">
        <v>662</v>
      </c>
      <c r="C161" t="s">
        <v>14</v>
      </c>
      <c r="D161">
        <v>2846</v>
      </c>
      <c r="E161">
        <v>2852</v>
      </c>
      <c r="F161">
        <v>2790</v>
      </c>
      <c r="G161" s="3">
        <v>2845.05</v>
      </c>
      <c r="H161">
        <v>2852</v>
      </c>
      <c r="I161">
        <v>2846</v>
      </c>
      <c r="J161">
        <v>56529</v>
      </c>
      <c r="K161">
        <v>160006959.40000001</v>
      </c>
      <c r="L161" s="1">
        <v>45240</v>
      </c>
      <c r="M161">
        <v>6211</v>
      </c>
      <c r="N161" t="s">
        <v>663</v>
      </c>
      <c r="O161" s="5">
        <v>45240</v>
      </c>
      <c r="P161" s="5">
        <v>43777</v>
      </c>
      <c r="Q161" s="3">
        <v>985.7</v>
      </c>
      <c r="S161">
        <f t="shared" si="6"/>
        <v>1464</v>
      </c>
      <c r="T161">
        <f t="shared" si="7"/>
        <v>16.043835616438358</v>
      </c>
      <c r="U161" s="6">
        <f t="shared" si="8"/>
        <v>0.27319736720558474</v>
      </c>
    </row>
    <row r="162" spans="1:21" x14ac:dyDescent="0.25">
      <c r="A162" t="s">
        <v>664</v>
      </c>
      <c r="B162" t="s">
        <v>665</v>
      </c>
      <c r="C162" t="s">
        <v>14</v>
      </c>
      <c r="D162">
        <v>44.85</v>
      </c>
      <c r="E162">
        <v>45.25</v>
      </c>
      <c r="F162">
        <v>43.85</v>
      </c>
      <c r="G162" s="3">
        <v>44.45</v>
      </c>
      <c r="H162">
        <v>44.6</v>
      </c>
      <c r="I162">
        <v>44.35</v>
      </c>
      <c r="J162">
        <v>45057</v>
      </c>
      <c r="K162">
        <v>2008610.5</v>
      </c>
      <c r="L162" s="1">
        <v>45240</v>
      </c>
      <c r="M162">
        <v>490</v>
      </c>
      <c r="N162" t="s">
        <v>666</v>
      </c>
      <c r="O162" s="5">
        <v>45240</v>
      </c>
      <c r="P162" s="5">
        <v>43777</v>
      </c>
      <c r="Q162" s="3">
        <v>135.25</v>
      </c>
      <c r="S162">
        <f t="shared" si="6"/>
        <v>1464</v>
      </c>
      <c r="T162">
        <f t="shared" si="7"/>
        <v>16.043835616438358</v>
      </c>
      <c r="U162" s="6">
        <f t="shared" si="8"/>
        <v>-0.2680276115341651</v>
      </c>
    </row>
    <row r="163" spans="1:21" x14ac:dyDescent="0.25">
      <c r="A163" t="s">
        <v>667</v>
      </c>
      <c r="B163" t="s">
        <v>668</v>
      </c>
      <c r="C163" t="s">
        <v>14</v>
      </c>
      <c r="D163">
        <v>1570</v>
      </c>
      <c r="E163">
        <v>1572</v>
      </c>
      <c r="F163">
        <v>1548</v>
      </c>
      <c r="G163" s="3">
        <v>1562.65</v>
      </c>
      <c r="H163">
        <v>1572</v>
      </c>
      <c r="I163">
        <v>1572.15</v>
      </c>
      <c r="J163">
        <v>108001</v>
      </c>
      <c r="K163">
        <v>168358149.84999999</v>
      </c>
      <c r="L163" s="1">
        <v>45240</v>
      </c>
      <c r="M163">
        <v>10881</v>
      </c>
      <c r="N163" t="s">
        <v>669</v>
      </c>
      <c r="O163" s="5">
        <v>45240</v>
      </c>
      <c r="P163" s="5">
        <v>43777</v>
      </c>
      <c r="Q163" s="3">
        <v>1697.75</v>
      </c>
      <c r="S163">
        <f t="shared" si="6"/>
        <v>1464</v>
      </c>
      <c r="T163">
        <f t="shared" si="7"/>
        <v>16.043835616438358</v>
      </c>
      <c r="U163" s="6">
        <f t="shared" si="8"/>
        <v>-2.0620214371209311E-2</v>
      </c>
    </row>
    <row r="164" spans="1:21" x14ac:dyDescent="0.25">
      <c r="A164" t="s">
        <v>670</v>
      </c>
      <c r="B164" t="s">
        <v>671</v>
      </c>
      <c r="C164" t="s">
        <v>14</v>
      </c>
      <c r="D164">
        <v>5420.75</v>
      </c>
      <c r="E164">
        <v>5514.5</v>
      </c>
      <c r="F164">
        <v>5403.25</v>
      </c>
      <c r="G164" s="3">
        <v>5433.7</v>
      </c>
      <c r="H164">
        <v>5430</v>
      </c>
      <c r="I164">
        <v>5383.25</v>
      </c>
      <c r="J164">
        <v>21221</v>
      </c>
      <c r="K164">
        <v>115711401</v>
      </c>
      <c r="L164" s="1">
        <v>45240</v>
      </c>
      <c r="M164">
        <v>5573</v>
      </c>
      <c r="N164" t="s">
        <v>672</v>
      </c>
      <c r="O164" s="5">
        <v>45240</v>
      </c>
      <c r="P164" s="5">
        <v>43777</v>
      </c>
      <c r="Q164" s="3">
        <v>3445.35</v>
      </c>
      <c r="S164">
        <f t="shared" si="6"/>
        <v>1464</v>
      </c>
      <c r="T164">
        <f t="shared" si="7"/>
        <v>16.043835616438358</v>
      </c>
      <c r="U164" s="6">
        <f t="shared" si="8"/>
        <v>0.1152156427119877</v>
      </c>
    </row>
    <row r="165" spans="1:21" x14ac:dyDescent="0.25">
      <c r="A165" t="s">
        <v>673</v>
      </c>
      <c r="B165" t="s">
        <v>674</v>
      </c>
      <c r="C165" t="s">
        <v>14</v>
      </c>
      <c r="D165">
        <v>3607</v>
      </c>
      <c r="E165">
        <v>3662.95</v>
      </c>
      <c r="F165">
        <v>3571</v>
      </c>
      <c r="G165" s="3">
        <v>3579.7</v>
      </c>
      <c r="H165">
        <v>3590</v>
      </c>
      <c r="I165">
        <v>3636.3</v>
      </c>
      <c r="J165">
        <v>14731</v>
      </c>
      <c r="K165">
        <v>53141019.850000001</v>
      </c>
      <c r="L165" s="1">
        <v>45240</v>
      </c>
      <c r="M165">
        <v>3278</v>
      </c>
      <c r="N165" t="s">
        <v>675</v>
      </c>
      <c r="O165" s="5">
        <v>45240</v>
      </c>
      <c r="P165" s="5">
        <v>43777</v>
      </c>
      <c r="Q165" s="3">
        <v>889.7</v>
      </c>
      <c r="S165">
        <f t="shared" si="6"/>
        <v>1464</v>
      </c>
      <c r="T165">
        <f t="shared" si="7"/>
        <v>16.043835616438358</v>
      </c>
      <c r="U165" s="6">
        <f t="shared" si="8"/>
        <v>0.36259036980292159</v>
      </c>
    </row>
    <row r="166" spans="1:21" x14ac:dyDescent="0.25">
      <c r="A166" t="s">
        <v>679</v>
      </c>
      <c r="B166" t="s">
        <v>680</v>
      </c>
      <c r="C166" t="s">
        <v>14</v>
      </c>
      <c r="D166">
        <v>1432.95</v>
      </c>
      <c r="E166">
        <v>1488.85</v>
      </c>
      <c r="F166">
        <v>1420</v>
      </c>
      <c r="G166" s="3">
        <v>1459.95</v>
      </c>
      <c r="H166">
        <v>1475</v>
      </c>
      <c r="I166">
        <v>1431.4</v>
      </c>
      <c r="J166">
        <v>197232</v>
      </c>
      <c r="K166">
        <v>287334370.10000002</v>
      </c>
      <c r="L166" s="1">
        <v>45240</v>
      </c>
      <c r="M166">
        <v>13014</v>
      </c>
      <c r="N166" t="s">
        <v>681</v>
      </c>
      <c r="O166" s="5">
        <v>45240</v>
      </c>
      <c r="P166" s="5">
        <v>43777</v>
      </c>
      <c r="Q166" s="3">
        <v>1201.25</v>
      </c>
      <c r="S166">
        <f t="shared" si="6"/>
        <v>1464</v>
      </c>
      <c r="T166">
        <f t="shared" si="7"/>
        <v>16.043835616438358</v>
      </c>
      <c r="U166" s="6">
        <f t="shared" si="8"/>
        <v>4.8923423390470511E-2</v>
      </c>
    </row>
    <row r="167" spans="1:21" x14ac:dyDescent="0.25">
      <c r="A167" t="s">
        <v>682</v>
      </c>
      <c r="B167" t="s">
        <v>683</v>
      </c>
      <c r="C167" t="s">
        <v>14</v>
      </c>
      <c r="D167">
        <v>239.55</v>
      </c>
      <c r="E167">
        <v>241.9</v>
      </c>
      <c r="F167">
        <v>236.05</v>
      </c>
      <c r="G167" s="3">
        <v>238.35</v>
      </c>
      <c r="H167">
        <v>240.15</v>
      </c>
      <c r="I167">
        <v>234.9</v>
      </c>
      <c r="J167">
        <v>9579</v>
      </c>
      <c r="K167">
        <v>2286567.85</v>
      </c>
      <c r="L167" s="1">
        <v>45240</v>
      </c>
      <c r="M167">
        <v>414</v>
      </c>
      <c r="N167" t="s">
        <v>684</v>
      </c>
      <c r="O167" s="5">
        <v>45240</v>
      </c>
      <c r="P167" s="5">
        <v>43777</v>
      </c>
      <c r="Q167" s="3">
        <v>39.5</v>
      </c>
      <c r="S167">
        <f t="shared" si="6"/>
        <v>1464</v>
      </c>
      <c r="T167">
        <f t="shared" si="7"/>
        <v>16.043835616438358</v>
      </c>
      <c r="U167" s="6">
        <f t="shared" si="8"/>
        <v>0.47419922093543665</v>
      </c>
    </row>
    <row r="168" spans="1:21" x14ac:dyDescent="0.25">
      <c r="A168" t="s">
        <v>685</v>
      </c>
      <c r="B168" t="s">
        <v>686</v>
      </c>
      <c r="C168" t="s">
        <v>14</v>
      </c>
      <c r="D168">
        <v>16.850000000000001</v>
      </c>
      <c r="E168">
        <v>16.95</v>
      </c>
      <c r="F168">
        <v>16.649999999999999</v>
      </c>
      <c r="G168" s="3">
        <v>16.8</v>
      </c>
      <c r="H168">
        <v>16.850000000000001</v>
      </c>
      <c r="I168">
        <v>16.850000000000001</v>
      </c>
      <c r="J168">
        <v>4047135</v>
      </c>
      <c r="K168">
        <v>67938127.150000006</v>
      </c>
      <c r="L168" s="1">
        <v>45240</v>
      </c>
      <c r="M168">
        <v>8175</v>
      </c>
      <c r="N168" t="s">
        <v>687</v>
      </c>
      <c r="O168" s="5">
        <v>45240</v>
      </c>
      <c r="P168" s="5">
        <v>43777</v>
      </c>
      <c r="Q168" s="3">
        <v>3.15</v>
      </c>
      <c r="S168">
        <f t="shared" si="6"/>
        <v>1464</v>
      </c>
      <c r="T168">
        <f t="shared" si="7"/>
        <v>16.043835616438358</v>
      </c>
      <c r="U168" s="6">
        <f t="shared" si="8"/>
        <v>0.43990078994143555</v>
      </c>
    </row>
    <row r="169" spans="1:21" x14ac:dyDescent="0.25">
      <c r="A169" t="s">
        <v>691</v>
      </c>
      <c r="B169" t="s">
        <v>692</v>
      </c>
      <c r="C169" t="s">
        <v>10</v>
      </c>
      <c r="D169">
        <v>504.55</v>
      </c>
      <c r="E169">
        <v>504.55</v>
      </c>
      <c r="F169">
        <v>504.55</v>
      </c>
      <c r="G169" s="3">
        <v>504.55</v>
      </c>
      <c r="H169">
        <v>504.55</v>
      </c>
      <c r="I169">
        <v>494.7</v>
      </c>
      <c r="J169">
        <v>987</v>
      </c>
      <c r="K169">
        <v>497990.85</v>
      </c>
      <c r="L169" s="1">
        <v>45240</v>
      </c>
      <c r="M169">
        <v>10</v>
      </c>
      <c r="N169" t="s">
        <v>693</v>
      </c>
      <c r="O169" s="5">
        <v>45240</v>
      </c>
      <c r="P169" s="5">
        <v>43777</v>
      </c>
      <c r="Q169" s="3">
        <v>31.35</v>
      </c>
      <c r="S169">
        <f t="shared" si="6"/>
        <v>1464</v>
      </c>
      <c r="T169">
        <f t="shared" si="7"/>
        <v>16.043835616438358</v>
      </c>
      <c r="U169" s="6">
        <f t="shared" si="8"/>
        <v>0.75631491462005762</v>
      </c>
    </row>
    <row r="170" spans="1:21" x14ac:dyDescent="0.25">
      <c r="A170" t="s">
        <v>694</v>
      </c>
      <c r="B170" t="s">
        <v>695</v>
      </c>
      <c r="C170" t="s">
        <v>14</v>
      </c>
      <c r="D170">
        <v>1042</v>
      </c>
      <c r="E170">
        <v>1057.5</v>
      </c>
      <c r="F170">
        <v>1035</v>
      </c>
      <c r="G170" s="3">
        <v>1053.2</v>
      </c>
      <c r="H170">
        <v>1052</v>
      </c>
      <c r="I170">
        <v>1052.0999999999999</v>
      </c>
      <c r="J170">
        <v>315962</v>
      </c>
      <c r="K170">
        <v>331253095.75</v>
      </c>
      <c r="L170" s="1">
        <v>45240</v>
      </c>
      <c r="M170">
        <v>19108</v>
      </c>
      <c r="N170" t="s">
        <v>696</v>
      </c>
      <c r="O170" s="5">
        <v>45240</v>
      </c>
      <c r="P170" s="5">
        <v>43777</v>
      </c>
      <c r="Q170" s="3">
        <v>327.95</v>
      </c>
      <c r="S170">
        <f t="shared" si="6"/>
        <v>1464</v>
      </c>
      <c r="T170">
        <f t="shared" si="7"/>
        <v>16.043835616438358</v>
      </c>
      <c r="U170" s="6">
        <f t="shared" si="8"/>
        <v>0.30172273827182838</v>
      </c>
    </row>
    <row r="171" spans="1:21" x14ac:dyDescent="0.25">
      <c r="A171" t="s">
        <v>697</v>
      </c>
      <c r="B171" t="s">
        <v>698</v>
      </c>
      <c r="C171" t="s">
        <v>10</v>
      </c>
      <c r="D171">
        <v>45.7</v>
      </c>
      <c r="E171">
        <v>46.65</v>
      </c>
      <c r="F171">
        <v>44.6</v>
      </c>
      <c r="G171" s="3">
        <v>45.75</v>
      </c>
      <c r="H171">
        <v>45.85</v>
      </c>
      <c r="I171">
        <v>45.7</v>
      </c>
      <c r="J171">
        <v>37187</v>
      </c>
      <c r="K171">
        <v>1686787.45</v>
      </c>
      <c r="L171" s="1">
        <v>45240</v>
      </c>
      <c r="M171">
        <v>153</v>
      </c>
      <c r="N171" t="s">
        <v>699</v>
      </c>
      <c r="O171" s="5">
        <v>45240</v>
      </c>
      <c r="P171" s="5">
        <v>43777</v>
      </c>
      <c r="Q171" s="3">
        <v>11.4</v>
      </c>
      <c r="S171">
        <f t="shared" si="6"/>
        <v>1464</v>
      </c>
      <c r="T171">
        <f t="shared" si="7"/>
        <v>16.043835616438358</v>
      </c>
      <c r="U171" s="6">
        <f t="shared" si="8"/>
        <v>0.36189118782504881</v>
      </c>
    </row>
    <row r="172" spans="1:21" x14ac:dyDescent="0.25">
      <c r="A172" t="s">
        <v>703</v>
      </c>
      <c r="B172" t="s">
        <v>704</v>
      </c>
      <c r="C172" t="s">
        <v>10</v>
      </c>
      <c r="D172">
        <v>155</v>
      </c>
      <c r="E172">
        <v>155.25</v>
      </c>
      <c r="F172">
        <v>155</v>
      </c>
      <c r="G172" s="3">
        <v>155.05000000000001</v>
      </c>
      <c r="H172">
        <v>155.05000000000001</v>
      </c>
      <c r="I172">
        <v>152.25</v>
      </c>
      <c r="J172">
        <v>27563</v>
      </c>
      <c r="K172">
        <v>4274773.9000000004</v>
      </c>
      <c r="L172" s="1">
        <v>45240</v>
      </c>
      <c r="M172">
        <v>105</v>
      </c>
      <c r="N172" t="s">
        <v>705</v>
      </c>
      <c r="O172" s="5">
        <v>45240</v>
      </c>
      <c r="P172" s="5">
        <v>43777</v>
      </c>
      <c r="Q172" s="3">
        <v>11.3</v>
      </c>
      <c r="S172">
        <f t="shared" si="6"/>
        <v>1464</v>
      </c>
      <c r="T172">
        <f t="shared" si="7"/>
        <v>16.043835616438358</v>
      </c>
      <c r="U172" s="6">
        <f t="shared" si="8"/>
        <v>0.70926193668375781</v>
      </c>
    </row>
    <row r="173" spans="1:21" x14ac:dyDescent="0.25">
      <c r="A173" t="s">
        <v>706</v>
      </c>
      <c r="B173" t="s">
        <v>707</v>
      </c>
      <c r="C173" t="s">
        <v>14</v>
      </c>
      <c r="D173">
        <v>137.5</v>
      </c>
      <c r="E173">
        <v>139.1</v>
      </c>
      <c r="F173">
        <v>137.05000000000001</v>
      </c>
      <c r="G173" s="3">
        <v>138.80000000000001</v>
      </c>
      <c r="H173">
        <v>138.85</v>
      </c>
      <c r="I173">
        <v>137.94999999999999</v>
      </c>
      <c r="J173">
        <v>5781314</v>
      </c>
      <c r="K173">
        <v>799855940.35000002</v>
      </c>
      <c r="L173" s="1">
        <v>45240</v>
      </c>
      <c r="M173">
        <v>35812</v>
      </c>
      <c r="N173" t="s">
        <v>708</v>
      </c>
      <c r="O173" s="5">
        <v>45240</v>
      </c>
      <c r="P173" s="5">
        <v>43777</v>
      </c>
      <c r="Q173" s="3">
        <v>109.45</v>
      </c>
      <c r="S173">
        <f t="shared" si="6"/>
        <v>1464</v>
      </c>
      <c r="T173">
        <f t="shared" si="7"/>
        <v>16.043835616438358</v>
      </c>
      <c r="U173" s="6">
        <f t="shared" si="8"/>
        <v>5.9669969965053582E-2</v>
      </c>
    </row>
    <row r="174" spans="1:21" x14ac:dyDescent="0.25">
      <c r="A174" t="s">
        <v>709</v>
      </c>
      <c r="B174" t="s">
        <v>710</v>
      </c>
      <c r="C174" t="s">
        <v>14</v>
      </c>
      <c r="D174">
        <v>2165</v>
      </c>
      <c r="E174">
        <v>2195</v>
      </c>
      <c r="F174">
        <v>2142.6</v>
      </c>
      <c r="G174" s="3">
        <v>2170.85</v>
      </c>
      <c r="H174">
        <v>2173</v>
      </c>
      <c r="I174">
        <v>2094.15</v>
      </c>
      <c r="J174">
        <v>629841</v>
      </c>
      <c r="K174">
        <v>1366124699.6500001</v>
      </c>
      <c r="L174" s="1">
        <v>45240</v>
      </c>
      <c r="M174">
        <v>38221</v>
      </c>
      <c r="N174" t="s">
        <v>711</v>
      </c>
      <c r="O174" s="5">
        <v>45240</v>
      </c>
      <c r="P174" s="5">
        <v>43777</v>
      </c>
      <c r="Q174" s="3">
        <v>961.7</v>
      </c>
      <c r="S174">
        <f t="shared" si="6"/>
        <v>1464</v>
      </c>
      <c r="T174">
        <f t="shared" si="7"/>
        <v>16.043835616438358</v>
      </c>
      <c r="U174" s="6">
        <f t="shared" si="8"/>
        <v>0.20822544484760375</v>
      </c>
    </row>
    <row r="175" spans="1:21" x14ac:dyDescent="0.25">
      <c r="A175" t="s">
        <v>712</v>
      </c>
      <c r="B175" t="s">
        <v>713</v>
      </c>
      <c r="C175" t="s">
        <v>14</v>
      </c>
      <c r="D175">
        <v>87.25</v>
      </c>
      <c r="E175">
        <v>88.95</v>
      </c>
      <c r="F175">
        <v>87.25</v>
      </c>
      <c r="G175" s="3">
        <v>88</v>
      </c>
      <c r="H175">
        <v>87.65</v>
      </c>
      <c r="I175">
        <v>87.85</v>
      </c>
      <c r="J175">
        <v>268779</v>
      </c>
      <c r="K175">
        <v>23729440</v>
      </c>
      <c r="L175" s="1">
        <v>45240</v>
      </c>
      <c r="M175">
        <v>3496</v>
      </c>
      <c r="N175" t="s">
        <v>714</v>
      </c>
      <c r="O175" s="5">
        <v>45240</v>
      </c>
      <c r="P175" s="5">
        <v>43777</v>
      </c>
      <c r="Q175" s="3">
        <v>49.6</v>
      </c>
      <c r="S175">
        <f t="shared" si="6"/>
        <v>1464</v>
      </c>
      <c r="T175">
        <f t="shared" si="7"/>
        <v>16.043835616438358</v>
      </c>
      <c r="U175" s="6">
        <f t="shared" si="8"/>
        <v>0.14552971878311105</v>
      </c>
    </row>
    <row r="176" spans="1:21" x14ac:dyDescent="0.25">
      <c r="A176" t="s">
        <v>715</v>
      </c>
      <c r="B176" t="s">
        <v>716</v>
      </c>
      <c r="C176" t="s">
        <v>14</v>
      </c>
      <c r="D176">
        <v>578.95000000000005</v>
      </c>
      <c r="E176">
        <v>579</v>
      </c>
      <c r="F176">
        <v>568.6</v>
      </c>
      <c r="G176" s="3">
        <v>578.4</v>
      </c>
      <c r="H176">
        <v>577.70000000000005</v>
      </c>
      <c r="I176">
        <v>578.95000000000005</v>
      </c>
      <c r="J176">
        <v>513917</v>
      </c>
      <c r="K176">
        <v>295394439.39999998</v>
      </c>
      <c r="L176" s="1">
        <v>45240</v>
      </c>
      <c r="M176">
        <v>15098</v>
      </c>
      <c r="N176" t="s">
        <v>717</v>
      </c>
      <c r="O176" s="5">
        <v>45240</v>
      </c>
      <c r="P176" s="5">
        <v>43777</v>
      </c>
      <c r="Q176" s="3">
        <v>485.4</v>
      </c>
      <c r="S176">
        <f t="shared" si="6"/>
        <v>1464</v>
      </c>
      <c r="T176">
        <f t="shared" si="7"/>
        <v>16.043835616438358</v>
      </c>
      <c r="U176" s="6">
        <f t="shared" si="8"/>
        <v>4.3942978995159088E-2</v>
      </c>
    </row>
    <row r="177" spans="1:21" x14ac:dyDescent="0.25">
      <c r="A177" t="s">
        <v>6830</v>
      </c>
      <c r="B177" t="s">
        <v>7798</v>
      </c>
      <c r="C177" t="s">
        <v>5788</v>
      </c>
      <c r="D177">
        <v>1154.95</v>
      </c>
      <c r="E177">
        <v>1225</v>
      </c>
      <c r="F177">
        <v>1080</v>
      </c>
      <c r="G177" s="3">
        <v>1161.5999999999999</v>
      </c>
      <c r="H177">
        <v>1170</v>
      </c>
      <c r="I177">
        <v>1124.8</v>
      </c>
      <c r="J177">
        <v>9400</v>
      </c>
      <c r="K177">
        <v>10995860</v>
      </c>
      <c r="L177" s="1">
        <v>45240</v>
      </c>
      <c r="M177">
        <v>83</v>
      </c>
      <c r="N177" t="s">
        <v>6829</v>
      </c>
      <c r="O177" s="5">
        <v>45240</v>
      </c>
      <c r="P177" s="5">
        <v>43777</v>
      </c>
      <c r="Q177" s="3">
        <v>82</v>
      </c>
      <c r="S177">
        <f t="shared" si="6"/>
        <v>1464</v>
      </c>
      <c r="T177">
        <f t="shared" si="7"/>
        <v>16.043835616438358</v>
      </c>
      <c r="U177" s="6">
        <f t="shared" si="8"/>
        <v>0.71863159434901469</v>
      </c>
    </row>
    <row r="178" spans="1:21" x14ac:dyDescent="0.25">
      <c r="A178" t="s">
        <v>718</v>
      </c>
      <c r="B178" t="s">
        <v>719</v>
      </c>
      <c r="C178" t="s">
        <v>14</v>
      </c>
      <c r="D178">
        <v>490.05</v>
      </c>
      <c r="E178">
        <v>491.3</v>
      </c>
      <c r="F178">
        <v>478</v>
      </c>
      <c r="G178" s="3">
        <v>481.9</v>
      </c>
      <c r="H178">
        <v>482.85</v>
      </c>
      <c r="I178">
        <v>489.95</v>
      </c>
      <c r="J178">
        <v>44559</v>
      </c>
      <c r="K178">
        <v>21649668.100000001</v>
      </c>
      <c r="L178" s="1">
        <v>45240</v>
      </c>
      <c r="M178">
        <v>2027</v>
      </c>
      <c r="N178" t="s">
        <v>720</v>
      </c>
      <c r="O178" s="5">
        <v>45240</v>
      </c>
      <c r="P178" s="5">
        <v>43777</v>
      </c>
      <c r="Q178" s="3">
        <v>324.55</v>
      </c>
      <c r="S178">
        <f t="shared" si="6"/>
        <v>1464</v>
      </c>
      <c r="T178">
        <f t="shared" si="7"/>
        <v>16.043835616438358</v>
      </c>
      <c r="U178" s="6">
        <f t="shared" si="8"/>
        <v>9.9778392847787778E-2</v>
      </c>
    </row>
    <row r="179" spans="1:21" x14ac:dyDescent="0.25">
      <c r="A179" t="s">
        <v>721</v>
      </c>
      <c r="B179" t="s">
        <v>722</v>
      </c>
      <c r="C179" t="s">
        <v>14</v>
      </c>
      <c r="D179">
        <v>610.9</v>
      </c>
      <c r="E179">
        <v>627</v>
      </c>
      <c r="F179">
        <v>604.04999999999995</v>
      </c>
      <c r="G179" s="3">
        <v>615.95000000000005</v>
      </c>
      <c r="H179">
        <v>620</v>
      </c>
      <c r="I179">
        <v>611.65</v>
      </c>
      <c r="J179">
        <v>60110</v>
      </c>
      <c r="K179">
        <v>37087849.700000003</v>
      </c>
      <c r="L179" s="1">
        <v>45240</v>
      </c>
      <c r="M179">
        <v>1886</v>
      </c>
      <c r="N179" t="s">
        <v>723</v>
      </c>
      <c r="O179" s="5">
        <v>45240</v>
      </c>
      <c r="P179" s="5">
        <v>43777</v>
      </c>
      <c r="Q179" s="3">
        <v>293.25</v>
      </c>
      <c r="S179">
        <f t="shared" si="6"/>
        <v>1464</v>
      </c>
      <c r="T179">
        <f t="shared" si="7"/>
        <v>16.043835616438358</v>
      </c>
      <c r="U179" s="6">
        <f t="shared" si="8"/>
        <v>0.18937433126138004</v>
      </c>
    </row>
    <row r="180" spans="1:21" x14ac:dyDescent="0.25">
      <c r="A180" t="s">
        <v>724</v>
      </c>
      <c r="B180" t="s">
        <v>725</v>
      </c>
      <c r="C180" t="s">
        <v>14</v>
      </c>
      <c r="D180">
        <v>73.5</v>
      </c>
      <c r="E180">
        <v>75</v>
      </c>
      <c r="F180">
        <v>72.7</v>
      </c>
      <c r="G180" s="3">
        <v>73.3</v>
      </c>
      <c r="H180">
        <v>73.05</v>
      </c>
      <c r="I180">
        <v>73.599999999999994</v>
      </c>
      <c r="J180">
        <v>200194</v>
      </c>
      <c r="K180">
        <v>14712935.65</v>
      </c>
      <c r="L180" s="1">
        <v>45240</v>
      </c>
      <c r="M180">
        <v>1646</v>
      </c>
      <c r="N180" t="s">
        <v>726</v>
      </c>
      <c r="O180" s="5">
        <v>45240</v>
      </c>
      <c r="P180" s="5">
        <v>43777</v>
      </c>
      <c r="Q180" s="3">
        <v>32.35</v>
      </c>
      <c r="S180">
        <f t="shared" si="6"/>
        <v>1464</v>
      </c>
      <c r="T180">
        <f t="shared" si="7"/>
        <v>16.043835616438358</v>
      </c>
      <c r="U180" s="6">
        <f t="shared" si="8"/>
        <v>0.20921574374455876</v>
      </c>
    </row>
    <row r="181" spans="1:21" x14ac:dyDescent="0.25">
      <c r="A181" t="s">
        <v>730</v>
      </c>
      <c r="B181" t="s">
        <v>731</v>
      </c>
      <c r="C181" t="s">
        <v>14</v>
      </c>
      <c r="D181">
        <v>145.65</v>
      </c>
      <c r="E181">
        <v>149.94999999999999</v>
      </c>
      <c r="F181">
        <v>145.65</v>
      </c>
      <c r="G181" s="3">
        <v>147.55000000000001</v>
      </c>
      <c r="H181">
        <v>147.19999999999999</v>
      </c>
      <c r="I181">
        <v>149.1</v>
      </c>
      <c r="J181">
        <v>12469</v>
      </c>
      <c r="K181">
        <v>1847722.5</v>
      </c>
      <c r="L181" s="1">
        <v>45240</v>
      </c>
      <c r="M181">
        <v>350</v>
      </c>
      <c r="N181" t="s">
        <v>732</v>
      </c>
      <c r="O181" s="5">
        <v>45240</v>
      </c>
      <c r="P181" s="5">
        <v>43777</v>
      </c>
      <c r="Q181" s="3">
        <v>107.7</v>
      </c>
      <c r="S181">
        <f t="shared" si="6"/>
        <v>1464</v>
      </c>
      <c r="T181">
        <f t="shared" si="7"/>
        <v>16.043835616438358</v>
      </c>
      <c r="U181" s="6">
        <f t="shared" si="8"/>
        <v>7.9264473757741705E-2</v>
      </c>
    </row>
    <row r="182" spans="1:21" x14ac:dyDescent="0.25">
      <c r="A182" t="s">
        <v>733</v>
      </c>
      <c r="B182" t="s">
        <v>734</v>
      </c>
      <c r="C182" t="s">
        <v>10</v>
      </c>
      <c r="D182">
        <v>66.7</v>
      </c>
      <c r="E182">
        <v>66.7</v>
      </c>
      <c r="F182">
        <v>66.7</v>
      </c>
      <c r="G182" s="3">
        <v>66.7</v>
      </c>
      <c r="H182">
        <v>66.7</v>
      </c>
      <c r="I182">
        <v>68.05</v>
      </c>
      <c r="J182">
        <v>1329</v>
      </c>
      <c r="K182">
        <v>88644.3</v>
      </c>
      <c r="L182" s="1">
        <v>45240</v>
      </c>
      <c r="M182">
        <v>33</v>
      </c>
      <c r="N182" t="s">
        <v>735</v>
      </c>
      <c r="O182" s="5">
        <v>45240</v>
      </c>
      <c r="P182" s="5">
        <v>43777</v>
      </c>
      <c r="Q182" s="3">
        <v>19.05</v>
      </c>
      <c r="S182">
        <f t="shared" si="6"/>
        <v>1464</v>
      </c>
      <c r="T182">
        <f t="shared" si="7"/>
        <v>16.043835616438358</v>
      </c>
      <c r="U182" s="6">
        <f t="shared" si="8"/>
        <v>0.32495391445517452</v>
      </c>
    </row>
    <row r="183" spans="1:21" x14ac:dyDescent="0.25">
      <c r="A183" t="s">
        <v>736</v>
      </c>
      <c r="B183" t="s">
        <v>737</v>
      </c>
      <c r="C183" t="s">
        <v>10</v>
      </c>
      <c r="D183">
        <v>6</v>
      </c>
      <c r="E183">
        <v>6.15</v>
      </c>
      <c r="F183">
        <v>5.9</v>
      </c>
      <c r="G183" s="3">
        <v>6.05</v>
      </c>
      <c r="H183">
        <v>6.05</v>
      </c>
      <c r="I183">
        <v>6</v>
      </c>
      <c r="J183">
        <v>192063</v>
      </c>
      <c r="K183">
        <v>1156638.3999999999</v>
      </c>
      <c r="L183" s="1">
        <v>45240</v>
      </c>
      <c r="M183">
        <v>504</v>
      </c>
      <c r="N183" t="s">
        <v>738</v>
      </c>
      <c r="O183" s="5">
        <v>45240</v>
      </c>
      <c r="P183" s="5">
        <v>43777</v>
      </c>
      <c r="Q183" s="3">
        <v>1.25</v>
      </c>
      <c r="S183">
        <f t="shared" si="6"/>
        <v>1464</v>
      </c>
      <c r="T183">
        <f t="shared" si="7"/>
        <v>16.043835616438358</v>
      </c>
      <c r="U183" s="6">
        <f t="shared" si="8"/>
        <v>0.41312144298552411</v>
      </c>
    </row>
    <row r="184" spans="1:21" x14ac:dyDescent="0.25">
      <c r="A184" t="s">
        <v>739</v>
      </c>
      <c r="B184" t="s">
        <v>740</v>
      </c>
      <c r="C184" t="s">
        <v>14</v>
      </c>
      <c r="D184">
        <v>1032</v>
      </c>
      <c r="E184">
        <v>1043</v>
      </c>
      <c r="F184">
        <v>1018</v>
      </c>
      <c r="G184" s="3">
        <v>1040.5</v>
      </c>
      <c r="H184">
        <v>1040</v>
      </c>
      <c r="I184">
        <v>1032.9000000000001</v>
      </c>
      <c r="J184">
        <v>1066829</v>
      </c>
      <c r="K184">
        <v>1102352795.8499999</v>
      </c>
      <c r="L184" s="1">
        <v>45240</v>
      </c>
      <c r="M184">
        <v>32367</v>
      </c>
      <c r="N184" t="s">
        <v>741</v>
      </c>
      <c r="O184" s="5">
        <v>45240</v>
      </c>
      <c r="P184" s="5">
        <v>43777</v>
      </c>
      <c r="Q184" s="3">
        <v>426.65</v>
      </c>
      <c r="S184">
        <f t="shared" si="6"/>
        <v>1464</v>
      </c>
      <c r="T184">
        <f t="shared" si="7"/>
        <v>16.043835616438358</v>
      </c>
      <c r="U184" s="6">
        <f t="shared" si="8"/>
        <v>0.22855537327948205</v>
      </c>
    </row>
    <row r="185" spans="1:21" x14ac:dyDescent="0.25">
      <c r="A185" t="s">
        <v>742</v>
      </c>
      <c r="B185" t="s">
        <v>743</v>
      </c>
      <c r="C185" t="s">
        <v>14</v>
      </c>
      <c r="D185">
        <v>115</v>
      </c>
      <c r="E185">
        <v>115.05</v>
      </c>
      <c r="F185">
        <v>113</v>
      </c>
      <c r="G185" s="3">
        <v>113.85</v>
      </c>
      <c r="H185">
        <v>113.75</v>
      </c>
      <c r="I185">
        <v>116.85</v>
      </c>
      <c r="J185">
        <v>53227</v>
      </c>
      <c r="K185">
        <v>6061069</v>
      </c>
      <c r="L185" s="1">
        <v>45240</v>
      </c>
      <c r="M185">
        <v>1017</v>
      </c>
      <c r="N185" t="s">
        <v>744</v>
      </c>
      <c r="O185" s="5">
        <v>45240</v>
      </c>
      <c r="P185" s="5">
        <v>43777</v>
      </c>
      <c r="Q185" s="3">
        <v>78.349999999999994</v>
      </c>
      <c r="S185">
        <f t="shared" si="6"/>
        <v>1464</v>
      </c>
      <c r="T185">
        <f t="shared" si="7"/>
        <v>16.043835616438358</v>
      </c>
      <c r="U185" s="6">
        <f t="shared" si="8"/>
        <v>9.4262223713758253E-2</v>
      </c>
    </row>
    <row r="186" spans="1:21" x14ac:dyDescent="0.25">
      <c r="A186" t="s">
        <v>745</v>
      </c>
      <c r="B186" t="s">
        <v>746</v>
      </c>
      <c r="C186" t="s">
        <v>14</v>
      </c>
      <c r="D186">
        <v>9274</v>
      </c>
      <c r="E186">
        <v>9274</v>
      </c>
      <c r="F186">
        <v>9000</v>
      </c>
      <c r="G186" s="3">
        <v>9113.4500000000007</v>
      </c>
      <c r="H186">
        <v>9100</v>
      </c>
      <c r="I186">
        <v>9188.4500000000007</v>
      </c>
      <c r="J186">
        <v>675</v>
      </c>
      <c r="K186">
        <v>6146187.2999999998</v>
      </c>
      <c r="L186" s="1">
        <v>45240</v>
      </c>
      <c r="M186">
        <v>396</v>
      </c>
      <c r="N186" t="s">
        <v>747</v>
      </c>
      <c r="O186" s="5">
        <v>45240</v>
      </c>
      <c r="P186" s="5">
        <v>43777</v>
      </c>
      <c r="Q186" s="3">
        <v>6476.85</v>
      </c>
      <c r="S186">
        <f t="shared" si="6"/>
        <v>1464</v>
      </c>
      <c r="T186">
        <f t="shared" si="7"/>
        <v>16.043835616438358</v>
      </c>
      <c r="U186" s="6">
        <f t="shared" si="8"/>
        <v>8.6058683578908557E-2</v>
      </c>
    </row>
    <row r="187" spans="1:21" x14ac:dyDescent="0.25">
      <c r="A187" t="s">
        <v>748</v>
      </c>
      <c r="B187" t="s">
        <v>749</v>
      </c>
      <c r="C187" t="s">
        <v>14</v>
      </c>
      <c r="D187">
        <v>282.7</v>
      </c>
      <c r="E187">
        <v>288.64999999999998</v>
      </c>
      <c r="F187">
        <v>278.05</v>
      </c>
      <c r="G187" s="3">
        <v>286.64999999999998</v>
      </c>
      <c r="H187">
        <v>285.95</v>
      </c>
      <c r="I187">
        <v>282.95</v>
      </c>
      <c r="J187">
        <v>400081</v>
      </c>
      <c r="K187">
        <v>114241698.7</v>
      </c>
      <c r="L187" s="1">
        <v>45240</v>
      </c>
      <c r="M187">
        <v>4624</v>
      </c>
      <c r="N187" t="s">
        <v>750</v>
      </c>
      <c r="O187" s="5">
        <v>45240</v>
      </c>
      <c r="P187" s="5">
        <v>43777</v>
      </c>
      <c r="Q187" s="3">
        <v>31.15</v>
      </c>
      <c r="S187">
        <f t="shared" si="6"/>
        <v>1464</v>
      </c>
      <c r="T187">
        <f t="shared" si="7"/>
        <v>16.043835616438358</v>
      </c>
      <c r="U187" s="6">
        <f t="shared" si="8"/>
        <v>0.59344753551773621</v>
      </c>
    </row>
    <row r="188" spans="1:21" x14ac:dyDescent="0.25">
      <c r="A188" t="s">
        <v>751</v>
      </c>
      <c r="B188" t="s">
        <v>752</v>
      </c>
      <c r="C188" t="s">
        <v>14</v>
      </c>
      <c r="D188">
        <v>929</v>
      </c>
      <c r="E188">
        <v>937</v>
      </c>
      <c r="F188">
        <v>929</v>
      </c>
      <c r="G188" s="3">
        <v>935.5</v>
      </c>
      <c r="H188">
        <v>934.35</v>
      </c>
      <c r="I188">
        <v>932.35</v>
      </c>
      <c r="J188">
        <v>1345614</v>
      </c>
      <c r="K188">
        <v>1256686984.5999999</v>
      </c>
      <c r="L188" s="1">
        <v>45240</v>
      </c>
      <c r="M188">
        <v>58393</v>
      </c>
      <c r="N188" t="s">
        <v>753</v>
      </c>
      <c r="O188" s="5">
        <v>45240</v>
      </c>
      <c r="P188" s="5">
        <v>43777</v>
      </c>
      <c r="Q188" s="3">
        <v>369.15</v>
      </c>
      <c r="S188">
        <f t="shared" si="6"/>
        <v>1464</v>
      </c>
      <c r="T188">
        <f t="shared" si="7"/>
        <v>16.043835616438358</v>
      </c>
      <c r="U188" s="6">
        <f t="shared" si="8"/>
        <v>0.23868445255932702</v>
      </c>
    </row>
    <row r="189" spans="1:21" x14ac:dyDescent="0.25">
      <c r="A189" t="s">
        <v>754</v>
      </c>
      <c r="B189" t="s">
        <v>755</v>
      </c>
      <c r="C189" t="s">
        <v>14</v>
      </c>
      <c r="D189">
        <v>125.55</v>
      </c>
      <c r="E189">
        <v>130.19999999999999</v>
      </c>
      <c r="F189">
        <v>123.8</v>
      </c>
      <c r="G189" s="3">
        <v>129.05000000000001</v>
      </c>
      <c r="H189">
        <v>128.94999999999999</v>
      </c>
      <c r="I189">
        <v>125.8</v>
      </c>
      <c r="J189">
        <v>24894388</v>
      </c>
      <c r="K189">
        <v>3183243159.5</v>
      </c>
      <c r="L189" s="1">
        <v>45240</v>
      </c>
      <c r="M189">
        <v>75124</v>
      </c>
      <c r="N189" t="s">
        <v>756</v>
      </c>
      <c r="O189" s="5">
        <v>45240</v>
      </c>
      <c r="P189" s="5">
        <v>43777</v>
      </c>
      <c r="Q189" s="3">
        <v>54.25</v>
      </c>
      <c r="S189">
        <f t="shared" si="6"/>
        <v>1464</v>
      </c>
      <c r="T189">
        <f t="shared" si="7"/>
        <v>16.043835616438358</v>
      </c>
      <c r="U189" s="6">
        <f t="shared" si="8"/>
        <v>0.22199888371895504</v>
      </c>
    </row>
    <row r="190" spans="1:21" x14ac:dyDescent="0.25">
      <c r="A190" t="s">
        <v>757</v>
      </c>
      <c r="B190" t="s">
        <v>758</v>
      </c>
      <c r="C190" t="s">
        <v>14</v>
      </c>
      <c r="D190">
        <v>153.1</v>
      </c>
      <c r="E190">
        <v>154.85</v>
      </c>
      <c r="F190">
        <v>150</v>
      </c>
      <c r="G190" s="3">
        <v>150.75</v>
      </c>
      <c r="H190">
        <v>151.4</v>
      </c>
      <c r="I190">
        <v>152.1</v>
      </c>
      <c r="J190">
        <v>45638</v>
      </c>
      <c r="K190">
        <v>6924772.25</v>
      </c>
      <c r="L190" s="1">
        <v>45240</v>
      </c>
      <c r="M190">
        <v>2199</v>
      </c>
      <c r="N190" t="s">
        <v>759</v>
      </c>
      <c r="O190" s="5">
        <v>45240</v>
      </c>
      <c r="P190" s="5">
        <v>43777</v>
      </c>
      <c r="Q190" s="3">
        <v>24</v>
      </c>
      <c r="S190">
        <f t="shared" si="6"/>
        <v>1464</v>
      </c>
      <c r="T190">
        <f t="shared" si="7"/>
        <v>16.043835616438358</v>
      </c>
      <c r="U190" s="6">
        <f t="shared" si="8"/>
        <v>0.48540427780498252</v>
      </c>
    </row>
    <row r="191" spans="1:21" x14ac:dyDescent="0.25">
      <c r="A191" t="s">
        <v>763</v>
      </c>
      <c r="B191" t="s">
        <v>764</v>
      </c>
      <c r="C191" t="s">
        <v>14</v>
      </c>
      <c r="D191">
        <v>235</v>
      </c>
      <c r="E191">
        <v>235</v>
      </c>
      <c r="F191">
        <v>230.9</v>
      </c>
      <c r="G191" s="3">
        <v>232.1</v>
      </c>
      <c r="H191">
        <v>234.5</v>
      </c>
      <c r="I191">
        <v>230.7</v>
      </c>
      <c r="J191">
        <v>1900</v>
      </c>
      <c r="K191">
        <v>440938.95</v>
      </c>
      <c r="L191" s="1">
        <v>45240</v>
      </c>
      <c r="M191">
        <v>134</v>
      </c>
      <c r="N191" t="s">
        <v>765</v>
      </c>
      <c r="O191" s="5">
        <v>45240</v>
      </c>
      <c r="P191" s="5">
        <v>43777</v>
      </c>
      <c r="Q191" s="3">
        <v>156.25</v>
      </c>
      <c r="S191">
        <f t="shared" si="6"/>
        <v>1464</v>
      </c>
      <c r="T191">
        <f t="shared" si="7"/>
        <v>16.043835616438358</v>
      </c>
      <c r="U191" s="6">
        <f t="shared" si="8"/>
        <v>9.9884188309131261E-2</v>
      </c>
    </row>
    <row r="192" spans="1:21" x14ac:dyDescent="0.25">
      <c r="A192" t="s">
        <v>769</v>
      </c>
      <c r="B192" t="s">
        <v>770</v>
      </c>
      <c r="C192" t="s">
        <v>14</v>
      </c>
      <c r="D192">
        <v>227.85</v>
      </c>
      <c r="E192">
        <v>228.65</v>
      </c>
      <c r="F192">
        <v>222.55</v>
      </c>
      <c r="G192" s="3">
        <v>227.4</v>
      </c>
      <c r="H192">
        <v>228.3</v>
      </c>
      <c r="I192">
        <v>227.05</v>
      </c>
      <c r="J192">
        <v>2629871</v>
      </c>
      <c r="K192">
        <v>592159950.04999995</v>
      </c>
      <c r="L192" s="1">
        <v>45240</v>
      </c>
      <c r="M192">
        <v>25729</v>
      </c>
      <c r="N192" t="s">
        <v>771</v>
      </c>
      <c r="O192" s="5">
        <v>45240</v>
      </c>
      <c r="P192" s="5">
        <v>43777</v>
      </c>
      <c r="Q192" s="3">
        <v>265</v>
      </c>
      <c r="S192">
        <f t="shared" si="6"/>
        <v>1464</v>
      </c>
      <c r="T192">
        <f t="shared" si="7"/>
        <v>16.043835616438358</v>
      </c>
      <c r="U192" s="6">
        <f t="shared" si="8"/>
        <v>-3.7968936264269892E-2</v>
      </c>
    </row>
    <row r="193" spans="1:21" x14ac:dyDescent="0.25">
      <c r="A193" t="s">
        <v>772</v>
      </c>
      <c r="B193" t="s">
        <v>773</v>
      </c>
      <c r="C193" t="s">
        <v>14</v>
      </c>
      <c r="D193">
        <v>48.85</v>
      </c>
      <c r="E193">
        <v>49.1</v>
      </c>
      <c r="F193">
        <v>48.45</v>
      </c>
      <c r="G193" s="3">
        <v>48.95</v>
      </c>
      <c r="H193">
        <v>49.1</v>
      </c>
      <c r="I193">
        <v>48.85</v>
      </c>
      <c r="J193">
        <v>4888</v>
      </c>
      <c r="K193">
        <v>239065.7</v>
      </c>
      <c r="L193" s="1">
        <v>45240</v>
      </c>
      <c r="M193">
        <v>153</v>
      </c>
      <c r="N193" t="s">
        <v>774</v>
      </c>
      <c r="O193" s="5">
        <v>45240</v>
      </c>
      <c r="P193" s="5">
        <v>43777</v>
      </c>
      <c r="Q193" s="3">
        <v>4.55</v>
      </c>
      <c r="S193">
        <f t="shared" si="6"/>
        <v>1464</v>
      </c>
      <c r="T193">
        <f t="shared" si="7"/>
        <v>16.043835616438358</v>
      </c>
      <c r="U193" s="6">
        <f t="shared" si="8"/>
        <v>0.63839401052271327</v>
      </c>
    </row>
    <row r="194" spans="1:21" x14ac:dyDescent="0.25">
      <c r="A194" t="s">
        <v>775</v>
      </c>
      <c r="B194" t="s">
        <v>776</v>
      </c>
      <c r="C194" t="s">
        <v>14</v>
      </c>
      <c r="D194">
        <v>280</v>
      </c>
      <c r="E194">
        <v>283</v>
      </c>
      <c r="F194">
        <v>276.5</v>
      </c>
      <c r="G194" s="3">
        <v>277.89999999999998</v>
      </c>
      <c r="H194">
        <v>277</v>
      </c>
      <c r="I194">
        <v>280.05</v>
      </c>
      <c r="J194">
        <v>51909</v>
      </c>
      <c r="K194">
        <v>14462128.800000001</v>
      </c>
      <c r="L194" s="1">
        <v>45240</v>
      </c>
      <c r="M194">
        <v>1760</v>
      </c>
      <c r="N194" t="s">
        <v>777</v>
      </c>
      <c r="O194" s="5">
        <v>45240</v>
      </c>
      <c r="P194" s="5">
        <v>43777</v>
      </c>
      <c r="Q194" s="3">
        <v>80.650000000000006</v>
      </c>
      <c r="S194">
        <f t="shared" si="6"/>
        <v>1464</v>
      </c>
      <c r="T194">
        <f t="shared" si="7"/>
        <v>16.043835616438358</v>
      </c>
      <c r="U194" s="6">
        <f t="shared" si="8"/>
        <v>0.32064418787457427</v>
      </c>
    </row>
    <row r="195" spans="1:21" x14ac:dyDescent="0.25">
      <c r="A195" t="s">
        <v>778</v>
      </c>
      <c r="B195" t="s">
        <v>779</v>
      </c>
      <c r="C195" t="s">
        <v>14</v>
      </c>
      <c r="D195">
        <v>1299.3</v>
      </c>
      <c r="E195">
        <v>1305.75</v>
      </c>
      <c r="F195">
        <v>1264.45</v>
      </c>
      <c r="G195" s="3">
        <v>1272.55</v>
      </c>
      <c r="H195">
        <v>1275.2</v>
      </c>
      <c r="I195">
        <v>1299.3</v>
      </c>
      <c r="J195">
        <v>89347</v>
      </c>
      <c r="K195">
        <v>114056110</v>
      </c>
      <c r="L195" s="1">
        <v>45240</v>
      </c>
      <c r="M195">
        <v>8676</v>
      </c>
      <c r="N195" t="s">
        <v>780</v>
      </c>
      <c r="O195" s="5">
        <v>45240</v>
      </c>
      <c r="P195" s="5">
        <v>43777</v>
      </c>
      <c r="Q195" s="3">
        <v>629.79999999999995</v>
      </c>
      <c r="S195">
        <f t="shared" ref="S195:S258" si="9">O195-P195+1</f>
        <v>1464</v>
      </c>
      <c r="T195">
        <f t="shared" ref="T195:T258" si="10">(S195/365)*4</f>
        <v>16.043835616438358</v>
      </c>
      <c r="U195" s="6">
        <f t="shared" ref="U195:U258" si="11">(((G195/Q195)^(1/T195))-1)*4</f>
        <v>0.17926432555545357</v>
      </c>
    </row>
    <row r="196" spans="1:21" x14ac:dyDescent="0.25">
      <c r="A196" t="s">
        <v>781</v>
      </c>
      <c r="B196" t="s">
        <v>782</v>
      </c>
      <c r="C196" t="s">
        <v>14</v>
      </c>
      <c r="D196">
        <v>108.9</v>
      </c>
      <c r="E196">
        <v>114.75</v>
      </c>
      <c r="F196">
        <v>107.55</v>
      </c>
      <c r="G196" s="3">
        <v>109.3</v>
      </c>
      <c r="H196">
        <v>109.25</v>
      </c>
      <c r="I196">
        <v>109.05</v>
      </c>
      <c r="J196">
        <v>996782</v>
      </c>
      <c r="K196">
        <v>111395069.7</v>
      </c>
      <c r="L196" s="1">
        <v>45240</v>
      </c>
      <c r="M196">
        <v>9921</v>
      </c>
      <c r="N196" t="s">
        <v>783</v>
      </c>
      <c r="O196" s="5">
        <v>45240</v>
      </c>
      <c r="P196" s="5">
        <v>43777</v>
      </c>
      <c r="Q196" s="3">
        <v>35.549999999999997</v>
      </c>
      <c r="S196">
        <f t="shared" si="9"/>
        <v>1464</v>
      </c>
      <c r="T196">
        <f t="shared" si="10"/>
        <v>16.043835616438358</v>
      </c>
      <c r="U196" s="6">
        <f t="shared" si="11"/>
        <v>0.29005618781697429</v>
      </c>
    </row>
    <row r="197" spans="1:21" x14ac:dyDescent="0.25">
      <c r="A197" t="s">
        <v>784</v>
      </c>
      <c r="B197" t="s">
        <v>785</v>
      </c>
      <c r="C197" t="s">
        <v>786</v>
      </c>
      <c r="D197">
        <v>0.95</v>
      </c>
      <c r="E197">
        <v>1</v>
      </c>
      <c r="F197">
        <v>0.9</v>
      </c>
      <c r="G197" s="3">
        <v>1</v>
      </c>
      <c r="H197">
        <v>1</v>
      </c>
      <c r="I197">
        <v>0.95</v>
      </c>
      <c r="J197">
        <v>143163</v>
      </c>
      <c r="K197">
        <v>140074.5</v>
      </c>
      <c r="L197" s="1">
        <v>45240</v>
      </c>
      <c r="M197">
        <v>91</v>
      </c>
      <c r="N197" t="s">
        <v>787</v>
      </c>
      <c r="O197" s="5">
        <v>45240</v>
      </c>
      <c r="P197" s="5">
        <v>43777</v>
      </c>
      <c r="Q197" s="3">
        <v>0.75</v>
      </c>
      <c r="S197">
        <f t="shared" si="9"/>
        <v>1464</v>
      </c>
      <c r="T197">
        <f t="shared" si="10"/>
        <v>16.043835616438358</v>
      </c>
      <c r="U197" s="6">
        <f t="shared" si="11"/>
        <v>7.2370916490178239E-2</v>
      </c>
    </row>
    <row r="198" spans="1:21" x14ac:dyDescent="0.25">
      <c r="A198" t="s">
        <v>791</v>
      </c>
      <c r="B198" t="s">
        <v>792</v>
      </c>
      <c r="C198" t="s">
        <v>14</v>
      </c>
      <c r="D198">
        <v>21.25</v>
      </c>
      <c r="E198">
        <v>21.8</v>
      </c>
      <c r="F198">
        <v>21.25</v>
      </c>
      <c r="G198" s="3">
        <v>21.45</v>
      </c>
      <c r="H198">
        <v>21.5</v>
      </c>
      <c r="I198">
        <v>21.55</v>
      </c>
      <c r="J198">
        <v>38124</v>
      </c>
      <c r="K198">
        <v>821099.2</v>
      </c>
      <c r="L198" s="1">
        <v>45240</v>
      </c>
      <c r="M198">
        <v>294</v>
      </c>
      <c r="N198" t="s">
        <v>793</v>
      </c>
      <c r="O198" s="5">
        <v>45240</v>
      </c>
      <c r="P198" s="5">
        <v>43777</v>
      </c>
      <c r="Q198" s="3">
        <v>3.65</v>
      </c>
      <c r="S198">
        <f t="shared" si="9"/>
        <v>1464</v>
      </c>
      <c r="T198">
        <f t="shared" si="10"/>
        <v>16.043835616438358</v>
      </c>
      <c r="U198" s="6">
        <f t="shared" si="11"/>
        <v>0.46683131442774073</v>
      </c>
    </row>
    <row r="199" spans="1:21" x14ac:dyDescent="0.25">
      <c r="A199" t="s">
        <v>794</v>
      </c>
      <c r="B199" t="s">
        <v>795</v>
      </c>
      <c r="C199" t="s">
        <v>14</v>
      </c>
      <c r="D199">
        <v>111.95</v>
      </c>
      <c r="E199">
        <v>118.8</v>
      </c>
      <c r="F199">
        <v>110</v>
      </c>
      <c r="G199" s="3">
        <v>118.05</v>
      </c>
      <c r="H199">
        <v>117</v>
      </c>
      <c r="I199">
        <v>111.6</v>
      </c>
      <c r="J199">
        <v>1813757</v>
      </c>
      <c r="K199">
        <v>210594155.15000001</v>
      </c>
      <c r="L199" s="1">
        <v>45240</v>
      </c>
      <c r="M199">
        <v>10523</v>
      </c>
      <c r="N199" t="s">
        <v>796</v>
      </c>
      <c r="O199" s="5">
        <v>45240</v>
      </c>
      <c r="P199" s="5">
        <v>43777</v>
      </c>
      <c r="Q199" s="3">
        <v>138.80000000000001</v>
      </c>
      <c r="S199">
        <f t="shared" si="9"/>
        <v>1464</v>
      </c>
      <c r="T199">
        <f t="shared" si="10"/>
        <v>16.043835616438358</v>
      </c>
      <c r="U199" s="6">
        <f t="shared" si="11"/>
        <v>-4.0167799145211625E-2</v>
      </c>
    </row>
    <row r="200" spans="1:21" x14ac:dyDescent="0.25">
      <c r="A200" t="s">
        <v>797</v>
      </c>
      <c r="B200" t="s">
        <v>798</v>
      </c>
      <c r="C200" t="s">
        <v>14</v>
      </c>
      <c r="D200">
        <v>65.8</v>
      </c>
      <c r="E200">
        <v>68.900000000000006</v>
      </c>
      <c r="F200">
        <v>65.7</v>
      </c>
      <c r="G200" s="3">
        <v>66.150000000000006</v>
      </c>
      <c r="H200">
        <v>66.2</v>
      </c>
      <c r="I200">
        <v>65.5</v>
      </c>
      <c r="J200">
        <v>790810</v>
      </c>
      <c r="K200">
        <v>52748824.100000001</v>
      </c>
      <c r="L200" s="1">
        <v>45240</v>
      </c>
      <c r="M200">
        <v>3272</v>
      </c>
      <c r="N200" t="s">
        <v>799</v>
      </c>
      <c r="O200" s="5">
        <v>45240</v>
      </c>
      <c r="P200" s="5">
        <v>43777</v>
      </c>
      <c r="Q200" s="3">
        <v>10.7</v>
      </c>
      <c r="S200">
        <f t="shared" si="9"/>
        <v>1464</v>
      </c>
      <c r="T200">
        <f t="shared" si="10"/>
        <v>16.043835616438358</v>
      </c>
      <c r="U200" s="6">
        <f t="shared" si="11"/>
        <v>0.48096467956637312</v>
      </c>
    </row>
    <row r="201" spans="1:21" x14ac:dyDescent="0.25">
      <c r="A201" t="s">
        <v>800</v>
      </c>
      <c r="B201" t="s">
        <v>801</v>
      </c>
      <c r="C201" t="s">
        <v>14</v>
      </c>
      <c r="D201">
        <v>265.05</v>
      </c>
      <c r="E201">
        <v>278</v>
      </c>
      <c r="F201">
        <v>261.3</v>
      </c>
      <c r="G201" s="3">
        <v>274.45</v>
      </c>
      <c r="H201">
        <v>274</v>
      </c>
      <c r="I201">
        <v>267.39999999999998</v>
      </c>
      <c r="J201">
        <v>3068143</v>
      </c>
      <c r="K201">
        <v>840081958.5</v>
      </c>
      <c r="L201" s="1">
        <v>45240</v>
      </c>
      <c r="M201">
        <v>54737</v>
      </c>
      <c r="N201" t="s">
        <v>802</v>
      </c>
      <c r="O201" s="5">
        <v>45240</v>
      </c>
      <c r="P201" s="5">
        <v>43777</v>
      </c>
      <c r="Q201" s="3">
        <v>65.400000000000006</v>
      </c>
      <c r="S201">
        <f t="shared" si="9"/>
        <v>1464</v>
      </c>
      <c r="T201">
        <f t="shared" si="10"/>
        <v>16.043835616438358</v>
      </c>
      <c r="U201" s="6">
        <f t="shared" si="11"/>
        <v>0.37405225626438021</v>
      </c>
    </row>
    <row r="202" spans="1:21" x14ac:dyDescent="0.25">
      <c r="A202" t="s">
        <v>806</v>
      </c>
      <c r="B202" t="s">
        <v>807</v>
      </c>
      <c r="C202" t="s">
        <v>14</v>
      </c>
      <c r="D202">
        <v>6699.8</v>
      </c>
      <c r="E202">
        <v>6829</v>
      </c>
      <c r="F202">
        <v>6649.2</v>
      </c>
      <c r="G202" s="3">
        <v>6807.15</v>
      </c>
      <c r="H202">
        <v>6787.65</v>
      </c>
      <c r="I202">
        <v>6699.8</v>
      </c>
      <c r="J202">
        <v>29853</v>
      </c>
      <c r="K202">
        <v>201260918.90000001</v>
      </c>
      <c r="L202" s="1">
        <v>45240</v>
      </c>
      <c r="M202">
        <v>4850</v>
      </c>
      <c r="N202" t="s">
        <v>808</v>
      </c>
      <c r="O202" s="5">
        <v>45240</v>
      </c>
      <c r="P202" s="5">
        <v>43777</v>
      </c>
      <c r="Q202" s="3">
        <v>2260.8000000000002</v>
      </c>
      <c r="S202">
        <f t="shared" si="9"/>
        <v>1464</v>
      </c>
      <c r="T202">
        <f t="shared" si="10"/>
        <v>16.043835616438358</v>
      </c>
      <c r="U202" s="6">
        <f t="shared" si="11"/>
        <v>0.28447086661577359</v>
      </c>
    </row>
    <row r="203" spans="1:21" x14ac:dyDescent="0.25">
      <c r="A203" t="s">
        <v>812</v>
      </c>
      <c r="B203" t="s">
        <v>813</v>
      </c>
      <c r="C203" t="s">
        <v>14</v>
      </c>
      <c r="D203">
        <v>922</v>
      </c>
      <c r="E203">
        <v>959.5</v>
      </c>
      <c r="F203">
        <v>915.95</v>
      </c>
      <c r="G203" s="3">
        <v>950</v>
      </c>
      <c r="H203">
        <v>948.6</v>
      </c>
      <c r="I203">
        <v>921.8</v>
      </c>
      <c r="J203">
        <v>223767</v>
      </c>
      <c r="K203">
        <v>211095597.59999999</v>
      </c>
      <c r="L203" s="1">
        <v>45240</v>
      </c>
      <c r="M203">
        <v>18204</v>
      </c>
      <c r="N203" t="s">
        <v>814</v>
      </c>
      <c r="O203" s="5">
        <v>45240</v>
      </c>
      <c r="P203" s="5">
        <v>43777</v>
      </c>
      <c r="Q203" s="3">
        <v>797.15</v>
      </c>
      <c r="S203">
        <f t="shared" si="9"/>
        <v>1464</v>
      </c>
      <c r="T203">
        <f t="shared" si="10"/>
        <v>16.043835616438358</v>
      </c>
      <c r="U203" s="6">
        <f t="shared" si="11"/>
        <v>4.3974924730253662E-2</v>
      </c>
    </row>
    <row r="204" spans="1:21" x14ac:dyDescent="0.25">
      <c r="A204" t="s">
        <v>815</v>
      </c>
      <c r="B204" t="s">
        <v>816</v>
      </c>
      <c r="C204" t="s">
        <v>14</v>
      </c>
      <c r="D204">
        <v>73.7</v>
      </c>
      <c r="E204">
        <v>74.3</v>
      </c>
      <c r="F204">
        <v>72.95</v>
      </c>
      <c r="G204" s="3">
        <v>73.349999999999994</v>
      </c>
      <c r="H204">
        <v>73.8</v>
      </c>
      <c r="I204">
        <v>73.7</v>
      </c>
      <c r="J204">
        <v>179470</v>
      </c>
      <c r="K204">
        <v>13194030.449999999</v>
      </c>
      <c r="L204" s="1">
        <v>45240</v>
      </c>
      <c r="M204">
        <v>2059</v>
      </c>
      <c r="N204" t="s">
        <v>817</v>
      </c>
      <c r="O204" s="5">
        <v>45240</v>
      </c>
      <c r="P204" s="5">
        <v>43777</v>
      </c>
      <c r="Q204" s="3">
        <v>76.3</v>
      </c>
      <c r="S204">
        <f t="shared" si="9"/>
        <v>1464</v>
      </c>
      <c r="T204">
        <f t="shared" si="10"/>
        <v>16.043835616438358</v>
      </c>
      <c r="U204" s="6">
        <f t="shared" si="11"/>
        <v>-9.8186046878203648E-3</v>
      </c>
    </row>
    <row r="205" spans="1:21" x14ac:dyDescent="0.25">
      <c r="A205" t="s">
        <v>821</v>
      </c>
      <c r="B205" t="s">
        <v>822</v>
      </c>
      <c r="C205" t="s">
        <v>14</v>
      </c>
      <c r="D205">
        <v>154</v>
      </c>
      <c r="E205">
        <v>155.75</v>
      </c>
      <c r="F205">
        <v>153.05000000000001</v>
      </c>
      <c r="G205" s="3">
        <v>154.80000000000001</v>
      </c>
      <c r="H205">
        <v>155.4</v>
      </c>
      <c r="I205">
        <v>154.30000000000001</v>
      </c>
      <c r="J205">
        <v>1285831</v>
      </c>
      <c r="K205">
        <v>198562530.90000001</v>
      </c>
      <c r="L205" s="1">
        <v>45240</v>
      </c>
      <c r="M205">
        <v>10392</v>
      </c>
      <c r="N205" t="s">
        <v>823</v>
      </c>
      <c r="O205" s="5">
        <v>45240</v>
      </c>
      <c r="P205" s="5">
        <v>43777</v>
      </c>
      <c r="Q205" s="3">
        <v>90.85</v>
      </c>
      <c r="S205">
        <f t="shared" si="9"/>
        <v>1464</v>
      </c>
      <c r="T205">
        <f t="shared" si="10"/>
        <v>16.043835616438358</v>
      </c>
      <c r="U205" s="6">
        <f t="shared" si="11"/>
        <v>0.13509836549690224</v>
      </c>
    </row>
    <row r="206" spans="1:21" x14ac:dyDescent="0.25">
      <c r="A206" t="s">
        <v>830</v>
      </c>
      <c r="B206" t="s">
        <v>831</v>
      </c>
      <c r="C206" t="s">
        <v>14</v>
      </c>
      <c r="D206">
        <v>19325.099999999999</v>
      </c>
      <c r="E206">
        <v>19800</v>
      </c>
      <c r="F206">
        <v>19315.2</v>
      </c>
      <c r="G206" s="3">
        <v>19572.45</v>
      </c>
      <c r="H206">
        <v>19585</v>
      </c>
      <c r="I206">
        <v>19535</v>
      </c>
      <c r="J206">
        <v>35887</v>
      </c>
      <c r="K206">
        <v>703379553.64999998</v>
      </c>
      <c r="L206" s="1">
        <v>45240</v>
      </c>
      <c r="M206">
        <v>11450</v>
      </c>
      <c r="N206" t="s">
        <v>832</v>
      </c>
      <c r="O206" s="5">
        <v>45240</v>
      </c>
      <c r="P206" s="5">
        <v>43777</v>
      </c>
      <c r="Q206" s="3">
        <v>15353.85</v>
      </c>
      <c r="S206">
        <f t="shared" si="9"/>
        <v>1464</v>
      </c>
      <c r="T206">
        <f t="shared" si="10"/>
        <v>16.043835616438358</v>
      </c>
      <c r="U206" s="6">
        <f t="shared" si="11"/>
        <v>6.0983562433247762E-2</v>
      </c>
    </row>
    <row r="207" spans="1:21" x14ac:dyDescent="0.25">
      <c r="A207" t="s">
        <v>833</v>
      </c>
      <c r="B207" t="s">
        <v>834</v>
      </c>
      <c r="C207" t="s">
        <v>14</v>
      </c>
      <c r="D207">
        <v>381.8</v>
      </c>
      <c r="E207">
        <v>386.1</v>
      </c>
      <c r="F207">
        <v>380.5</v>
      </c>
      <c r="G207" s="3">
        <v>384.05</v>
      </c>
      <c r="H207">
        <v>383.4</v>
      </c>
      <c r="I207">
        <v>383.55</v>
      </c>
      <c r="J207">
        <v>2466243</v>
      </c>
      <c r="K207">
        <v>946784375.54999995</v>
      </c>
      <c r="L207" s="1">
        <v>45240</v>
      </c>
      <c r="M207">
        <v>48450</v>
      </c>
      <c r="N207" t="s">
        <v>835</v>
      </c>
      <c r="O207" s="5">
        <v>45240</v>
      </c>
      <c r="P207" s="5">
        <v>43777</v>
      </c>
      <c r="Q207" s="3">
        <v>502.75</v>
      </c>
      <c r="S207">
        <f t="shared" si="9"/>
        <v>1464</v>
      </c>
      <c r="T207">
        <f t="shared" si="10"/>
        <v>16.043835616438358</v>
      </c>
      <c r="U207" s="6">
        <f t="shared" si="11"/>
        <v>-6.6585672451143996E-2</v>
      </c>
    </row>
    <row r="208" spans="1:21" x14ac:dyDescent="0.25">
      <c r="A208" t="s">
        <v>836</v>
      </c>
      <c r="B208" t="s">
        <v>837</v>
      </c>
      <c r="C208" t="s">
        <v>10</v>
      </c>
      <c r="D208">
        <v>81.400000000000006</v>
      </c>
      <c r="E208">
        <v>85.45</v>
      </c>
      <c r="F208">
        <v>78.150000000000006</v>
      </c>
      <c r="G208" s="3">
        <v>85.45</v>
      </c>
      <c r="H208">
        <v>85.45</v>
      </c>
      <c r="I208">
        <v>81.400000000000006</v>
      </c>
      <c r="J208">
        <v>119091</v>
      </c>
      <c r="K208">
        <v>9928998.1999999993</v>
      </c>
      <c r="L208" s="1">
        <v>45240</v>
      </c>
      <c r="M208">
        <v>491</v>
      </c>
      <c r="N208" t="s">
        <v>838</v>
      </c>
      <c r="O208" s="5">
        <v>45240</v>
      </c>
      <c r="P208" s="5">
        <v>43777</v>
      </c>
      <c r="Q208" s="3">
        <v>18.95</v>
      </c>
      <c r="S208">
        <f t="shared" si="9"/>
        <v>1464</v>
      </c>
      <c r="T208">
        <f t="shared" si="10"/>
        <v>16.043835616438358</v>
      </c>
      <c r="U208" s="6">
        <f t="shared" si="11"/>
        <v>0.39369313654416516</v>
      </c>
    </row>
    <row r="209" spans="1:21" x14ac:dyDescent="0.25">
      <c r="A209" t="s">
        <v>839</v>
      </c>
      <c r="B209" t="s">
        <v>840</v>
      </c>
      <c r="C209" t="s">
        <v>14</v>
      </c>
      <c r="D209">
        <v>702.45</v>
      </c>
      <c r="E209">
        <v>721</v>
      </c>
      <c r="F209">
        <v>695.1</v>
      </c>
      <c r="G209" s="3">
        <v>700.9</v>
      </c>
      <c r="H209">
        <v>703.95</v>
      </c>
      <c r="I209">
        <v>695.45</v>
      </c>
      <c r="J209">
        <v>569549</v>
      </c>
      <c r="K209">
        <v>403455203.14999998</v>
      </c>
      <c r="L209" s="1">
        <v>45240</v>
      </c>
      <c r="M209">
        <v>27202</v>
      </c>
      <c r="N209" t="s">
        <v>841</v>
      </c>
      <c r="O209" s="5">
        <v>45240</v>
      </c>
      <c r="P209" s="5">
        <v>43777</v>
      </c>
      <c r="Q209" s="3">
        <v>212.9</v>
      </c>
      <c r="S209">
        <f t="shared" si="9"/>
        <v>1464</v>
      </c>
      <c r="T209">
        <f t="shared" si="10"/>
        <v>16.043835616438358</v>
      </c>
      <c r="U209" s="6">
        <f t="shared" si="11"/>
        <v>0.30838146330993688</v>
      </c>
    </row>
    <row r="210" spans="1:21" x14ac:dyDescent="0.25">
      <c r="A210" t="s">
        <v>6820</v>
      </c>
      <c r="B210" t="s">
        <v>7798</v>
      </c>
      <c r="C210" t="s">
        <v>5788</v>
      </c>
      <c r="D210">
        <v>5.05</v>
      </c>
      <c r="E210">
        <v>5.15</v>
      </c>
      <c r="F210">
        <v>5.05</v>
      </c>
      <c r="G210" s="3">
        <v>5.0999999999999996</v>
      </c>
      <c r="H210">
        <v>5.0999999999999996</v>
      </c>
      <c r="I210">
        <v>5.0999999999999996</v>
      </c>
      <c r="J210">
        <v>48000</v>
      </c>
      <c r="K210">
        <v>245550</v>
      </c>
      <c r="L210" s="1">
        <v>45240</v>
      </c>
      <c r="M210">
        <v>15</v>
      </c>
      <c r="N210" t="s">
        <v>6819</v>
      </c>
      <c r="O210" s="5">
        <v>45240</v>
      </c>
      <c r="P210" s="5">
        <v>43777</v>
      </c>
      <c r="Q210" s="3">
        <v>18.05</v>
      </c>
      <c r="S210">
        <f t="shared" si="9"/>
        <v>1464</v>
      </c>
      <c r="T210">
        <f t="shared" si="10"/>
        <v>16.043835616438358</v>
      </c>
      <c r="U210" s="6">
        <f t="shared" si="11"/>
        <v>-0.30302055379706028</v>
      </c>
    </row>
    <row r="211" spans="1:21" x14ac:dyDescent="0.25">
      <c r="A211" t="s">
        <v>842</v>
      </c>
      <c r="B211" t="s">
        <v>843</v>
      </c>
      <c r="C211" t="s">
        <v>14</v>
      </c>
      <c r="D211">
        <v>4657.45</v>
      </c>
      <c r="E211">
        <v>4685.8500000000004</v>
      </c>
      <c r="F211">
        <v>4621</v>
      </c>
      <c r="G211" s="3">
        <v>4681.95</v>
      </c>
      <c r="H211">
        <v>4677.6000000000004</v>
      </c>
      <c r="I211">
        <v>4652.1000000000004</v>
      </c>
      <c r="J211">
        <v>142336</v>
      </c>
      <c r="K211">
        <v>663759638</v>
      </c>
      <c r="L211" s="1">
        <v>45240</v>
      </c>
      <c r="M211">
        <v>18848</v>
      </c>
      <c r="N211" t="s">
        <v>844</v>
      </c>
      <c r="O211" s="5">
        <v>45240</v>
      </c>
      <c r="P211" s="5">
        <v>43777</v>
      </c>
      <c r="Q211" s="3">
        <v>3158</v>
      </c>
      <c r="S211">
        <f t="shared" si="9"/>
        <v>1464</v>
      </c>
      <c r="T211">
        <f t="shared" si="10"/>
        <v>16.043835616438358</v>
      </c>
      <c r="U211" s="6">
        <f t="shared" si="11"/>
        <v>9.938967905621876E-2</v>
      </c>
    </row>
    <row r="212" spans="1:21" x14ac:dyDescent="0.25">
      <c r="A212" t="s">
        <v>842</v>
      </c>
      <c r="B212" t="s">
        <v>843</v>
      </c>
      <c r="C212" t="s">
        <v>6182</v>
      </c>
      <c r="D212">
        <v>29.23</v>
      </c>
      <c r="E212">
        <v>29.3</v>
      </c>
      <c r="F212">
        <v>29.23</v>
      </c>
      <c r="G212" s="3">
        <v>29.24</v>
      </c>
      <c r="H212">
        <v>29.24</v>
      </c>
      <c r="I212">
        <v>29.23</v>
      </c>
      <c r="J212">
        <v>2821</v>
      </c>
      <c r="K212">
        <v>82485.03</v>
      </c>
      <c r="L212" s="1">
        <v>45240</v>
      </c>
      <c r="M212">
        <v>41</v>
      </c>
      <c r="N212" t="s">
        <v>6818</v>
      </c>
      <c r="O212" s="5">
        <v>45240</v>
      </c>
      <c r="P212" s="5">
        <v>43777</v>
      </c>
      <c r="Q212" s="3">
        <v>3158</v>
      </c>
      <c r="S212">
        <f t="shared" si="9"/>
        <v>1464</v>
      </c>
      <c r="T212">
        <f t="shared" si="10"/>
        <v>16.043835616438358</v>
      </c>
      <c r="U212" s="6">
        <f t="shared" si="11"/>
        <v>-1.0124336544787482</v>
      </c>
    </row>
    <row r="213" spans="1:21" x14ac:dyDescent="0.25">
      <c r="A213" t="s">
        <v>845</v>
      </c>
      <c r="B213" t="s">
        <v>846</v>
      </c>
      <c r="C213" t="s">
        <v>14</v>
      </c>
      <c r="D213">
        <v>40.6</v>
      </c>
      <c r="E213">
        <v>41.45</v>
      </c>
      <c r="F213">
        <v>39.700000000000003</v>
      </c>
      <c r="G213" s="3">
        <v>40.200000000000003</v>
      </c>
      <c r="H213">
        <v>40.35</v>
      </c>
      <c r="I213">
        <v>41.2</v>
      </c>
      <c r="J213">
        <v>131248</v>
      </c>
      <c r="K213">
        <v>5269201.0999999996</v>
      </c>
      <c r="L213" s="1">
        <v>45240</v>
      </c>
      <c r="M213">
        <v>1010</v>
      </c>
      <c r="N213" t="s">
        <v>847</v>
      </c>
      <c r="O213" s="5">
        <v>45240</v>
      </c>
      <c r="P213" s="5">
        <v>43777</v>
      </c>
      <c r="Q213" s="3">
        <v>62.1</v>
      </c>
      <c r="S213">
        <f t="shared" si="9"/>
        <v>1464</v>
      </c>
      <c r="T213">
        <f t="shared" si="10"/>
        <v>16.043835616438358</v>
      </c>
      <c r="U213" s="6">
        <f t="shared" si="11"/>
        <v>-0.10696645180106179</v>
      </c>
    </row>
    <row r="214" spans="1:21" x14ac:dyDescent="0.25">
      <c r="A214" t="s">
        <v>848</v>
      </c>
      <c r="B214" t="s">
        <v>849</v>
      </c>
      <c r="C214" t="s">
        <v>10</v>
      </c>
      <c r="D214">
        <v>122.6</v>
      </c>
      <c r="E214">
        <v>122.6</v>
      </c>
      <c r="F214">
        <v>122.6</v>
      </c>
      <c r="G214" s="3">
        <v>122.6</v>
      </c>
      <c r="H214">
        <v>122.6</v>
      </c>
      <c r="I214">
        <v>120.2</v>
      </c>
      <c r="J214">
        <v>40467</v>
      </c>
      <c r="K214">
        <v>4961254.2</v>
      </c>
      <c r="L214" s="1">
        <v>45240</v>
      </c>
      <c r="M214">
        <v>111</v>
      </c>
      <c r="N214" t="s">
        <v>850</v>
      </c>
      <c r="O214" s="5">
        <v>45240</v>
      </c>
      <c r="P214" s="5">
        <v>43777</v>
      </c>
      <c r="Q214" s="3">
        <v>32.450000000000003</v>
      </c>
      <c r="S214">
        <f t="shared" si="9"/>
        <v>1464</v>
      </c>
      <c r="T214">
        <f t="shared" si="10"/>
        <v>16.043835616438358</v>
      </c>
      <c r="U214" s="6">
        <f t="shared" si="11"/>
        <v>0.34551394943894476</v>
      </c>
    </row>
    <row r="215" spans="1:21" x14ac:dyDescent="0.25">
      <c r="A215" t="s">
        <v>851</v>
      </c>
      <c r="B215" t="s">
        <v>852</v>
      </c>
      <c r="C215" t="s">
        <v>14</v>
      </c>
      <c r="D215">
        <v>1970</v>
      </c>
      <c r="E215">
        <v>2055</v>
      </c>
      <c r="F215">
        <v>1965.15</v>
      </c>
      <c r="G215" s="3">
        <v>2010.75</v>
      </c>
      <c r="H215">
        <v>2029</v>
      </c>
      <c r="I215">
        <v>1963.45</v>
      </c>
      <c r="J215">
        <v>1693527</v>
      </c>
      <c r="K215">
        <v>3417037663.5500002</v>
      </c>
      <c r="L215" s="1">
        <v>45240</v>
      </c>
      <c r="M215">
        <v>73002</v>
      </c>
      <c r="N215" t="s">
        <v>853</v>
      </c>
      <c r="O215" s="5">
        <v>45240</v>
      </c>
      <c r="P215" s="5">
        <v>43777</v>
      </c>
      <c r="Q215" s="3">
        <v>525.85</v>
      </c>
      <c r="S215">
        <f t="shared" si="9"/>
        <v>1464</v>
      </c>
      <c r="T215">
        <f t="shared" si="10"/>
        <v>16.043835616438358</v>
      </c>
      <c r="U215" s="6">
        <f t="shared" si="11"/>
        <v>0.34877094839381506</v>
      </c>
    </row>
    <row r="216" spans="1:21" x14ac:dyDescent="0.25">
      <c r="A216" t="s">
        <v>854</v>
      </c>
      <c r="B216" t="s">
        <v>855</v>
      </c>
      <c r="C216" t="s">
        <v>14</v>
      </c>
      <c r="D216">
        <v>242.15</v>
      </c>
      <c r="E216">
        <v>249</v>
      </c>
      <c r="F216">
        <v>242.05</v>
      </c>
      <c r="G216" s="3">
        <v>248.05</v>
      </c>
      <c r="H216">
        <v>248.9</v>
      </c>
      <c r="I216">
        <v>241.85</v>
      </c>
      <c r="J216">
        <v>23488</v>
      </c>
      <c r="K216">
        <v>5806068.2999999998</v>
      </c>
      <c r="L216" s="1">
        <v>45240</v>
      </c>
      <c r="M216">
        <v>493</v>
      </c>
      <c r="N216" t="s">
        <v>856</v>
      </c>
      <c r="O216" s="5">
        <v>45240</v>
      </c>
      <c r="P216" s="5">
        <v>43777</v>
      </c>
      <c r="Q216" s="3">
        <v>117.45</v>
      </c>
      <c r="S216">
        <f t="shared" si="9"/>
        <v>1464</v>
      </c>
      <c r="T216">
        <f t="shared" si="10"/>
        <v>16.043835616438358</v>
      </c>
      <c r="U216" s="6">
        <f t="shared" si="11"/>
        <v>0.19080481693444007</v>
      </c>
    </row>
    <row r="217" spans="1:21" x14ac:dyDescent="0.25">
      <c r="A217" t="s">
        <v>857</v>
      </c>
      <c r="B217" t="s">
        <v>858</v>
      </c>
      <c r="C217" t="s">
        <v>14</v>
      </c>
      <c r="D217">
        <v>180</v>
      </c>
      <c r="E217">
        <v>180</v>
      </c>
      <c r="F217">
        <v>173.05</v>
      </c>
      <c r="G217" s="3">
        <v>177.7</v>
      </c>
      <c r="H217">
        <v>177.05</v>
      </c>
      <c r="I217">
        <v>176.8</v>
      </c>
      <c r="J217">
        <v>3200</v>
      </c>
      <c r="K217">
        <v>565669.85</v>
      </c>
      <c r="L217" s="1">
        <v>45240</v>
      </c>
      <c r="M217">
        <v>221</v>
      </c>
      <c r="N217" t="s">
        <v>859</v>
      </c>
      <c r="O217" s="5">
        <v>45240</v>
      </c>
      <c r="P217" s="5">
        <v>43777</v>
      </c>
      <c r="Q217" s="3">
        <v>26.3</v>
      </c>
      <c r="S217">
        <f t="shared" si="9"/>
        <v>1464</v>
      </c>
      <c r="T217">
        <f t="shared" si="10"/>
        <v>16.043835616438358</v>
      </c>
      <c r="U217" s="6">
        <f t="shared" si="11"/>
        <v>0.50584794771768582</v>
      </c>
    </row>
    <row r="218" spans="1:21" x14ac:dyDescent="0.25">
      <c r="A218" t="s">
        <v>6817</v>
      </c>
      <c r="B218" t="s">
        <v>7798</v>
      </c>
      <c r="C218" t="s">
        <v>14</v>
      </c>
      <c r="D218">
        <v>53.89</v>
      </c>
      <c r="E218">
        <v>54.47</v>
      </c>
      <c r="F218">
        <v>53.88</v>
      </c>
      <c r="G218" s="3">
        <v>54.33</v>
      </c>
      <c r="H218">
        <v>54.35</v>
      </c>
      <c r="I218">
        <v>53.84</v>
      </c>
      <c r="J218">
        <v>455241</v>
      </c>
      <c r="K218">
        <v>24608732.309999999</v>
      </c>
      <c r="L218" s="1">
        <v>45240</v>
      </c>
      <c r="M218">
        <v>670</v>
      </c>
      <c r="N218" t="s">
        <v>6816</v>
      </c>
      <c r="O218" s="5">
        <v>45240</v>
      </c>
      <c r="P218" s="5">
        <v>43777</v>
      </c>
      <c r="Q218" s="3">
        <v>3507</v>
      </c>
      <c r="S218">
        <f t="shared" si="9"/>
        <v>1464</v>
      </c>
      <c r="T218">
        <f t="shared" si="10"/>
        <v>16.043835616438358</v>
      </c>
      <c r="U218" s="6">
        <f t="shared" si="11"/>
        <v>-0.91503277450666154</v>
      </c>
    </row>
    <row r="219" spans="1:21" x14ac:dyDescent="0.25">
      <c r="A219" t="s">
        <v>6815</v>
      </c>
      <c r="B219" t="s">
        <v>7798</v>
      </c>
      <c r="C219" t="s">
        <v>14</v>
      </c>
      <c r="D219">
        <v>21.71</v>
      </c>
      <c r="E219">
        <v>22.12</v>
      </c>
      <c r="F219">
        <v>21.71</v>
      </c>
      <c r="G219" s="3">
        <v>22.06</v>
      </c>
      <c r="H219">
        <v>22.12</v>
      </c>
      <c r="I219">
        <v>22.03</v>
      </c>
      <c r="J219">
        <v>41906</v>
      </c>
      <c r="K219">
        <v>922800.98</v>
      </c>
      <c r="L219" s="1">
        <v>45240</v>
      </c>
      <c r="M219">
        <v>2486</v>
      </c>
      <c r="N219" t="s">
        <v>6814</v>
      </c>
      <c r="O219" s="5">
        <v>45240</v>
      </c>
      <c r="P219" s="5">
        <v>43777</v>
      </c>
      <c r="Q219" s="3">
        <v>129.63</v>
      </c>
      <c r="S219">
        <f t="shared" si="9"/>
        <v>1464</v>
      </c>
      <c r="T219">
        <f t="shared" si="10"/>
        <v>16.043835616438358</v>
      </c>
      <c r="U219" s="6">
        <f t="shared" si="11"/>
        <v>-0.41802478974968205</v>
      </c>
    </row>
    <row r="220" spans="1:21" x14ac:dyDescent="0.25">
      <c r="A220" t="s">
        <v>860</v>
      </c>
      <c r="B220" t="s">
        <v>861</v>
      </c>
      <c r="C220" t="s">
        <v>14</v>
      </c>
      <c r="D220">
        <v>584.6</v>
      </c>
      <c r="E220">
        <v>593.9</v>
      </c>
      <c r="F220">
        <v>580</v>
      </c>
      <c r="G220" s="3">
        <v>583.4</v>
      </c>
      <c r="H220">
        <v>583.95000000000005</v>
      </c>
      <c r="I220">
        <v>583</v>
      </c>
      <c r="J220">
        <v>2069707</v>
      </c>
      <c r="K220">
        <v>1211610313.6500001</v>
      </c>
      <c r="L220" s="1">
        <v>45240</v>
      </c>
      <c r="M220">
        <v>32869</v>
      </c>
      <c r="N220" t="s">
        <v>862</v>
      </c>
      <c r="O220" s="5">
        <v>45240</v>
      </c>
      <c r="P220" s="5">
        <v>43777</v>
      </c>
      <c r="Q220" s="3">
        <v>63.4</v>
      </c>
      <c r="S220">
        <f t="shared" si="9"/>
        <v>1464</v>
      </c>
      <c r="T220">
        <f t="shared" si="10"/>
        <v>16.043835616438358</v>
      </c>
      <c r="U220" s="6">
        <f t="shared" si="11"/>
        <v>0.59343650755638055</v>
      </c>
    </row>
    <row r="221" spans="1:21" x14ac:dyDescent="0.25">
      <c r="A221" t="s">
        <v>866</v>
      </c>
      <c r="B221" t="s">
        <v>867</v>
      </c>
      <c r="C221" t="s">
        <v>14</v>
      </c>
      <c r="D221">
        <v>6.4</v>
      </c>
      <c r="E221">
        <v>6.75</v>
      </c>
      <c r="F221">
        <v>6.4</v>
      </c>
      <c r="G221" s="3">
        <v>6.65</v>
      </c>
      <c r="H221">
        <v>6.7</v>
      </c>
      <c r="I221">
        <v>6.35</v>
      </c>
      <c r="J221">
        <v>1671014</v>
      </c>
      <c r="K221">
        <v>11104687.550000001</v>
      </c>
      <c r="L221" s="1">
        <v>45240</v>
      </c>
      <c r="M221">
        <v>1708</v>
      </c>
      <c r="N221" t="s">
        <v>868</v>
      </c>
      <c r="O221" s="5">
        <v>45240</v>
      </c>
      <c r="P221" s="5">
        <v>43777</v>
      </c>
      <c r="Q221" s="3">
        <v>1.25</v>
      </c>
      <c r="S221">
        <f t="shared" si="9"/>
        <v>1464</v>
      </c>
      <c r="T221">
        <f t="shared" si="10"/>
        <v>16.043835616438358</v>
      </c>
      <c r="U221" s="6">
        <f t="shared" si="11"/>
        <v>0.43920813868410935</v>
      </c>
    </row>
    <row r="222" spans="1:21" x14ac:dyDescent="0.25">
      <c r="A222" t="s">
        <v>869</v>
      </c>
      <c r="B222" t="s">
        <v>870</v>
      </c>
      <c r="C222" t="s">
        <v>14</v>
      </c>
      <c r="D222">
        <v>1063.05</v>
      </c>
      <c r="E222">
        <v>1090</v>
      </c>
      <c r="F222">
        <v>1063.05</v>
      </c>
      <c r="G222" s="3">
        <v>1079.6500000000001</v>
      </c>
      <c r="H222">
        <v>1080</v>
      </c>
      <c r="I222">
        <v>1074.8499999999999</v>
      </c>
      <c r="J222">
        <v>2226</v>
      </c>
      <c r="K222">
        <v>2405560.4</v>
      </c>
      <c r="L222" s="1">
        <v>45240</v>
      </c>
      <c r="M222">
        <v>446</v>
      </c>
      <c r="N222" t="s">
        <v>871</v>
      </c>
      <c r="O222" s="5">
        <v>45240</v>
      </c>
      <c r="P222" s="5">
        <v>43777</v>
      </c>
      <c r="Q222" s="3">
        <v>190.6</v>
      </c>
      <c r="S222">
        <f t="shared" si="9"/>
        <v>1464</v>
      </c>
      <c r="T222">
        <f t="shared" si="10"/>
        <v>16.043835616438358</v>
      </c>
      <c r="U222" s="6">
        <f t="shared" si="11"/>
        <v>0.45660233742738132</v>
      </c>
    </row>
    <row r="223" spans="1:21" x14ac:dyDescent="0.25">
      <c r="A223" t="s">
        <v>872</v>
      </c>
      <c r="B223" t="s">
        <v>873</v>
      </c>
      <c r="C223" t="s">
        <v>10</v>
      </c>
      <c r="D223">
        <v>44</v>
      </c>
      <c r="E223">
        <v>44.9</v>
      </c>
      <c r="F223">
        <v>41.5</v>
      </c>
      <c r="G223" s="3">
        <v>44.2</v>
      </c>
      <c r="H223">
        <v>44.5</v>
      </c>
      <c r="I223">
        <v>42.8</v>
      </c>
      <c r="J223">
        <v>62881</v>
      </c>
      <c r="K223">
        <v>2782093.7</v>
      </c>
      <c r="L223" s="1">
        <v>45240</v>
      </c>
      <c r="M223">
        <v>249</v>
      </c>
      <c r="N223" t="s">
        <v>874</v>
      </c>
      <c r="O223" s="5">
        <v>45240</v>
      </c>
      <c r="P223" s="5">
        <v>43777</v>
      </c>
      <c r="Q223" s="3">
        <v>10.65</v>
      </c>
      <c r="S223">
        <f t="shared" si="9"/>
        <v>1464</v>
      </c>
      <c r="T223">
        <f t="shared" si="10"/>
        <v>16.043835616438358</v>
      </c>
      <c r="U223" s="6">
        <f t="shared" si="11"/>
        <v>0.37103201552518783</v>
      </c>
    </row>
    <row r="224" spans="1:21" x14ac:dyDescent="0.25">
      <c r="A224" t="s">
        <v>875</v>
      </c>
      <c r="B224" t="s">
        <v>876</v>
      </c>
      <c r="C224" t="s">
        <v>14</v>
      </c>
      <c r="D224">
        <v>50</v>
      </c>
      <c r="E224">
        <v>52</v>
      </c>
      <c r="F224">
        <v>49.6</v>
      </c>
      <c r="G224" s="3">
        <v>49.85</v>
      </c>
      <c r="H224">
        <v>49.7</v>
      </c>
      <c r="I224">
        <v>49.6</v>
      </c>
      <c r="J224">
        <v>597081</v>
      </c>
      <c r="K224">
        <v>30430287.550000001</v>
      </c>
      <c r="L224" s="1">
        <v>45240</v>
      </c>
      <c r="M224">
        <v>2596</v>
      </c>
      <c r="N224" t="s">
        <v>877</v>
      </c>
      <c r="O224" s="5">
        <v>45240</v>
      </c>
      <c r="P224" s="5">
        <v>43777</v>
      </c>
      <c r="Q224" s="3">
        <v>21</v>
      </c>
      <c r="S224">
        <f t="shared" si="9"/>
        <v>1464</v>
      </c>
      <c r="T224">
        <f t="shared" si="10"/>
        <v>16.043835616438358</v>
      </c>
      <c r="U224" s="6">
        <f t="shared" si="11"/>
        <v>0.22144606632193042</v>
      </c>
    </row>
    <row r="225" spans="1:21" x14ac:dyDescent="0.25">
      <c r="A225" t="s">
        <v>6811</v>
      </c>
      <c r="B225" t="s">
        <v>7798</v>
      </c>
      <c r="C225" t="s">
        <v>5788</v>
      </c>
      <c r="D225">
        <v>200.95</v>
      </c>
      <c r="E225">
        <v>209.3</v>
      </c>
      <c r="F225">
        <v>200.95</v>
      </c>
      <c r="G225" s="3">
        <v>200.95</v>
      </c>
      <c r="H225">
        <v>200.95</v>
      </c>
      <c r="I225">
        <v>211.5</v>
      </c>
      <c r="J225">
        <v>24000</v>
      </c>
      <c r="K225">
        <v>4843150</v>
      </c>
      <c r="L225" s="1">
        <v>45240</v>
      </c>
      <c r="M225">
        <v>21</v>
      </c>
      <c r="N225" t="s">
        <v>6810</v>
      </c>
      <c r="O225" s="5">
        <v>45240</v>
      </c>
      <c r="P225" s="5">
        <v>43777</v>
      </c>
      <c r="Q225" s="3">
        <v>49.25</v>
      </c>
      <c r="S225">
        <f t="shared" si="9"/>
        <v>1464</v>
      </c>
      <c r="T225">
        <f t="shared" si="10"/>
        <v>16.043835616438358</v>
      </c>
      <c r="U225" s="6">
        <f t="shared" si="11"/>
        <v>0.36639799817648111</v>
      </c>
    </row>
    <row r="226" spans="1:21" x14ac:dyDescent="0.25">
      <c r="A226" t="s">
        <v>878</v>
      </c>
      <c r="B226" t="s">
        <v>879</v>
      </c>
      <c r="C226" t="s">
        <v>14</v>
      </c>
      <c r="D226">
        <v>14.15</v>
      </c>
      <c r="E226">
        <v>14.15</v>
      </c>
      <c r="F226">
        <v>13.5</v>
      </c>
      <c r="G226" s="3">
        <v>13.85</v>
      </c>
      <c r="H226">
        <v>13.9</v>
      </c>
      <c r="I226">
        <v>13.55</v>
      </c>
      <c r="J226">
        <v>9347</v>
      </c>
      <c r="K226">
        <v>128781.15</v>
      </c>
      <c r="L226" s="1">
        <v>45240</v>
      </c>
      <c r="M226">
        <v>162</v>
      </c>
      <c r="N226" t="s">
        <v>880</v>
      </c>
      <c r="O226" s="5">
        <v>45240</v>
      </c>
      <c r="P226" s="5">
        <v>43777</v>
      </c>
      <c r="Q226" s="3">
        <v>16.8</v>
      </c>
      <c r="S226">
        <f t="shared" si="9"/>
        <v>1464</v>
      </c>
      <c r="T226">
        <f t="shared" si="10"/>
        <v>16.043835616438358</v>
      </c>
      <c r="U226" s="6">
        <f t="shared" si="11"/>
        <v>-4.7852976872698072E-2</v>
      </c>
    </row>
    <row r="227" spans="1:21" x14ac:dyDescent="0.25">
      <c r="A227" t="s">
        <v>881</v>
      </c>
      <c r="B227" t="s">
        <v>882</v>
      </c>
      <c r="C227" t="s">
        <v>14</v>
      </c>
      <c r="D227">
        <v>128</v>
      </c>
      <c r="E227">
        <v>129.4</v>
      </c>
      <c r="F227">
        <v>127.2</v>
      </c>
      <c r="G227" s="3">
        <v>127.75</v>
      </c>
      <c r="H227">
        <v>127.75</v>
      </c>
      <c r="I227">
        <v>128.85</v>
      </c>
      <c r="J227">
        <v>393224</v>
      </c>
      <c r="K227">
        <v>50301607.799999997</v>
      </c>
      <c r="L227" s="1">
        <v>45240</v>
      </c>
      <c r="M227">
        <v>3118</v>
      </c>
      <c r="N227" t="s">
        <v>883</v>
      </c>
      <c r="O227" s="5">
        <v>45240</v>
      </c>
      <c r="P227" s="5">
        <v>43777</v>
      </c>
      <c r="Q227" s="3">
        <v>64.150000000000006</v>
      </c>
      <c r="S227">
        <f t="shared" si="9"/>
        <v>1464</v>
      </c>
      <c r="T227">
        <f t="shared" si="10"/>
        <v>16.043835616438358</v>
      </c>
      <c r="U227" s="6">
        <f t="shared" si="11"/>
        <v>0.17548252119200569</v>
      </c>
    </row>
    <row r="228" spans="1:21" x14ac:dyDescent="0.25">
      <c r="A228" t="s">
        <v>890</v>
      </c>
      <c r="B228" t="s">
        <v>891</v>
      </c>
      <c r="C228" t="s">
        <v>14</v>
      </c>
      <c r="D228">
        <v>383</v>
      </c>
      <c r="E228">
        <v>388.2</v>
      </c>
      <c r="F228">
        <v>381</v>
      </c>
      <c r="G228" s="3">
        <v>387.4</v>
      </c>
      <c r="H228">
        <v>387.95</v>
      </c>
      <c r="I228">
        <v>384</v>
      </c>
      <c r="J228">
        <v>3213479</v>
      </c>
      <c r="K228">
        <v>1239303449.45</v>
      </c>
      <c r="L228" s="1">
        <v>45240</v>
      </c>
      <c r="M228">
        <v>34992</v>
      </c>
      <c r="N228" t="s">
        <v>892</v>
      </c>
      <c r="O228" s="5">
        <v>45240</v>
      </c>
      <c r="P228" s="5">
        <v>43777</v>
      </c>
      <c r="Q228" s="3">
        <v>201.35</v>
      </c>
      <c r="S228">
        <f t="shared" si="9"/>
        <v>1464</v>
      </c>
      <c r="T228">
        <f t="shared" si="10"/>
        <v>16.043835616438358</v>
      </c>
      <c r="U228" s="6">
        <f t="shared" si="11"/>
        <v>0.16652946515379607</v>
      </c>
    </row>
    <row r="229" spans="1:21" x14ac:dyDescent="0.25">
      <c r="A229" t="s">
        <v>893</v>
      </c>
      <c r="B229" t="s">
        <v>894</v>
      </c>
      <c r="C229" t="s">
        <v>14</v>
      </c>
      <c r="D229">
        <v>753.9</v>
      </c>
      <c r="E229">
        <v>755.9</v>
      </c>
      <c r="F229">
        <v>746.7</v>
      </c>
      <c r="G229" s="3">
        <v>748.35</v>
      </c>
      <c r="H229">
        <v>748.65</v>
      </c>
      <c r="I229">
        <v>754.45</v>
      </c>
      <c r="J229">
        <v>199819</v>
      </c>
      <c r="K229">
        <v>149898715.44999999</v>
      </c>
      <c r="L229" s="1">
        <v>45240</v>
      </c>
      <c r="M229">
        <v>6414</v>
      </c>
      <c r="N229" t="s">
        <v>895</v>
      </c>
      <c r="O229" s="5">
        <v>45240</v>
      </c>
      <c r="P229" s="5">
        <v>43777</v>
      </c>
      <c r="Q229" s="3">
        <v>401.95</v>
      </c>
      <c r="S229">
        <f t="shared" si="9"/>
        <v>1464</v>
      </c>
      <c r="T229">
        <f t="shared" si="10"/>
        <v>16.043835616438358</v>
      </c>
      <c r="U229" s="6">
        <f t="shared" si="11"/>
        <v>0.15800198077009586</v>
      </c>
    </row>
    <row r="230" spans="1:21" x14ac:dyDescent="0.25">
      <c r="A230" t="s">
        <v>896</v>
      </c>
      <c r="B230" t="s">
        <v>897</v>
      </c>
      <c r="C230" t="s">
        <v>14</v>
      </c>
      <c r="D230">
        <v>206</v>
      </c>
      <c r="E230">
        <v>206</v>
      </c>
      <c r="F230">
        <v>199.1</v>
      </c>
      <c r="G230" s="3">
        <v>201.3</v>
      </c>
      <c r="H230">
        <v>200.1</v>
      </c>
      <c r="I230">
        <v>203.1</v>
      </c>
      <c r="J230">
        <v>47790</v>
      </c>
      <c r="K230">
        <v>9697533.0999999996</v>
      </c>
      <c r="L230" s="1">
        <v>45240</v>
      </c>
      <c r="M230">
        <v>1336</v>
      </c>
      <c r="N230" t="s">
        <v>898</v>
      </c>
      <c r="O230" s="5">
        <v>45240</v>
      </c>
      <c r="P230" s="5">
        <v>43777</v>
      </c>
      <c r="Q230" s="3">
        <v>207.7</v>
      </c>
      <c r="S230">
        <f t="shared" si="9"/>
        <v>1464</v>
      </c>
      <c r="T230">
        <f t="shared" si="10"/>
        <v>16.043835616438358</v>
      </c>
      <c r="U230" s="6">
        <f t="shared" si="11"/>
        <v>-7.795614536727058E-3</v>
      </c>
    </row>
    <row r="231" spans="1:21" x14ac:dyDescent="0.25">
      <c r="A231" t="s">
        <v>899</v>
      </c>
      <c r="B231" t="s">
        <v>900</v>
      </c>
      <c r="C231" t="s">
        <v>14</v>
      </c>
      <c r="D231">
        <v>224.2</v>
      </c>
      <c r="E231">
        <v>227.95</v>
      </c>
      <c r="F231">
        <v>221</v>
      </c>
      <c r="G231" s="3">
        <v>227</v>
      </c>
      <c r="H231">
        <v>226.8</v>
      </c>
      <c r="I231">
        <v>225.8</v>
      </c>
      <c r="J231">
        <v>897173</v>
      </c>
      <c r="K231">
        <v>202961706.65000001</v>
      </c>
      <c r="L231" s="1">
        <v>45240</v>
      </c>
      <c r="M231">
        <v>12734</v>
      </c>
      <c r="N231" t="s">
        <v>901</v>
      </c>
      <c r="O231" s="5">
        <v>45240</v>
      </c>
      <c r="P231" s="5">
        <v>43777</v>
      </c>
      <c r="Q231" s="3">
        <v>224.6</v>
      </c>
      <c r="S231">
        <f t="shared" si="9"/>
        <v>1464</v>
      </c>
      <c r="T231">
        <f t="shared" si="10"/>
        <v>16.043835616438358</v>
      </c>
      <c r="U231" s="6">
        <f t="shared" si="11"/>
        <v>2.6508615608094033E-3</v>
      </c>
    </row>
    <row r="232" spans="1:21" x14ac:dyDescent="0.25">
      <c r="A232" t="s">
        <v>902</v>
      </c>
      <c r="B232" t="s">
        <v>903</v>
      </c>
      <c r="C232" t="s">
        <v>14</v>
      </c>
      <c r="D232">
        <v>1115</v>
      </c>
      <c r="E232">
        <v>1230</v>
      </c>
      <c r="F232">
        <v>1111.55</v>
      </c>
      <c r="G232" s="3">
        <v>1199</v>
      </c>
      <c r="H232">
        <v>1205</v>
      </c>
      <c r="I232">
        <v>1106.45</v>
      </c>
      <c r="J232">
        <v>1483187</v>
      </c>
      <c r="K232">
        <v>1775937392.0999999</v>
      </c>
      <c r="L232" s="1">
        <v>45240</v>
      </c>
      <c r="M232">
        <v>79284</v>
      </c>
      <c r="N232" t="s">
        <v>904</v>
      </c>
      <c r="O232" s="5">
        <v>45240</v>
      </c>
      <c r="P232" s="5">
        <v>43777</v>
      </c>
      <c r="Q232" s="3">
        <v>375.1</v>
      </c>
      <c r="S232">
        <f t="shared" si="9"/>
        <v>1464</v>
      </c>
      <c r="T232">
        <f t="shared" si="10"/>
        <v>16.043835616438358</v>
      </c>
      <c r="U232" s="6">
        <f t="shared" si="11"/>
        <v>0.30046897048504473</v>
      </c>
    </row>
    <row r="233" spans="1:21" x14ac:dyDescent="0.25">
      <c r="A233" t="s">
        <v>905</v>
      </c>
      <c r="B233" t="s">
        <v>906</v>
      </c>
      <c r="C233" t="s">
        <v>14</v>
      </c>
      <c r="D233">
        <v>101.1</v>
      </c>
      <c r="E233">
        <v>101.1</v>
      </c>
      <c r="F233">
        <v>99</v>
      </c>
      <c r="G233" s="3">
        <v>99.35</v>
      </c>
      <c r="H233">
        <v>99</v>
      </c>
      <c r="I233">
        <v>99.7</v>
      </c>
      <c r="J233">
        <v>8189</v>
      </c>
      <c r="K233">
        <v>818661.6</v>
      </c>
      <c r="L233" s="1">
        <v>45240</v>
      </c>
      <c r="M233">
        <v>128</v>
      </c>
      <c r="N233" t="s">
        <v>907</v>
      </c>
      <c r="O233" s="5">
        <v>45240</v>
      </c>
      <c r="P233" s="5">
        <v>43777</v>
      </c>
      <c r="Q233" s="3">
        <v>82.95</v>
      </c>
      <c r="S233">
        <f t="shared" si="9"/>
        <v>1464</v>
      </c>
      <c r="T233">
        <f t="shared" si="10"/>
        <v>16.043835616438358</v>
      </c>
      <c r="U233" s="6">
        <f t="shared" si="11"/>
        <v>4.5233351660177945E-2</v>
      </c>
    </row>
    <row r="234" spans="1:21" x14ac:dyDescent="0.25">
      <c r="A234" t="s">
        <v>908</v>
      </c>
      <c r="B234" t="s">
        <v>909</v>
      </c>
      <c r="C234" t="s">
        <v>14</v>
      </c>
      <c r="D234">
        <v>1070</v>
      </c>
      <c r="E234">
        <v>1084.8499999999999</v>
      </c>
      <c r="F234">
        <v>1067.05</v>
      </c>
      <c r="G234" s="3">
        <v>1072.3499999999999</v>
      </c>
      <c r="H234">
        <v>1068</v>
      </c>
      <c r="I234">
        <v>1070.8499999999999</v>
      </c>
      <c r="J234">
        <v>50779</v>
      </c>
      <c r="K234">
        <v>54604312.200000003</v>
      </c>
      <c r="L234" s="1">
        <v>45240</v>
      </c>
      <c r="M234">
        <v>5427</v>
      </c>
      <c r="N234" t="s">
        <v>910</v>
      </c>
      <c r="O234" s="5">
        <v>45240</v>
      </c>
      <c r="P234" s="5">
        <v>43777</v>
      </c>
      <c r="Q234" s="3">
        <v>307.8</v>
      </c>
      <c r="S234">
        <f t="shared" si="9"/>
        <v>1464</v>
      </c>
      <c r="T234">
        <f t="shared" si="10"/>
        <v>16.043835616438358</v>
      </c>
      <c r="U234" s="6">
        <f t="shared" si="11"/>
        <v>0.32361158020520975</v>
      </c>
    </row>
    <row r="235" spans="1:21" x14ac:dyDescent="0.25">
      <c r="A235" t="s">
        <v>911</v>
      </c>
      <c r="B235" t="s">
        <v>912</v>
      </c>
      <c r="C235" t="s">
        <v>14</v>
      </c>
      <c r="D235">
        <v>217.55</v>
      </c>
      <c r="E235">
        <v>223.6</v>
      </c>
      <c r="F235">
        <v>213.6</v>
      </c>
      <c r="G235" s="3">
        <v>215.1</v>
      </c>
      <c r="H235">
        <v>214.5</v>
      </c>
      <c r="I235">
        <v>220.35</v>
      </c>
      <c r="J235">
        <v>74061</v>
      </c>
      <c r="K235">
        <v>16215134.949999999</v>
      </c>
      <c r="L235" s="1">
        <v>45240</v>
      </c>
      <c r="M235">
        <v>10507</v>
      </c>
      <c r="N235" t="s">
        <v>913</v>
      </c>
      <c r="O235" s="5">
        <v>45240</v>
      </c>
      <c r="P235" s="5">
        <v>43777</v>
      </c>
      <c r="Q235" s="3">
        <v>128.30000000000001</v>
      </c>
      <c r="S235">
        <f t="shared" si="9"/>
        <v>1464</v>
      </c>
      <c r="T235">
        <f t="shared" si="10"/>
        <v>16.043835616438358</v>
      </c>
      <c r="U235" s="6">
        <f t="shared" si="11"/>
        <v>0.13092708139696718</v>
      </c>
    </row>
    <row r="236" spans="1:21" x14ac:dyDescent="0.25">
      <c r="A236" t="s">
        <v>914</v>
      </c>
      <c r="B236" t="s">
        <v>915</v>
      </c>
      <c r="C236" t="s">
        <v>14</v>
      </c>
      <c r="D236">
        <v>848.9</v>
      </c>
      <c r="E236">
        <v>867.95</v>
      </c>
      <c r="F236">
        <v>843.15</v>
      </c>
      <c r="G236" s="3">
        <v>865.5</v>
      </c>
      <c r="H236">
        <v>857.5</v>
      </c>
      <c r="I236">
        <v>852.1</v>
      </c>
      <c r="J236">
        <v>46794</v>
      </c>
      <c r="K236">
        <v>40137541</v>
      </c>
      <c r="L236" s="1">
        <v>45240</v>
      </c>
      <c r="M236">
        <v>3900</v>
      </c>
      <c r="N236" t="s">
        <v>916</v>
      </c>
      <c r="O236" s="5">
        <v>45240</v>
      </c>
      <c r="P236" s="5">
        <v>43777</v>
      </c>
      <c r="Q236" s="3">
        <v>534.35</v>
      </c>
      <c r="S236">
        <f t="shared" si="9"/>
        <v>1464</v>
      </c>
      <c r="T236">
        <f t="shared" si="10"/>
        <v>16.043835616438358</v>
      </c>
      <c r="U236" s="6">
        <f t="shared" si="11"/>
        <v>0.12205995952565285</v>
      </c>
    </row>
    <row r="237" spans="1:21" x14ac:dyDescent="0.25">
      <c r="A237" t="s">
        <v>923</v>
      </c>
      <c r="B237" t="s">
        <v>924</v>
      </c>
      <c r="C237" t="s">
        <v>14</v>
      </c>
      <c r="D237">
        <v>136.19999999999999</v>
      </c>
      <c r="E237">
        <v>138.15</v>
      </c>
      <c r="F237">
        <v>136</v>
      </c>
      <c r="G237" s="3">
        <v>136.65</v>
      </c>
      <c r="H237">
        <v>136.44999999999999</v>
      </c>
      <c r="I237">
        <v>137</v>
      </c>
      <c r="J237">
        <v>711821</v>
      </c>
      <c r="K237">
        <v>97602255.700000003</v>
      </c>
      <c r="L237" s="1">
        <v>45240</v>
      </c>
      <c r="M237">
        <v>12477</v>
      </c>
      <c r="N237" t="s">
        <v>925</v>
      </c>
      <c r="O237" s="5">
        <v>45240</v>
      </c>
      <c r="P237" s="5">
        <v>43777</v>
      </c>
      <c r="Q237" s="3">
        <v>146.15</v>
      </c>
      <c r="S237">
        <f t="shared" si="9"/>
        <v>1464</v>
      </c>
      <c r="T237">
        <f t="shared" si="10"/>
        <v>16.043835616438358</v>
      </c>
      <c r="U237" s="6">
        <f t="shared" si="11"/>
        <v>-1.6721686365459121E-2</v>
      </c>
    </row>
    <row r="238" spans="1:21" x14ac:dyDescent="0.25">
      <c r="A238" t="s">
        <v>926</v>
      </c>
      <c r="B238" t="s">
        <v>927</v>
      </c>
      <c r="C238" t="s">
        <v>10</v>
      </c>
      <c r="D238">
        <v>9.8000000000000007</v>
      </c>
      <c r="E238">
        <v>9.9499999999999993</v>
      </c>
      <c r="F238">
        <v>9.4</v>
      </c>
      <c r="G238" s="3">
        <v>9.4499999999999993</v>
      </c>
      <c r="H238">
        <v>9.5</v>
      </c>
      <c r="I238">
        <v>9.8000000000000007</v>
      </c>
      <c r="J238">
        <v>114757</v>
      </c>
      <c r="K238">
        <v>1099912.25</v>
      </c>
      <c r="L238" s="1">
        <v>45240</v>
      </c>
      <c r="M238">
        <v>252</v>
      </c>
      <c r="N238" t="s">
        <v>928</v>
      </c>
      <c r="O238" s="5">
        <v>45240</v>
      </c>
      <c r="P238" s="5">
        <v>43777</v>
      </c>
      <c r="Q238" s="3">
        <v>3.55</v>
      </c>
      <c r="S238">
        <f t="shared" si="9"/>
        <v>1464</v>
      </c>
      <c r="T238">
        <f t="shared" si="10"/>
        <v>16.043835616438358</v>
      </c>
      <c r="U238" s="6">
        <f t="shared" si="11"/>
        <v>0.25169984635125786</v>
      </c>
    </row>
    <row r="239" spans="1:21" x14ac:dyDescent="0.25">
      <c r="A239" t="s">
        <v>929</v>
      </c>
      <c r="B239" t="s">
        <v>930</v>
      </c>
      <c r="C239" t="s">
        <v>14</v>
      </c>
      <c r="D239">
        <v>627</v>
      </c>
      <c r="E239">
        <v>641</v>
      </c>
      <c r="F239">
        <v>621.6</v>
      </c>
      <c r="G239" s="3">
        <v>625.6</v>
      </c>
      <c r="H239">
        <v>627.04999999999995</v>
      </c>
      <c r="I239">
        <v>625.35</v>
      </c>
      <c r="J239">
        <v>151439</v>
      </c>
      <c r="K239">
        <v>95448326.349999994</v>
      </c>
      <c r="L239" s="1">
        <v>45240</v>
      </c>
      <c r="M239">
        <v>10921</v>
      </c>
      <c r="N239" t="s">
        <v>931</v>
      </c>
      <c r="O239" s="5">
        <v>45240</v>
      </c>
      <c r="P239" s="5">
        <v>43777</v>
      </c>
      <c r="Q239" s="3">
        <v>203.1</v>
      </c>
      <c r="S239">
        <f t="shared" si="9"/>
        <v>1464</v>
      </c>
      <c r="T239">
        <f t="shared" si="10"/>
        <v>16.043835616438358</v>
      </c>
      <c r="U239" s="6">
        <f t="shared" si="11"/>
        <v>0.29055263217451621</v>
      </c>
    </row>
    <row r="240" spans="1:21" x14ac:dyDescent="0.25">
      <c r="A240" t="s">
        <v>932</v>
      </c>
      <c r="B240" t="s">
        <v>933</v>
      </c>
      <c r="C240" t="s">
        <v>14</v>
      </c>
      <c r="D240">
        <v>1696</v>
      </c>
      <c r="E240">
        <v>1788</v>
      </c>
      <c r="F240">
        <v>1691.25</v>
      </c>
      <c r="G240" s="3">
        <v>1777.05</v>
      </c>
      <c r="H240">
        <v>1784.05</v>
      </c>
      <c r="I240">
        <v>1692.75</v>
      </c>
      <c r="J240">
        <v>6328545</v>
      </c>
      <c r="K240">
        <v>11025550544.9</v>
      </c>
      <c r="L240" s="1">
        <v>45240</v>
      </c>
      <c r="M240">
        <v>171591</v>
      </c>
      <c r="N240" t="s">
        <v>934</v>
      </c>
      <c r="O240" s="5">
        <v>45240</v>
      </c>
      <c r="P240" s="5">
        <v>43777</v>
      </c>
      <c r="Q240" s="3">
        <v>227.75</v>
      </c>
      <c r="S240">
        <f t="shared" si="9"/>
        <v>1464</v>
      </c>
      <c r="T240">
        <f t="shared" si="10"/>
        <v>16.043835616438358</v>
      </c>
      <c r="U240" s="6">
        <f t="shared" si="11"/>
        <v>0.54645300799197027</v>
      </c>
    </row>
    <row r="241" spans="1:21" x14ac:dyDescent="0.25">
      <c r="A241" t="s">
        <v>935</v>
      </c>
      <c r="B241" t="s">
        <v>936</v>
      </c>
      <c r="C241" t="s">
        <v>14</v>
      </c>
      <c r="D241">
        <v>2150</v>
      </c>
      <c r="E241">
        <v>2152</v>
      </c>
      <c r="F241">
        <v>2101.1</v>
      </c>
      <c r="G241" s="3">
        <v>2107.1</v>
      </c>
      <c r="H241">
        <v>2109.8000000000002</v>
      </c>
      <c r="I241">
        <v>2150.5</v>
      </c>
      <c r="J241">
        <v>304330</v>
      </c>
      <c r="K241">
        <v>645764012.79999995</v>
      </c>
      <c r="L241" s="1">
        <v>45240</v>
      </c>
      <c r="M241">
        <v>19101</v>
      </c>
      <c r="N241" t="s">
        <v>937</v>
      </c>
      <c r="O241" s="5">
        <v>45240</v>
      </c>
      <c r="P241" s="5">
        <v>43777</v>
      </c>
      <c r="Q241" s="3">
        <v>979.05</v>
      </c>
      <c r="S241">
        <f t="shared" si="9"/>
        <v>1464</v>
      </c>
      <c r="T241">
        <f t="shared" si="10"/>
        <v>16.043835616438358</v>
      </c>
      <c r="U241" s="6">
        <f t="shared" si="11"/>
        <v>0.19573609757461075</v>
      </c>
    </row>
    <row r="242" spans="1:21" x14ac:dyDescent="0.25">
      <c r="A242" t="s">
        <v>938</v>
      </c>
      <c r="B242" t="s">
        <v>939</v>
      </c>
      <c r="C242" t="s">
        <v>10</v>
      </c>
      <c r="D242">
        <v>18.399999999999999</v>
      </c>
      <c r="E242">
        <v>18.95</v>
      </c>
      <c r="F242">
        <v>18.25</v>
      </c>
      <c r="G242" s="3">
        <v>18.3</v>
      </c>
      <c r="H242">
        <v>18.399999999999999</v>
      </c>
      <c r="I242">
        <v>18.8</v>
      </c>
      <c r="J242">
        <v>159608</v>
      </c>
      <c r="K242">
        <v>2955094.55</v>
      </c>
      <c r="L242" s="1">
        <v>45240</v>
      </c>
      <c r="M242">
        <v>318</v>
      </c>
      <c r="N242" t="s">
        <v>940</v>
      </c>
      <c r="O242" s="5">
        <v>45240</v>
      </c>
      <c r="P242" s="5">
        <v>43777</v>
      </c>
      <c r="Q242" s="3">
        <v>5.85</v>
      </c>
      <c r="S242">
        <f t="shared" si="9"/>
        <v>1464</v>
      </c>
      <c r="T242">
        <f t="shared" si="10"/>
        <v>16.043835616438358</v>
      </c>
      <c r="U242" s="6">
        <f t="shared" si="11"/>
        <v>0.29468547799812406</v>
      </c>
    </row>
    <row r="243" spans="1:21" x14ac:dyDescent="0.25">
      <c r="A243" t="s">
        <v>944</v>
      </c>
      <c r="B243" t="s">
        <v>945</v>
      </c>
      <c r="C243" t="s">
        <v>14</v>
      </c>
      <c r="D243">
        <v>414.35</v>
      </c>
      <c r="E243">
        <v>414.35</v>
      </c>
      <c r="F243">
        <v>408.05</v>
      </c>
      <c r="G243" s="3">
        <v>411.95</v>
      </c>
      <c r="H243">
        <v>413</v>
      </c>
      <c r="I243">
        <v>414.35</v>
      </c>
      <c r="J243">
        <v>28464</v>
      </c>
      <c r="K243">
        <v>11705091.65</v>
      </c>
      <c r="L243" s="1">
        <v>45240</v>
      </c>
      <c r="M243">
        <v>2224</v>
      </c>
      <c r="N243" t="s">
        <v>946</v>
      </c>
      <c r="O243" s="5">
        <v>45240</v>
      </c>
      <c r="P243" s="5">
        <v>43777</v>
      </c>
      <c r="Q243" s="3">
        <v>186.3</v>
      </c>
      <c r="S243">
        <f t="shared" si="9"/>
        <v>1464</v>
      </c>
      <c r="T243">
        <f t="shared" si="10"/>
        <v>16.043835616438358</v>
      </c>
      <c r="U243" s="6">
        <f t="shared" si="11"/>
        <v>0.20281833831496421</v>
      </c>
    </row>
    <row r="244" spans="1:21" x14ac:dyDescent="0.25">
      <c r="A244" t="s">
        <v>947</v>
      </c>
      <c r="B244" t="s">
        <v>948</v>
      </c>
      <c r="C244" t="s">
        <v>10</v>
      </c>
      <c r="D244">
        <v>16.649999999999999</v>
      </c>
      <c r="E244">
        <v>17</v>
      </c>
      <c r="F244">
        <v>16.100000000000001</v>
      </c>
      <c r="G244" s="3">
        <v>16.350000000000001</v>
      </c>
      <c r="H244">
        <v>16.5</v>
      </c>
      <c r="I244">
        <v>16.55</v>
      </c>
      <c r="J244">
        <v>122335</v>
      </c>
      <c r="K244">
        <v>2026625.65</v>
      </c>
      <c r="L244" s="1">
        <v>45240</v>
      </c>
      <c r="M244">
        <v>546</v>
      </c>
      <c r="N244" t="s">
        <v>949</v>
      </c>
      <c r="O244" s="5">
        <v>45240</v>
      </c>
      <c r="P244" s="5">
        <v>43777</v>
      </c>
      <c r="Q244" s="3">
        <v>2.85</v>
      </c>
      <c r="S244">
        <f t="shared" si="9"/>
        <v>1464</v>
      </c>
      <c r="T244">
        <f t="shared" si="10"/>
        <v>16.043835616438358</v>
      </c>
      <c r="U244" s="6">
        <f t="shared" si="11"/>
        <v>0.4601297458863618</v>
      </c>
    </row>
    <row r="245" spans="1:21" x14ac:dyDescent="0.25">
      <c r="A245" t="s">
        <v>950</v>
      </c>
      <c r="B245" t="s">
        <v>951</v>
      </c>
      <c r="C245" t="s">
        <v>14</v>
      </c>
      <c r="D245">
        <v>44.15</v>
      </c>
      <c r="E245">
        <v>44.2</v>
      </c>
      <c r="F245">
        <v>43.65</v>
      </c>
      <c r="G245" s="3">
        <v>43.9</v>
      </c>
      <c r="H245">
        <v>43.95</v>
      </c>
      <c r="I245">
        <v>44.25</v>
      </c>
      <c r="J245">
        <v>6306351</v>
      </c>
      <c r="K245">
        <v>276833721</v>
      </c>
      <c r="L245" s="1">
        <v>45240</v>
      </c>
      <c r="M245">
        <v>10703</v>
      </c>
      <c r="N245" t="s">
        <v>952</v>
      </c>
      <c r="O245" s="5">
        <v>45240</v>
      </c>
      <c r="P245" s="5">
        <v>43777</v>
      </c>
      <c r="Q245" s="3">
        <v>20.350000000000001</v>
      </c>
      <c r="S245">
        <f t="shared" si="9"/>
        <v>1464</v>
      </c>
      <c r="T245">
        <f t="shared" si="10"/>
        <v>16.043835616438358</v>
      </c>
      <c r="U245" s="6">
        <f t="shared" si="11"/>
        <v>0.19635024944992452</v>
      </c>
    </row>
    <row r="246" spans="1:21" x14ac:dyDescent="0.25">
      <c r="A246" t="s">
        <v>953</v>
      </c>
      <c r="B246" t="s">
        <v>954</v>
      </c>
      <c r="C246" t="s">
        <v>14</v>
      </c>
      <c r="D246">
        <v>26.5</v>
      </c>
      <c r="E246">
        <v>30.8</v>
      </c>
      <c r="F246">
        <v>26.05</v>
      </c>
      <c r="G246" s="3">
        <v>29.6</v>
      </c>
      <c r="H246">
        <v>29.5</v>
      </c>
      <c r="I246">
        <v>26.55</v>
      </c>
      <c r="J246">
        <v>8605630</v>
      </c>
      <c r="K246">
        <v>251737252.69999999</v>
      </c>
      <c r="L246" s="1">
        <v>45240</v>
      </c>
      <c r="M246">
        <v>15731</v>
      </c>
      <c r="N246" t="s">
        <v>955</v>
      </c>
      <c r="O246" s="5">
        <v>45240</v>
      </c>
      <c r="P246" s="5">
        <v>43777</v>
      </c>
      <c r="Q246" s="3">
        <v>20.6</v>
      </c>
      <c r="S246">
        <f t="shared" si="9"/>
        <v>1464</v>
      </c>
      <c r="T246">
        <f t="shared" si="10"/>
        <v>16.043835616438358</v>
      </c>
      <c r="U246" s="6">
        <f t="shared" si="11"/>
        <v>9.140187069125183E-2</v>
      </c>
    </row>
    <row r="247" spans="1:21" x14ac:dyDescent="0.25">
      <c r="A247" t="s">
        <v>956</v>
      </c>
      <c r="B247" t="s">
        <v>957</v>
      </c>
      <c r="C247" t="s">
        <v>10</v>
      </c>
      <c r="D247">
        <v>1376</v>
      </c>
      <c r="E247">
        <v>1400</v>
      </c>
      <c r="F247">
        <v>1324.65</v>
      </c>
      <c r="G247" s="3">
        <v>1398.1</v>
      </c>
      <c r="H247">
        <v>1399</v>
      </c>
      <c r="I247">
        <v>1394.35</v>
      </c>
      <c r="J247">
        <v>20161</v>
      </c>
      <c r="K247">
        <v>27624106.149999999</v>
      </c>
      <c r="L247" s="1">
        <v>45240</v>
      </c>
      <c r="M247">
        <v>928</v>
      </c>
      <c r="N247" t="s">
        <v>958</v>
      </c>
      <c r="O247" s="5">
        <v>45240</v>
      </c>
      <c r="P247" s="5">
        <v>43777</v>
      </c>
      <c r="Q247" s="3">
        <v>379.1</v>
      </c>
      <c r="S247">
        <f t="shared" si="9"/>
        <v>1464</v>
      </c>
      <c r="T247">
        <f t="shared" si="10"/>
        <v>16.043835616438358</v>
      </c>
      <c r="U247" s="6">
        <f t="shared" si="11"/>
        <v>0.33897584644462064</v>
      </c>
    </row>
    <row r="248" spans="1:21" x14ac:dyDescent="0.25">
      <c r="A248" t="s">
        <v>959</v>
      </c>
      <c r="B248" t="s">
        <v>960</v>
      </c>
      <c r="C248" t="s">
        <v>14</v>
      </c>
      <c r="D248">
        <v>642</v>
      </c>
      <c r="E248">
        <v>651.95000000000005</v>
      </c>
      <c r="F248">
        <v>627.04999999999995</v>
      </c>
      <c r="G248" s="3">
        <v>635.95000000000005</v>
      </c>
      <c r="H248">
        <v>634.95000000000005</v>
      </c>
      <c r="I248">
        <v>638.65</v>
      </c>
      <c r="J248">
        <v>113242</v>
      </c>
      <c r="K248">
        <v>71520777.049999997</v>
      </c>
      <c r="L248" s="1">
        <v>45240</v>
      </c>
      <c r="M248">
        <v>9534</v>
      </c>
      <c r="N248" t="s">
        <v>961</v>
      </c>
      <c r="O248" s="5">
        <v>45240</v>
      </c>
      <c r="P248" s="5">
        <v>43777</v>
      </c>
      <c r="Q248" s="3">
        <v>164.7</v>
      </c>
      <c r="S248">
        <f t="shared" si="9"/>
        <v>1464</v>
      </c>
      <c r="T248">
        <f t="shared" si="10"/>
        <v>16.043835616438358</v>
      </c>
      <c r="U248" s="6">
        <f t="shared" si="11"/>
        <v>0.35141379529942807</v>
      </c>
    </row>
    <row r="249" spans="1:21" x14ac:dyDescent="0.25">
      <c r="A249" t="s">
        <v>962</v>
      </c>
      <c r="B249" t="s">
        <v>963</v>
      </c>
      <c r="C249" t="s">
        <v>14</v>
      </c>
      <c r="D249">
        <v>1160.7</v>
      </c>
      <c r="E249">
        <v>1173.45</v>
      </c>
      <c r="F249">
        <v>1155.05</v>
      </c>
      <c r="G249" s="3">
        <v>1171.3499999999999</v>
      </c>
      <c r="H249">
        <v>1169</v>
      </c>
      <c r="I249">
        <v>1169.3</v>
      </c>
      <c r="J249">
        <v>98355</v>
      </c>
      <c r="K249">
        <v>114561138.09999999</v>
      </c>
      <c r="L249" s="1">
        <v>45240</v>
      </c>
      <c r="M249">
        <v>5484</v>
      </c>
      <c r="N249" t="s">
        <v>964</v>
      </c>
      <c r="O249" s="5">
        <v>45240</v>
      </c>
      <c r="P249" s="5">
        <v>43777</v>
      </c>
      <c r="Q249" s="3">
        <v>391.45</v>
      </c>
      <c r="S249">
        <f t="shared" si="9"/>
        <v>1464</v>
      </c>
      <c r="T249">
        <f t="shared" si="10"/>
        <v>16.043835616438358</v>
      </c>
      <c r="U249" s="6">
        <f t="shared" si="11"/>
        <v>0.28281538821218266</v>
      </c>
    </row>
    <row r="250" spans="1:21" x14ac:dyDescent="0.25">
      <c r="A250" t="s">
        <v>965</v>
      </c>
      <c r="B250" t="s">
        <v>966</v>
      </c>
      <c r="C250" t="s">
        <v>14</v>
      </c>
      <c r="D250">
        <v>8589.7999999999993</v>
      </c>
      <c r="E250">
        <v>8750</v>
      </c>
      <c r="F250">
        <v>8555.2999999999993</v>
      </c>
      <c r="G250" s="3">
        <v>8607.1</v>
      </c>
      <c r="H250">
        <v>8620</v>
      </c>
      <c r="I250">
        <v>8598.6</v>
      </c>
      <c r="J250">
        <v>17271</v>
      </c>
      <c r="K250">
        <v>149483589</v>
      </c>
      <c r="L250" s="1">
        <v>45240</v>
      </c>
      <c r="M250">
        <v>7362</v>
      </c>
      <c r="N250" t="s">
        <v>967</v>
      </c>
      <c r="O250" s="5">
        <v>45240</v>
      </c>
      <c r="P250" s="5">
        <v>43777</v>
      </c>
      <c r="Q250" s="3">
        <v>2578.5</v>
      </c>
      <c r="S250">
        <f t="shared" si="9"/>
        <v>1464</v>
      </c>
      <c r="T250">
        <f t="shared" si="10"/>
        <v>16.043835616438358</v>
      </c>
      <c r="U250" s="6">
        <f t="shared" si="11"/>
        <v>0.31209881676787266</v>
      </c>
    </row>
    <row r="251" spans="1:21" x14ac:dyDescent="0.25">
      <c r="A251" t="s">
        <v>968</v>
      </c>
      <c r="B251" t="s">
        <v>969</v>
      </c>
      <c r="C251" t="s">
        <v>10</v>
      </c>
      <c r="D251">
        <v>7.2</v>
      </c>
      <c r="E251">
        <v>7.2</v>
      </c>
      <c r="F251">
        <v>6.9</v>
      </c>
      <c r="G251" s="3">
        <v>7</v>
      </c>
      <c r="H251">
        <v>7</v>
      </c>
      <c r="I251">
        <v>7.1</v>
      </c>
      <c r="J251">
        <v>59912</v>
      </c>
      <c r="K251">
        <v>420111.05</v>
      </c>
      <c r="L251" s="1">
        <v>45240</v>
      </c>
      <c r="M251">
        <v>203</v>
      </c>
      <c r="N251" t="s">
        <v>970</v>
      </c>
      <c r="O251" s="5">
        <v>45240</v>
      </c>
      <c r="P251" s="5">
        <v>43777</v>
      </c>
      <c r="Q251" s="3">
        <v>21.15</v>
      </c>
      <c r="S251">
        <f t="shared" si="9"/>
        <v>1464</v>
      </c>
      <c r="T251">
        <f t="shared" si="10"/>
        <v>16.043835616438358</v>
      </c>
      <c r="U251" s="6">
        <f t="shared" si="11"/>
        <v>-0.26639195161474305</v>
      </c>
    </row>
    <row r="252" spans="1:21" x14ac:dyDescent="0.25">
      <c r="A252" t="s">
        <v>971</v>
      </c>
      <c r="B252" t="s">
        <v>972</v>
      </c>
      <c r="C252" t="s">
        <v>14</v>
      </c>
      <c r="D252">
        <v>89.3</v>
      </c>
      <c r="E252">
        <v>90.15</v>
      </c>
      <c r="F252">
        <v>88.8</v>
      </c>
      <c r="G252" s="3">
        <v>89.05</v>
      </c>
      <c r="H252">
        <v>89.2</v>
      </c>
      <c r="I252">
        <v>89.4</v>
      </c>
      <c r="J252">
        <v>1703459</v>
      </c>
      <c r="K252">
        <v>152190959.15000001</v>
      </c>
      <c r="L252" s="1">
        <v>45240</v>
      </c>
      <c r="M252">
        <v>10070</v>
      </c>
      <c r="N252" t="s">
        <v>973</v>
      </c>
      <c r="O252" s="5">
        <v>45240</v>
      </c>
      <c r="P252" s="5">
        <v>43777</v>
      </c>
      <c r="Q252" s="3">
        <v>766.7</v>
      </c>
      <c r="S252">
        <f t="shared" si="9"/>
        <v>1464</v>
      </c>
      <c r="T252">
        <f t="shared" si="10"/>
        <v>16.043835616438358</v>
      </c>
      <c r="U252" s="6">
        <f t="shared" si="11"/>
        <v>-0.50229897759744224</v>
      </c>
    </row>
    <row r="253" spans="1:21" x14ac:dyDescent="0.25">
      <c r="A253" t="s">
        <v>974</v>
      </c>
      <c r="B253" t="s">
        <v>975</v>
      </c>
      <c r="C253" t="s">
        <v>14</v>
      </c>
      <c r="D253">
        <v>754.3</v>
      </c>
      <c r="E253">
        <v>765</v>
      </c>
      <c r="F253">
        <v>745</v>
      </c>
      <c r="G253" s="3">
        <v>762.15</v>
      </c>
      <c r="H253">
        <v>764.85</v>
      </c>
      <c r="I253">
        <v>754.3</v>
      </c>
      <c r="J253">
        <v>118267</v>
      </c>
      <c r="K253">
        <v>89536810.150000006</v>
      </c>
      <c r="L253" s="1">
        <v>45240</v>
      </c>
      <c r="M253">
        <v>3243</v>
      </c>
      <c r="N253" t="s">
        <v>976</v>
      </c>
      <c r="O253" s="5">
        <v>45240</v>
      </c>
      <c r="P253" s="5">
        <v>43777</v>
      </c>
      <c r="Q253" s="3">
        <v>217.05</v>
      </c>
      <c r="S253">
        <f t="shared" si="9"/>
        <v>1464</v>
      </c>
      <c r="T253">
        <f t="shared" si="10"/>
        <v>16.043835616438358</v>
      </c>
      <c r="U253" s="6">
        <f t="shared" si="11"/>
        <v>0.32572975393460712</v>
      </c>
    </row>
    <row r="254" spans="1:21" x14ac:dyDescent="0.25">
      <c r="A254" t="s">
        <v>977</v>
      </c>
      <c r="B254" t="s">
        <v>978</v>
      </c>
      <c r="C254" t="s">
        <v>14</v>
      </c>
      <c r="D254">
        <v>386.25</v>
      </c>
      <c r="E254">
        <v>389.55</v>
      </c>
      <c r="F254">
        <v>379.6</v>
      </c>
      <c r="G254" s="3">
        <v>388.55</v>
      </c>
      <c r="H254">
        <v>387.65</v>
      </c>
      <c r="I254">
        <v>383.65</v>
      </c>
      <c r="J254">
        <v>1117609</v>
      </c>
      <c r="K254">
        <v>430193557.25</v>
      </c>
      <c r="L254" s="1">
        <v>45240</v>
      </c>
      <c r="M254">
        <v>25488</v>
      </c>
      <c r="N254" t="s">
        <v>979</v>
      </c>
      <c r="O254" s="5">
        <v>45240</v>
      </c>
      <c r="P254" s="5">
        <v>43777</v>
      </c>
      <c r="Q254" s="3">
        <v>16.3</v>
      </c>
      <c r="S254">
        <f t="shared" si="9"/>
        <v>1464</v>
      </c>
      <c r="T254">
        <f t="shared" si="10"/>
        <v>16.043835616438358</v>
      </c>
      <c r="U254" s="6">
        <f t="shared" si="11"/>
        <v>0.87420185253473814</v>
      </c>
    </row>
    <row r="255" spans="1:21" x14ac:dyDescent="0.25">
      <c r="A255" t="s">
        <v>980</v>
      </c>
      <c r="B255" t="s">
        <v>981</v>
      </c>
      <c r="C255" t="s">
        <v>14</v>
      </c>
      <c r="D255">
        <v>588</v>
      </c>
      <c r="E255">
        <v>594</v>
      </c>
      <c r="F255">
        <v>582</v>
      </c>
      <c r="G255" s="3">
        <v>584.29999999999995</v>
      </c>
      <c r="H255">
        <v>582.1</v>
      </c>
      <c r="I255">
        <v>588.45000000000005</v>
      </c>
      <c r="J255">
        <v>85755</v>
      </c>
      <c r="K255">
        <v>50435277.600000001</v>
      </c>
      <c r="L255" s="1">
        <v>45240</v>
      </c>
      <c r="M255">
        <v>6382</v>
      </c>
      <c r="N255" t="s">
        <v>982</v>
      </c>
      <c r="O255" s="5">
        <v>45240</v>
      </c>
      <c r="P255" s="5">
        <v>43777</v>
      </c>
      <c r="Q255" s="3">
        <v>325.85000000000002</v>
      </c>
      <c r="S255">
        <f t="shared" si="9"/>
        <v>1464</v>
      </c>
      <c r="T255">
        <f t="shared" si="10"/>
        <v>16.043835616438358</v>
      </c>
      <c r="U255" s="6">
        <f t="shared" si="11"/>
        <v>0.1482776562338799</v>
      </c>
    </row>
    <row r="256" spans="1:21" x14ac:dyDescent="0.25">
      <c r="A256" t="s">
        <v>983</v>
      </c>
      <c r="B256" t="s">
        <v>984</v>
      </c>
      <c r="C256" t="s">
        <v>14</v>
      </c>
      <c r="D256">
        <v>306.8</v>
      </c>
      <c r="E256">
        <v>308.60000000000002</v>
      </c>
      <c r="F256">
        <v>304</v>
      </c>
      <c r="G256" s="3">
        <v>307.8</v>
      </c>
      <c r="H256">
        <v>307.05</v>
      </c>
      <c r="I256">
        <v>307.25</v>
      </c>
      <c r="J256">
        <v>2685242</v>
      </c>
      <c r="K256">
        <v>823260571.35000002</v>
      </c>
      <c r="L256" s="1">
        <v>45240</v>
      </c>
      <c r="M256">
        <v>24972</v>
      </c>
      <c r="N256" t="s">
        <v>985</v>
      </c>
      <c r="O256" s="5">
        <v>45240</v>
      </c>
      <c r="P256" s="5">
        <v>43777</v>
      </c>
      <c r="Q256" s="3">
        <v>168.15</v>
      </c>
      <c r="S256">
        <f t="shared" si="9"/>
        <v>1464</v>
      </c>
      <c r="T256">
        <f t="shared" si="10"/>
        <v>16.043835616438358</v>
      </c>
      <c r="U256" s="6">
        <f t="shared" si="11"/>
        <v>0.15361163428959212</v>
      </c>
    </row>
    <row r="257" spans="1:21" x14ac:dyDescent="0.25">
      <c r="A257" t="s">
        <v>992</v>
      </c>
      <c r="B257" t="s">
        <v>993</v>
      </c>
      <c r="C257" t="s">
        <v>14</v>
      </c>
      <c r="D257">
        <v>364.9</v>
      </c>
      <c r="E257">
        <v>364.9</v>
      </c>
      <c r="F257">
        <v>358.2</v>
      </c>
      <c r="G257" s="3">
        <v>358.75</v>
      </c>
      <c r="H257">
        <v>358.4</v>
      </c>
      <c r="I257">
        <v>361.45</v>
      </c>
      <c r="J257">
        <v>4905</v>
      </c>
      <c r="K257">
        <v>1766447.05</v>
      </c>
      <c r="L257" s="1">
        <v>45240</v>
      </c>
      <c r="M257">
        <v>377</v>
      </c>
      <c r="N257" t="s">
        <v>994</v>
      </c>
      <c r="O257" s="5">
        <v>45240</v>
      </c>
      <c r="P257" s="5">
        <v>43777</v>
      </c>
      <c r="Q257" s="3">
        <v>171</v>
      </c>
      <c r="S257">
        <f t="shared" si="9"/>
        <v>1464</v>
      </c>
      <c r="T257">
        <f t="shared" si="10"/>
        <v>16.043835616438358</v>
      </c>
      <c r="U257" s="6">
        <f t="shared" si="11"/>
        <v>0.18906671824652932</v>
      </c>
    </row>
    <row r="258" spans="1:21" x14ac:dyDescent="0.25">
      <c r="A258" t="s">
        <v>998</v>
      </c>
      <c r="B258" t="s">
        <v>999</v>
      </c>
      <c r="C258" t="s">
        <v>14</v>
      </c>
      <c r="D258">
        <v>572.5</v>
      </c>
      <c r="E258">
        <v>587.20000000000005</v>
      </c>
      <c r="F258">
        <v>569.1</v>
      </c>
      <c r="G258" s="3">
        <v>585.4</v>
      </c>
      <c r="H258">
        <v>585.85</v>
      </c>
      <c r="I258">
        <v>572.54999999999995</v>
      </c>
      <c r="J258">
        <v>1265944</v>
      </c>
      <c r="K258">
        <v>736706742.70000005</v>
      </c>
      <c r="L258" s="1">
        <v>45240</v>
      </c>
      <c r="M258">
        <v>23207</v>
      </c>
      <c r="N258" t="s">
        <v>1000</v>
      </c>
      <c r="O258" s="5">
        <v>45240</v>
      </c>
      <c r="P258" s="5">
        <v>43777</v>
      </c>
      <c r="Q258" s="3">
        <v>152.35</v>
      </c>
      <c r="S258">
        <f t="shared" si="9"/>
        <v>1464</v>
      </c>
      <c r="T258">
        <f t="shared" si="10"/>
        <v>16.043835616438358</v>
      </c>
      <c r="U258" s="6">
        <f t="shared" si="11"/>
        <v>0.35009059395014308</v>
      </c>
    </row>
    <row r="259" spans="1:21" x14ac:dyDescent="0.25">
      <c r="A259" t="s">
        <v>1007</v>
      </c>
      <c r="B259" t="s">
        <v>1008</v>
      </c>
      <c r="C259" t="s">
        <v>14</v>
      </c>
      <c r="D259">
        <v>1149.95</v>
      </c>
      <c r="E259">
        <v>1151.8</v>
      </c>
      <c r="F259">
        <v>1132.05</v>
      </c>
      <c r="G259" s="3">
        <v>1148.25</v>
      </c>
      <c r="H259">
        <v>1147.6500000000001</v>
      </c>
      <c r="I259">
        <v>1152.05</v>
      </c>
      <c r="J259">
        <v>650284</v>
      </c>
      <c r="K259">
        <v>744056288.10000002</v>
      </c>
      <c r="L259" s="1">
        <v>45240</v>
      </c>
      <c r="M259">
        <v>40790</v>
      </c>
      <c r="N259" t="s">
        <v>1009</v>
      </c>
      <c r="O259" s="5">
        <v>45240</v>
      </c>
      <c r="P259" s="5">
        <v>43777</v>
      </c>
      <c r="Q259" s="3">
        <v>296.64999999999998</v>
      </c>
      <c r="S259">
        <f t="shared" ref="S259:S322" si="12">O259-P259+1</f>
        <v>1464</v>
      </c>
      <c r="T259">
        <f t="shared" ref="T259:T322" si="13">(S259/365)*4</f>
        <v>16.043835616438358</v>
      </c>
      <c r="U259" s="6">
        <f t="shared" ref="U259:U322" si="14">(((G259/Q259)^(1/T259))-1)*4</f>
        <v>0.35207752842316609</v>
      </c>
    </row>
    <row r="260" spans="1:21" x14ac:dyDescent="0.25">
      <c r="A260" t="s">
        <v>1007</v>
      </c>
      <c r="B260" t="s">
        <v>1008</v>
      </c>
      <c r="C260" t="s">
        <v>6611</v>
      </c>
      <c r="D260">
        <v>975</v>
      </c>
      <c r="E260">
        <v>975</v>
      </c>
      <c r="F260">
        <v>975</v>
      </c>
      <c r="G260" s="3">
        <v>975</v>
      </c>
      <c r="H260">
        <v>975</v>
      </c>
      <c r="I260">
        <v>1000</v>
      </c>
      <c r="J260">
        <v>15</v>
      </c>
      <c r="K260">
        <v>14625</v>
      </c>
      <c r="L260" s="1">
        <v>45240</v>
      </c>
      <c r="M260">
        <v>1</v>
      </c>
      <c r="N260" t="s">
        <v>6801</v>
      </c>
      <c r="O260" s="5">
        <v>45240</v>
      </c>
      <c r="P260" s="5">
        <v>43777</v>
      </c>
      <c r="Q260" s="3">
        <v>296.64999999999998</v>
      </c>
      <c r="S260">
        <f t="shared" si="12"/>
        <v>1464</v>
      </c>
      <c r="T260">
        <f t="shared" si="13"/>
        <v>16.043835616438358</v>
      </c>
      <c r="U260" s="6">
        <f t="shared" si="14"/>
        <v>0.30793620357448415</v>
      </c>
    </row>
    <row r="261" spans="1:21" x14ac:dyDescent="0.25">
      <c r="A261" t="s">
        <v>1010</v>
      </c>
      <c r="B261" t="s">
        <v>1011</v>
      </c>
      <c r="C261" t="s">
        <v>14</v>
      </c>
      <c r="D261">
        <v>1128.8</v>
      </c>
      <c r="E261">
        <v>1156.9000000000001</v>
      </c>
      <c r="F261">
        <v>1105.5999999999999</v>
      </c>
      <c r="G261" s="3">
        <v>1139</v>
      </c>
      <c r="H261">
        <v>1121.3</v>
      </c>
      <c r="I261">
        <v>1116.8499999999999</v>
      </c>
      <c r="J261">
        <v>117977</v>
      </c>
      <c r="K261">
        <v>132983878.2</v>
      </c>
      <c r="L261" s="1">
        <v>45240</v>
      </c>
      <c r="M261">
        <v>14815</v>
      </c>
      <c r="N261" t="s">
        <v>1012</v>
      </c>
      <c r="O261" s="5">
        <v>45240</v>
      </c>
      <c r="P261" s="5">
        <v>43777</v>
      </c>
      <c r="Q261" s="3">
        <v>479.95</v>
      </c>
      <c r="S261">
        <f t="shared" si="12"/>
        <v>1464</v>
      </c>
      <c r="T261">
        <f t="shared" si="13"/>
        <v>16.043835616438358</v>
      </c>
      <c r="U261" s="6">
        <f t="shared" si="14"/>
        <v>0.2213744913071487</v>
      </c>
    </row>
    <row r="262" spans="1:21" x14ac:dyDescent="0.25">
      <c r="A262" t="s">
        <v>1016</v>
      </c>
      <c r="B262" t="s">
        <v>1017</v>
      </c>
      <c r="C262" t="s">
        <v>14</v>
      </c>
      <c r="D262">
        <v>1091.6500000000001</v>
      </c>
      <c r="E262">
        <v>1094.8</v>
      </c>
      <c r="F262">
        <v>1062</v>
      </c>
      <c r="G262" s="3">
        <v>1075.45</v>
      </c>
      <c r="H262">
        <v>1081.5</v>
      </c>
      <c r="I262">
        <v>1091.6500000000001</v>
      </c>
      <c r="J262">
        <v>128817</v>
      </c>
      <c r="K262">
        <v>138239256.25</v>
      </c>
      <c r="L262" s="1">
        <v>45240</v>
      </c>
      <c r="M262">
        <v>7699</v>
      </c>
      <c r="N262" t="s">
        <v>1018</v>
      </c>
      <c r="O262" s="5">
        <v>45240</v>
      </c>
      <c r="P262" s="5">
        <v>43777</v>
      </c>
      <c r="Q262" s="3">
        <v>293.2</v>
      </c>
      <c r="S262">
        <f t="shared" si="12"/>
        <v>1464</v>
      </c>
      <c r="T262">
        <f t="shared" si="13"/>
        <v>16.043835616438358</v>
      </c>
      <c r="U262" s="6">
        <f t="shared" si="14"/>
        <v>0.33750759431819244</v>
      </c>
    </row>
    <row r="263" spans="1:21" x14ac:dyDescent="0.25">
      <c r="A263" t="s">
        <v>1019</v>
      </c>
      <c r="B263" t="s">
        <v>1020</v>
      </c>
      <c r="C263" t="s">
        <v>10</v>
      </c>
      <c r="D263">
        <v>128.94999999999999</v>
      </c>
      <c r="E263">
        <v>128.94999999999999</v>
      </c>
      <c r="F263">
        <v>122.5</v>
      </c>
      <c r="G263" s="3">
        <v>122.5</v>
      </c>
      <c r="H263">
        <v>122.5</v>
      </c>
      <c r="I263">
        <v>128.94999999999999</v>
      </c>
      <c r="J263">
        <v>189158</v>
      </c>
      <c r="K263">
        <v>23417807.399999999</v>
      </c>
      <c r="L263" s="1">
        <v>45240</v>
      </c>
      <c r="M263">
        <v>420</v>
      </c>
      <c r="N263" t="s">
        <v>1021</v>
      </c>
      <c r="O263" s="5">
        <v>45240</v>
      </c>
      <c r="P263" s="5">
        <v>43777</v>
      </c>
      <c r="Q263" s="3">
        <v>32.75</v>
      </c>
      <c r="S263">
        <f t="shared" si="12"/>
        <v>1464</v>
      </c>
      <c r="T263">
        <f t="shared" si="13"/>
        <v>16.043835616438358</v>
      </c>
      <c r="U263" s="6">
        <f t="shared" si="14"/>
        <v>0.34280125674805273</v>
      </c>
    </row>
    <row r="264" spans="1:21" x14ac:dyDescent="0.25">
      <c r="A264" t="s">
        <v>1022</v>
      </c>
      <c r="B264" t="s">
        <v>1023</v>
      </c>
      <c r="C264" t="s">
        <v>10</v>
      </c>
      <c r="D264">
        <v>18.8</v>
      </c>
      <c r="E264">
        <v>18.8</v>
      </c>
      <c r="F264">
        <v>17.600000000000001</v>
      </c>
      <c r="G264" s="3">
        <v>17.8</v>
      </c>
      <c r="H264">
        <v>17.75</v>
      </c>
      <c r="I264">
        <v>18.2</v>
      </c>
      <c r="J264">
        <v>15969</v>
      </c>
      <c r="K264">
        <v>286769.09999999998</v>
      </c>
      <c r="L264" s="1">
        <v>45240</v>
      </c>
      <c r="M264">
        <v>124</v>
      </c>
      <c r="N264" t="s">
        <v>1024</v>
      </c>
      <c r="O264" s="5">
        <v>45240</v>
      </c>
      <c r="P264" s="5">
        <v>43777</v>
      </c>
      <c r="Q264" s="3">
        <v>10.85</v>
      </c>
      <c r="S264">
        <f t="shared" si="12"/>
        <v>1464</v>
      </c>
      <c r="T264">
        <f t="shared" si="13"/>
        <v>16.043835616438358</v>
      </c>
      <c r="U264" s="6">
        <f t="shared" si="14"/>
        <v>0.12534401058028877</v>
      </c>
    </row>
    <row r="265" spans="1:21" x14ac:dyDescent="0.25">
      <c r="A265" t="s">
        <v>1025</v>
      </c>
      <c r="B265" t="s">
        <v>1026</v>
      </c>
      <c r="C265" t="s">
        <v>14</v>
      </c>
      <c r="D265">
        <v>1237.8499999999999</v>
      </c>
      <c r="E265">
        <v>1242</v>
      </c>
      <c r="F265">
        <v>1230</v>
      </c>
      <c r="G265" s="3">
        <v>1240.0999999999999</v>
      </c>
      <c r="H265">
        <v>1239.0999999999999</v>
      </c>
      <c r="I265">
        <v>1238.1500000000001</v>
      </c>
      <c r="J265">
        <v>576673</v>
      </c>
      <c r="K265">
        <v>713042730.5</v>
      </c>
      <c r="L265" s="1">
        <v>45240</v>
      </c>
      <c r="M265">
        <v>25842</v>
      </c>
      <c r="N265" t="s">
        <v>1027</v>
      </c>
      <c r="O265" s="5">
        <v>45240</v>
      </c>
      <c r="P265" s="5">
        <v>43777</v>
      </c>
      <c r="Q265" s="3">
        <v>462.5</v>
      </c>
      <c r="S265">
        <f t="shared" si="12"/>
        <v>1464</v>
      </c>
      <c r="T265">
        <f t="shared" si="13"/>
        <v>16.043835616438358</v>
      </c>
      <c r="U265" s="6">
        <f t="shared" si="14"/>
        <v>0.2536172216308783</v>
      </c>
    </row>
    <row r="266" spans="1:21" x14ac:dyDescent="0.25">
      <c r="A266" t="s">
        <v>1031</v>
      </c>
      <c r="B266" t="s">
        <v>1032</v>
      </c>
      <c r="C266" t="s">
        <v>6800</v>
      </c>
      <c r="D266">
        <v>83.5</v>
      </c>
      <c r="E266">
        <v>85</v>
      </c>
      <c r="F266">
        <v>83.5</v>
      </c>
      <c r="G266" s="3">
        <v>85</v>
      </c>
      <c r="H266">
        <v>85</v>
      </c>
      <c r="I266">
        <v>84.85</v>
      </c>
      <c r="J266">
        <v>900</v>
      </c>
      <c r="K266">
        <v>75889.5</v>
      </c>
      <c r="L266" s="1">
        <v>45240</v>
      </c>
      <c r="M266">
        <v>11</v>
      </c>
      <c r="N266" t="s">
        <v>1033</v>
      </c>
      <c r="O266" s="5">
        <v>45240</v>
      </c>
      <c r="P266" s="5">
        <v>43777</v>
      </c>
      <c r="Q266" s="3">
        <v>79.900000000000006</v>
      </c>
      <c r="S266">
        <f t="shared" si="12"/>
        <v>1464</v>
      </c>
      <c r="T266">
        <f t="shared" si="13"/>
        <v>16.043835616438358</v>
      </c>
      <c r="U266" s="6">
        <f t="shared" si="14"/>
        <v>1.5456372033836097E-2</v>
      </c>
    </row>
    <row r="267" spans="1:21" x14ac:dyDescent="0.25">
      <c r="A267" t="s">
        <v>1031</v>
      </c>
      <c r="B267" t="s">
        <v>1032</v>
      </c>
      <c r="C267" t="s">
        <v>14</v>
      </c>
      <c r="D267">
        <v>84</v>
      </c>
      <c r="E267">
        <v>86.15</v>
      </c>
      <c r="F267">
        <v>82.15</v>
      </c>
      <c r="G267" s="3">
        <v>83.65</v>
      </c>
      <c r="H267">
        <v>83.7</v>
      </c>
      <c r="I267">
        <v>84.85</v>
      </c>
      <c r="J267">
        <v>293518</v>
      </c>
      <c r="K267">
        <v>24615773.75</v>
      </c>
      <c r="L267" s="1">
        <v>45240</v>
      </c>
      <c r="M267">
        <v>4215</v>
      </c>
      <c r="N267" t="s">
        <v>1033</v>
      </c>
      <c r="O267" s="5">
        <v>45240</v>
      </c>
      <c r="P267" s="5">
        <v>43777</v>
      </c>
      <c r="Q267" s="3">
        <v>79.900000000000006</v>
      </c>
      <c r="S267">
        <f t="shared" si="12"/>
        <v>1464</v>
      </c>
      <c r="T267">
        <f t="shared" si="13"/>
        <v>16.043835616438358</v>
      </c>
      <c r="U267" s="6">
        <f t="shared" si="14"/>
        <v>1.1451425395589965E-2</v>
      </c>
    </row>
    <row r="268" spans="1:21" x14ac:dyDescent="0.25">
      <c r="A268" t="s">
        <v>1040</v>
      </c>
      <c r="B268" t="s">
        <v>1041</v>
      </c>
      <c r="C268" t="s">
        <v>14</v>
      </c>
      <c r="D268">
        <v>324.45</v>
      </c>
      <c r="E268">
        <v>326.14999999999998</v>
      </c>
      <c r="F268">
        <v>321.55</v>
      </c>
      <c r="G268" s="3">
        <v>323.39999999999998</v>
      </c>
      <c r="H268">
        <v>323.89999999999998</v>
      </c>
      <c r="I268">
        <v>323.55</v>
      </c>
      <c r="J268">
        <v>8445203</v>
      </c>
      <c r="K268">
        <v>2736340867.6999998</v>
      </c>
      <c r="L268" s="1">
        <v>45240</v>
      </c>
      <c r="M268">
        <v>101433</v>
      </c>
      <c r="N268" t="s">
        <v>1042</v>
      </c>
      <c r="O268" s="5">
        <v>45240</v>
      </c>
      <c r="P268" s="5">
        <v>43777</v>
      </c>
      <c r="Q268" s="3">
        <v>209.25</v>
      </c>
      <c r="S268">
        <f t="shared" si="12"/>
        <v>1464</v>
      </c>
      <c r="T268">
        <f t="shared" si="13"/>
        <v>16.043835616438358</v>
      </c>
      <c r="U268" s="6">
        <f t="shared" si="14"/>
        <v>0.11002878312820297</v>
      </c>
    </row>
    <row r="269" spans="1:21" x14ac:dyDescent="0.25">
      <c r="A269" t="s">
        <v>1046</v>
      </c>
      <c r="B269" t="s">
        <v>1047</v>
      </c>
      <c r="C269" t="s">
        <v>14</v>
      </c>
      <c r="D269">
        <v>1035</v>
      </c>
      <c r="E269">
        <v>1068.8499999999999</v>
      </c>
      <c r="F269">
        <v>1030</v>
      </c>
      <c r="G269" s="3">
        <v>1048.7</v>
      </c>
      <c r="H269">
        <v>1049.3</v>
      </c>
      <c r="I269">
        <v>1037.5999999999999</v>
      </c>
      <c r="J269">
        <v>1981727</v>
      </c>
      <c r="K269">
        <v>2086820298.8</v>
      </c>
      <c r="L269" s="1">
        <v>45240</v>
      </c>
      <c r="M269">
        <v>47065</v>
      </c>
      <c r="N269" t="s">
        <v>1048</v>
      </c>
      <c r="O269" s="5">
        <v>45240</v>
      </c>
      <c r="P269" s="5">
        <v>43777</v>
      </c>
      <c r="Q269" s="3">
        <v>395.55</v>
      </c>
      <c r="S269">
        <f t="shared" si="12"/>
        <v>1464</v>
      </c>
      <c r="T269">
        <f t="shared" si="13"/>
        <v>16.043835616438358</v>
      </c>
      <c r="U269" s="6">
        <f t="shared" si="14"/>
        <v>0.25062995395468501</v>
      </c>
    </row>
    <row r="270" spans="1:21" x14ac:dyDescent="0.25">
      <c r="A270" t="s">
        <v>1049</v>
      </c>
      <c r="B270" t="s">
        <v>1050</v>
      </c>
      <c r="C270" t="s">
        <v>14</v>
      </c>
      <c r="D270">
        <v>47</v>
      </c>
      <c r="E270">
        <v>47.55</v>
      </c>
      <c r="F270">
        <v>46.05</v>
      </c>
      <c r="G270" s="3">
        <v>46.95</v>
      </c>
      <c r="H270">
        <v>47.2</v>
      </c>
      <c r="I270">
        <v>48.6</v>
      </c>
      <c r="J270">
        <v>2100962</v>
      </c>
      <c r="K270">
        <v>98462834.099999994</v>
      </c>
      <c r="L270" s="1">
        <v>45240</v>
      </c>
      <c r="M270">
        <v>7562</v>
      </c>
      <c r="N270" t="s">
        <v>1051</v>
      </c>
      <c r="O270" s="5">
        <v>45240</v>
      </c>
      <c r="P270" s="5">
        <v>43777</v>
      </c>
      <c r="Q270" s="3">
        <v>40.799999999999997</v>
      </c>
      <c r="S270">
        <f t="shared" si="12"/>
        <v>1464</v>
      </c>
      <c r="T270">
        <f t="shared" si="13"/>
        <v>16.043835616438358</v>
      </c>
      <c r="U270" s="6">
        <f t="shared" si="14"/>
        <v>3.5157989730781658E-2</v>
      </c>
    </row>
    <row r="271" spans="1:21" x14ac:dyDescent="0.25">
      <c r="A271" t="s">
        <v>1055</v>
      </c>
      <c r="B271" t="s">
        <v>1056</v>
      </c>
      <c r="C271" t="s">
        <v>14</v>
      </c>
      <c r="D271">
        <v>2128</v>
      </c>
      <c r="E271">
        <v>2128</v>
      </c>
      <c r="F271">
        <v>2102.4499999999998</v>
      </c>
      <c r="G271" s="3">
        <v>2107.35</v>
      </c>
      <c r="H271">
        <v>2108</v>
      </c>
      <c r="I271">
        <v>2128.8000000000002</v>
      </c>
      <c r="J271">
        <v>147774</v>
      </c>
      <c r="K271">
        <v>312050390.35000002</v>
      </c>
      <c r="L271" s="1">
        <v>45240</v>
      </c>
      <c r="M271">
        <v>19618</v>
      </c>
      <c r="N271" t="s">
        <v>1057</v>
      </c>
      <c r="O271" s="5">
        <v>45240</v>
      </c>
      <c r="P271" s="5">
        <v>43777</v>
      </c>
      <c r="Q271" s="3">
        <v>1579.65</v>
      </c>
      <c r="S271">
        <f t="shared" si="12"/>
        <v>1464</v>
      </c>
      <c r="T271">
        <f t="shared" si="13"/>
        <v>16.043835616438358</v>
      </c>
      <c r="U271" s="6">
        <f t="shared" si="14"/>
        <v>7.2509472767566585E-2</v>
      </c>
    </row>
    <row r="272" spans="1:21" x14ac:dyDescent="0.25">
      <c r="A272" t="s">
        <v>1058</v>
      </c>
      <c r="B272" t="s">
        <v>1059</v>
      </c>
      <c r="C272" t="s">
        <v>786</v>
      </c>
      <c r="D272">
        <v>9.4</v>
      </c>
      <c r="E272">
        <v>9.4</v>
      </c>
      <c r="F272">
        <v>9.4</v>
      </c>
      <c r="G272" s="3">
        <v>9.4</v>
      </c>
      <c r="H272">
        <v>9.4</v>
      </c>
      <c r="I272">
        <v>9.9</v>
      </c>
      <c r="J272">
        <v>188312</v>
      </c>
      <c r="K272">
        <v>1770132.8</v>
      </c>
      <c r="L272" s="1">
        <v>45240</v>
      </c>
      <c r="M272">
        <v>403</v>
      </c>
      <c r="N272" t="s">
        <v>1060</v>
      </c>
      <c r="O272" s="5">
        <v>45240</v>
      </c>
      <c r="P272" s="5">
        <v>43777</v>
      </c>
      <c r="Q272" s="3">
        <v>8.65</v>
      </c>
      <c r="S272">
        <f t="shared" si="12"/>
        <v>1464</v>
      </c>
      <c r="T272">
        <f t="shared" si="13"/>
        <v>16.043835616438358</v>
      </c>
      <c r="U272" s="6">
        <f t="shared" si="14"/>
        <v>2.0784609044516955E-2</v>
      </c>
    </row>
    <row r="273" spans="1:21" x14ac:dyDescent="0.25">
      <c r="A273" t="s">
        <v>1061</v>
      </c>
      <c r="B273" t="s">
        <v>1062</v>
      </c>
      <c r="C273" t="s">
        <v>14</v>
      </c>
      <c r="D273">
        <v>23.8</v>
      </c>
      <c r="E273">
        <v>24.25</v>
      </c>
      <c r="F273">
        <v>23.8</v>
      </c>
      <c r="G273" s="3">
        <v>24.15</v>
      </c>
      <c r="H273">
        <v>24.1</v>
      </c>
      <c r="I273">
        <v>24.1</v>
      </c>
      <c r="J273">
        <v>197672</v>
      </c>
      <c r="K273">
        <v>4753171.9000000004</v>
      </c>
      <c r="L273" s="1">
        <v>45240</v>
      </c>
      <c r="M273">
        <v>1180</v>
      </c>
      <c r="N273" t="s">
        <v>1063</v>
      </c>
      <c r="O273" s="5">
        <v>45240</v>
      </c>
      <c r="P273" s="5">
        <v>43777</v>
      </c>
      <c r="Q273" s="3">
        <v>8.1999999999999993</v>
      </c>
      <c r="S273">
        <f t="shared" si="12"/>
        <v>1464</v>
      </c>
      <c r="T273">
        <f t="shared" si="13"/>
        <v>16.043835616438358</v>
      </c>
      <c r="U273" s="6">
        <f t="shared" si="14"/>
        <v>0.27857195417339398</v>
      </c>
    </row>
    <row r="274" spans="1:21" x14ac:dyDescent="0.25">
      <c r="A274" t="s">
        <v>1064</v>
      </c>
      <c r="B274" t="s">
        <v>1065</v>
      </c>
      <c r="C274" t="s">
        <v>14</v>
      </c>
      <c r="D274">
        <v>735.35</v>
      </c>
      <c r="E274">
        <v>739</v>
      </c>
      <c r="F274">
        <v>726</v>
      </c>
      <c r="G274" s="3">
        <v>736.85</v>
      </c>
      <c r="H274">
        <v>739</v>
      </c>
      <c r="I274">
        <v>735.35</v>
      </c>
      <c r="J274">
        <v>488913</v>
      </c>
      <c r="K274">
        <v>358074857.05000001</v>
      </c>
      <c r="L274" s="1">
        <v>45240</v>
      </c>
      <c r="M274">
        <v>31853</v>
      </c>
      <c r="N274" t="s">
        <v>1066</v>
      </c>
      <c r="O274" s="5">
        <v>45240</v>
      </c>
      <c r="P274" s="5">
        <v>43777</v>
      </c>
      <c r="Q274" s="3">
        <v>570.9</v>
      </c>
      <c r="S274">
        <f t="shared" si="12"/>
        <v>1464</v>
      </c>
      <c r="T274">
        <f t="shared" si="13"/>
        <v>16.043835616438358</v>
      </c>
      <c r="U274" s="6">
        <f t="shared" si="14"/>
        <v>6.4126876918295217E-2</v>
      </c>
    </row>
    <row r="275" spans="1:21" x14ac:dyDescent="0.25">
      <c r="A275" t="s">
        <v>1070</v>
      </c>
      <c r="B275" t="s">
        <v>1071</v>
      </c>
      <c r="C275" t="s">
        <v>14</v>
      </c>
      <c r="D275">
        <v>82.4</v>
      </c>
      <c r="E275">
        <v>83.9</v>
      </c>
      <c r="F275">
        <v>82.1</v>
      </c>
      <c r="G275" s="3">
        <v>83.4</v>
      </c>
      <c r="H275">
        <v>83.85</v>
      </c>
      <c r="I275">
        <v>82.35</v>
      </c>
      <c r="J275">
        <v>647069</v>
      </c>
      <c r="K275">
        <v>53795572.899999999</v>
      </c>
      <c r="L275" s="1">
        <v>45240</v>
      </c>
      <c r="M275">
        <v>4358</v>
      </c>
      <c r="N275" t="s">
        <v>1072</v>
      </c>
      <c r="O275" s="5">
        <v>45240</v>
      </c>
      <c r="P275" s="5">
        <v>43777</v>
      </c>
      <c r="Q275" s="3">
        <v>27</v>
      </c>
      <c r="S275">
        <f t="shared" si="12"/>
        <v>1464</v>
      </c>
      <c r="T275">
        <f t="shared" si="13"/>
        <v>16.043835616438358</v>
      </c>
      <c r="U275" s="6">
        <f t="shared" si="14"/>
        <v>0.29130115109600663</v>
      </c>
    </row>
    <row r="276" spans="1:21" x14ac:dyDescent="0.25">
      <c r="A276" t="s">
        <v>1073</v>
      </c>
      <c r="B276" t="s">
        <v>1074</v>
      </c>
      <c r="C276" t="s">
        <v>14</v>
      </c>
      <c r="D276">
        <v>190.05</v>
      </c>
      <c r="E276">
        <v>195</v>
      </c>
      <c r="F276">
        <v>185.4</v>
      </c>
      <c r="G276" s="3">
        <v>191</v>
      </c>
      <c r="H276">
        <v>191.4</v>
      </c>
      <c r="I276">
        <v>187.2</v>
      </c>
      <c r="J276">
        <v>53732</v>
      </c>
      <c r="K276">
        <v>10212578.050000001</v>
      </c>
      <c r="L276" s="1">
        <v>45240</v>
      </c>
      <c r="M276">
        <v>1910</v>
      </c>
      <c r="N276" t="s">
        <v>1075</v>
      </c>
      <c r="O276" s="5">
        <v>45240</v>
      </c>
      <c r="P276" s="5">
        <v>43777</v>
      </c>
      <c r="Q276" s="3">
        <v>36.200000000000003</v>
      </c>
      <c r="S276">
        <f t="shared" si="12"/>
        <v>1464</v>
      </c>
      <c r="T276">
        <f t="shared" si="13"/>
        <v>16.043835616438358</v>
      </c>
      <c r="U276" s="6">
        <f t="shared" si="14"/>
        <v>0.43692352546811097</v>
      </c>
    </row>
    <row r="277" spans="1:21" x14ac:dyDescent="0.25">
      <c r="A277" t="s">
        <v>1076</v>
      </c>
      <c r="B277" t="s">
        <v>1077</v>
      </c>
      <c r="C277" t="s">
        <v>14</v>
      </c>
      <c r="D277">
        <v>869.35</v>
      </c>
      <c r="E277">
        <v>875</v>
      </c>
      <c r="F277">
        <v>842.2</v>
      </c>
      <c r="G277" s="3">
        <v>851.35</v>
      </c>
      <c r="H277">
        <v>856</v>
      </c>
      <c r="I277">
        <v>869.35</v>
      </c>
      <c r="J277">
        <v>29467</v>
      </c>
      <c r="K277">
        <v>25128268.300000001</v>
      </c>
      <c r="L277" s="1">
        <v>45240</v>
      </c>
      <c r="M277">
        <v>5539</v>
      </c>
      <c r="N277" t="s">
        <v>1078</v>
      </c>
      <c r="O277" s="5">
        <v>45240</v>
      </c>
      <c r="P277" s="5">
        <v>43777</v>
      </c>
      <c r="Q277" s="3">
        <v>270.7</v>
      </c>
      <c r="S277">
        <f t="shared" si="12"/>
        <v>1464</v>
      </c>
      <c r="T277">
        <f t="shared" si="13"/>
        <v>16.043835616438358</v>
      </c>
      <c r="U277" s="6">
        <f t="shared" si="14"/>
        <v>0.29611855959096101</v>
      </c>
    </row>
    <row r="278" spans="1:21" x14ac:dyDescent="0.25">
      <c r="A278" t="s">
        <v>1079</v>
      </c>
      <c r="B278" t="s">
        <v>1080</v>
      </c>
      <c r="C278" t="s">
        <v>14</v>
      </c>
      <c r="D278">
        <v>44</v>
      </c>
      <c r="E278">
        <v>44.2</v>
      </c>
      <c r="F278">
        <v>42.35</v>
      </c>
      <c r="G278" s="3">
        <v>43.1</v>
      </c>
      <c r="H278">
        <v>43.45</v>
      </c>
      <c r="I278">
        <v>43.8</v>
      </c>
      <c r="J278">
        <v>84571</v>
      </c>
      <c r="K278">
        <v>3653835.65</v>
      </c>
      <c r="L278" s="1">
        <v>45240</v>
      </c>
      <c r="M278">
        <v>646</v>
      </c>
      <c r="N278" t="s">
        <v>1081</v>
      </c>
      <c r="O278" s="5">
        <v>45240</v>
      </c>
      <c r="P278" s="5">
        <v>43777</v>
      </c>
      <c r="Q278" s="3">
        <v>12.9</v>
      </c>
      <c r="S278">
        <f t="shared" si="12"/>
        <v>1464</v>
      </c>
      <c r="T278">
        <f t="shared" si="13"/>
        <v>16.043835616438358</v>
      </c>
      <c r="U278" s="6">
        <f t="shared" si="14"/>
        <v>0.31234503743319575</v>
      </c>
    </row>
    <row r="279" spans="1:21" x14ac:dyDescent="0.25">
      <c r="A279" t="s">
        <v>1082</v>
      </c>
      <c r="B279" t="s">
        <v>1083</v>
      </c>
      <c r="C279" t="s">
        <v>14</v>
      </c>
      <c r="D279">
        <v>113.1</v>
      </c>
      <c r="E279">
        <v>115</v>
      </c>
      <c r="F279">
        <v>112.3</v>
      </c>
      <c r="G279" s="3">
        <v>113.85</v>
      </c>
      <c r="H279">
        <v>114.4</v>
      </c>
      <c r="I279">
        <v>113.4</v>
      </c>
      <c r="J279">
        <v>42202</v>
      </c>
      <c r="K279">
        <v>4813798.3499999996</v>
      </c>
      <c r="L279" s="1">
        <v>45240</v>
      </c>
      <c r="M279">
        <v>757</v>
      </c>
      <c r="N279" t="s">
        <v>1084</v>
      </c>
      <c r="O279" s="5">
        <v>45240</v>
      </c>
      <c r="P279" s="5">
        <v>43777</v>
      </c>
      <c r="Q279" s="3">
        <v>42.55</v>
      </c>
      <c r="S279">
        <f t="shared" si="12"/>
        <v>1464</v>
      </c>
      <c r="T279">
        <f t="shared" si="13"/>
        <v>16.043835616438358</v>
      </c>
      <c r="U279" s="6">
        <f t="shared" si="14"/>
        <v>0.25306081268166292</v>
      </c>
    </row>
    <row r="280" spans="1:21" x14ac:dyDescent="0.25">
      <c r="A280" t="s">
        <v>1085</v>
      </c>
      <c r="B280" t="s">
        <v>1086</v>
      </c>
      <c r="C280" t="s">
        <v>14</v>
      </c>
      <c r="D280">
        <v>1109.0999999999999</v>
      </c>
      <c r="E280">
        <v>1114.8499999999999</v>
      </c>
      <c r="F280">
        <v>1092.95</v>
      </c>
      <c r="G280" s="3">
        <v>1097.5</v>
      </c>
      <c r="H280">
        <v>1099.1500000000001</v>
      </c>
      <c r="I280">
        <v>1109.0999999999999</v>
      </c>
      <c r="J280">
        <v>220538</v>
      </c>
      <c r="K280">
        <v>242569174.84999999</v>
      </c>
      <c r="L280" s="1">
        <v>45240</v>
      </c>
      <c r="M280">
        <v>14547</v>
      </c>
      <c r="N280" t="s">
        <v>1087</v>
      </c>
      <c r="O280" s="5">
        <v>45240</v>
      </c>
      <c r="P280" s="5">
        <v>43777</v>
      </c>
      <c r="Q280" s="3">
        <v>469.7</v>
      </c>
      <c r="S280">
        <f t="shared" si="12"/>
        <v>1464</v>
      </c>
      <c r="T280">
        <f t="shared" si="13"/>
        <v>16.043835616438358</v>
      </c>
      <c r="U280" s="6">
        <f t="shared" si="14"/>
        <v>0.21729079647775951</v>
      </c>
    </row>
    <row r="281" spans="1:21" x14ac:dyDescent="0.25">
      <c r="A281" t="s">
        <v>1091</v>
      </c>
      <c r="B281" t="s">
        <v>1092</v>
      </c>
      <c r="C281" t="s">
        <v>14</v>
      </c>
      <c r="D281">
        <v>4.2</v>
      </c>
      <c r="E281">
        <v>4.45</v>
      </c>
      <c r="F281">
        <v>4.2</v>
      </c>
      <c r="G281" s="3">
        <v>4.45</v>
      </c>
      <c r="H281">
        <v>4.45</v>
      </c>
      <c r="I281">
        <v>4.25</v>
      </c>
      <c r="J281">
        <v>345600</v>
      </c>
      <c r="K281">
        <v>1525115.85</v>
      </c>
      <c r="L281" s="1">
        <v>45240</v>
      </c>
      <c r="M281">
        <v>258</v>
      </c>
      <c r="N281" t="s">
        <v>1093</v>
      </c>
      <c r="O281" s="5">
        <v>45240</v>
      </c>
      <c r="P281" s="5">
        <v>43777</v>
      </c>
      <c r="Q281" s="3">
        <v>1.7</v>
      </c>
      <c r="S281">
        <f t="shared" si="12"/>
        <v>1464</v>
      </c>
      <c r="T281">
        <f t="shared" si="13"/>
        <v>16.043835616438358</v>
      </c>
      <c r="U281" s="6">
        <f t="shared" si="14"/>
        <v>0.24725239417027289</v>
      </c>
    </row>
    <row r="282" spans="1:21" x14ac:dyDescent="0.25">
      <c r="A282" t="s">
        <v>6780</v>
      </c>
      <c r="B282" t="s">
        <v>7798</v>
      </c>
      <c r="C282" t="s">
        <v>14</v>
      </c>
      <c r="D282">
        <v>55.07</v>
      </c>
      <c r="E282">
        <v>55.37</v>
      </c>
      <c r="F282">
        <v>54.66</v>
      </c>
      <c r="G282" s="3">
        <v>55.29</v>
      </c>
      <c r="H282">
        <v>55.37</v>
      </c>
      <c r="I282">
        <v>54.85</v>
      </c>
      <c r="J282">
        <v>686354</v>
      </c>
      <c r="K282">
        <v>37810400.159999996</v>
      </c>
      <c r="L282" s="1">
        <v>45240</v>
      </c>
      <c r="M282">
        <v>3936</v>
      </c>
      <c r="N282" t="s">
        <v>6779</v>
      </c>
      <c r="O282" s="5">
        <v>45240</v>
      </c>
      <c r="P282" s="5">
        <v>43777</v>
      </c>
      <c r="Q282" s="3">
        <v>24.22</v>
      </c>
      <c r="S282">
        <f t="shared" si="12"/>
        <v>1464</v>
      </c>
      <c r="T282">
        <f t="shared" si="13"/>
        <v>16.043835616438358</v>
      </c>
      <c r="U282" s="6">
        <f t="shared" si="14"/>
        <v>0.2111751511365112</v>
      </c>
    </row>
    <row r="283" spans="1:21" x14ac:dyDescent="0.25">
      <c r="A283" t="s">
        <v>1097</v>
      </c>
      <c r="B283" t="s">
        <v>1098</v>
      </c>
      <c r="C283" t="s">
        <v>14</v>
      </c>
      <c r="D283">
        <v>660</v>
      </c>
      <c r="E283">
        <v>709.9</v>
      </c>
      <c r="F283">
        <v>656.55</v>
      </c>
      <c r="G283" s="3">
        <v>691.4</v>
      </c>
      <c r="H283">
        <v>692.25</v>
      </c>
      <c r="I283">
        <v>671.1</v>
      </c>
      <c r="J283">
        <v>49028</v>
      </c>
      <c r="K283">
        <v>33852898.399999999</v>
      </c>
      <c r="L283" s="1">
        <v>45240</v>
      </c>
      <c r="M283">
        <v>3510</v>
      </c>
      <c r="N283" t="s">
        <v>1099</v>
      </c>
      <c r="O283" s="5">
        <v>45240</v>
      </c>
      <c r="P283" s="5">
        <v>43777</v>
      </c>
      <c r="Q283" s="3">
        <v>69.55</v>
      </c>
      <c r="S283">
        <f t="shared" si="12"/>
        <v>1464</v>
      </c>
      <c r="T283">
        <f t="shared" si="13"/>
        <v>16.043835616438358</v>
      </c>
      <c r="U283" s="6">
        <f t="shared" si="14"/>
        <v>0.61561078893398236</v>
      </c>
    </row>
    <row r="284" spans="1:21" x14ac:dyDescent="0.25">
      <c r="A284" t="s">
        <v>1103</v>
      </c>
      <c r="B284" t="s">
        <v>1104</v>
      </c>
      <c r="C284" t="s">
        <v>14</v>
      </c>
      <c r="D284">
        <v>1683.7</v>
      </c>
      <c r="E284">
        <v>1725</v>
      </c>
      <c r="F284">
        <v>1675</v>
      </c>
      <c r="G284" s="3">
        <v>1699.7</v>
      </c>
      <c r="H284">
        <v>1686</v>
      </c>
      <c r="I284">
        <v>1686.75</v>
      </c>
      <c r="J284">
        <v>294603</v>
      </c>
      <c r="K284">
        <v>501577495.55000001</v>
      </c>
      <c r="L284" s="1">
        <v>45240</v>
      </c>
      <c r="M284">
        <v>19465</v>
      </c>
      <c r="N284" t="s">
        <v>1105</v>
      </c>
      <c r="O284" s="5">
        <v>45240</v>
      </c>
      <c r="P284" s="5">
        <v>43777</v>
      </c>
      <c r="Q284" s="3">
        <v>682.05</v>
      </c>
      <c r="S284">
        <f t="shared" si="12"/>
        <v>1464</v>
      </c>
      <c r="T284">
        <f t="shared" si="13"/>
        <v>16.043835616438358</v>
      </c>
      <c r="U284" s="6">
        <f t="shared" si="14"/>
        <v>0.23425517752763181</v>
      </c>
    </row>
    <row r="285" spans="1:21" x14ac:dyDescent="0.25">
      <c r="A285" t="s">
        <v>1103</v>
      </c>
      <c r="B285" t="s">
        <v>1104</v>
      </c>
      <c r="C285" t="s">
        <v>6182</v>
      </c>
      <c r="D285">
        <v>1000</v>
      </c>
      <c r="E285">
        <v>1001</v>
      </c>
      <c r="F285">
        <v>1000</v>
      </c>
      <c r="G285" s="3">
        <v>1001</v>
      </c>
      <c r="H285">
        <v>1001</v>
      </c>
      <c r="I285">
        <v>1001</v>
      </c>
      <c r="J285">
        <v>1203</v>
      </c>
      <c r="K285">
        <v>1203003</v>
      </c>
      <c r="L285" s="1">
        <v>45240</v>
      </c>
      <c r="M285">
        <v>124</v>
      </c>
      <c r="N285" t="s">
        <v>6776</v>
      </c>
      <c r="O285" s="5">
        <v>45240</v>
      </c>
      <c r="P285" s="5">
        <v>43777</v>
      </c>
      <c r="Q285" s="3">
        <v>682.05</v>
      </c>
      <c r="S285">
        <f t="shared" si="12"/>
        <v>1464</v>
      </c>
      <c r="T285">
        <f t="shared" si="13"/>
        <v>16.043835616438358</v>
      </c>
      <c r="U285" s="6">
        <f t="shared" si="14"/>
        <v>9.6803702649822299E-2</v>
      </c>
    </row>
    <row r="286" spans="1:21" x14ac:dyDescent="0.25">
      <c r="A286" t="s">
        <v>1103</v>
      </c>
      <c r="B286" t="s">
        <v>1104</v>
      </c>
      <c r="C286" t="s">
        <v>6243</v>
      </c>
      <c r="D286">
        <v>1002.1</v>
      </c>
      <c r="E286">
        <v>1002.1</v>
      </c>
      <c r="F286">
        <v>1002.1</v>
      </c>
      <c r="G286" s="3">
        <v>1002.1</v>
      </c>
      <c r="H286">
        <v>1002.1</v>
      </c>
      <c r="I286">
        <v>999</v>
      </c>
      <c r="J286">
        <v>53</v>
      </c>
      <c r="K286">
        <v>53111.3</v>
      </c>
      <c r="L286" s="1">
        <v>45240</v>
      </c>
      <c r="M286">
        <v>2</v>
      </c>
      <c r="N286" t="s">
        <v>6775</v>
      </c>
      <c r="O286" s="5">
        <v>45240</v>
      </c>
      <c r="P286" s="5">
        <v>43777</v>
      </c>
      <c r="Q286" s="3">
        <v>682.05</v>
      </c>
      <c r="S286">
        <f t="shared" si="12"/>
        <v>1464</v>
      </c>
      <c r="T286">
        <f t="shared" si="13"/>
        <v>16.043835616438358</v>
      </c>
      <c r="U286" s="6">
        <f t="shared" si="14"/>
        <v>9.70841632831414E-2</v>
      </c>
    </row>
    <row r="287" spans="1:21" x14ac:dyDescent="0.25">
      <c r="A287" t="s">
        <v>1103</v>
      </c>
      <c r="B287" t="s">
        <v>1104</v>
      </c>
      <c r="C287" t="s">
        <v>6240</v>
      </c>
      <c r="D287">
        <v>1010</v>
      </c>
      <c r="E287">
        <v>1010</v>
      </c>
      <c r="F287">
        <v>1010</v>
      </c>
      <c r="G287" s="3">
        <v>1010</v>
      </c>
      <c r="H287">
        <v>1010</v>
      </c>
      <c r="I287">
        <v>1010</v>
      </c>
      <c r="J287">
        <v>30</v>
      </c>
      <c r="K287">
        <v>30300</v>
      </c>
      <c r="L287" s="1">
        <v>45240</v>
      </c>
      <c r="M287">
        <v>1</v>
      </c>
      <c r="N287" t="s">
        <v>6774</v>
      </c>
      <c r="O287" s="5">
        <v>45240</v>
      </c>
      <c r="P287" s="5">
        <v>43777</v>
      </c>
      <c r="Q287" s="3">
        <v>682.05</v>
      </c>
      <c r="S287">
        <f t="shared" si="12"/>
        <v>1464</v>
      </c>
      <c r="T287">
        <f t="shared" si="13"/>
        <v>16.043835616438358</v>
      </c>
      <c r="U287" s="6">
        <f t="shared" si="14"/>
        <v>9.9089940642182128E-2</v>
      </c>
    </row>
    <row r="288" spans="1:21" x14ac:dyDescent="0.25">
      <c r="A288" t="s">
        <v>1106</v>
      </c>
      <c r="B288" t="s">
        <v>1107</v>
      </c>
      <c r="C288" t="s">
        <v>14</v>
      </c>
      <c r="D288">
        <v>252</v>
      </c>
      <c r="E288">
        <v>269.95</v>
      </c>
      <c r="F288">
        <v>242.05</v>
      </c>
      <c r="G288" s="3">
        <v>259.5</v>
      </c>
      <c r="H288">
        <v>258.25</v>
      </c>
      <c r="I288">
        <v>246.9</v>
      </c>
      <c r="J288">
        <v>182443</v>
      </c>
      <c r="K288">
        <v>47783399.649999999</v>
      </c>
      <c r="L288" s="1">
        <v>45240</v>
      </c>
      <c r="M288">
        <v>3272</v>
      </c>
      <c r="N288" t="s">
        <v>1108</v>
      </c>
      <c r="O288" s="5">
        <v>45240</v>
      </c>
      <c r="P288" s="5">
        <v>43777</v>
      </c>
      <c r="Q288" s="3">
        <v>93.7</v>
      </c>
      <c r="S288">
        <f t="shared" si="12"/>
        <v>1464</v>
      </c>
      <c r="T288">
        <f t="shared" si="13"/>
        <v>16.043835616438358</v>
      </c>
      <c r="U288" s="6">
        <f t="shared" si="14"/>
        <v>0.26220472275478102</v>
      </c>
    </row>
    <row r="289" spans="1:21" x14ac:dyDescent="0.25">
      <c r="A289" t="s">
        <v>1109</v>
      </c>
      <c r="B289" t="s">
        <v>1110</v>
      </c>
      <c r="C289" t="s">
        <v>14</v>
      </c>
      <c r="D289">
        <v>4203</v>
      </c>
      <c r="E289">
        <v>4235.1000000000004</v>
      </c>
      <c r="F289">
        <v>4065.05</v>
      </c>
      <c r="G289" s="3">
        <v>4099.8500000000004</v>
      </c>
      <c r="H289">
        <v>4100</v>
      </c>
      <c r="I289">
        <v>4182.05</v>
      </c>
      <c r="J289">
        <v>91446</v>
      </c>
      <c r="K289">
        <v>383202784.35000002</v>
      </c>
      <c r="L289" s="1">
        <v>45240</v>
      </c>
      <c r="M289">
        <v>11518</v>
      </c>
      <c r="N289" t="s">
        <v>1111</v>
      </c>
      <c r="O289" s="5">
        <v>45240</v>
      </c>
      <c r="P289" s="5">
        <v>43777</v>
      </c>
      <c r="Q289" s="3">
        <v>1442.3</v>
      </c>
      <c r="S289">
        <f t="shared" si="12"/>
        <v>1464</v>
      </c>
      <c r="T289">
        <f t="shared" si="13"/>
        <v>16.043835616438358</v>
      </c>
      <c r="U289" s="6">
        <f t="shared" si="14"/>
        <v>0.26913153446353455</v>
      </c>
    </row>
    <row r="290" spans="1:21" x14ac:dyDescent="0.25">
      <c r="A290" t="s">
        <v>1112</v>
      </c>
      <c r="B290" t="s">
        <v>1113</v>
      </c>
      <c r="C290" t="s">
        <v>14</v>
      </c>
      <c r="D290">
        <v>281.89999999999998</v>
      </c>
      <c r="E290">
        <v>283.60000000000002</v>
      </c>
      <c r="F290">
        <v>279.14999999999998</v>
      </c>
      <c r="G290" s="3">
        <v>282.25</v>
      </c>
      <c r="H290">
        <v>283.45</v>
      </c>
      <c r="I290">
        <v>281.45</v>
      </c>
      <c r="J290">
        <v>717289</v>
      </c>
      <c r="K290">
        <v>202157973.84999999</v>
      </c>
      <c r="L290" s="1">
        <v>45240</v>
      </c>
      <c r="M290">
        <v>15509</v>
      </c>
      <c r="N290" t="s">
        <v>1114</v>
      </c>
      <c r="O290" s="5">
        <v>45240</v>
      </c>
      <c r="P290" s="5">
        <v>43777</v>
      </c>
      <c r="Q290" s="3">
        <v>257.55</v>
      </c>
      <c r="S290">
        <f t="shared" si="12"/>
        <v>1464</v>
      </c>
      <c r="T290">
        <f t="shared" si="13"/>
        <v>16.043835616438358</v>
      </c>
      <c r="U290" s="6">
        <f t="shared" si="14"/>
        <v>2.289756584602376E-2</v>
      </c>
    </row>
    <row r="291" spans="1:21" x14ac:dyDescent="0.25">
      <c r="A291" t="s">
        <v>1124</v>
      </c>
      <c r="B291" t="s">
        <v>1125</v>
      </c>
      <c r="C291" t="s">
        <v>14</v>
      </c>
      <c r="D291">
        <v>71.400000000000006</v>
      </c>
      <c r="E291">
        <v>73</v>
      </c>
      <c r="F291">
        <v>70.5</v>
      </c>
      <c r="G291" s="3">
        <v>71.3</v>
      </c>
      <c r="H291">
        <v>71.2</v>
      </c>
      <c r="I291">
        <v>71.25</v>
      </c>
      <c r="J291">
        <v>57337</v>
      </c>
      <c r="K291">
        <v>4112014.5</v>
      </c>
      <c r="L291" s="1">
        <v>45240</v>
      </c>
      <c r="M291">
        <v>809</v>
      </c>
      <c r="N291" t="s">
        <v>1126</v>
      </c>
      <c r="O291" s="5">
        <v>45240</v>
      </c>
      <c r="P291" s="5">
        <v>43777</v>
      </c>
      <c r="Q291" s="3">
        <v>29.45</v>
      </c>
      <c r="S291">
        <f t="shared" si="12"/>
        <v>1464</v>
      </c>
      <c r="T291">
        <f t="shared" si="13"/>
        <v>16.043835616438358</v>
      </c>
      <c r="U291" s="6">
        <f t="shared" si="14"/>
        <v>0.2266343793324932</v>
      </c>
    </row>
    <row r="292" spans="1:21" x14ac:dyDescent="0.25">
      <c r="A292" t="s">
        <v>1127</v>
      </c>
      <c r="B292" t="s">
        <v>1128</v>
      </c>
      <c r="C292" t="s">
        <v>14</v>
      </c>
      <c r="D292">
        <v>144.25</v>
      </c>
      <c r="E292">
        <v>144.80000000000001</v>
      </c>
      <c r="F292">
        <v>141.35</v>
      </c>
      <c r="G292" s="3">
        <v>142.25</v>
      </c>
      <c r="H292">
        <v>142.1</v>
      </c>
      <c r="I292">
        <v>143.85</v>
      </c>
      <c r="J292">
        <v>3323006</v>
      </c>
      <c r="K292">
        <v>475000499.80000001</v>
      </c>
      <c r="L292" s="1">
        <v>45240</v>
      </c>
      <c r="M292">
        <v>20564</v>
      </c>
      <c r="N292" t="s">
        <v>1129</v>
      </c>
      <c r="O292" s="5">
        <v>45240</v>
      </c>
      <c r="P292" s="5">
        <v>43777</v>
      </c>
      <c r="Q292" s="3">
        <v>213.35</v>
      </c>
      <c r="S292">
        <f t="shared" si="12"/>
        <v>1464</v>
      </c>
      <c r="T292">
        <f t="shared" si="13"/>
        <v>16.043835616438358</v>
      </c>
      <c r="U292" s="6">
        <f t="shared" si="14"/>
        <v>-9.97941479009814E-2</v>
      </c>
    </row>
    <row r="293" spans="1:21" x14ac:dyDescent="0.25">
      <c r="A293" t="s">
        <v>1130</v>
      </c>
      <c r="B293" t="s">
        <v>1131</v>
      </c>
      <c r="C293" t="s">
        <v>14</v>
      </c>
      <c r="D293">
        <v>57.35</v>
      </c>
      <c r="E293">
        <v>59.05</v>
      </c>
      <c r="F293">
        <v>56.25</v>
      </c>
      <c r="G293" s="3">
        <v>59.05</v>
      </c>
      <c r="H293">
        <v>59.05</v>
      </c>
      <c r="I293">
        <v>56.25</v>
      </c>
      <c r="J293">
        <v>110994</v>
      </c>
      <c r="K293">
        <v>6530564.8499999996</v>
      </c>
      <c r="L293" s="1">
        <v>45240</v>
      </c>
      <c r="M293">
        <v>652</v>
      </c>
      <c r="N293" t="s">
        <v>1132</v>
      </c>
      <c r="O293" s="5">
        <v>45240</v>
      </c>
      <c r="P293" s="5">
        <v>43777</v>
      </c>
      <c r="Q293" s="3">
        <v>13.35</v>
      </c>
      <c r="S293">
        <f t="shared" si="12"/>
        <v>1464</v>
      </c>
      <c r="T293">
        <f t="shared" si="13"/>
        <v>16.043835616438358</v>
      </c>
      <c r="U293" s="6">
        <f t="shared" si="14"/>
        <v>0.38842202955744565</v>
      </c>
    </row>
    <row r="294" spans="1:21" x14ac:dyDescent="0.25">
      <c r="A294" t="s">
        <v>1133</v>
      </c>
      <c r="B294" t="s">
        <v>1134</v>
      </c>
      <c r="C294" t="s">
        <v>14</v>
      </c>
      <c r="D294">
        <v>1750.5</v>
      </c>
      <c r="E294">
        <v>1773</v>
      </c>
      <c r="F294">
        <v>1731.45</v>
      </c>
      <c r="G294" s="3">
        <v>1768.45</v>
      </c>
      <c r="H294">
        <v>1772.7</v>
      </c>
      <c r="I294">
        <v>1750.5</v>
      </c>
      <c r="J294">
        <v>189259</v>
      </c>
      <c r="K294">
        <v>332085549.80000001</v>
      </c>
      <c r="L294" s="1">
        <v>45240</v>
      </c>
      <c r="M294">
        <v>13637</v>
      </c>
      <c r="N294" t="s">
        <v>1135</v>
      </c>
      <c r="O294" s="5">
        <v>45240</v>
      </c>
      <c r="P294" s="5">
        <v>43777</v>
      </c>
      <c r="Q294" s="3">
        <v>556.9</v>
      </c>
      <c r="S294">
        <f t="shared" si="12"/>
        <v>1464</v>
      </c>
      <c r="T294">
        <f t="shared" si="13"/>
        <v>16.043835616438358</v>
      </c>
      <c r="U294" s="6">
        <f t="shared" si="14"/>
        <v>0.29870627887569423</v>
      </c>
    </row>
    <row r="295" spans="1:21" x14ac:dyDescent="0.25">
      <c r="A295" t="s">
        <v>1136</v>
      </c>
      <c r="B295" t="s">
        <v>1137</v>
      </c>
      <c r="C295" t="s">
        <v>14</v>
      </c>
      <c r="D295">
        <v>739.9</v>
      </c>
      <c r="E295">
        <v>817.15</v>
      </c>
      <c r="F295">
        <v>738.35</v>
      </c>
      <c r="G295" s="3">
        <v>817.15</v>
      </c>
      <c r="H295">
        <v>817.15</v>
      </c>
      <c r="I295">
        <v>742.9</v>
      </c>
      <c r="J295">
        <v>482136</v>
      </c>
      <c r="K295">
        <v>383113397.30000001</v>
      </c>
      <c r="L295" s="1">
        <v>45240</v>
      </c>
      <c r="M295">
        <v>9649</v>
      </c>
      <c r="N295" t="s">
        <v>1138</v>
      </c>
      <c r="O295" s="5">
        <v>45240</v>
      </c>
      <c r="P295" s="5">
        <v>43777</v>
      </c>
      <c r="Q295" s="3">
        <v>220.8</v>
      </c>
      <c r="S295">
        <f t="shared" si="12"/>
        <v>1464</v>
      </c>
      <c r="T295">
        <f t="shared" si="13"/>
        <v>16.043835616438358</v>
      </c>
      <c r="U295" s="6">
        <f t="shared" si="14"/>
        <v>0.3399214073967185</v>
      </c>
    </row>
    <row r="296" spans="1:21" x14ac:dyDescent="0.25">
      <c r="A296" t="s">
        <v>1142</v>
      </c>
      <c r="B296" t="s">
        <v>1143</v>
      </c>
      <c r="C296" t="s">
        <v>14</v>
      </c>
      <c r="D296">
        <v>143.6</v>
      </c>
      <c r="E296">
        <v>144.19999999999999</v>
      </c>
      <c r="F296">
        <v>141.85</v>
      </c>
      <c r="G296" s="3">
        <v>142.69999999999999</v>
      </c>
      <c r="H296">
        <v>142.1</v>
      </c>
      <c r="I296">
        <v>143.6</v>
      </c>
      <c r="J296">
        <v>27557</v>
      </c>
      <c r="K296">
        <v>3936511.55</v>
      </c>
      <c r="L296" s="1">
        <v>45240</v>
      </c>
      <c r="M296">
        <v>814</v>
      </c>
      <c r="N296" t="s">
        <v>1144</v>
      </c>
      <c r="O296" s="5">
        <v>45240</v>
      </c>
      <c r="P296" s="5">
        <v>43777</v>
      </c>
      <c r="Q296" s="3">
        <v>47.75</v>
      </c>
      <c r="S296">
        <f t="shared" si="12"/>
        <v>1464</v>
      </c>
      <c r="T296">
        <f t="shared" si="13"/>
        <v>16.043835616438358</v>
      </c>
      <c r="U296" s="6">
        <f t="shared" si="14"/>
        <v>0.2824713216826984</v>
      </c>
    </row>
    <row r="297" spans="1:21" x14ac:dyDescent="0.25">
      <c r="A297" t="s">
        <v>1145</v>
      </c>
      <c r="B297" t="s">
        <v>1146</v>
      </c>
      <c r="C297" t="s">
        <v>14</v>
      </c>
      <c r="D297">
        <v>1660</v>
      </c>
      <c r="E297">
        <v>1677.5</v>
      </c>
      <c r="F297">
        <v>1646.6</v>
      </c>
      <c r="G297" s="3">
        <v>1660.7</v>
      </c>
      <c r="H297">
        <v>1657.95</v>
      </c>
      <c r="I297">
        <v>1666.45</v>
      </c>
      <c r="J297">
        <v>241625</v>
      </c>
      <c r="K297">
        <v>401944402.94999999</v>
      </c>
      <c r="L297" s="1">
        <v>45240</v>
      </c>
      <c r="M297">
        <v>25556</v>
      </c>
      <c r="N297" t="s">
        <v>1147</v>
      </c>
      <c r="O297" s="5">
        <v>45240</v>
      </c>
      <c r="P297" s="5">
        <v>43777</v>
      </c>
      <c r="Q297" s="3">
        <v>391.55</v>
      </c>
      <c r="S297">
        <f t="shared" si="12"/>
        <v>1464</v>
      </c>
      <c r="T297">
        <f t="shared" si="13"/>
        <v>16.043835616438358</v>
      </c>
      <c r="U297" s="6">
        <f t="shared" si="14"/>
        <v>0.37695249383007123</v>
      </c>
    </row>
    <row r="298" spans="1:21" x14ac:dyDescent="0.25">
      <c r="A298" t="s">
        <v>1151</v>
      </c>
      <c r="B298" t="s">
        <v>1152</v>
      </c>
      <c r="C298" t="s">
        <v>14</v>
      </c>
      <c r="D298">
        <v>532.65</v>
      </c>
      <c r="E298">
        <v>535</v>
      </c>
      <c r="F298">
        <v>526.70000000000005</v>
      </c>
      <c r="G298" s="3">
        <v>533.35</v>
      </c>
      <c r="H298">
        <v>533.5</v>
      </c>
      <c r="I298">
        <v>534.85</v>
      </c>
      <c r="J298">
        <v>1361649</v>
      </c>
      <c r="K298">
        <v>724100929.89999998</v>
      </c>
      <c r="L298" s="1">
        <v>45240</v>
      </c>
      <c r="M298">
        <v>21412</v>
      </c>
      <c r="N298" t="s">
        <v>1153</v>
      </c>
      <c r="O298" s="5">
        <v>45240</v>
      </c>
      <c r="P298" s="5">
        <v>43777</v>
      </c>
      <c r="Q298" s="3">
        <v>473.65</v>
      </c>
      <c r="S298">
        <f t="shared" si="12"/>
        <v>1464</v>
      </c>
      <c r="T298">
        <f t="shared" si="13"/>
        <v>16.043835616438358</v>
      </c>
      <c r="U298" s="6">
        <f t="shared" si="14"/>
        <v>2.9705981222843292E-2</v>
      </c>
    </row>
    <row r="299" spans="1:21" x14ac:dyDescent="0.25">
      <c r="A299" t="s">
        <v>1154</v>
      </c>
      <c r="B299" t="s">
        <v>1155</v>
      </c>
      <c r="C299" t="s">
        <v>14</v>
      </c>
      <c r="D299">
        <v>2081.25</v>
      </c>
      <c r="E299">
        <v>2105</v>
      </c>
      <c r="F299">
        <v>2066.1</v>
      </c>
      <c r="G299" s="3">
        <v>2089.5</v>
      </c>
      <c r="H299">
        <v>2097</v>
      </c>
      <c r="I299">
        <v>2094.4499999999998</v>
      </c>
      <c r="J299">
        <v>153274</v>
      </c>
      <c r="K299">
        <v>320438530.30000001</v>
      </c>
      <c r="L299" s="1">
        <v>45240</v>
      </c>
      <c r="M299">
        <v>10263</v>
      </c>
      <c r="N299" t="s">
        <v>1156</v>
      </c>
      <c r="O299" s="5">
        <v>45240</v>
      </c>
      <c r="P299" s="5">
        <v>43777</v>
      </c>
      <c r="Q299" s="3">
        <v>820.05</v>
      </c>
      <c r="S299">
        <f t="shared" si="12"/>
        <v>1464</v>
      </c>
      <c r="T299">
        <f t="shared" si="13"/>
        <v>16.043835616438358</v>
      </c>
      <c r="U299" s="6">
        <f t="shared" si="14"/>
        <v>0.24012103598974388</v>
      </c>
    </row>
    <row r="300" spans="1:21" x14ac:dyDescent="0.25">
      <c r="A300" t="s">
        <v>1157</v>
      </c>
      <c r="B300" t="s">
        <v>1158</v>
      </c>
      <c r="C300" t="s">
        <v>14</v>
      </c>
      <c r="D300">
        <v>460.55</v>
      </c>
      <c r="E300">
        <v>463.5</v>
      </c>
      <c r="F300">
        <v>445.95</v>
      </c>
      <c r="G300" s="3">
        <v>448.05</v>
      </c>
      <c r="H300">
        <v>448.95</v>
      </c>
      <c r="I300">
        <v>460.9</v>
      </c>
      <c r="J300">
        <v>83011</v>
      </c>
      <c r="K300">
        <v>37662931</v>
      </c>
      <c r="L300" s="1">
        <v>45240</v>
      </c>
      <c r="M300">
        <v>5905</v>
      </c>
      <c r="N300" t="s">
        <v>1159</v>
      </c>
      <c r="O300" s="5">
        <v>45240</v>
      </c>
      <c r="P300" s="5">
        <v>43777</v>
      </c>
      <c r="Q300" s="3">
        <v>90.45</v>
      </c>
      <c r="S300">
        <f t="shared" si="12"/>
        <v>1464</v>
      </c>
      <c r="T300">
        <f t="shared" si="13"/>
        <v>16.043835616438358</v>
      </c>
      <c r="U300" s="6">
        <f t="shared" si="14"/>
        <v>0.41950564601376694</v>
      </c>
    </row>
    <row r="301" spans="1:21" x14ac:dyDescent="0.25">
      <c r="A301" t="s">
        <v>1160</v>
      </c>
      <c r="B301" t="s">
        <v>1161</v>
      </c>
      <c r="C301" t="s">
        <v>14</v>
      </c>
      <c r="D301">
        <v>50.2</v>
      </c>
      <c r="E301">
        <v>51.45</v>
      </c>
      <c r="F301">
        <v>49</v>
      </c>
      <c r="G301" s="3">
        <v>50.1</v>
      </c>
      <c r="H301">
        <v>50.5</v>
      </c>
      <c r="I301">
        <v>50.85</v>
      </c>
      <c r="J301">
        <v>23974</v>
      </c>
      <c r="K301">
        <v>1210926.75</v>
      </c>
      <c r="L301" s="1">
        <v>45240</v>
      </c>
      <c r="M301">
        <v>494</v>
      </c>
      <c r="N301" t="s">
        <v>1162</v>
      </c>
      <c r="O301" s="5">
        <v>45240</v>
      </c>
      <c r="P301" s="5">
        <v>43777</v>
      </c>
      <c r="Q301" s="3">
        <v>27.65</v>
      </c>
      <c r="S301">
        <f t="shared" si="12"/>
        <v>1464</v>
      </c>
      <c r="T301">
        <f t="shared" si="13"/>
        <v>16.043835616438358</v>
      </c>
      <c r="U301" s="6">
        <f t="shared" si="14"/>
        <v>0.1509721681795666</v>
      </c>
    </row>
    <row r="302" spans="1:21" x14ac:dyDescent="0.25">
      <c r="A302" t="s">
        <v>1166</v>
      </c>
      <c r="B302" t="s">
        <v>1167</v>
      </c>
      <c r="C302" t="s">
        <v>14</v>
      </c>
      <c r="D302">
        <v>568.04999999999995</v>
      </c>
      <c r="E302">
        <v>578.45000000000005</v>
      </c>
      <c r="F302">
        <v>564.79999999999995</v>
      </c>
      <c r="G302" s="3">
        <v>570.35</v>
      </c>
      <c r="H302">
        <v>571.15</v>
      </c>
      <c r="I302">
        <v>572.75</v>
      </c>
      <c r="J302">
        <v>119979</v>
      </c>
      <c r="K302">
        <v>68645869.549999997</v>
      </c>
      <c r="L302" s="1">
        <v>45240</v>
      </c>
      <c r="M302">
        <v>8736</v>
      </c>
      <c r="N302" t="s">
        <v>1168</v>
      </c>
      <c r="O302" s="5">
        <v>45240</v>
      </c>
      <c r="P302" s="5">
        <v>43777</v>
      </c>
      <c r="Q302" s="3">
        <v>74.2</v>
      </c>
      <c r="S302">
        <f t="shared" si="12"/>
        <v>1464</v>
      </c>
      <c r="T302">
        <f t="shared" si="13"/>
        <v>16.043835616438358</v>
      </c>
      <c r="U302" s="6">
        <f t="shared" si="14"/>
        <v>0.54221131295150293</v>
      </c>
    </row>
    <row r="303" spans="1:21" x14ac:dyDescent="0.25">
      <c r="A303" t="s">
        <v>1172</v>
      </c>
      <c r="B303" t="s">
        <v>1173</v>
      </c>
      <c r="C303" t="s">
        <v>14</v>
      </c>
      <c r="D303">
        <v>292.10000000000002</v>
      </c>
      <c r="E303">
        <v>299.7</v>
      </c>
      <c r="F303">
        <v>292.10000000000002</v>
      </c>
      <c r="G303" s="3">
        <v>298.35000000000002</v>
      </c>
      <c r="H303">
        <v>298.60000000000002</v>
      </c>
      <c r="I303">
        <v>295.64999999999998</v>
      </c>
      <c r="J303">
        <v>64626</v>
      </c>
      <c r="K303">
        <v>19219683.050000001</v>
      </c>
      <c r="L303" s="1">
        <v>45240</v>
      </c>
      <c r="M303">
        <v>2483</v>
      </c>
      <c r="N303" t="s">
        <v>1174</v>
      </c>
      <c r="O303" s="5">
        <v>45240</v>
      </c>
      <c r="P303" s="5">
        <v>43777</v>
      </c>
      <c r="Q303" s="3">
        <v>146.55000000000001</v>
      </c>
      <c r="S303">
        <f t="shared" si="12"/>
        <v>1464</v>
      </c>
      <c r="T303">
        <f t="shared" si="13"/>
        <v>16.043835616438358</v>
      </c>
      <c r="U303" s="6">
        <f t="shared" si="14"/>
        <v>0.1812249478490271</v>
      </c>
    </row>
    <row r="304" spans="1:21" x14ac:dyDescent="0.25">
      <c r="A304" t="s">
        <v>1175</v>
      </c>
      <c r="B304" t="s">
        <v>1176</v>
      </c>
      <c r="C304" t="s">
        <v>14</v>
      </c>
      <c r="D304">
        <v>347.25</v>
      </c>
      <c r="E304">
        <v>367.45</v>
      </c>
      <c r="F304">
        <v>340.05</v>
      </c>
      <c r="G304" s="3">
        <v>361.8</v>
      </c>
      <c r="H304">
        <v>360.8</v>
      </c>
      <c r="I304">
        <v>347.25</v>
      </c>
      <c r="J304">
        <v>3186921</v>
      </c>
      <c r="K304">
        <v>1140259855.3</v>
      </c>
      <c r="L304" s="1">
        <v>45240</v>
      </c>
      <c r="M304">
        <v>41281</v>
      </c>
      <c r="N304" t="s">
        <v>1177</v>
      </c>
      <c r="O304" s="5">
        <v>45240</v>
      </c>
      <c r="P304" s="5">
        <v>43777</v>
      </c>
      <c r="Q304" s="3">
        <v>407.25</v>
      </c>
      <c r="S304">
        <f t="shared" si="12"/>
        <v>1464</v>
      </c>
      <c r="T304">
        <f t="shared" si="13"/>
        <v>16.043835616438358</v>
      </c>
      <c r="U304" s="6">
        <f t="shared" si="14"/>
        <v>-2.9394551236453292E-2</v>
      </c>
    </row>
    <row r="305" spans="1:21" x14ac:dyDescent="0.25">
      <c r="A305" t="s">
        <v>1181</v>
      </c>
      <c r="B305" t="s">
        <v>1182</v>
      </c>
      <c r="C305" t="s">
        <v>14</v>
      </c>
      <c r="D305">
        <v>179.5</v>
      </c>
      <c r="E305">
        <v>192.7</v>
      </c>
      <c r="F305">
        <v>177.55</v>
      </c>
      <c r="G305" s="3">
        <v>187</v>
      </c>
      <c r="H305">
        <v>187.5</v>
      </c>
      <c r="I305">
        <v>179.5</v>
      </c>
      <c r="J305">
        <v>2693312</v>
      </c>
      <c r="K305">
        <v>505352772.55000001</v>
      </c>
      <c r="L305" s="1">
        <v>45240</v>
      </c>
      <c r="M305">
        <v>13608</v>
      </c>
      <c r="N305" t="s">
        <v>1183</v>
      </c>
      <c r="O305" s="5">
        <v>45240</v>
      </c>
      <c r="P305" s="5">
        <v>43777</v>
      </c>
      <c r="Q305" s="3">
        <v>8.85</v>
      </c>
      <c r="S305">
        <f t="shared" si="12"/>
        <v>1464</v>
      </c>
      <c r="T305">
        <f t="shared" si="13"/>
        <v>16.043835616438358</v>
      </c>
      <c r="U305" s="6">
        <f t="shared" si="14"/>
        <v>0.83771067176084291</v>
      </c>
    </row>
    <row r="306" spans="1:21" x14ac:dyDescent="0.25">
      <c r="A306" t="s">
        <v>1187</v>
      </c>
      <c r="B306" t="s">
        <v>1188</v>
      </c>
      <c r="C306" t="s">
        <v>14</v>
      </c>
      <c r="D306">
        <v>163.65</v>
      </c>
      <c r="E306">
        <v>163.65</v>
      </c>
      <c r="F306">
        <v>156.1</v>
      </c>
      <c r="G306" s="3">
        <v>159.65</v>
      </c>
      <c r="H306">
        <v>160</v>
      </c>
      <c r="I306">
        <v>164.7</v>
      </c>
      <c r="J306">
        <v>933687</v>
      </c>
      <c r="K306">
        <v>148161039.55000001</v>
      </c>
      <c r="L306" s="1">
        <v>45240</v>
      </c>
      <c r="M306">
        <v>13276</v>
      </c>
      <c r="N306" t="s">
        <v>1189</v>
      </c>
      <c r="O306" s="5">
        <v>45240</v>
      </c>
      <c r="P306" s="5">
        <v>43777</v>
      </c>
      <c r="Q306" s="3">
        <v>122.9</v>
      </c>
      <c r="S306">
        <f t="shared" si="12"/>
        <v>1464</v>
      </c>
      <c r="T306">
        <f t="shared" si="13"/>
        <v>16.043835616438358</v>
      </c>
      <c r="U306" s="6">
        <f t="shared" si="14"/>
        <v>6.5759210441811433E-2</v>
      </c>
    </row>
    <row r="307" spans="1:21" x14ac:dyDescent="0.25">
      <c r="A307" t="s">
        <v>1190</v>
      </c>
      <c r="B307" t="s">
        <v>1191</v>
      </c>
      <c r="C307" t="s">
        <v>14</v>
      </c>
      <c r="D307">
        <v>113.05</v>
      </c>
      <c r="E307">
        <v>113.9</v>
      </c>
      <c r="F307">
        <v>111.55</v>
      </c>
      <c r="G307" s="3">
        <v>111.9</v>
      </c>
      <c r="H307">
        <v>112</v>
      </c>
      <c r="I307">
        <v>112.85</v>
      </c>
      <c r="J307">
        <v>1605642</v>
      </c>
      <c r="K307">
        <v>180669941.30000001</v>
      </c>
      <c r="L307" s="1">
        <v>45240</v>
      </c>
      <c r="M307">
        <v>11839</v>
      </c>
      <c r="N307" t="s">
        <v>1192</v>
      </c>
      <c r="O307" s="5">
        <v>45240</v>
      </c>
      <c r="P307" s="5">
        <v>43777</v>
      </c>
      <c r="Q307" s="3">
        <v>183.85</v>
      </c>
      <c r="S307">
        <f t="shared" si="12"/>
        <v>1464</v>
      </c>
      <c r="T307">
        <f t="shared" si="13"/>
        <v>16.043835616438358</v>
      </c>
      <c r="U307" s="6">
        <f t="shared" si="14"/>
        <v>-0.12189362655024061</v>
      </c>
    </row>
    <row r="308" spans="1:21" x14ac:dyDescent="0.25">
      <c r="A308" t="s">
        <v>1196</v>
      </c>
      <c r="B308" t="s">
        <v>1197</v>
      </c>
      <c r="C308" t="s">
        <v>14</v>
      </c>
      <c r="D308">
        <v>74.8</v>
      </c>
      <c r="E308">
        <v>74.8</v>
      </c>
      <c r="F308">
        <v>71.650000000000006</v>
      </c>
      <c r="G308" s="3">
        <v>72.650000000000006</v>
      </c>
      <c r="H308">
        <v>72.650000000000006</v>
      </c>
      <c r="I308">
        <v>73.55</v>
      </c>
      <c r="J308">
        <v>39274</v>
      </c>
      <c r="K308">
        <v>2863076.65</v>
      </c>
      <c r="L308" s="1">
        <v>45240</v>
      </c>
      <c r="M308">
        <v>388</v>
      </c>
      <c r="N308" t="s">
        <v>1198</v>
      </c>
      <c r="O308" s="5">
        <v>45240</v>
      </c>
      <c r="P308" s="5">
        <v>43777</v>
      </c>
      <c r="Q308" s="3">
        <v>20.2</v>
      </c>
      <c r="S308">
        <f t="shared" si="12"/>
        <v>1464</v>
      </c>
      <c r="T308">
        <f t="shared" si="13"/>
        <v>16.043835616438358</v>
      </c>
      <c r="U308" s="6">
        <f t="shared" si="14"/>
        <v>0.33219334942630052</v>
      </c>
    </row>
    <row r="309" spans="1:21" x14ac:dyDescent="0.25">
      <c r="A309" t="s">
        <v>1202</v>
      </c>
      <c r="B309" t="s">
        <v>1203</v>
      </c>
      <c r="C309" t="s">
        <v>14</v>
      </c>
      <c r="D309">
        <v>160</v>
      </c>
      <c r="E309">
        <v>165.85</v>
      </c>
      <c r="F309">
        <v>158.80000000000001</v>
      </c>
      <c r="G309" s="3">
        <v>164.7</v>
      </c>
      <c r="H309">
        <v>165.85</v>
      </c>
      <c r="I309">
        <v>161.65</v>
      </c>
      <c r="J309">
        <v>15048</v>
      </c>
      <c r="K309">
        <v>2453251.75</v>
      </c>
      <c r="L309" s="1">
        <v>45240</v>
      </c>
      <c r="M309">
        <v>235</v>
      </c>
      <c r="N309" t="s">
        <v>1204</v>
      </c>
      <c r="O309" s="5">
        <v>45240</v>
      </c>
      <c r="P309" s="5">
        <v>43777</v>
      </c>
      <c r="Q309" s="3">
        <v>29.4</v>
      </c>
      <c r="S309">
        <f t="shared" si="12"/>
        <v>1464</v>
      </c>
      <c r="T309">
        <f t="shared" si="13"/>
        <v>16.043835616438358</v>
      </c>
      <c r="U309" s="6">
        <f t="shared" si="14"/>
        <v>0.45352445825088861</v>
      </c>
    </row>
    <row r="310" spans="1:21" x14ac:dyDescent="0.25">
      <c r="A310" t="s">
        <v>1205</v>
      </c>
      <c r="B310" t="s">
        <v>1206</v>
      </c>
      <c r="C310" t="s">
        <v>14</v>
      </c>
      <c r="D310">
        <v>877</v>
      </c>
      <c r="E310">
        <v>894.4</v>
      </c>
      <c r="F310">
        <v>877</v>
      </c>
      <c r="G310" s="3">
        <v>883.8</v>
      </c>
      <c r="H310">
        <v>886</v>
      </c>
      <c r="I310">
        <v>881.7</v>
      </c>
      <c r="J310">
        <v>30786</v>
      </c>
      <c r="K310">
        <v>27264932.350000001</v>
      </c>
      <c r="L310" s="1">
        <v>45240</v>
      </c>
      <c r="M310">
        <v>3045</v>
      </c>
      <c r="N310" t="s">
        <v>1207</v>
      </c>
      <c r="O310" s="5">
        <v>45240</v>
      </c>
      <c r="P310" s="5">
        <v>43777</v>
      </c>
      <c r="Q310" s="3">
        <v>337.45</v>
      </c>
      <c r="S310">
        <f t="shared" si="12"/>
        <v>1464</v>
      </c>
      <c r="T310">
        <f t="shared" si="13"/>
        <v>16.043835616438358</v>
      </c>
      <c r="U310" s="6">
        <f t="shared" si="14"/>
        <v>0.24739471336808361</v>
      </c>
    </row>
    <row r="311" spans="1:21" x14ac:dyDescent="0.25">
      <c r="A311" t="s">
        <v>1211</v>
      </c>
      <c r="B311" t="s">
        <v>1212</v>
      </c>
      <c r="C311" t="s">
        <v>14</v>
      </c>
      <c r="D311">
        <v>51.45</v>
      </c>
      <c r="E311">
        <v>54</v>
      </c>
      <c r="F311">
        <v>51.2</v>
      </c>
      <c r="G311" s="3">
        <v>52.9</v>
      </c>
      <c r="H311">
        <v>53.1</v>
      </c>
      <c r="I311">
        <v>51.6</v>
      </c>
      <c r="J311">
        <v>3696706</v>
      </c>
      <c r="K311">
        <v>195620606.59999999</v>
      </c>
      <c r="L311" s="1">
        <v>45240</v>
      </c>
      <c r="M311">
        <v>10198</v>
      </c>
      <c r="N311" t="s">
        <v>1213</v>
      </c>
      <c r="O311" s="5">
        <v>45240</v>
      </c>
      <c r="P311" s="5">
        <v>43777</v>
      </c>
      <c r="Q311" s="3">
        <v>15.05</v>
      </c>
      <c r="S311">
        <f t="shared" si="12"/>
        <v>1464</v>
      </c>
      <c r="T311">
        <f t="shared" si="13"/>
        <v>16.043835616438358</v>
      </c>
      <c r="U311" s="6">
        <f t="shared" si="14"/>
        <v>0.32600199796580842</v>
      </c>
    </row>
    <row r="312" spans="1:21" x14ac:dyDescent="0.25">
      <c r="A312" t="s">
        <v>1217</v>
      </c>
      <c r="B312" t="s">
        <v>1218</v>
      </c>
      <c r="C312" t="s">
        <v>14</v>
      </c>
      <c r="D312">
        <v>500.7</v>
      </c>
      <c r="E312">
        <v>508.65</v>
      </c>
      <c r="F312">
        <v>497</v>
      </c>
      <c r="G312" s="3">
        <v>500.75</v>
      </c>
      <c r="H312">
        <v>497</v>
      </c>
      <c r="I312">
        <v>501.75</v>
      </c>
      <c r="J312">
        <v>8160</v>
      </c>
      <c r="K312">
        <v>4092804.45</v>
      </c>
      <c r="L312" s="1">
        <v>45240</v>
      </c>
      <c r="M312">
        <v>728</v>
      </c>
      <c r="N312" t="s">
        <v>1219</v>
      </c>
      <c r="O312" s="5">
        <v>45240</v>
      </c>
      <c r="P312" s="5">
        <v>43777</v>
      </c>
      <c r="Q312" s="3">
        <v>343.5</v>
      </c>
      <c r="S312">
        <f t="shared" si="12"/>
        <v>1464</v>
      </c>
      <c r="T312">
        <f t="shared" si="13"/>
        <v>16.043835616438358</v>
      </c>
      <c r="U312" s="6">
        <f t="shared" si="14"/>
        <v>9.5085056139772028E-2</v>
      </c>
    </row>
    <row r="313" spans="1:21" x14ac:dyDescent="0.25">
      <c r="A313" t="s">
        <v>1220</v>
      </c>
      <c r="B313" t="s">
        <v>1221</v>
      </c>
      <c r="C313" t="s">
        <v>14</v>
      </c>
      <c r="D313">
        <v>628</v>
      </c>
      <c r="E313">
        <v>628.29999999999995</v>
      </c>
      <c r="F313">
        <v>613.95000000000005</v>
      </c>
      <c r="G313" s="3">
        <v>615.79999999999995</v>
      </c>
      <c r="H313">
        <v>616.9</v>
      </c>
      <c r="I313">
        <v>628.35</v>
      </c>
      <c r="J313">
        <v>313403</v>
      </c>
      <c r="K313">
        <v>194054393.15000001</v>
      </c>
      <c r="L313" s="1">
        <v>45240</v>
      </c>
      <c r="M313">
        <v>10254</v>
      </c>
      <c r="N313" t="s">
        <v>1222</v>
      </c>
      <c r="O313" s="5">
        <v>45240</v>
      </c>
      <c r="P313" s="5">
        <v>43777</v>
      </c>
      <c r="Q313" s="3">
        <v>100.05</v>
      </c>
      <c r="S313">
        <f t="shared" si="12"/>
        <v>1464</v>
      </c>
      <c r="T313">
        <f t="shared" si="13"/>
        <v>16.043835616438358</v>
      </c>
      <c r="U313" s="6">
        <f t="shared" si="14"/>
        <v>0.47972785937446627</v>
      </c>
    </row>
    <row r="314" spans="1:21" x14ac:dyDescent="0.25">
      <c r="A314" t="s">
        <v>1223</v>
      </c>
      <c r="B314" t="s">
        <v>1224</v>
      </c>
      <c r="C314" t="s">
        <v>14</v>
      </c>
      <c r="D314">
        <v>2079.85</v>
      </c>
      <c r="E314">
        <v>2117</v>
      </c>
      <c r="F314">
        <v>2055.0500000000002</v>
      </c>
      <c r="G314" s="3">
        <v>2112</v>
      </c>
      <c r="H314">
        <v>2113</v>
      </c>
      <c r="I314">
        <v>2076.4</v>
      </c>
      <c r="J314">
        <v>279373</v>
      </c>
      <c r="K314">
        <v>585959382.64999998</v>
      </c>
      <c r="L314" s="1">
        <v>45240</v>
      </c>
      <c r="M314">
        <v>16325</v>
      </c>
      <c r="N314" t="s">
        <v>1225</v>
      </c>
      <c r="O314" s="5">
        <v>45240</v>
      </c>
      <c r="P314" s="5">
        <v>43777</v>
      </c>
      <c r="Q314" s="3">
        <v>352.45</v>
      </c>
      <c r="S314">
        <f t="shared" si="12"/>
        <v>1464</v>
      </c>
      <c r="T314">
        <f t="shared" si="13"/>
        <v>16.043835616438358</v>
      </c>
      <c r="U314" s="6">
        <f t="shared" si="14"/>
        <v>0.47225934268318959</v>
      </c>
    </row>
    <row r="315" spans="1:21" x14ac:dyDescent="0.25">
      <c r="A315" t="s">
        <v>1238</v>
      </c>
      <c r="B315" t="s">
        <v>1239</v>
      </c>
      <c r="C315" t="s">
        <v>14</v>
      </c>
      <c r="D315">
        <v>138.69999999999999</v>
      </c>
      <c r="E315">
        <v>140.65</v>
      </c>
      <c r="F315">
        <v>137.65</v>
      </c>
      <c r="G315" s="3">
        <v>140.1</v>
      </c>
      <c r="H315">
        <v>140.15</v>
      </c>
      <c r="I315">
        <v>139.35</v>
      </c>
      <c r="J315">
        <v>1677082</v>
      </c>
      <c r="K315">
        <v>233975721.05000001</v>
      </c>
      <c r="L315" s="1">
        <v>45240</v>
      </c>
      <c r="M315">
        <v>14600</v>
      </c>
      <c r="N315" t="s">
        <v>1240</v>
      </c>
      <c r="O315" s="5">
        <v>45240</v>
      </c>
      <c r="P315" s="5">
        <v>43777</v>
      </c>
      <c r="Q315" s="3">
        <v>195.25</v>
      </c>
      <c r="S315">
        <f t="shared" si="12"/>
        <v>1464</v>
      </c>
      <c r="T315">
        <f t="shared" si="13"/>
        <v>16.043835616438358</v>
      </c>
      <c r="U315" s="6">
        <f t="shared" si="14"/>
        <v>-8.1904197049760263E-2</v>
      </c>
    </row>
    <row r="316" spans="1:21" x14ac:dyDescent="0.25">
      <c r="A316" t="s">
        <v>1241</v>
      </c>
      <c r="B316" t="s">
        <v>1242</v>
      </c>
      <c r="C316" t="s">
        <v>10</v>
      </c>
      <c r="D316">
        <v>83.95</v>
      </c>
      <c r="E316">
        <v>83.95</v>
      </c>
      <c r="F316">
        <v>81</v>
      </c>
      <c r="G316" s="3">
        <v>82</v>
      </c>
      <c r="H316">
        <v>82</v>
      </c>
      <c r="I316">
        <v>81.599999999999994</v>
      </c>
      <c r="J316">
        <v>5316</v>
      </c>
      <c r="K316">
        <v>436572</v>
      </c>
      <c r="L316" s="1">
        <v>45240</v>
      </c>
      <c r="M316">
        <v>34</v>
      </c>
      <c r="N316" t="s">
        <v>1243</v>
      </c>
      <c r="O316" s="5">
        <v>45240</v>
      </c>
      <c r="P316" s="5">
        <v>43777</v>
      </c>
      <c r="Q316" s="3">
        <v>36.450000000000003</v>
      </c>
      <c r="S316">
        <f t="shared" si="12"/>
        <v>1464</v>
      </c>
      <c r="T316">
        <f t="shared" si="13"/>
        <v>16.043835616438358</v>
      </c>
      <c r="U316" s="6">
        <f t="shared" si="14"/>
        <v>0.20733537782558642</v>
      </c>
    </row>
    <row r="317" spans="1:21" x14ac:dyDescent="0.25">
      <c r="A317" t="s">
        <v>1244</v>
      </c>
      <c r="B317" t="s">
        <v>1245</v>
      </c>
      <c r="C317" t="s">
        <v>14</v>
      </c>
      <c r="D317">
        <v>53.45</v>
      </c>
      <c r="E317">
        <v>55.6</v>
      </c>
      <c r="F317">
        <v>52.5</v>
      </c>
      <c r="G317" s="3">
        <v>54.7</v>
      </c>
      <c r="H317">
        <v>54.6</v>
      </c>
      <c r="I317">
        <v>53.8</v>
      </c>
      <c r="J317">
        <v>3539116</v>
      </c>
      <c r="K317">
        <v>192315014.09999999</v>
      </c>
      <c r="L317" s="1">
        <v>45240</v>
      </c>
      <c r="M317">
        <v>10168</v>
      </c>
      <c r="N317" t="s">
        <v>1246</v>
      </c>
      <c r="O317" s="5">
        <v>45240</v>
      </c>
      <c r="P317" s="5">
        <v>43777</v>
      </c>
      <c r="Q317" s="3">
        <v>44.4</v>
      </c>
      <c r="S317">
        <f t="shared" si="12"/>
        <v>1464</v>
      </c>
      <c r="T317">
        <f t="shared" si="13"/>
        <v>16.043835616438358</v>
      </c>
      <c r="U317" s="6">
        <f t="shared" si="14"/>
        <v>5.2353203956655214E-2</v>
      </c>
    </row>
    <row r="318" spans="1:21" x14ac:dyDescent="0.25">
      <c r="A318" t="s">
        <v>1247</v>
      </c>
      <c r="B318" t="s">
        <v>1248</v>
      </c>
      <c r="C318" t="s">
        <v>14</v>
      </c>
      <c r="D318">
        <v>1771.05</v>
      </c>
      <c r="E318">
        <v>1815</v>
      </c>
      <c r="F318">
        <v>1763.15</v>
      </c>
      <c r="G318" s="3">
        <v>1782.85</v>
      </c>
      <c r="H318">
        <v>1780</v>
      </c>
      <c r="I318">
        <v>1788.45</v>
      </c>
      <c r="J318">
        <v>34834</v>
      </c>
      <c r="K318">
        <v>62285417.549999997</v>
      </c>
      <c r="L318" s="1">
        <v>45240</v>
      </c>
      <c r="M318">
        <v>6042</v>
      </c>
      <c r="N318" t="s">
        <v>1249</v>
      </c>
      <c r="O318" s="5">
        <v>45240</v>
      </c>
      <c r="P318" s="5">
        <v>43777</v>
      </c>
      <c r="Q318" s="3">
        <v>244.2</v>
      </c>
      <c r="S318">
        <f t="shared" si="12"/>
        <v>1464</v>
      </c>
      <c r="T318">
        <f t="shared" si="13"/>
        <v>16.043835616438358</v>
      </c>
      <c r="U318" s="6">
        <f t="shared" si="14"/>
        <v>0.52765294391403472</v>
      </c>
    </row>
    <row r="319" spans="1:21" x14ac:dyDescent="0.25">
      <c r="A319" t="s">
        <v>1250</v>
      </c>
      <c r="B319" t="s">
        <v>1251</v>
      </c>
      <c r="C319" t="s">
        <v>14</v>
      </c>
      <c r="D319">
        <v>135.4</v>
      </c>
      <c r="E319">
        <v>135.4</v>
      </c>
      <c r="F319">
        <v>133.19999999999999</v>
      </c>
      <c r="G319" s="3">
        <v>134.69999999999999</v>
      </c>
      <c r="H319">
        <v>133.9</v>
      </c>
      <c r="I319">
        <v>134.05000000000001</v>
      </c>
      <c r="J319">
        <v>29316</v>
      </c>
      <c r="K319">
        <v>3941941.1</v>
      </c>
      <c r="L319" s="1">
        <v>45240</v>
      </c>
      <c r="M319">
        <v>415</v>
      </c>
      <c r="N319" t="s">
        <v>1252</v>
      </c>
      <c r="O319" s="5">
        <v>45240</v>
      </c>
      <c r="P319" s="5">
        <v>43777</v>
      </c>
      <c r="Q319" s="3">
        <v>75.25</v>
      </c>
      <c r="S319">
        <f t="shared" si="12"/>
        <v>1464</v>
      </c>
      <c r="T319">
        <f t="shared" si="13"/>
        <v>16.043835616438358</v>
      </c>
      <c r="U319" s="6">
        <f t="shared" si="14"/>
        <v>0.14782695632390652</v>
      </c>
    </row>
    <row r="320" spans="1:21" x14ac:dyDescent="0.25">
      <c r="A320" t="s">
        <v>1256</v>
      </c>
      <c r="B320" t="s">
        <v>1257</v>
      </c>
      <c r="C320" t="s">
        <v>14</v>
      </c>
      <c r="D320">
        <v>19.25</v>
      </c>
      <c r="E320">
        <v>19.399999999999999</v>
      </c>
      <c r="F320">
        <v>18.149999999999999</v>
      </c>
      <c r="G320" s="3">
        <v>18.399999999999999</v>
      </c>
      <c r="H320">
        <v>18.899999999999999</v>
      </c>
      <c r="I320">
        <v>18.899999999999999</v>
      </c>
      <c r="J320">
        <v>11317</v>
      </c>
      <c r="K320">
        <v>211475.95</v>
      </c>
      <c r="L320" s="1">
        <v>45240</v>
      </c>
      <c r="M320">
        <v>92</v>
      </c>
      <c r="N320" t="s">
        <v>1258</v>
      </c>
      <c r="O320" s="5">
        <v>45240</v>
      </c>
      <c r="P320" s="5">
        <v>43777</v>
      </c>
      <c r="Q320" s="3">
        <v>4.3</v>
      </c>
      <c r="S320">
        <f t="shared" si="12"/>
        <v>1464</v>
      </c>
      <c r="T320">
        <f t="shared" si="13"/>
        <v>16.043835616438358</v>
      </c>
      <c r="U320" s="6">
        <f t="shared" si="14"/>
        <v>0.3793687435870039</v>
      </c>
    </row>
    <row r="321" spans="1:21" x14ac:dyDescent="0.25">
      <c r="A321" t="s">
        <v>1259</v>
      </c>
      <c r="B321" t="s">
        <v>1260</v>
      </c>
      <c r="C321" t="s">
        <v>14</v>
      </c>
      <c r="D321">
        <v>261.55</v>
      </c>
      <c r="E321">
        <v>265.05</v>
      </c>
      <c r="F321">
        <v>260</v>
      </c>
      <c r="G321" s="3">
        <v>261.45</v>
      </c>
      <c r="H321">
        <v>262</v>
      </c>
      <c r="I321">
        <v>261.55</v>
      </c>
      <c r="J321">
        <v>218066</v>
      </c>
      <c r="K321">
        <v>57161804.5</v>
      </c>
      <c r="L321" s="1">
        <v>45240</v>
      </c>
      <c r="M321">
        <v>6413</v>
      </c>
      <c r="N321" t="s">
        <v>1261</v>
      </c>
      <c r="O321" s="5">
        <v>45240</v>
      </c>
      <c r="P321" s="5">
        <v>43777</v>
      </c>
      <c r="Q321" s="3">
        <v>207.9</v>
      </c>
      <c r="S321">
        <f t="shared" si="12"/>
        <v>1464</v>
      </c>
      <c r="T321">
        <f t="shared" si="13"/>
        <v>16.043835616438358</v>
      </c>
      <c r="U321" s="6">
        <f t="shared" si="14"/>
        <v>5.7549990303711773E-2</v>
      </c>
    </row>
    <row r="322" spans="1:21" x14ac:dyDescent="0.25">
      <c r="A322" t="s">
        <v>1262</v>
      </c>
      <c r="B322" t="s">
        <v>1263</v>
      </c>
      <c r="C322" t="s">
        <v>14</v>
      </c>
      <c r="D322">
        <v>28</v>
      </c>
      <c r="E322">
        <v>28.7</v>
      </c>
      <c r="F322">
        <v>27.8</v>
      </c>
      <c r="G322" s="3">
        <v>28.15</v>
      </c>
      <c r="H322">
        <v>28.2</v>
      </c>
      <c r="I322">
        <v>29.1</v>
      </c>
      <c r="J322">
        <v>4720257</v>
      </c>
      <c r="K322">
        <v>132750407.8</v>
      </c>
      <c r="L322" s="1">
        <v>45240</v>
      </c>
      <c r="M322">
        <v>7918</v>
      </c>
      <c r="N322" t="s">
        <v>1264</v>
      </c>
      <c r="O322" s="5">
        <v>45240</v>
      </c>
      <c r="P322" s="5">
        <v>43777</v>
      </c>
      <c r="Q322" s="3">
        <v>15.05</v>
      </c>
      <c r="S322">
        <f t="shared" si="12"/>
        <v>1464</v>
      </c>
      <c r="T322">
        <f t="shared" si="13"/>
        <v>16.043835616438358</v>
      </c>
      <c r="U322" s="6">
        <f t="shared" si="14"/>
        <v>0.15920112471437786</v>
      </c>
    </row>
    <row r="323" spans="1:21" x14ac:dyDescent="0.25">
      <c r="A323" t="s">
        <v>1268</v>
      </c>
      <c r="B323" t="s">
        <v>1269</v>
      </c>
      <c r="C323" t="s">
        <v>14</v>
      </c>
      <c r="D323">
        <v>835</v>
      </c>
      <c r="E323">
        <v>849.95</v>
      </c>
      <c r="F323">
        <v>825</v>
      </c>
      <c r="G323" s="3">
        <v>829.85</v>
      </c>
      <c r="H323">
        <v>832</v>
      </c>
      <c r="I323">
        <v>832.6</v>
      </c>
      <c r="J323">
        <v>112141</v>
      </c>
      <c r="K323">
        <v>94168361.150000006</v>
      </c>
      <c r="L323" s="1">
        <v>45240</v>
      </c>
      <c r="M323">
        <v>11691</v>
      </c>
      <c r="N323" t="s">
        <v>1270</v>
      </c>
      <c r="O323" s="5">
        <v>45240</v>
      </c>
      <c r="P323" s="5">
        <v>43777</v>
      </c>
      <c r="Q323" s="3">
        <v>300.95</v>
      </c>
      <c r="S323">
        <f t="shared" ref="S323:S386" si="15">O323-P323+1</f>
        <v>1464</v>
      </c>
      <c r="T323">
        <f t="shared" ref="T323:T386" si="16">(S323/365)*4</f>
        <v>16.043835616438358</v>
      </c>
      <c r="U323" s="6">
        <f t="shared" ref="U323:U386" si="17">(((G323/Q323)^(1/T323))-1)*4</f>
        <v>0.26104721626443439</v>
      </c>
    </row>
    <row r="324" spans="1:21" x14ac:dyDescent="0.25">
      <c r="A324" t="s">
        <v>1277</v>
      </c>
      <c r="B324" t="s">
        <v>1278</v>
      </c>
      <c r="C324" t="s">
        <v>14</v>
      </c>
      <c r="D324">
        <v>930</v>
      </c>
      <c r="E324">
        <v>954</v>
      </c>
      <c r="F324">
        <v>929</v>
      </c>
      <c r="G324" s="3">
        <v>933.6</v>
      </c>
      <c r="H324">
        <v>930.05</v>
      </c>
      <c r="I324">
        <v>919.75</v>
      </c>
      <c r="J324">
        <v>2918</v>
      </c>
      <c r="K324">
        <v>2739810.85</v>
      </c>
      <c r="L324" s="1">
        <v>45240</v>
      </c>
      <c r="M324">
        <v>308</v>
      </c>
      <c r="N324" t="s">
        <v>1279</v>
      </c>
      <c r="O324" s="5">
        <v>45240</v>
      </c>
      <c r="P324" s="5">
        <v>43777</v>
      </c>
      <c r="Q324" s="3">
        <v>212.7</v>
      </c>
      <c r="S324">
        <f t="shared" si="15"/>
        <v>1464</v>
      </c>
      <c r="T324">
        <f t="shared" si="16"/>
        <v>16.043835616438358</v>
      </c>
      <c r="U324" s="6">
        <f t="shared" si="17"/>
        <v>0.3863156118366895</v>
      </c>
    </row>
    <row r="325" spans="1:21" x14ac:dyDescent="0.25">
      <c r="A325" t="s">
        <v>1286</v>
      </c>
      <c r="B325" t="s">
        <v>1287</v>
      </c>
      <c r="C325" t="s">
        <v>14</v>
      </c>
      <c r="D325">
        <v>807.35</v>
      </c>
      <c r="E325">
        <v>810</v>
      </c>
      <c r="F325">
        <v>795.95</v>
      </c>
      <c r="G325" s="3">
        <v>805.1</v>
      </c>
      <c r="H325">
        <v>802</v>
      </c>
      <c r="I325">
        <v>799.75</v>
      </c>
      <c r="J325">
        <v>8035</v>
      </c>
      <c r="K325">
        <v>6468742.75</v>
      </c>
      <c r="L325" s="1">
        <v>45240</v>
      </c>
      <c r="M325">
        <v>978</v>
      </c>
      <c r="N325" t="s">
        <v>1288</v>
      </c>
      <c r="O325" s="5">
        <v>45240</v>
      </c>
      <c r="P325" s="5">
        <v>43777</v>
      </c>
      <c r="Q325" s="3">
        <v>940.5</v>
      </c>
      <c r="S325">
        <f t="shared" si="15"/>
        <v>1464</v>
      </c>
      <c r="T325">
        <f t="shared" si="16"/>
        <v>16.043835616438358</v>
      </c>
      <c r="U325" s="6">
        <f t="shared" si="17"/>
        <v>-3.856797052389771E-2</v>
      </c>
    </row>
    <row r="326" spans="1:21" x14ac:dyDescent="0.25">
      <c r="A326" t="s">
        <v>1289</v>
      </c>
      <c r="B326" t="s">
        <v>1290</v>
      </c>
      <c r="C326" t="s">
        <v>14</v>
      </c>
      <c r="D326">
        <v>431</v>
      </c>
      <c r="E326">
        <v>445</v>
      </c>
      <c r="F326">
        <v>417.25</v>
      </c>
      <c r="G326" s="3">
        <v>434.9</v>
      </c>
      <c r="H326">
        <v>432</v>
      </c>
      <c r="I326">
        <v>422.85</v>
      </c>
      <c r="J326">
        <v>9139</v>
      </c>
      <c r="K326">
        <v>3977548.95</v>
      </c>
      <c r="L326" s="1">
        <v>45240</v>
      </c>
      <c r="M326">
        <v>749</v>
      </c>
      <c r="N326" t="s">
        <v>1291</v>
      </c>
      <c r="O326" s="5">
        <v>45240</v>
      </c>
      <c r="P326" s="5">
        <v>43777</v>
      </c>
      <c r="Q326" s="3">
        <v>322.55</v>
      </c>
      <c r="S326">
        <f t="shared" si="15"/>
        <v>1464</v>
      </c>
      <c r="T326">
        <f t="shared" si="16"/>
        <v>16.043835616438358</v>
      </c>
      <c r="U326" s="6">
        <f t="shared" si="17"/>
        <v>7.5208654424995913E-2</v>
      </c>
    </row>
    <row r="327" spans="1:21" x14ac:dyDescent="0.25">
      <c r="A327" t="s">
        <v>1292</v>
      </c>
      <c r="B327" t="s">
        <v>1293</v>
      </c>
      <c r="C327" t="s">
        <v>14</v>
      </c>
      <c r="D327">
        <v>30.5</v>
      </c>
      <c r="E327">
        <v>31.7</v>
      </c>
      <c r="F327">
        <v>30.05</v>
      </c>
      <c r="G327" s="3">
        <v>30.2</v>
      </c>
      <c r="H327">
        <v>30.25</v>
      </c>
      <c r="I327">
        <v>31.6</v>
      </c>
      <c r="J327">
        <v>211768</v>
      </c>
      <c r="K327">
        <v>6526673.1500000004</v>
      </c>
      <c r="L327" s="1">
        <v>45240</v>
      </c>
      <c r="M327">
        <v>786</v>
      </c>
      <c r="N327" t="s">
        <v>1294</v>
      </c>
      <c r="O327" s="5">
        <v>45240</v>
      </c>
      <c r="P327" s="5">
        <v>43777</v>
      </c>
      <c r="Q327" s="3">
        <v>6.75</v>
      </c>
      <c r="S327">
        <f t="shared" si="15"/>
        <v>1464</v>
      </c>
      <c r="T327">
        <f t="shared" si="16"/>
        <v>16.043835616438358</v>
      </c>
      <c r="U327" s="6">
        <f t="shared" si="17"/>
        <v>0.39154990231240738</v>
      </c>
    </row>
    <row r="328" spans="1:21" x14ac:dyDescent="0.25">
      <c r="A328" t="s">
        <v>1301</v>
      </c>
      <c r="B328" t="s">
        <v>1302</v>
      </c>
      <c r="C328" t="s">
        <v>14</v>
      </c>
      <c r="D328">
        <v>17.8</v>
      </c>
      <c r="E328">
        <v>18.2</v>
      </c>
      <c r="F328">
        <v>17.5</v>
      </c>
      <c r="G328" s="3">
        <v>17.850000000000001</v>
      </c>
      <c r="H328">
        <v>17.850000000000001</v>
      </c>
      <c r="I328">
        <v>17.8</v>
      </c>
      <c r="J328">
        <v>11194741</v>
      </c>
      <c r="K328">
        <v>199694193.25</v>
      </c>
      <c r="L328" s="1">
        <v>45240</v>
      </c>
      <c r="M328">
        <v>9455</v>
      </c>
      <c r="N328" t="s">
        <v>1303</v>
      </c>
      <c r="O328" s="5">
        <v>45240</v>
      </c>
      <c r="P328" s="5">
        <v>43777</v>
      </c>
      <c r="Q328" s="3">
        <v>13.7</v>
      </c>
      <c r="S328">
        <f t="shared" si="15"/>
        <v>1464</v>
      </c>
      <c r="T328">
        <f t="shared" si="16"/>
        <v>16.043835616438358</v>
      </c>
      <c r="U328" s="6">
        <f t="shared" si="17"/>
        <v>6.6518203607027537E-2</v>
      </c>
    </row>
    <row r="329" spans="1:21" x14ac:dyDescent="0.25">
      <c r="A329" t="s">
        <v>1307</v>
      </c>
      <c r="B329" t="s">
        <v>1308</v>
      </c>
      <c r="C329" t="s">
        <v>14</v>
      </c>
      <c r="D329">
        <v>3491.05</v>
      </c>
      <c r="E329">
        <v>3499</v>
      </c>
      <c r="F329">
        <v>3472.25</v>
      </c>
      <c r="G329" s="3">
        <v>3493.2</v>
      </c>
      <c r="H329">
        <v>3493.75</v>
      </c>
      <c r="I329">
        <v>3498.5</v>
      </c>
      <c r="J329">
        <v>121439</v>
      </c>
      <c r="K329">
        <v>423584698.10000002</v>
      </c>
      <c r="L329" s="1">
        <v>45240</v>
      </c>
      <c r="M329">
        <v>16604</v>
      </c>
      <c r="N329" t="s">
        <v>1309</v>
      </c>
      <c r="O329" s="5">
        <v>45240</v>
      </c>
      <c r="P329" s="5">
        <v>43777</v>
      </c>
      <c r="Q329" s="3">
        <v>1699.95</v>
      </c>
      <c r="S329">
        <f t="shared" si="15"/>
        <v>1464</v>
      </c>
      <c r="T329">
        <f t="shared" si="16"/>
        <v>16.043835616438358</v>
      </c>
      <c r="U329" s="6">
        <f t="shared" si="17"/>
        <v>0.18365423803817293</v>
      </c>
    </row>
    <row r="330" spans="1:21" x14ac:dyDescent="0.25">
      <c r="A330" t="s">
        <v>1310</v>
      </c>
      <c r="B330" t="s">
        <v>1311</v>
      </c>
      <c r="C330" t="s">
        <v>14</v>
      </c>
      <c r="D330">
        <v>5282.05</v>
      </c>
      <c r="E330">
        <v>5309.35</v>
      </c>
      <c r="F330">
        <v>5223.25</v>
      </c>
      <c r="G330" s="3">
        <v>5274.9</v>
      </c>
      <c r="H330">
        <v>5272</v>
      </c>
      <c r="I330">
        <v>5305.85</v>
      </c>
      <c r="J330">
        <v>269973</v>
      </c>
      <c r="K330">
        <v>1417634983.25</v>
      </c>
      <c r="L330" s="1">
        <v>45240</v>
      </c>
      <c r="M330">
        <v>30762</v>
      </c>
      <c r="N330" t="s">
        <v>1312</v>
      </c>
      <c r="O330" s="5">
        <v>45240</v>
      </c>
      <c r="P330" s="5">
        <v>43777</v>
      </c>
      <c r="Q330" s="3">
        <v>2729.1</v>
      </c>
      <c r="S330">
        <f t="shared" si="15"/>
        <v>1464</v>
      </c>
      <c r="T330">
        <f t="shared" si="16"/>
        <v>16.043835616438358</v>
      </c>
      <c r="U330" s="6">
        <f t="shared" si="17"/>
        <v>0.16771768768661044</v>
      </c>
    </row>
    <row r="331" spans="1:21" x14ac:dyDescent="0.25">
      <c r="A331" t="s">
        <v>1316</v>
      </c>
      <c r="B331" t="s">
        <v>1317</v>
      </c>
      <c r="C331" t="s">
        <v>14</v>
      </c>
      <c r="D331">
        <v>598.9</v>
      </c>
      <c r="E331">
        <v>607.9</v>
      </c>
      <c r="F331">
        <v>595.1</v>
      </c>
      <c r="G331" s="3">
        <v>606.04999999999995</v>
      </c>
      <c r="H331">
        <v>605</v>
      </c>
      <c r="I331">
        <v>600.70000000000005</v>
      </c>
      <c r="J331">
        <v>3378490</v>
      </c>
      <c r="K331">
        <v>2038171222.95</v>
      </c>
      <c r="L331" s="1">
        <v>45240</v>
      </c>
      <c r="M331">
        <v>48127</v>
      </c>
      <c r="N331" t="s">
        <v>1318</v>
      </c>
      <c r="O331" s="5">
        <v>45240</v>
      </c>
      <c r="P331" s="5">
        <v>43777</v>
      </c>
      <c r="Q331" s="3">
        <v>203.1</v>
      </c>
      <c r="S331">
        <f t="shared" si="15"/>
        <v>1464</v>
      </c>
      <c r="T331">
        <f t="shared" si="16"/>
        <v>16.043835616438358</v>
      </c>
      <c r="U331" s="6">
        <f t="shared" si="17"/>
        <v>0.28207057259776835</v>
      </c>
    </row>
    <row r="332" spans="1:21" x14ac:dyDescent="0.25">
      <c r="A332" t="s">
        <v>1319</v>
      </c>
      <c r="B332" t="s">
        <v>1320</v>
      </c>
      <c r="C332" t="s">
        <v>14</v>
      </c>
      <c r="D332">
        <v>298</v>
      </c>
      <c r="E332">
        <v>303.8</v>
      </c>
      <c r="F332">
        <v>298</v>
      </c>
      <c r="G332" s="3">
        <v>301.89999999999998</v>
      </c>
      <c r="H332">
        <v>303.8</v>
      </c>
      <c r="I332">
        <v>299.89999999999998</v>
      </c>
      <c r="J332">
        <v>56870</v>
      </c>
      <c r="K332">
        <v>17123244.199999999</v>
      </c>
      <c r="L332" s="1">
        <v>45240</v>
      </c>
      <c r="M332">
        <v>2191</v>
      </c>
      <c r="N332" t="s">
        <v>1321</v>
      </c>
      <c r="O332" s="5">
        <v>45240</v>
      </c>
      <c r="P332" s="5">
        <v>43777</v>
      </c>
      <c r="Q332" s="3">
        <v>97.05</v>
      </c>
      <c r="S332">
        <f t="shared" si="15"/>
        <v>1464</v>
      </c>
      <c r="T332">
        <f t="shared" si="16"/>
        <v>16.043835616438358</v>
      </c>
      <c r="U332" s="6">
        <f t="shared" si="17"/>
        <v>0.29318941689924749</v>
      </c>
    </row>
    <row r="333" spans="1:21" x14ac:dyDescent="0.25">
      <c r="A333" t="s">
        <v>1322</v>
      </c>
      <c r="B333" t="s">
        <v>1323</v>
      </c>
      <c r="C333" t="s">
        <v>14</v>
      </c>
      <c r="D333">
        <v>3750</v>
      </c>
      <c r="E333">
        <v>3800</v>
      </c>
      <c r="F333">
        <v>3738.55</v>
      </c>
      <c r="G333" s="3">
        <v>3798.4</v>
      </c>
      <c r="H333">
        <v>3798.8</v>
      </c>
      <c r="I333">
        <v>3747.6</v>
      </c>
      <c r="J333">
        <v>205429</v>
      </c>
      <c r="K333">
        <v>776620677.25</v>
      </c>
      <c r="L333" s="1">
        <v>45240</v>
      </c>
      <c r="M333">
        <v>24159</v>
      </c>
      <c r="N333" t="s">
        <v>1324</v>
      </c>
      <c r="O333" s="5">
        <v>45240</v>
      </c>
      <c r="P333" s="5">
        <v>43777</v>
      </c>
      <c r="Q333" s="3">
        <v>1968.85</v>
      </c>
      <c r="S333">
        <f t="shared" si="15"/>
        <v>1464</v>
      </c>
      <c r="T333">
        <f t="shared" si="16"/>
        <v>16.043835616438358</v>
      </c>
      <c r="U333" s="6">
        <f t="shared" si="17"/>
        <v>0.16723518439457496</v>
      </c>
    </row>
    <row r="334" spans="1:21" x14ac:dyDescent="0.25">
      <c r="A334" t="s">
        <v>1328</v>
      </c>
      <c r="B334" t="s">
        <v>1329</v>
      </c>
      <c r="C334" t="s">
        <v>10</v>
      </c>
      <c r="D334">
        <v>4.55</v>
      </c>
      <c r="E334">
        <v>4.7</v>
      </c>
      <c r="F334">
        <v>4.55</v>
      </c>
      <c r="G334" s="3">
        <v>4.7</v>
      </c>
      <c r="H334">
        <v>4.7</v>
      </c>
      <c r="I334">
        <v>4.6500000000000004</v>
      </c>
      <c r="J334">
        <v>78506</v>
      </c>
      <c r="K334">
        <v>361217.2</v>
      </c>
      <c r="L334" s="1">
        <v>45240</v>
      </c>
      <c r="M334">
        <v>69</v>
      </c>
      <c r="N334" t="s">
        <v>1330</v>
      </c>
      <c r="O334" s="5">
        <v>45240</v>
      </c>
      <c r="P334" s="5">
        <v>43777</v>
      </c>
      <c r="Q334" s="3">
        <v>0.4</v>
      </c>
      <c r="S334">
        <f t="shared" si="15"/>
        <v>1464</v>
      </c>
      <c r="T334">
        <f t="shared" si="16"/>
        <v>16.043835616438358</v>
      </c>
      <c r="U334" s="6">
        <f t="shared" si="17"/>
        <v>0.66395802252216551</v>
      </c>
    </row>
    <row r="335" spans="1:21" x14ac:dyDescent="0.25">
      <c r="A335" t="s">
        <v>1337</v>
      </c>
      <c r="B335" t="s">
        <v>1338</v>
      </c>
      <c r="C335" t="s">
        <v>14</v>
      </c>
      <c r="D335">
        <v>454.9</v>
      </c>
      <c r="E335">
        <v>455.95</v>
      </c>
      <c r="F335">
        <v>428.95</v>
      </c>
      <c r="G335" s="3">
        <v>438.4</v>
      </c>
      <c r="H335">
        <v>441.95</v>
      </c>
      <c r="I335">
        <v>454.5</v>
      </c>
      <c r="J335">
        <v>160327</v>
      </c>
      <c r="K335">
        <v>71130914.75</v>
      </c>
      <c r="L335" s="1">
        <v>45240</v>
      </c>
      <c r="M335">
        <v>6836</v>
      </c>
      <c r="N335" t="s">
        <v>1339</v>
      </c>
      <c r="O335" s="5">
        <v>45240</v>
      </c>
      <c r="P335" s="5">
        <v>43777</v>
      </c>
      <c r="Q335" s="3">
        <v>176.1</v>
      </c>
      <c r="S335">
        <f t="shared" si="15"/>
        <v>1464</v>
      </c>
      <c r="T335">
        <f t="shared" si="16"/>
        <v>16.043835616438358</v>
      </c>
      <c r="U335" s="6">
        <f t="shared" si="17"/>
        <v>0.2339848406013294</v>
      </c>
    </row>
    <row r="336" spans="1:21" x14ac:dyDescent="0.25">
      <c r="A336" t="s">
        <v>1343</v>
      </c>
      <c r="B336" t="s">
        <v>1344</v>
      </c>
      <c r="C336" t="s">
        <v>14</v>
      </c>
      <c r="D336">
        <v>93.9</v>
      </c>
      <c r="E336">
        <v>95.9</v>
      </c>
      <c r="F336">
        <v>93</v>
      </c>
      <c r="G336" s="3">
        <v>93.85</v>
      </c>
      <c r="H336">
        <v>94.05</v>
      </c>
      <c r="I336">
        <v>93.35</v>
      </c>
      <c r="J336">
        <v>212081</v>
      </c>
      <c r="K336">
        <v>19976681.949999999</v>
      </c>
      <c r="L336" s="1">
        <v>45240</v>
      </c>
      <c r="M336">
        <v>2169</v>
      </c>
      <c r="N336" t="s">
        <v>1345</v>
      </c>
      <c r="O336" s="5">
        <v>45240</v>
      </c>
      <c r="P336" s="5">
        <v>43777</v>
      </c>
      <c r="Q336" s="3">
        <v>31.2</v>
      </c>
      <c r="S336">
        <f t="shared" si="15"/>
        <v>1464</v>
      </c>
      <c r="T336">
        <f t="shared" si="16"/>
        <v>16.043835616438358</v>
      </c>
      <c r="U336" s="6">
        <f t="shared" si="17"/>
        <v>0.28421046843084152</v>
      </c>
    </row>
    <row r="337" spans="1:21" x14ac:dyDescent="0.25">
      <c r="A337" t="s">
        <v>1346</v>
      </c>
      <c r="B337" t="s">
        <v>1347</v>
      </c>
      <c r="C337" t="s">
        <v>14</v>
      </c>
      <c r="D337">
        <v>634</v>
      </c>
      <c r="E337">
        <v>652.95000000000005</v>
      </c>
      <c r="F337">
        <v>620.04999999999995</v>
      </c>
      <c r="G337" s="3">
        <v>628.79999999999995</v>
      </c>
      <c r="H337">
        <v>630.70000000000005</v>
      </c>
      <c r="I337">
        <v>622.45000000000005</v>
      </c>
      <c r="J337">
        <v>16262</v>
      </c>
      <c r="K337">
        <v>10349833.050000001</v>
      </c>
      <c r="L337" s="1">
        <v>45240</v>
      </c>
      <c r="M337">
        <v>1035</v>
      </c>
      <c r="N337" t="s">
        <v>1348</v>
      </c>
      <c r="O337" s="5">
        <v>45240</v>
      </c>
      <c r="P337" s="5">
        <v>43777</v>
      </c>
      <c r="Q337" s="3">
        <v>42</v>
      </c>
      <c r="S337">
        <f t="shared" si="15"/>
        <v>1464</v>
      </c>
      <c r="T337">
        <f t="shared" si="16"/>
        <v>16.043835616438358</v>
      </c>
      <c r="U337" s="6">
        <f t="shared" si="17"/>
        <v>0.73492659016666906</v>
      </c>
    </row>
    <row r="338" spans="1:21" x14ac:dyDescent="0.25">
      <c r="A338" t="s">
        <v>1349</v>
      </c>
      <c r="B338" t="s">
        <v>1350</v>
      </c>
      <c r="C338" t="s">
        <v>14</v>
      </c>
      <c r="D338">
        <v>22.05</v>
      </c>
      <c r="E338">
        <v>24</v>
      </c>
      <c r="F338">
        <v>21</v>
      </c>
      <c r="G338" s="3">
        <v>22.55</v>
      </c>
      <c r="H338">
        <v>22.55</v>
      </c>
      <c r="I338">
        <v>20.5</v>
      </c>
      <c r="J338">
        <v>15216519</v>
      </c>
      <c r="K338">
        <v>341142435.69999999</v>
      </c>
      <c r="L338" s="1">
        <v>45240</v>
      </c>
      <c r="M338">
        <v>20203</v>
      </c>
      <c r="N338" t="s">
        <v>1351</v>
      </c>
      <c r="O338" s="5">
        <v>45240</v>
      </c>
      <c r="P338" s="5">
        <v>43777</v>
      </c>
      <c r="Q338" s="3">
        <v>9.35</v>
      </c>
      <c r="S338">
        <f t="shared" si="15"/>
        <v>1464</v>
      </c>
      <c r="T338">
        <f t="shared" si="16"/>
        <v>16.043835616438358</v>
      </c>
      <c r="U338" s="6">
        <f t="shared" si="17"/>
        <v>0.22562190659543813</v>
      </c>
    </row>
    <row r="339" spans="1:21" x14ac:dyDescent="0.25">
      <c r="A339" t="s">
        <v>1361</v>
      </c>
      <c r="B339" t="s">
        <v>1362</v>
      </c>
      <c r="C339" t="s">
        <v>14</v>
      </c>
      <c r="D339">
        <v>474.05</v>
      </c>
      <c r="E339">
        <v>485.3</v>
      </c>
      <c r="F339">
        <v>474.05</v>
      </c>
      <c r="G339" s="3">
        <v>483.9</v>
      </c>
      <c r="H339">
        <v>482.85</v>
      </c>
      <c r="I339">
        <v>477.7</v>
      </c>
      <c r="J339">
        <v>70702</v>
      </c>
      <c r="K339">
        <v>34045532.600000001</v>
      </c>
      <c r="L339" s="1">
        <v>45240</v>
      </c>
      <c r="M339">
        <v>4544</v>
      </c>
      <c r="N339" t="s">
        <v>1363</v>
      </c>
      <c r="O339" s="5">
        <v>45240</v>
      </c>
      <c r="P339" s="5">
        <v>43777</v>
      </c>
      <c r="Q339" s="3">
        <v>337.35</v>
      </c>
      <c r="S339">
        <f t="shared" si="15"/>
        <v>1464</v>
      </c>
      <c r="T339">
        <f t="shared" si="16"/>
        <v>16.043835616438358</v>
      </c>
      <c r="U339" s="6">
        <f t="shared" si="17"/>
        <v>9.0961745694633223E-2</v>
      </c>
    </row>
    <row r="340" spans="1:21" x14ac:dyDescent="0.25">
      <c r="A340" t="s">
        <v>1364</v>
      </c>
      <c r="B340" t="s">
        <v>1365</v>
      </c>
      <c r="C340" t="s">
        <v>14</v>
      </c>
      <c r="D340">
        <v>5439.95</v>
      </c>
      <c r="E340">
        <v>5450.7</v>
      </c>
      <c r="F340">
        <v>5372</v>
      </c>
      <c r="G340" s="3">
        <v>5424.9</v>
      </c>
      <c r="H340">
        <v>5423.8</v>
      </c>
      <c r="I340">
        <v>5457.95</v>
      </c>
      <c r="J340">
        <v>228984</v>
      </c>
      <c r="K340">
        <v>1240259187.5999999</v>
      </c>
      <c r="L340" s="1">
        <v>45240</v>
      </c>
      <c r="M340">
        <v>27559</v>
      </c>
      <c r="N340" t="s">
        <v>1366</v>
      </c>
      <c r="O340" s="5">
        <v>45240</v>
      </c>
      <c r="P340" s="5">
        <v>43777</v>
      </c>
      <c r="Q340" s="3">
        <v>2822.1</v>
      </c>
      <c r="S340">
        <f t="shared" si="15"/>
        <v>1464</v>
      </c>
      <c r="T340">
        <f t="shared" si="16"/>
        <v>16.043835616438358</v>
      </c>
      <c r="U340" s="6">
        <f t="shared" si="17"/>
        <v>0.16629707272058791</v>
      </c>
    </row>
    <row r="341" spans="1:21" x14ac:dyDescent="0.25">
      <c r="A341" t="s">
        <v>1367</v>
      </c>
      <c r="B341" t="s">
        <v>1368</v>
      </c>
      <c r="C341" t="s">
        <v>14</v>
      </c>
      <c r="D341">
        <v>656.95</v>
      </c>
      <c r="E341">
        <v>675</v>
      </c>
      <c r="F341">
        <v>656.95</v>
      </c>
      <c r="G341" s="3">
        <v>666.5</v>
      </c>
      <c r="H341">
        <v>670</v>
      </c>
      <c r="I341">
        <v>656.95</v>
      </c>
      <c r="J341">
        <v>20017</v>
      </c>
      <c r="K341">
        <v>13347172.800000001</v>
      </c>
      <c r="L341" s="1">
        <v>45240</v>
      </c>
      <c r="M341">
        <v>2162</v>
      </c>
      <c r="N341" t="s">
        <v>1369</v>
      </c>
      <c r="O341" s="5">
        <v>45240</v>
      </c>
      <c r="P341" s="5">
        <v>43777</v>
      </c>
      <c r="Q341" s="3">
        <v>24.8</v>
      </c>
      <c r="S341">
        <f t="shared" si="15"/>
        <v>1464</v>
      </c>
      <c r="T341">
        <f t="shared" si="16"/>
        <v>16.043835616438358</v>
      </c>
      <c r="U341" s="6">
        <f t="shared" si="17"/>
        <v>0.91077671765970969</v>
      </c>
    </row>
    <row r="342" spans="1:21" x14ac:dyDescent="0.25">
      <c r="A342" t="s">
        <v>1370</v>
      </c>
      <c r="B342" t="s">
        <v>1371</v>
      </c>
      <c r="C342" t="s">
        <v>14</v>
      </c>
      <c r="D342">
        <v>217.2</v>
      </c>
      <c r="E342">
        <v>221.8</v>
      </c>
      <c r="F342">
        <v>216.05</v>
      </c>
      <c r="G342" s="3">
        <v>218.2</v>
      </c>
      <c r="H342">
        <v>218.25</v>
      </c>
      <c r="I342">
        <v>224.05</v>
      </c>
      <c r="J342">
        <v>11056</v>
      </c>
      <c r="K342">
        <v>2420445.7000000002</v>
      </c>
      <c r="L342" s="1">
        <v>45240</v>
      </c>
      <c r="M342">
        <v>439</v>
      </c>
      <c r="N342" t="s">
        <v>1372</v>
      </c>
      <c r="O342" s="5">
        <v>45240</v>
      </c>
      <c r="P342" s="5">
        <v>43777</v>
      </c>
      <c r="Q342" s="3">
        <v>166.8</v>
      </c>
      <c r="S342">
        <f t="shared" si="15"/>
        <v>1464</v>
      </c>
      <c r="T342">
        <f t="shared" si="16"/>
        <v>16.043835616438358</v>
      </c>
      <c r="U342" s="6">
        <f t="shared" si="17"/>
        <v>6.7534440310009991E-2</v>
      </c>
    </row>
    <row r="343" spans="1:21" x14ac:dyDescent="0.25">
      <c r="A343" t="s">
        <v>1373</v>
      </c>
      <c r="B343" t="s">
        <v>1374</v>
      </c>
      <c r="C343" t="s">
        <v>14</v>
      </c>
      <c r="D343">
        <v>8.1999999999999993</v>
      </c>
      <c r="E343">
        <v>8.3000000000000007</v>
      </c>
      <c r="F343">
        <v>7.6</v>
      </c>
      <c r="G343" s="3">
        <v>8.3000000000000007</v>
      </c>
      <c r="H343">
        <v>8.3000000000000007</v>
      </c>
      <c r="I343">
        <v>7.95</v>
      </c>
      <c r="J343">
        <v>1247062</v>
      </c>
      <c r="K343">
        <v>10160851.4</v>
      </c>
      <c r="L343" s="1">
        <v>45240</v>
      </c>
      <c r="M343">
        <v>1673</v>
      </c>
      <c r="N343" t="s">
        <v>1375</v>
      </c>
      <c r="O343" s="5">
        <v>45240</v>
      </c>
      <c r="P343" s="5">
        <v>43777</v>
      </c>
      <c r="Q343" s="3">
        <v>6.15</v>
      </c>
      <c r="S343">
        <f t="shared" si="15"/>
        <v>1464</v>
      </c>
      <c r="T343">
        <f t="shared" si="16"/>
        <v>16.043835616438358</v>
      </c>
      <c r="U343" s="6">
        <f t="shared" si="17"/>
        <v>7.5448816881458214E-2</v>
      </c>
    </row>
    <row r="344" spans="1:21" x14ac:dyDescent="0.25">
      <c r="A344" t="s">
        <v>1376</v>
      </c>
      <c r="B344" t="s">
        <v>1377</v>
      </c>
      <c r="C344" t="s">
        <v>14</v>
      </c>
      <c r="D344">
        <v>321.25</v>
      </c>
      <c r="E344">
        <v>327</v>
      </c>
      <c r="F344">
        <v>315.3</v>
      </c>
      <c r="G344" s="3">
        <v>322.7</v>
      </c>
      <c r="H344">
        <v>323.60000000000002</v>
      </c>
      <c r="I344">
        <v>321.25</v>
      </c>
      <c r="J344">
        <v>220597</v>
      </c>
      <c r="K344">
        <v>71032007.25</v>
      </c>
      <c r="L344" s="1">
        <v>45240</v>
      </c>
      <c r="M344">
        <v>7443</v>
      </c>
      <c r="N344" t="s">
        <v>1378</v>
      </c>
      <c r="O344" s="5">
        <v>45240</v>
      </c>
      <c r="P344" s="5">
        <v>43777</v>
      </c>
      <c r="Q344" s="3">
        <v>73.150000000000006</v>
      </c>
      <c r="S344">
        <f t="shared" si="15"/>
        <v>1464</v>
      </c>
      <c r="T344">
        <f t="shared" si="16"/>
        <v>16.043835616438358</v>
      </c>
      <c r="U344" s="6">
        <f t="shared" si="17"/>
        <v>0.3876952776027025</v>
      </c>
    </row>
    <row r="345" spans="1:21" x14ac:dyDescent="0.25">
      <c r="A345" t="s">
        <v>1379</v>
      </c>
      <c r="B345" t="s">
        <v>1380</v>
      </c>
      <c r="C345" t="s">
        <v>14</v>
      </c>
      <c r="D345">
        <v>89.95</v>
      </c>
      <c r="E345">
        <v>91.05</v>
      </c>
      <c r="F345">
        <v>89.75</v>
      </c>
      <c r="G345" s="3">
        <v>90.05</v>
      </c>
      <c r="H345">
        <v>90.1</v>
      </c>
      <c r="I345">
        <v>90.25</v>
      </c>
      <c r="J345">
        <v>1031491</v>
      </c>
      <c r="K345">
        <v>93171819.700000003</v>
      </c>
      <c r="L345" s="1">
        <v>45240</v>
      </c>
      <c r="M345">
        <v>6891</v>
      </c>
      <c r="N345" t="s">
        <v>1381</v>
      </c>
      <c r="O345" s="5">
        <v>45240</v>
      </c>
      <c r="P345" s="5">
        <v>43777</v>
      </c>
      <c r="Q345" s="3">
        <v>25.25</v>
      </c>
      <c r="S345">
        <f t="shared" si="15"/>
        <v>1464</v>
      </c>
      <c r="T345">
        <f t="shared" si="16"/>
        <v>16.043835616438358</v>
      </c>
      <c r="U345" s="6">
        <f t="shared" si="17"/>
        <v>0.32991715477941508</v>
      </c>
    </row>
    <row r="346" spans="1:21" x14ac:dyDescent="0.25">
      <c r="A346" t="s">
        <v>1385</v>
      </c>
      <c r="B346" t="s">
        <v>1386</v>
      </c>
      <c r="C346" t="s">
        <v>14</v>
      </c>
      <c r="D346">
        <v>4230.05</v>
      </c>
      <c r="E346">
        <v>4248.6000000000004</v>
      </c>
      <c r="F346">
        <v>4128</v>
      </c>
      <c r="G346" s="3">
        <v>4169.25</v>
      </c>
      <c r="H346">
        <v>4137.05</v>
      </c>
      <c r="I346">
        <v>4234.75</v>
      </c>
      <c r="J346">
        <v>5765</v>
      </c>
      <c r="K346">
        <v>24231377.449999999</v>
      </c>
      <c r="L346" s="1">
        <v>45240</v>
      </c>
      <c r="M346">
        <v>1651</v>
      </c>
      <c r="N346" t="s">
        <v>1387</v>
      </c>
      <c r="O346" s="5">
        <v>45240</v>
      </c>
      <c r="P346" s="5">
        <v>43777</v>
      </c>
      <c r="Q346" s="3">
        <v>1168.8499999999999</v>
      </c>
      <c r="S346">
        <f t="shared" si="15"/>
        <v>1464</v>
      </c>
      <c r="T346">
        <f t="shared" si="16"/>
        <v>16.043835616438358</v>
      </c>
      <c r="U346" s="6">
        <f t="shared" si="17"/>
        <v>0.32996489369444237</v>
      </c>
    </row>
    <row r="347" spans="1:21" x14ac:dyDescent="0.25">
      <c r="A347" t="s">
        <v>1388</v>
      </c>
      <c r="B347" t="s">
        <v>1389</v>
      </c>
      <c r="C347" t="s">
        <v>14</v>
      </c>
      <c r="D347">
        <v>308.85000000000002</v>
      </c>
      <c r="E347">
        <v>315.45</v>
      </c>
      <c r="F347">
        <v>266.55</v>
      </c>
      <c r="G347" s="3">
        <v>272.45</v>
      </c>
      <c r="H347">
        <v>271</v>
      </c>
      <c r="I347">
        <v>309.14999999999998</v>
      </c>
      <c r="J347">
        <v>208680</v>
      </c>
      <c r="K347">
        <v>58072208.950000003</v>
      </c>
      <c r="L347" s="1">
        <v>45240</v>
      </c>
      <c r="M347">
        <v>6816</v>
      </c>
      <c r="N347" t="s">
        <v>1390</v>
      </c>
      <c r="O347" s="5">
        <v>45240</v>
      </c>
      <c r="P347" s="5">
        <v>43777</v>
      </c>
      <c r="Q347" s="3">
        <v>136.55000000000001</v>
      </c>
      <c r="S347">
        <f t="shared" si="15"/>
        <v>1464</v>
      </c>
      <c r="T347">
        <f t="shared" si="16"/>
        <v>16.043835616438358</v>
      </c>
      <c r="U347" s="6">
        <f t="shared" si="17"/>
        <v>0.17598045054285727</v>
      </c>
    </row>
    <row r="348" spans="1:21" x14ac:dyDescent="0.25">
      <c r="A348" t="s">
        <v>1397</v>
      </c>
      <c r="B348" t="s">
        <v>1398</v>
      </c>
      <c r="C348" t="s">
        <v>10</v>
      </c>
      <c r="D348">
        <v>2.2000000000000002</v>
      </c>
      <c r="E348">
        <v>2.2000000000000002</v>
      </c>
      <c r="F348">
        <v>2.1</v>
      </c>
      <c r="G348" s="3">
        <v>2.1</v>
      </c>
      <c r="H348">
        <v>2.1</v>
      </c>
      <c r="I348">
        <v>2.1</v>
      </c>
      <c r="J348">
        <v>45573</v>
      </c>
      <c r="K348">
        <v>98443.9</v>
      </c>
      <c r="L348" s="1">
        <v>45240</v>
      </c>
      <c r="M348">
        <v>52</v>
      </c>
      <c r="N348" t="s">
        <v>1399</v>
      </c>
      <c r="O348" s="5">
        <v>45240</v>
      </c>
      <c r="P348" s="5">
        <v>43777</v>
      </c>
      <c r="Q348" s="3">
        <v>0.55000000000000004</v>
      </c>
      <c r="S348">
        <f t="shared" si="15"/>
        <v>1464</v>
      </c>
      <c r="T348">
        <f t="shared" si="16"/>
        <v>16.043835616438358</v>
      </c>
      <c r="U348" s="6">
        <f t="shared" si="17"/>
        <v>0.34837177794189156</v>
      </c>
    </row>
    <row r="349" spans="1:21" x14ac:dyDescent="0.25">
      <c r="A349" t="s">
        <v>1400</v>
      </c>
      <c r="B349" t="s">
        <v>1401</v>
      </c>
      <c r="C349" t="s">
        <v>14</v>
      </c>
      <c r="D349">
        <v>2167.9</v>
      </c>
      <c r="E349">
        <v>2195</v>
      </c>
      <c r="F349">
        <v>2110</v>
      </c>
      <c r="G349" s="3">
        <v>2151.9</v>
      </c>
      <c r="H349">
        <v>2131.0500000000002</v>
      </c>
      <c r="I349">
        <v>2056.15</v>
      </c>
      <c r="J349">
        <v>383952</v>
      </c>
      <c r="K349">
        <v>825491480.54999995</v>
      </c>
      <c r="L349" s="1">
        <v>45240</v>
      </c>
      <c r="M349">
        <v>31752</v>
      </c>
      <c r="N349" t="s">
        <v>1402</v>
      </c>
      <c r="O349" s="5">
        <v>45240</v>
      </c>
      <c r="P349" s="5">
        <v>43777</v>
      </c>
      <c r="Q349" s="3">
        <v>434.4</v>
      </c>
      <c r="S349">
        <f t="shared" si="15"/>
        <v>1464</v>
      </c>
      <c r="T349">
        <f t="shared" si="16"/>
        <v>16.043835616438358</v>
      </c>
      <c r="U349" s="6">
        <f t="shared" si="17"/>
        <v>0.41951475334245281</v>
      </c>
    </row>
    <row r="350" spans="1:21" x14ac:dyDescent="0.25">
      <c r="A350" t="s">
        <v>6711</v>
      </c>
      <c r="B350" t="s">
        <v>7798</v>
      </c>
      <c r="C350" t="s">
        <v>5870</v>
      </c>
      <c r="D350">
        <v>971</v>
      </c>
      <c r="E350">
        <v>978.5</v>
      </c>
      <c r="F350">
        <v>971</v>
      </c>
      <c r="G350" s="3">
        <v>978.5</v>
      </c>
      <c r="H350">
        <v>978.5</v>
      </c>
      <c r="I350">
        <v>970.01</v>
      </c>
      <c r="J350">
        <v>130</v>
      </c>
      <c r="K350">
        <v>126954.7</v>
      </c>
      <c r="L350" s="1">
        <v>45240</v>
      </c>
      <c r="M350">
        <v>3</v>
      </c>
      <c r="N350" t="s">
        <v>6718</v>
      </c>
      <c r="O350" s="5">
        <v>45240</v>
      </c>
      <c r="P350" s="5">
        <v>43777</v>
      </c>
      <c r="Q350" s="3">
        <v>983.63</v>
      </c>
      <c r="S350">
        <f t="shared" si="15"/>
        <v>1464</v>
      </c>
      <c r="T350">
        <f t="shared" si="16"/>
        <v>16.043835616438358</v>
      </c>
      <c r="U350" s="6">
        <f t="shared" si="17"/>
        <v>-1.3034716478994568E-3</v>
      </c>
    </row>
    <row r="351" spans="1:21" x14ac:dyDescent="0.25">
      <c r="A351" t="s">
        <v>6711</v>
      </c>
      <c r="B351" t="s">
        <v>7798</v>
      </c>
      <c r="C351" t="s">
        <v>6461</v>
      </c>
      <c r="D351">
        <v>1048</v>
      </c>
      <c r="E351">
        <v>1048</v>
      </c>
      <c r="F351">
        <v>984.9</v>
      </c>
      <c r="G351" s="3">
        <v>985</v>
      </c>
      <c r="H351">
        <v>985</v>
      </c>
      <c r="I351">
        <v>982</v>
      </c>
      <c r="J351">
        <v>129</v>
      </c>
      <c r="K351">
        <v>133364.29999999999</v>
      </c>
      <c r="L351" s="1">
        <v>45240</v>
      </c>
      <c r="M351">
        <v>5</v>
      </c>
      <c r="N351" t="s">
        <v>6717</v>
      </c>
      <c r="O351" s="5">
        <v>45240</v>
      </c>
      <c r="P351" s="5">
        <v>43777</v>
      </c>
      <c r="Q351" s="3">
        <v>983.63</v>
      </c>
      <c r="S351">
        <f t="shared" si="15"/>
        <v>1464</v>
      </c>
      <c r="T351">
        <f t="shared" si="16"/>
        <v>16.043835616438358</v>
      </c>
      <c r="U351" s="6">
        <f t="shared" si="17"/>
        <v>3.4702212083548289E-4</v>
      </c>
    </row>
    <row r="352" spans="1:21" x14ac:dyDescent="0.25">
      <c r="A352" t="s">
        <v>6711</v>
      </c>
      <c r="B352" t="s">
        <v>7798</v>
      </c>
      <c r="C352" t="s">
        <v>6459</v>
      </c>
      <c r="D352">
        <v>996.5</v>
      </c>
      <c r="E352">
        <v>996.5</v>
      </c>
      <c r="F352">
        <v>993.5</v>
      </c>
      <c r="G352" s="3">
        <v>996</v>
      </c>
      <c r="H352">
        <v>996</v>
      </c>
      <c r="I352">
        <v>993.68</v>
      </c>
      <c r="J352">
        <v>259</v>
      </c>
      <c r="K352">
        <v>257657</v>
      </c>
      <c r="L352" s="1">
        <v>45240</v>
      </c>
      <c r="M352">
        <v>7</v>
      </c>
      <c r="N352" t="s">
        <v>6716</v>
      </c>
      <c r="O352" s="5">
        <v>45240</v>
      </c>
      <c r="P352" s="5">
        <v>43777</v>
      </c>
      <c r="Q352" s="3">
        <v>983.63</v>
      </c>
      <c r="S352">
        <f t="shared" si="15"/>
        <v>1464</v>
      </c>
      <c r="T352">
        <f t="shared" si="16"/>
        <v>16.043835616438358</v>
      </c>
      <c r="U352" s="6">
        <f t="shared" si="17"/>
        <v>3.1170392293553562E-3</v>
      </c>
    </row>
    <row r="353" spans="1:21" x14ac:dyDescent="0.25">
      <c r="A353" t="s">
        <v>6711</v>
      </c>
      <c r="B353" t="s">
        <v>7798</v>
      </c>
      <c r="C353" t="s">
        <v>6509</v>
      </c>
      <c r="D353">
        <v>1081</v>
      </c>
      <c r="E353">
        <v>1081.01</v>
      </c>
      <c r="F353">
        <v>1078.5</v>
      </c>
      <c r="G353" s="3">
        <v>1078.5</v>
      </c>
      <c r="H353">
        <v>1078.5</v>
      </c>
      <c r="I353">
        <v>1081</v>
      </c>
      <c r="J353">
        <v>454</v>
      </c>
      <c r="K353">
        <v>490763.49</v>
      </c>
      <c r="L353" s="1">
        <v>45240</v>
      </c>
      <c r="M353">
        <v>4</v>
      </c>
      <c r="N353" t="s">
        <v>6715</v>
      </c>
      <c r="O353" s="5">
        <v>45240</v>
      </c>
      <c r="P353" s="5">
        <v>43777</v>
      </c>
      <c r="Q353" s="3">
        <v>983.63</v>
      </c>
      <c r="S353">
        <f t="shared" si="15"/>
        <v>1464</v>
      </c>
      <c r="T353">
        <f t="shared" si="16"/>
        <v>16.043835616438358</v>
      </c>
      <c r="U353" s="6">
        <f t="shared" si="17"/>
        <v>2.3022270037568404E-2</v>
      </c>
    </row>
    <row r="354" spans="1:21" x14ac:dyDescent="0.25">
      <c r="A354" t="s">
        <v>6711</v>
      </c>
      <c r="B354" t="s">
        <v>7798</v>
      </c>
      <c r="C354" t="s">
        <v>6381</v>
      </c>
      <c r="D354">
        <v>1604</v>
      </c>
      <c r="E354">
        <v>1604</v>
      </c>
      <c r="F354">
        <v>1591</v>
      </c>
      <c r="G354" s="3">
        <v>1598</v>
      </c>
      <c r="H354">
        <v>1598</v>
      </c>
      <c r="I354">
        <v>1599</v>
      </c>
      <c r="J354">
        <v>436</v>
      </c>
      <c r="K354">
        <v>696602.77</v>
      </c>
      <c r="L354" s="1">
        <v>45240</v>
      </c>
      <c r="M354">
        <v>22</v>
      </c>
      <c r="N354" t="s">
        <v>6714</v>
      </c>
      <c r="O354" s="5">
        <v>45240</v>
      </c>
      <c r="P354" s="5">
        <v>43777</v>
      </c>
      <c r="Q354" s="3">
        <v>983.63</v>
      </c>
      <c r="S354">
        <f t="shared" si="15"/>
        <v>1464</v>
      </c>
      <c r="T354">
        <f t="shared" si="16"/>
        <v>16.043835616438358</v>
      </c>
      <c r="U354" s="6">
        <f t="shared" si="17"/>
        <v>0.12283131919645296</v>
      </c>
    </row>
    <row r="355" spans="1:21" x14ac:dyDescent="0.25">
      <c r="A355" t="s">
        <v>6711</v>
      </c>
      <c r="B355" t="s">
        <v>7798</v>
      </c>
      <c r="C355" t="s">
        <v>6713</v>
      </c>
      <c r="D355">
        <v>1011</v>
      </c>
      <c r="E355">
        <v>1011</v>
      </c>
      <c r="F355">
        <v>1002</v>
      </c>
      <c r="G355" s="3">
        <v>1002</v>
      </c>
      <c r="H355">
        <v>1002</v>
      </c>
      <c r="I355">
        <v>1006.85</v>
      </c>
      <c r="J355">
        <v>38</v>
      </c>
      <c r="K355">
        <v>38116.9</v>
      </c>
      <c r="L355" s="1">
        <v>45240</v>
      </c>
      <c r="M355">
        <v>5</v>
      </c>
      <c r="N355" t="s">
        <v>6712</v>
      </c>
      <c r="O355" s="5">
        <v>45240</v>
      </c>
      <c r="P355" s="5">
        <v>43777</v>
      </c>
      <c r="Q355" s="3">
        <v>983.63</v>
      </c>
      <c r="S355">
        <f t="shared" si="15"/>
        <v>1464</v>
      </c>
      <c r="T355">
        <f t="shared" si="16"/>
        <v>16.043835616438358</v>
      </c>
      <c r="U355" s="6">
        <f t="shared" si="17"/>
        <v>4.6158901659349993E-3</v>
      </c>
    </row>
    <row r="356" spans="1:21" x14ac:dyDescent="0.25">
      <c r="A356" t="s">
        <v>6711</v>
      </c>
      <c r="B356" t="s">
        <v>7798</v>
      </c>
      <c r="C356" t="s">
        <v>6507</v>
      </c>
      <c r="D356">
        <v>1030</v>
      </c>
      <c r="E356">
        <v>1030</v>
      </c>
      <c r="F356">
        <v>1030</v>
      </c>
      <c r="G356" s="3">
        <v>1030</v>
      </c>
      <c r="H356">
        <v>1030</v>
      </c>
      <c r="I356">
        <v>1050</v>
      </c>
      <c r="J356">
        <v>75</v>
      </c>
      <c r="K356">
        <v>77250</v>
      </c>
      <c r="L356" s="1">
        <v>45240</v>
      </c>
      <c r="M356">
        <v>1</v>
      </c>
      <c r="N356" t="s">
        <v>6710</v>
      </c>
      <c r="O356" s="5">
        <v>45240</v>
      </c>
      <c r="P356" s="5">
        <v>43777</v>
      </c>
      <c r="Q356" s="3">
        <v>983.63</v>
      </c>
      <c r="S356">
        <f t="shared" si="15"/>
        <v>1464</v>
      </c>
      <c r="T356">
        <f t="shared" si="16"/>
        <v>16.043835616438358</v>
      </c>
      <c r="U356" s="6">
        <f t="shared" si="17"/>
        <v>1.1501105923611199E-2</v>
      </c>
    </row>
    <row r="357" spans="1:21" x14ac:dyDescent="0.25">
      <c r="A357" t="s">
        <v>1403</v>
      </c>
      <c r="B357" t="s">
        <v>1404</v>
      </c>
      <c r="C357" t="s">
        <v>14</v>
      </c>
      <c r="D357">
        <v>59.9</v>
      </c>
      <c r="E357">
        <v>61.35</v>
      </c>
      <c r="F357">
        <v>59.45</v>
      </c>
      <c r="G357" s="3">
        <v>60.35</v>
      </c>
      <c r="H357">
        <v>61.15</v>
      </c>
      <c r="I357">
        <v>59.95</v>
      </c>
      <c r="J357">
        <v>5815104</v>
      </c>
      <c r="K357">
        <v>351141439.25</v>
      </c>
      <c r="L357" s="1">
        <v>45240</v>
      </c>
      <c r="M357">
        <v>38942</v>
      </c>
      <c r="N357" t="s">
        <v>1405</v>
      </c>
      <c r="O357" s="5">
        <v>45240</v>
      </c>
      <c r="P357" s="5">
        <v>43777</v>
      </c>
      <c r="Q357" s="3">
        <v>110.85</v>
      </c>
      <c r="S357">
        <f t="shared" si="15"/>
        <v>1464</v>
      </c>
      <c r="T357">
        <f t="shared" si="16"/>
        <v>16.043835616438358</v>
      </c>
      <c r="U357" s="6">
        <f t="shared" si="17"/>
        <v>-0.14875247848506934</v>
      </c>
    </row>
    <row r="358" spans="1:21" x14ac:dyDescent="0.25">
      <c r="A358" t="s">
        <v>1406</v>
      </c>
      <c r="B358" t="s">
        <v>1407</v>
      </c>
      <c r="C358" t="s">
        <v>786</v>
      </c>
      <c r="D358">
        <v>1.85</v>
      </c>
      <c r="E358">
        <v>1.9</v>
      </c>
      <c r="F358">
        <v>1.85</v>
      </c>
      <c r="G358" s="3">
        <v>1.9</v>
      </c>
      <c r="H358">
        <v>1.9</v>
      </c>
      <c r="I358">
        <v>1.85</v>
      </c>
      <c r="J358">
        <v>39015</v>
      </c>
      <c r="K358">
        <v>73859.850000000006</v>
      </c>
      <c r="L358" s="1">
        <v>45240</v>
      </c>
      <c r="M358">
        <v>37</v>
      </c>
      <c r="N358" t="s">
        <v>1408</v>
      </c>
      <c r="O358" s="5">
        <v>45240</v>
      </c>
      <c r="P358" s="5">
        <v>43777</v>
      </c>
      <c r="Q358" s="3">
        <v>1.2</v>
      </c>
      <c r="S358">
        <f t="shared" si="15"/>
        <v>1464</v>
      </c>
      <c r="T358">
        <f t="shared" si="16"/>
        <v>16.043835616438358</v>
      </c>
      <c r="U358" s="6">
        <f t="shared" si="17"/>
        <v>0.1162257345588884</v>
      </c>
    </row>
    <row r="359" spans="1:21" x14ac:dyDescent="0.25">
      <c r="A359" t="s">
        <v>1409</v>
      </c>
      <c r="B359" t="s">
        <v>1410</v>
      </c>
      <c r="C359" t="s">
        <v>14</v>
      </c>
      <c r="D359">
        <v>3540</v>
      </c>
      <c r="E359">
        <v>3565</v>
      </c>
      <c r="F359">
        <v>3502.1</v>
      </c>
      <c r="G359" s="3">
        <v>3540.75</v>
      </c>
      <c r="H359">
        <v>3547</v>
      </c>
      <c r="I359">
        <v>3541.9</v>
      </c>
      <c r="J359">
        <v>259237</v>
      </c>
      <c r="K359">
        <v>915107367.45000005</v>
      </c>
      <c r="L359" s="1">
        <v>45240</v>
      </c>
      <c r="M359">
        <v>29667</v>
      </c>
      <c r="N359" t="s">
        <v>1411</v>
      </c>
      <c r="O359" s="5">
        <v>45240</v>
      </c>
      <c r="P359" s="5">
        <v>43777</v>
      </c>
      <c r="Q359" s="3">
        <v>21689.65</v>
      </c>
      <c r="S359">
        <f t="shared" si="15"/>
        <v>1464</v>
      </c>
      <c r="T359">
        <f t="shared" si="16"/>
        <v>16.043835616438358</v>
      </c>
      <c r="U359" s="6">
        <f t="shared" si="17"/>
        <v>-0.42729563773361168</v>
      </c>
    </row>
    <row r="360" spans="1:21" x14ac:dyDescent="0.25">
      <c r="A360" t="s">
        <v>1412</v>
      </c>
      <c r="B360" t="s">
        <v>1413</v>
      </c>
      <c r="C360" t="s">
        <v>14</v>
      </c>
      <c r="D360">
        <v>492.4</v>
      </c>
      <c r="E360">
        <v>518.79999999999995</v>
      </c>
      <c r="F360">
        <v>492.4</v>
      </c>
      <c r="G360" s="3">
        <v>503.35</v>
      </c>
      <c r="H360">
        <v>505.1</v>
      </c>
      <c r="I360">
        <v>491.75</v>
      </c>
      <c r="J360">
        <v>2480121</v>
      </c>
      <c r="K360">
        <v>1265488615.5999999</v>
      </c>
      <c r="L360" s="1">
        <v>45240</v>
      </c>
      <c r="M360">
        <v>50560</v>
      </c>
      <c r="N360" t="s">
        <v>1414</v>
      </c>
      <c r="O360" s="5">
        <v>45240</v>
      </c>
      <c r="P360" s="5">
        <v>43777</v>
      </c>
      <c r="Q360" s="3">
        <v>165.1</v>
      </c>
      <c r="S360">
        <f t="shared" si="15"/>
        <v>1464</v>
      </c>
      <c r="T360">
        <f t="shared" si="16"/>
        <v>16.043835616438358</v>
      </c>
      <c r="U360" s="6">
        <f t="shared" si="17"/>
        <v>0.28780481400204927</v>
      </c>
    </row>
    <row r="361" spans="1:21" x14ac:dyDescent="0.25">
      <c r="A361" t="s">
        <v>1415</v>
      </c>
      <c r="B361" t="s">
        <v>1416</v>
      </c>
      <c r="C361" t="s">
        <v>14</v>
      </c>
      <c r="D361">
        <v>139.44999999999999</v>
      </c>
      <c r="E361">
        <v>140</v>
      </c>
      <c r="F361">
        <v>139</v>
      </c>
      <c r="G361" s="3">
        <v>139.05000000000001</v>
      </c>
      <c r="H361">
        <v>139</v>
      </c>
      <c r="I361">
        <v>139.35</v>
      </c>
      <c r="J361">
        <v>16780</v>
      </c>
      <c r="K361">
        <v>2340534.7999999998</v>
      </c>
      <c r="L361" s="1">
        <v>45240</v>
      </c>
      <c r="M361">
        <v>156</v>
      </c>
      <c r="N361" t="s">
        <v>1417</v>
      </c>
      <c r="O361" s="5">
        <v>45240</v>
      </c>
      <c r="P361" s="5">
        <v>43777</v>
      </c>
      <c r="Q361" s="3">
        <v>117</v>
      </c>
      <c r="S361">
        <f t="shared" si="15"/>
        <v>1464</v>
      </c>
      <c r="T361">
        <f t="shared" si="16"/>
        <v>16.043835616438358</v>
      </c>
      <c r="U361" s="6">
        <f t="shared" si="17"/>
        <v>4.3279437961724732E-2</v>
      </c>
    </row>
    <row r="362" spans="1:21" x14ac:dyDescent="0.25">
      <c r="A362" t="s">
        <v>1418</v>
      </c>
      <c r="B362" t="s">
        <v>1419</v>
      </c>
      <c r="C362" t="s">
        <v>14</v>
      </c>
      <c r="D362">
        <v>438.7</v>
      </c>
      <c r="E362">
        <v>438.7</v>
      </c>
      <c r="F362">
        <v>430</v>
      </c>
      <c r="G362" s="3">
        <v>431.8</v>
      </c>
      <c r="H362">
        <v>432.6</v>
      </c>
      <c r="I362">
        <v>436.55</v>
      </c>
      <c r="J362">
        <v>22601</v>
      </c>
      <c r="K362">
        <v>9760695.1999999993</v>
      </c>
      <c r="L362" s="1">
        <v>45240</v>
      </c>
      <c r="M362">
        <v>1186</v>
      </c>
      <c r="N362" t="s">
        <v>1420</v>
      </c>
      <c r="O362" s="5">
        <v>45240</v>
      </c>
      <c r="P362" s="5">
        <v>43777</v>
      </c>
      <c r="Q362" s="3">
        <v>311.60000000000002</v>
      </c>
      <c r="S362">
        <f t="shared" si="15"/>
        <v>1464</v>
      </c>
      <c r="T362">
        <f t="shared" si="16"/>
        <v>16.043835616438358</v>
      </c>
      <c r="U362" s="6">
        <f t="shared" si="17"/>
        <v>8.2170319813311465E-2</v>
      </c>
    </row>
    <row r="363" spans="1:21" x14ac:dyDescent="0.25">
      <c r="A363" t="s">
        <v>1421</v>
      </c>
      <c r="B363" t="s">
        <v>1422</v>
      </c>
      <c r="C363" t="s">
        <v>14</v>
      </c>
      <c r="D363">
        <v>232.2</v>
      </c>
      <c r="E363">
        <v>235.3</v>
      </c>
      <c r="F363">
        <v>229.1</v>
      </c>
      <c r="G363" s="3">
        <v>230.85</v>
      </c>
      <c r="H363">
        <v>231.8</v>
      </c>
      <c r="I363">
        <v>233.1</v>
      </c>
      <c r="J363">
        <v>552814</v>
      </c>
      <c r="K363">
        <v>128432836</v>
      </c>
      <c r="L363" s="1">
        <v>45240</v>
      </c>
      <c r="M363">
        <v>7688</v>
      </c>
      <c r="N363" t="s">
        <v>1423</v>
      </c>
      <c r="O363" s="5">
        <v>45240</v>
      </c>
      <c r="P363" s="5">
        <v>43777</v>
      </c>
      <c r="Q363" s="3">
        <v>157.05000000000001</v>
      </c>
      <c r="S363">
        <f t="shared" si="15"/>
        <v>1464</v>
      </c>
      <c r="T363">
        <f t="shared" si="16"/>
        <v>16.043835616438358</v>
      </c>
      <c r="U363" s="6">
        <f t="shared" si="17"/>
        <v>9.7200054766203969E-2</v>
      </c>
    </row>
    <row r="364" spans="1:21" x14ac:dyDescent="0.25">
      <c r="A364" t="s">
        <v>1424</v>
      </c>
      <c r="B364" t="s">
        <v>1425</v>
      </c>
      <c r="C364" t="s">
        <v>14</v>
      </c>
      <c r="D364">
        <v>1459.9</v>
      </c>
      <c r="E364">
        <v>1477.85</v>
      </c>
      <c r="F364">
        <v>1415</v>
      </c>
      <c r="G364" s="3">
        <v>1427.9</v>
      </c>
      <c r="H364">
        <v>1429</v>
      </c>
      <c r="I364">
        <v>1420.6</v>
      </c>
      <c r="J364">
        <v>8462</v>
      </c>
      <c r="K364">
        <v>12244843.1</v>
      </c>
      <c r="L364" s="1">
        <v>45240</v>
      </c>
      <c r="M364">
        <v>1069</v>
      </c>
      <c r="N364" t="s">
        <v>1426</v>
      </c>
      <c r="O364" s="5">
        <v>45240</v>
      </c>
      <c r="P364" s="5">
        <v>43777</v>
      </c>
      <c r="Q364" s="3">
        <v>302.3</v>
      </c>
      <c r="S364">
        <f t="shared" si="15"/>
        <v>1464</v>
      </c>
      <c r="T364">
        <f t="shared" si="16"/>
        <v>16.043835616438358</v>
      </c>
      <c r="U364" s="6">
        <f t="shared" si="17"/>
        <v>0.40642192260783538</v>
      </c>
    </row>
    <row r="365" spans="1:21" x14ac:dyDescent="0.25">
      <c r="A365" t="s">
        <v>1427</v>
      </c>
      <c r="B365" t="s">
        <v>1428</v>
      </c>
      <c r="C365" t="s">
        <v>14</v>
      </c>
      <c r="D365">
        <v>121</v>
      </c>
      <c r="E365">
        <v>122.3</v>
      </c>
      <c r="F365">
        <v>119.4</v>
      </c>
      <c r="G365" s="3">
        <v>120.85</v>
      </c>
      <c r="H365">
        <v>120.8</v>
      </c>
      <c r="I365">
        <v>120.5</v>
      </c>
      <c r="J365">
        <v>240407</v>
      </c>
      <c r="K365">
        <v>29099175.649999999</v>
      </c>
      <c r="L365" s="1">
        <v>45240</v>
      </c>
      <c r="M365">
        <v>2642</v>
      </c>
      <c r="N365" t="s">
        <v>1429</v>
      </c>
      <c r="O365" s="5">
        <v>45240</v>
      </c>
      <c r="P365" s="5">
        <v>43777</v>
      </c>
      <c r="Q365" s="3">
        <v>26.15</v>
      </c>
      <c r="S365">
        <f t="shared" si="15"/>
        <v>1464</v>
      </c>
      <c r="T365">
        <f t="shared" si="16"/>
        <v>16.043835616438358</v>
      </c>
      <c r="U365" s="6">
        <f t="shared" si="17"/>
        <v>0.40042786492950366</v>
      </c>
    </row>
    <row r="366" spans="1:21" x14ac:dyDescent="0.25">
      <c r="A366" t="s">
        <v>1433</v>
      </c>
      <c r="B366" t="s">
        <v>1434</v>
      </c>
      <c r="C366" t="s">
        <v>14</v>
      </c>
      <c r="D366">
        <v>902.35</v>
      </c>
      <c r="E366">
        <v>923.45</v>
      </c>
      <c r="F366">
        <v>901.65</v>
      </c>
      <c r="G366" s="3">
        <v>905.25</v>
      </c>
      <c r="H366">
        <v>904</v>
      </c>
      <c r="I366">
        <v>901.15</v>
      </c>
      <c r="J366">
        <v>239075</v>
      </c>
      <c r="K366">
        <v>217666034.05000001</v>
      </c>
      <c r="L366" s="1">
        <v>45240</v>
      </c>
      <c r="M366">
        <v>12178</v>
      </c>
      <c r="N366" t="s">
        <v>1435</v>
      </c>
      <c r="O366" s="5">
        <v>45240</v>
      </c>
      <c r="P366" s="5">
        <v>43777</v>
      </c>
      <c r="Q366" s="3">
        <v>36.75</v>
      </c>
      <c r="S366">
        <f t="shared" si="15"/>
        <v>1464</v>
      </c>
      <c r="T366">
        <f t="shared" si="16"/>
        <v>16.043835616438358</v>
      </c>
      <c r="U366" s="6">
        <f t="shared" si="17"/>
        <v>0.88418178077309584</v>
      </c>
    </row>
    <row r="367" spans="1:21" x14ac:dyDescent="0.25">
      <c r="A367" t="s">
        <v>1436</v>
      </c>
      <c r="B367" t="s">
        <v>1437</v>
      </c>
      <c r="C367" t="s">
        <v>14</v>
      </c>
      <c r="D367">
        <v>95.35</v>
      </c>
      <c r="E367">
        <v>99.15</v>
      </c>
      <c r="F367">
        <v>94.1</v>
      </c>
      <c r="G367" s="3">
        <v>96.15</v>
      </c>
      <c r="H367">
        <v>96.95</v>
      </c>
      <c r="I367">
        <v>93.85</v>
      </c>
      <c r="J367">
        <v>19801156</v>
      </c>
      <c r="K367">
        <v>1918733178.95</v>
      </c>
      <c r="L367" s="1">
        <v>45240</v>
      </c>
      <c r="M367">
        <v>39987</v>
      </c>
      <c r="N367" t="s">
        <v>1438</v>
      </c>
      <c r="O367" s="5">
        <v>45240</v>
      </c>
      <c r="P367" s="5">
        <v>43777</v>
      </c>
      <c r="Q367" s="3">
        <v>13.35</v>
      </c>
      <c r="S367">
        <f t="shared" si="15"/>
        <v>1464</v>
      </c>
      <c r="T367">
        <f t="shared" si="16"/>
        <v>16.043835616438358</v>
      </c>
      <c r="U367" s="6">
        <f t="shared" si="17"/>
        <v>0.5238200095714296</v>
      </c>
    </row>
    <row r="368" spans="1:21" x14ac:dyDescent="0.25">
      <c r="A368" t="s">
        <v>1439</v>
      </c>
      <c r="B368" t="s">
        <v>1440</v>
      </c>
      <c r="C368" t="s">
        <v>10</v>
      </c>
      <c r="D368">
        <v>137.15</v>
      </c>
      <c r="E368">
        <v>137.15</v>
      </c>
      <c r="F368">
        <v>137.15</v>
      </c>
      <c r="G368" s="3">
        <v>137.15</v>
      </c>
      <c r="H368">
        <v>137.15</v>
      </c>
      <c r="I368">
        <v>134.5</v>
      </c>
      <c r="J368">
        <v>317</v>
      </c>
      <c r="K368">
        <v>43476.55</v>
      </c>
      <c r="L368" s="1">
        <v>45240</v>
      </c>
      <c r="M368">
        <v>7</v>
      </c>
      <c r="N368" t="s">
        <v>1441</v>
      </c>
      <c r="O368" s="5">
        <v>45240</v>
      </c>
      <c r="P368" s="5">
        <v>43777</v>
      </c>
      <c r="Q368" s="3">
        <v>140.30000000000001</v>
      </c>
      <c r="S368">
        <f t="shared" si="15"/>
        <v>1464</v>
      </c>
      <c r="T368">
        <f t="shared" si="16"/>
        <v>16.043835616438358</v>
      </c>
      <c r="U368" s="6">
        <f t="shared" si="17"/>
        <v>-5.657427073006982E-3</v>
      </c>
    </row>
    <row r="369" spans="1:21" x14ac:dyDescent="0.25">
      <c r="A369" t="s">
        <v>1442</v>
      </c>
      <c r="B369" t="s">
        <v>1443</v>
      </c>
      <c r="C369" t="s">
        <v>14</v>
      </c>
      <c r="D369">
        <v>534.54999999999995</v>
      </c>
      <c r="E369">
        <v>537.04999999999995</v>
      </c>
      <c r="F369">
        <v>524</v>
      </c>
      <c r="G369" s="3">
        <v>529.75</v>
      </c>
      <c r="H369">
        <v>527.5</v>
      </c>
      <c r="I369">
        <v>534.70000000000005</v>
      </c>
      <c r="J369">
        <v>233577</v>
      </c>
      <c r="K369">
        <v>123660415.59999999</v>
      </c>
      <c r="L369" s="1">
        <v>45240</v>
      </c>
      <c r="M369">
        <v>9557</v>
      </c>
      <c r="N369" t="s">
        <v>1444</v>
      </c>
      <c r="O369" s="5">
        <v>45240</v>
      </c>
      <c r="P369" s="5">
        <v>43777</v>
      </c>
      <c r="Q369" s="3">
        <v>280.85000000000002</v>
      </c>
      <c r="S369">
        <f t="shared" si="15"/>
        <v>1464</v>
      </c>
      <c r="T369">
        <f t="shared" si="16"/>
        <v>16.043835616438358</v>
      </c>
      <c r="U369" s="6">
        <f t="shared" si="17"/>
        <v>0.1613832298057547</v>
      </c>
    </row>
    <row r="370" spans="1:21" x14ac:dyDescent="0.25">
      <c r="A370" t="s">
        <v>1445</v>
      </c>
      <c r="B370" t="s">
        <v>1446</v>
      </c>
      <c r="C370" t="s">
        <v>10</v>
      </c>
      <c r="D370">
        <v>50</v>
      </c>
      <c r="E370">
        <v>51.9</v>
      </c>
      <c r="F370">
        <v>50</v>
      </c>
      <c r="G370" s="3">
        <v>50.7</v>
      </c>
      <c r="H370">
        <v>51.4</v>
      </c>
      <c r="I370">
        <v>50.75</v>
      </c>
      <c r="J370">
        <v>14507</v>
      </c>
      <c r="K370">
        <v>738490.25</v>
      </c>
      <c r="L370" s="1">
        <v>45240</v>
      </c>
      <c r="M370">
        <v>114</v>
      </c>
      <c r="N370" t="s">
        <v>1447</v>
      </c>
      <c r="O370" s="5">
        <v>45240</v>
      </c>
      <c r="P370" s="5">
        <v>43777</v>
      </c>
      <c r="Q370" s="3">
        <v>17.5</v>
      </c>
      <c r="S370">
        <f t="shared" si="15"/>
        <v>1464</v>
      </c>
      <c r="T370">
        <f t="shared" si="16"/>
        <v>16.043835616438358</v>
      </c>
      <c r="U370" s="6">
        <f t="shared" si="17"/>
        <v>0.274193922375777</v>
      </c>
    </row>
    <row r="371" spans="1:21" x14ac:dyDescent="0.25">
      <c r="A371" t="s">
        <v>1451</v>
      </c>
      <c r="B371" t="s">
        <v>1452</v>
      </c>
      <c r="C371" t="s">
        <v>14</v>
      </c>
      <c r="D371">
        <v>518.9</v>
      </c>
      <c r="E371">
        <v>520.20000000000005</v>
      </c>
      <c r="F371">
        <v>510.5</v>
      </c>
      <c r="G371" s="3">
        <v>513.04999999999995</v>
      </c>
      <c r="H371">
        <v>512.95000000000005</v>
      </c>
      <c r="I371">
        <v>518.85</v>
      </c>
      <c r="J371">
        <v>136261</v>
      </c>
      <c r="K371">
        <v>70105036.400000006</v>
      </c>
      <c r="L371" s="1">
        <v>45240</v>
      </c>
      <c r="M371">
        <v>8771</v>
      </c>
      <c r="N371" t="s">
        <v>1453</v>
      </c>
      <c r="O371" s="5">
        <v>45240</v>
      </c>
      <c r="P371" s="5">
        <v>43777</v>
      </c>
      <c r="Q371" s="3">
        <v>324.5</v>
      </c>
      <c r="S371">
        <f t="shared" si="15"/>
        <v>1464</v>
      </c>
      <c r="T371">
        <f t="shared" si="16"/>
        <v>16.043835616438358</v>
      </c>
      <c r="U371" s="6">
        <f t="shared" si="17"/>
        <v>0.11585513339631515</v>
      </c>
    </row>
    <row r="372" spans="1:21" x14ac:dyDescent="0.25">
      <c r="A372" t="s">
        <v>1454</v>
      </c>
      <c r="B372" t="s">
        <v>1455</v>
      </c>
      <c r="C372" t="s">
        <v>14</v>
      </c>
      <c r="D372">
        <v>129.25</v>
      </c>
      <c r="E372">
        <v>133</v>
      </c>
      <c r="F372">
        <v>128.44999999999999</v>
      </c>
      <c r="G372" s="3">
        <v>130.25</v>
      </c>
      <c r="H372">
        <v>130.30000000000001</v>
      </c>
      <c r="I372">
        <v>129.80000000000001</v>
      </c>
      <c r="J372">
        <v>21917</v>
      </c>
      <c r="K372">
        <v>2866064.1</v>
      </c>
      <c r="L372" s="1">
        <v>45240</v>
      </c>
      <c r="M372">
        <v>398</v>
      </c>
      <c r="N372" t="s">
        <v>1456</v>
      </c>
      <c r="O372" s="5">
        <v>45240</v>
      </c>
      <c r="P372" s="5">
        <v>43777</v>
      </c>
      <c r="Q372" s="3">
        <v>75.05</v>
      </c>
      <c r="S372">
        <f t="shared" si="15"/>
        <v>1464</v>
      </c>
      <c r="T372">
        <f t="shared" si="16"/>
        <v>16.043835616438358</v>
      </c>
      <c r="U372" s="6">
        <f t="shared" si="17"/>
        <v>0.13983751022173685</v>
      </c>
    </row>
    <row r="373" spans="1:21" x14ac:dyDescent="0.25">
      <c r="A373" t="s">
        <v>1457</v>
      </c>
      <c r="B373" t="s">
        <v>1458</v>
      </c>
      <c r="C373" t="s">
        <v>14</v>
      </c>
      <c r="D373">
        <v>86.1</v>
      </c>
      <c r="E373">
        <v>89</v>
      </c>
      <c r="F373">
        <v>86.1</v>
      </c>
      <c r="G373" s="3">
        <v>86.7</v>
      </c>
      <c r="H373">
        <v>86.2</v>
      </c>
      <c r="I373">
        <v>89.6</v>
      </c>
      <c r="J373">
        <v>49193</v>
      </c>
      <c r="K373">
        <v>4295157.3499999996</v>
      </c>
      <c r="L373" s="1">
        <v>45240</v>
      </c>
      <c r="M373">
        <v>979</v>
      </c>
      <c r="N373" t="s">
        <v>1459</v>
      </c>
      <c r="O373" s="5">
        <v>45240</v>
      </c>
      <c r="P373" s="5">
        <v>43777</v>
      </c>
      <c r="Q373" s="3">
        <v>48.65</v>
      </c>
      <c r="S373">
        <f t="shared" si="15"/>
        <v>1464</v>
      </c>
      <c r="T373">
        <f t="shared" si="16"/>
        <v>16.043835616438358</v>
      </c>
      <c r="U373" s="6">
        <f t="shared" si="17"/>
        <v>0.14668127866238567</v>
      </c>
    </row>
    <row r="374" spans="1:21" x14ac:dyDescent="0.25">
      <c r="A374" t="s">
        <v>6705</v>
      </c>
      <c r="B374" t="s">
        <v>7798</v>
      </c>
      <c r="C374" t="s">
        <v>6202</v>
      </c>
      <c r="D374">
        <v>314.64999999999998</v>
      </c>
      <c r="E374">
        <v>316</v>
      </c>
      <c r="F374">
        <v>308</v>
      </c>
      <c r="G374" s="3">
        <v>311.8</v>
      </c>
      <c r="H374">
        <v>311.75</v>
      </c>
      <c r="I374">
        <v>313.92</v>
      </c>
      <c r="J374">
        <v>246806</v>
      </c>
      <c r="K374">
        <v>76878089.019999996</v>
      </c>
      <c r="L374" s="1">
        <v>45240</v>
      </c>
      <c r="M374">
        <v>13357</v>
      </c>
      <c r="N374" t="s">
        <v>6704</v>
      </c>
      <c r="O374" s="5">
        <v>45240</v>
      </c>
      <c r="P374" s="5">
        <v>43777</v>
      </c>
      <c r="Q374" s="3">
        <v>392.39</v>
      </c>
      <c r="S374">
        <f t="shared" si="15"/>
        <v>1464</v>
      </c>
      <c r="T374">
        <f t="shared" si="16"/>
        <v>16.043835616438358</v>
      </c>
      <c r="U374" s="6">
        <f t="shared" si="17"/>
        <v>-5.6907846204306001E-2</v>
      </c>
    </row>
    <row r="375" spans="1:21" x14ac:dyDescent="0.25">
      <c r="A375" t="s">
        <v>1463</v>
      </c>
      <c r="B375" t="s">
        <v>1464</v>
      </c>
      <c r="C375" t="s">
        <v>14</v>
      </c>
      <c r="D375">
        <v>98.15</v>
      </c>
      <c r="E375">
        <v>99.7</v>
      </c>
      <c r="F375">
        <v>96.75</v>
      </c>
      <c r="G375" s="3">
        <v>97.8</v>
      </c>
      <c r="H375">
        <v>97.55</v>
      </c>
      <c r="I375">
        <v>97.2</v>
      </c>
      <c r="J375">
        <v>84494</v>
      </c>
      <c r="K375">
        <v>8289934.4000000004</v>
      </c>
      <c r="L375" s="1">
        <v>45240</v>
      </c>
      <c r="M375">
        <v>2863</v>
      </c>
      <c r="N375" t="s">
        <v>1465</v>
      </c>
      <c r="O375" s="5">
        <v>45240</v>
      </c>
      <c r="P375" s="5">
        <v>43777</v>
      </c>
      <c r="Q375" s="3">
        <v>76</v>
      </c>
      <c r="S375">
        <f t="shared" si="15"/>
        <v>1464</v>
      </c>
      <c r="T375">
        <f t="shared" si="16"/>
        <v>16.043835616438358</v>
      </c>
      <c r="U375" s="6">
        <f t="shared" si="17"/>
        <v>6.3372313680530645E-2</v>
      </c>
    </row>
    <row r="376" spans="1:21" x14ac:dyDescent="0.25">
      <c r="A376" t="s">
        <v>1466</v>
      </c>
      <c r="B376" t="s">
        <v>1467</v>
      </c>
      <c r="C376" t="s">
        <v>14</v>
      </c>
      <c r="D376">
        <v>106.7</v>
      </c>
      <c r="E376">
        <v>108.6</v>
      </c>
      <c r="F376">
        <v>103.05</v>
      </c>
      <c r="G376" s="3">
        <v>106.8</v>
      </c>
      <c r="H376">
        <v>106.9</v>
      </c>
      <c r="I376">
        <v>106.55</v>
      </c>
      <c r="J376">
        <v>22600</v>
      </c>
      <c r="K376">
        <v>2416343.5499999998</v>
      </c>
      <c r="L376" s="1">
        <v>45240</v>
      </c>
      <c r="M376">
        <v>385</v>
      </c>
      <c r="N376" t="s">
        <v>1468</v>
      </c>
      <c r="O376" s="5">
        <v>45240</v>
      </c>
      <c r="P376" s="5">
        <v>43777</v>
      </c>
      <c r="Q376" s="3">
        <v>106.15</v>
      </c>
      <c r="S376">
        <f t="shared" si="15"/>
        <v>1464</v>
      </c>
      <c r="T376">
        <f t="shared" si="16"/>
        <v>16.043835616438358</v>
      </c>
      <c r="U376" s="6">
        <f t="shared" si="17"/>
        <v>1.5223042937648756E-3</v>
      </c>
    </row>
    <row r="377" spans="1:21" x14ac:dyDescent="0.25">
      <c r="A377" t="s">
        <v>1475</v>
      </c>
      <c r="B377" t="s">
        <v>1476</v>
      </c>
      <c r="C377" t="s">
        <v>14</v>
      </c>
      <c r="D377">
        <v>1635.25</v>
      </c>
      <c r="E377">
        <v>1643.9</v>
      </c>
      <c r="F377">
        <v>1580.1</v>
      </c>
      <c r="G377" s="3">
        <v>1635.45</v>
      </c>
      <c r="H377">
        <v>1630</v>
      </c>
      <c r="I377">
        <v>1623.9</v>
      </c>
      <c r="J377">
        <v>153155</v>
      </c>
      <c r="K377">
        <v>247515989.94999999</v>
      </c>
      <c r="L377" s="1">
        <v>45240</v>
      </c>
      <c r="M377">
        <v>16567</v>
      </c>
      <c r="N377" t="s">
        <v>1477</v>
      </c>
      <c r="O377" s="5">
        <v>45240</v>
      </c>
      <c r="P377" s="5">
        <v>43777</v>
      </c>
      <c r="Q377" s="3">
        <v>1095.9000000000001</v>
      </c>
      <c r="S377">
        <f t="shared" si="15"/>
        <v>1464</v>
      </c>
      <c r="T377">
        <f t="shared" si="16"/>
        <v>16.043835616438358</v>
      </c>
      <c r="U377" s="6">
        <f t="shared" si="17"/>
        <v>0.10106778418641671</v>
      </c>
    </row>
    <row r="378" spans="1:21" x14ac:dyDescent="0.25">
      <c r="A378" t="s">
        <v>1478</v>
      </c>
      <c r="B378" t="s">
        <v>1479</v>
      </c>
      <c r="C378" t="s">
        <v>14</v>
      </c>
      <c r="D378">
        <v>19.899999999999999</v>
      </c>
      <c r="E378">
        <v>20.05</v>
      </c>
      <c r="F378">
        <v>19.399999999999999</v>
      </c>
      <c r="G378" s="3">
        <v>19.55</v>
      </c>
      <c r="H378">
        <v>19.45</v>
      </c>
      <c r="I378">
        <v>19.55</v>
      </c>
      <c r="J378">
        <v>116681</v>
      </c>
      <c r="K378">
        <v>2305551.5</v>
      </c>
      <c r="L378" s="1">
        <v>45240</v>
      </c>
      <c r="M378">
        <v>594</v>
      </c>
      <c r="N378" t="s">
        <v>1480</v>
      </c>
      <c r="O378" s="5">
        <v>45240</v>
      </c>
      <c r="P378" s="5">
        <v>43777</v>
      </c>
      <c r="Q378" s="3">
        <v>5.05</v>
      </c>
      <c r="S378">
        <f t="shared" si="15"/>
        <v>1464</v>
      </c>
      <c r="T378">
        <f t="shared" si="16"/>
        <v>16.043835616438358</v>
      </c>
      <c r="U378" s="6">
        <f t="shared" si="17"/>
        <v>0.35211705485646316</v>
      </c>
    </row>
    <row r="379" spans="1:21" x14ac:dyDescent="0.25">
      <c r="A379" t="s">
        <v>1481</v>
      </c>
      <c r="B379" t="s">
        <v>1482</v>
      </c>
      <c r="C379" t="s">
        <v>14</v>
      </c>
      <c r="D379">
        <v>130.6</v>
      </c>
      <c r="E379">
        <v>141.25</v>
      </c>
      <c r="F379">
        <v>130.5</v>
      </c>
      <c r="G379" s="3">
        <v>137.69999999999999</v>
      </c>
      <c r="H379">
        <v>137.35</v>
      </c>
      <c r="I379">
        <v>129.25</v>
      </c>
      <c r="J379">
        <v>32583425</v>
      </c>
      <c r="K379">
        <v>4474122227.1499996</v>
      </c>
      <c r="L379" s="1">
        <v>45240</v>
      </c>
      <c r="M379">
        <v>125933</v>
      </c>
      <c r="N379" t="s">
        <v>1483</v>
      </c>
      <c r="O379" s="5">
        <v>45240</v>
      </c>
      <c r="P379" s="5">
        <v>43777</v>
      </c>
      <c r="Q379" s="3">
        <v>105.55</v>
      </c>
      <c r="S379">
        <f t="shared" si="15"/>
        <v>1464</v>
      </c>
      <c r="T379">
        <f t="shared" si="16"/>
        <v>16.043835616438358</v>
      </c>
      <c r="U379" s="6">
        <f t="shared" si="17"/>
        <v>6.684390542430485E-2</v>
      </c>
    </row>
    <row r="380" spans="1:21" x14ac:dyDescent="0.25">
      <c r="A380" t="s">
        <v>1484</v>
      </c>
      <c r="B380" t="s">
        <v>1485</v>
      </c>
      <c r="C380" t="s">
        <v>14</v>
      </c>
      <c r="D380">
        <v>185</v>
      </c>
      <c r="E380">
        <v>189</v>
      </c>
      <c r="F380">
        <v>183.1</v>
      </c>
      <c r="G380" s="3">
        <v>186.3</v>
      </c>
      <c r="H380">
        <v>186</v>
      </c>
      <c r="I380">
        <v>184.3</v>
      </c>
      <c r="J380">
        <v>66702</v>
      </c>
      <c r="K380">
        <v>12436264.35</v>
      </c>
      <c r="L380" s="1">
        <v>45240</v>
      </c>
      <c r="M380">
        <v>1984</v>
      </c>
      <c r="N380" t="s">
        <v>1486</v>
      </c>
      <c r="O380" s="5">
        <v>45240</v>
      </c>
      <c r="P380" s="5">
        <v>43777</v>
      </c>
      <c r="Q380" s="3">
        <v>249.75</v>
      </c>
      <c r="S380">
        <f t="shared" si="15"/>
        <v>1464</v>
      </c>
      <c r="T380">
        <f t="shared" si="16"/>
        <v>16.043835616438358</v>
      </c>
      <c r="U380" s="6">
        <f t="shared" si="17"/>
        <v>-7.2411874464981096E-2</v>
      </c>
    </row>
    <row r="381" spans="1:21" x14ac:dyDescent="0.25">
      <c r="A381" t="s">
        <v>1499</v>
      </c>
      <c r="B381" t="s">
        <v>1500</v>
      </c>
      <c r="C381" t="s">
        <v>14</v>
      </c>
      <c r="D381">
        <v>909.05</v>
      </c>
      <c r="E381">
        <v>924.2</v>
      </c>
      <c r="F381">
        <v>906</v>
      </c>
      <c r="G381" s="3">
        <v>908.5</v>
      </c>
      <c r="H381">
        <v>907.05</v>
      </c>
      <c r="I381">
        <v>912.25</v>
      </c>
      <c r="J381">
        <v>142205</v>
      </c>
      <c r="K381">
        <v>130001510.65000001</v>
      </c>
      <c r="L381" s="1">
        <v>45240</v>
      </c>
      <c r="M381">
        <v>9711</v>
      </c>
      <c r="N381" t="s">
        <v>1501</v>
      </c>
      <c r="O381" s="5">
        <v>45240</v>
      </c>
      <c r="P381" s="5">
        <v>43777</v>
      </c>
      <c r="Q381" s="3">
        <v>416.5</v>
      </c>
      <c r="S381">
        <f t="shared" si="15"/>
        <v>1464</v>
      </c>
      <c r="T381">
        <f t="shared" si="16"/>
        <v>16.043835616438358</v>
      </c>
      <c r="U381" s="6">
        <f t="shared" si="17"/>
        <v>0.19924797915566028</v>
      </c>
    </row>
    <row r="382" spans="1:21" x14ac:dyDescent="0.25">
      <c r="A382" t="s">
        <v>1502</v>
      </c>
      <c r="B382" t="s">
        <v>1503</v>
      </c>
      <c r="C382" t="s">
        <v>14</v>
      </c>
      <c r="D382">
        <v>18.899999999999999</v>
      </c>
      <c r="E382">
        <v>20.399999999999999</v>
      </c>
      <c r="F382">
        <v>18.850000000000001</v>
      </c>
      <c r="G382" s="3">
        <v>19.399999999999999</v>
      </c>
      <c r="H382">
        <v>19.5</v>
      </c>
      <c r="I382">
        <v>18.899999999999999</v>
      </c>
      <c r="J382">
        <v>1365547</v>
      </c>
      <c r="K382">
        <v>26817789.699999999</v>
      </c>
      <c r="L382" s="1">
        <v>45240</v>
      </c>
      <c r="M382">
        <v>4068</v>
      </c>
      <c r="N382" t="s">
        <v>1504</v>
      </c>
      <c r="O382" s="5">
        <v>45240</v>
      </c>
      <c r="P382" s="5">
        <v>43777</v>
      </c>
      <c r="Q382" s="3">
        <v>15.25</v>
      </c>
      <c r="S382">
        <f t="shared" si="15"/>
        <v>1464</v>
      </c>
      <c r="T382">
        <f t="shared" si="16"/>
        <v>16.043835616438358</v>
      </c>
      <c r="U382" s="6">
        <f t="shared" si="17"/>
        <v>6.0461376809970879E-2</v>
      </c>
    </row>
    <row r="383" spans="1:21" x14ac:dyDescent="0.25">
      <c r="A383" t="s">
        <v>1505</v>
      </c>
      <c r="B383" t="s">
        <v>1506</v>
      </c>
      <c r="C383" t="s">
        <v>14</v>
      </c>
      <c r="D383">
        <v>6415.1</v>
      </c>
      <c r="E383">
        <v>6433.05</v>
      </c>
      <c r="F383">
        <v>6363</v>
      </c>
      <c r="G383" s="3">
        <v>6405.05</v>
      </c>
      <c r="H383">
        <v>6400</v>
      </c>
      <c r="I383">
        <v>6398.9</v>
      </c>
      <c r="J383">
        <v>4086</v>
      </c>
      <c r="K383">
        <v>26167132.199999999</v>
      </c>
      <c r="L383" s="1">
        <v>45240</v>
      </c>
      <c r="M383">
        <v>1010</v>
      </c>
      <c r="N383" t="s">
        <v>1507</v>
      </c>
      <c r="O383" s="5">
        <v>45240</v>
      </c>
      <c r="P383" s="5">
        <v>43777</v>
      </c>
      <c r="Q383" s="3">
        <v>1276.0999999999999</v>
      </c>
      <c r="S383">
        <f t="shared" si="15"/>
        <v>1464</v>
      </c>
      <c r="T383">
        <f t="shared" si="16"/>
        <v>16.043835616438358</v>
      </c>
      <c r="U383" s="6">
        <f t="shared" si="17"/>
        <v>0.42313515838344884</v>
      </c>
    </row>
    <row r="384" spans="1:21" x14ac:dyDescent="0.25">
      <c r="A384" t="s">
        <v>1511</v>
      </c>
      <c r="B384" t="s">
        <v>1512</v>
      </c>
      <c r="C384" t="s">
        <v>14</v>
      </c>
      <c r="D384">
        <v>3083.8</v>
      </c>
      <c r="E384">
        <v>3174.35</v>
      </c>
      <c r="F384">
        <v>3062.5</v>
      </c>
      <c r="G384" s="3">
        <v>3166.9</v>
      </c>
      <c r="H384">
        <v>3155.1</v>
      </c>
      <c r="I384">
        <v>3093.05</v>
      </c>
      <c r="J384">
        <v>535506</v>
      </c>
      <c r="K384">
        <v>1682607274.95</v>
      </c>
      <c r="L384" s="1">
        <v>45240</v>
      </c>
      <c r="M384">
        <v>26228</v>
      </c>
      <c r="N384" t="s">
        <v>1513</v>
      </c>
      <c r="O384" s="5">
        <v>45240</v>
      </c>
      <c r="P384" s="5">
        <v>43777</v>
      </c>
      <c r="Q384" s="3">
        <v>653.75</v>
      </c>
      <c r="S384">
        <f t="shared" si="15"/>
        <v>1464</v>
      </c>
      <c r="T384">
        <f t="shared" si="16"/>
        <v>16.043835616438358</v>
      </c>
      <c r="U384" s="6">
        <f t="shared" si="17"/>
        <v>0.41336040914650418</v>
      </c>
    </row>
    <row r="385" spans="1:21" x14ac:dyDescent="0.25">
      <c r="A385" t="s">
        <v>1514</v>
      </c>
      <c r="B385" t="s">
        <v>1515</v>
      </c>
      <c r="C385" t="s">
        <v>10</v>
      </c>
      <c r="D385">
        <v>16.149999999999999</v>
      </c>
      <c r="E385">
        <v>16.149999999999999</v>
      </c>
      <c r="F385">
        <v>16</v>
      </c>
      <c r="G385" s="3">
        <v>16.149999999999999</v>
      </c>
      <c r="H385">
        <v>16.149999999999999</v>
      </c>
      <c r="I385">
        <v>15.85</v>
      </c>
      <c r="J385">
        <v>536270</v>
      </c>
      <c r="K385">
        <v>8656412.75</v>
      </c>
      <c r="L385" s="1">
        <v>45240</v>
      </c>
      <c r="M385">
        <v>225</v>
      </c>
      <c r="N385" t="s">
        <v>1516</v>
      </c>
      <c r="O385" s="5">
        <v>45240</v>
      </c>
      <c r="P385" s="5">
        <v>43777</v>
      </c>
      <c r="Q385" s="3">
        <v>7.5</v>
      </c>
      <c r="S385">
        <f t="shared" si="15"/>
        <v>1464</v>
      </c>
      <c r="T385">
        <f t="shared" si="16"/>
        <v>16.043835616438358</v>
      </c>
      <c r="U385" s="6">
        <f t="shared" si="17"/>
        <v>0.19587519276898036</v>
      </c>
    </row>
    <row r="386" spans="1:21" x14ac:dyDescent="0.25">
      <c r="A386" t="s">
        <v>1520</v>
      </c>
      <c r="B386" t="s">
        <v>1521</v>
      </c>
      <c r="C386" t="s">
        <v>14</v>
      </c>
      <c r="D386">
        <v>87.65</v>
      </c>
      <c r="E386">
        <v>88</v>
      </c>
      <c r="F386">
        <v>86.4</v>
      </c>
      <c r="G386" s="3">
        <v>86.6</v>
      </c>
      <c r="H386">
        <v>86.5</v>
      </c>
      <c r="I386">
        <v>86.9</v>
      </c>
      <c r="J386">
        <v>57933</v>
      </c>
      <c r="K386">
        <v>5045085.6500000004</v>
      </c>
      <c r="L386" s="1">
        <v>45240</v>
      </c>
      <c r="M386">
        <v>965</v>
      </c>
      <c r="N386" t="s">
        <v>1522</v>
      </c>
      <c r="O386" s="5">
        <v>45240</v>
      </c>
      <c r="P386" s="5">
        <v>43777</v>
      </c>
      <c r="Q386" s="3">
        <v>34.75</v>
      </c>
      <c r="S386">
        <f t="shared" si="15"/>
        <v>1464</v>
      </c>
      <c r="T386">
        <f t="shared" si="16"/>
        <v>16.043835616438358</v>
      </c>
      <c r="U386" s="6">
        <f t="shared" si="17"/>
        <v>0.23425944471605131</v>
      </c>
    </row>
    <row r="387" spans="1:21" x14ac:dyDescent="0.25">
      <c r="A387" t="s">
        <v>1529</v>
      </c>
      <c r="B387" t="s">
        <v>1530</v>
      </c>
      <c r="C387" t="s">
        <v>14</v>
      </c>
      <c r="D387">
        <v>352.85</v>
      </c>
      <c r="E387">
        <v>353.8</v>
      </c>
      <c r="F387">
        <v>346.1</v>
      </c>
      <c r="G387" s="3">
        <v>348.15</v>
      </c>
      <c r="H387">
        <v>349.05</v>
      </c>
      <c r="I387">
        <v>352.85</v>
      </c>
      <c r="J387">
        <v>92285</v>
      </c>
      <c r="K387">
        <v>32218292.699999999</v>
      </c>
      <c r="L387" s="1">
        <v>45240</v>
      </c>
      <c r="M387">
        <v>5032</v>
      </c>
      <c r="N387" t="s">
        <v>1531</v>
      </c>
      <c r="O387" s="5">
        <v>45240</v>
      </c>
      <c r="P387" s="5">
        <v>43777</v>
      </c>
      <c r="Q387" s="3">
        <v>54.5</v>
      </c>
      <c r="S387">
        <f t="shared" ref="S387:S450" si="18">O387-P387+1</f>
        <v>1464</v>
      </c>
      <c r="T387">
        <f t="shared" ref="T387:T450" si="19">(S387/365)*4</f>
        <v>16.043835616438358</v>
      </c>
      <c r="U387" s="6">
        <f t="shared" ref="U387:U450" si="20">(((G387/Q387)^(1/T387))-1)*4</f>
        <v>0.49012137574318793</v>
      </c>
    </row>
    <row r="388" spans="1:21" x14ac:dyDescent="0.25">
      <c r="A388" t="s">
        <v>1532</v>
      </c>
      <c r="B388" t="s">
        <v>1533</v>
      </c>
      <c r="C388" t="s">
        <v>14</v>
      </c>
      <c r="D388">
        <v>1212</v>
      </c>
      <c r="E388">
        <v>1212</v>
      </c>
      <c r="F388">
        <v>1191.3</v>
      </c>
      <c r="G388" s="3">
        <v>1195.7</v>
      </c>
      <c r="H388">
        <v>1191.75</v>
      </c>
      <c r="I388">
        <v>1202.6500000000001</v>
      </c>
      <c r="J388">
        <v>7883</v>
      </c>
      <c r="K388">
        <v>9443548.4000000004</v>
      </c>
      <c r="L388" s="1">
        <v>45240</v>
      </c>
      <c r="M388">
        <v>824</v>
      </c>
      <c r="N388" t="s">
        <v>1534</v>
      </c>
      <c r="O388" s="5">
        <v>45240</v>
      </c>
      <c r="P388" s="5">
        <v>43777</v>
      </c>
      <c r="Q388" s="3">
        <v>287.85000000000002</v>
      </c>
      <c r="S388">
        <f t="shared" si="18"/>
        <v>1464</v>
      </c>
      <c r="T388">
        <f t="shared" si="19"/>
        <v>16.043835616438358</v>
      </c>
      <c r="U388" s="6">
        <f t="shared" si="20"/>
        <v>0.37127249644422555</v>
      </c>
    </row>
    <row r="389" spans="1:21" x14ac:dyDescent="0.25">
      <c r="A389" t="s">
        <v>1535</v>
      </c>
      <c r="B389" t="s">
        <v>1536</v>
      </c>
      <c r="C389" t="s">
        <v>10</v>
      </c>
      <c r="D389">
        <v>0.35</v>
      </c>
      <c r="E389">
        <v>0.35</v>
      </c>
      <c r="F389">
        <v>0.35</v>
      </c>
      <c r="G389" s="3">
        <v>0.35</v>
      </c>
      <c r="H389">
        <v>0.35</v>
      </c>
      <c r="I389">
        <v>0.35</v>
      </c>
      <c r="J389">
        <v>1507946</v>
      </c>
      <c r="K389">
        <v>527781.1</v>
      </c>
      <c r="L389" s="1">
        <v>45240</v>
      </c>
      <c r="M389">
        <v>318</v>
      </c>
      <c r="N389" t="s">
        <v>1537</v>
      </c>
      <c r="O389" s="5">
        <v>45240</v>
      </c>
      <c r="P389" s="5">
        <v>43777</v>
      </c>
      <c r="Q389" s="3">
        <v>1.1000000000000001</v>
      </c>
      <c r="S389">
        <f t="shared" si="18"/>
        <v>1464</v>
      </c>
      <c r="T389">
        <f t="shared" si="19"/>
        <v>16.043835616438358</v>
      </c>
      <c r="U389" s="6">
        <f t="shared" si="20"/>
        <v>-0.27555018351535443</v>
      </c>
    </row>
    <row r="390" spans="1:21" x14ac:dyDescent="0.25">
      <c r="A390" t="s">
        <v>1538</v>
      </c>
      <c r="B390" t="s">
        <v>1539</v>
      </c>
      <c r="C390" t="s">
        <v>14</v>
      </c>
      <c r="D390">
        <v>836.2</v>
      </c>
      <c r="E390">
        <v>849</v>
      </c>
      <c r="F390">
        <v>831</v>
      </c>
      <c r="G390" s="3">
        <v>844.1</v>
      </c>
      <c r="H390">
        <v>844.75</v>
      </c>
      <c r="I390">
        <v>832</v>
      </c>
      <c r="J390">
        <v>8432</v>
      </c>
      <c r="K390">
        <v>7117416.2000000002</v>
      </c>
      <c r="L390" s="1">
        <v>45240</v>
      </c>
      <c r="M390">
        <v>835</v>
      </c>
      <c r="N390" t="s">
        <v>1540</v>
      </c>
      <c r="O390" s="5">
        <v>45240</v>
      </c>
      <c r="P390" s="5">
        <v>43777</v>
      </c>
      <c r="Q390" s="3">
        <v>971.85</v>
      </c>
      <c r="S390">
        <f t="shared" si="18"/>
        <v>1464</v>
      </c>
      <c r="T390">
        <f t="shared" si="19"/>
        <v>16.043835616438358</v>
      </c>
      <c r="U390" s="6">
        <f t="shared" si="20"/>
        <v>-3.4982491520680892E-2</v>
      </c>
    </row>
    <row r="391" spans="1:21" x14ac:dyDescent="0.25">
      <c r="A391" t="s">
        <v>1541</v>
      </c>
      <c r="B391" t="s">
        <v>1542</v>
      </c>
      <c r="C391" t="s">
        <v>14</v>
      </c>
      <c r="D391">
        <v>268.39999999999998</v>
      </c>
      <c r="E391">
        <v>269.60000000000002</v>
      </c>
      <c r="F391">
        <v>266.05</v>
      </c>
      <c r="G391" s="3">
        <v>268.14999999999998</v>
      </c>
      <c r="H391">
        <v>268.85000000000002</v>
      </c>
      <c r="I391">
        <v>268.7</v>
      </c>
      <c r="J391">
        <v>1986224</v>
      </c>
      <c r="K391">
        <v>531914511.75</v>
      </c>
      <c r="L391" s="1">
        <v>45240</v>
      </c>
      <c r="M391">
        <v>23969</v>
      </c>
      <c r="N391" t="s">
        <v>1543</v>
      </c>
      <c r="O391" s="5">
        <v>45240</v>
      </c>
      <c r="P391" s="5">
        <v>43777</v>
      </c>
      <c r="Q391" s="3">
        <v>186.55</v>
      </c>
      <c r="S391">
        <f t="shared" si="18"/>
        <v>1464</v>
      </c>
      <c r="T391">
        <f t="shared" si="19"/>
        <v>16.043835616438358</v>
      </c>
      <c r="U391" s="6">
        <f t="shared" si="20"/>
        <v>9.1494681578317305E-2</v>
      </c>
    </row>
    <row r="392" spans="1:21" x14ac:dyDescent="0.25">
      <c r="A392" t="s">
        <v>1544</v>
      </c>
      <c r="B392" t="s">
        <v>1545</v>
      </c>
      <c r="C392" t="s">
        <v>14</v>
      </c>
      <c r="D392">
        <v>1291.05</v>
      </c>
      <c r="E392">
        <v>1324.95</v>
      </c>
      <c r="F392">
        <v>1283.95</v>
      </c>
      <c r="G392" s="3">
        <v>1306.0999999999999</v>
      </c>
      <c r="H392">
        <v>1288</v>
      </c>
      <c r="I392">
        <v>1327.85</v>
      </c>
      <c r="J392">
        <v>61921</v>
      </c>
      <c r="K392">
        <v>80548784.349999994</v>
      </c>
      <c r="L392" s="1">
        <v>45240</v>
      </c>
      <c r="M392">
        <v>6058</v>
      </c>
      <c r="N392" t="s">
        <v>1546</v>
      </c>
      <c r="O392" s="5">
        <v>45240</v>
      </c>
      <c r="P392" s="5">
        <v>43777</v>
      </c>
      <c r="Q392" s="3">
        <v>271.3</v>
      </c>
      <c r="S392">
        <f t="shared" si="18"/>
        <v>1464</v>
      </c>
      <c r="T392">
        <f t="shared" si="19"/>
        <v>16.043835616438358</v>
      </c>
      <c r="U392" s="6">
        <f t="shared" si="20"/>
        <v>0.41165308981142612</v>
      </c>
    </row>
    <row r="393" spans="1:21" x14ac:dyDescent="0.25">
      <c r="A393" t="s">
        <v>1550</v>
      </c>
      <c r="B393" t="s">
        <v>1551</v>
      </c>
      <c r="C393" t="s">
        <v>14</v>
      </c>
      <c r="D393">
        <v>725.55</v>
      </c>
      <c r="E393">
        <v>731.25</v>
      </c>
      <c r="F393">
        <v>713</v>
      </c>
      <c r="G393" s="3">
        <v>721.65</v>
      </c>
      <c r="H393">
        <v>720</v>
      </c>
      <c r="I393">
        <v>725.95</v>
      </c>
      <c r="J393">
        <v>440598</v>
      </c>
      <c r="K393">
        <v>318246994.05000001</v>
      </c>
      <c r="L393" s="1">
        <v>45240</v>
      </c>
      <c r="M393">
        <v>10738</v>
      </c>
      <c r="N393" t="s">
        <v>1552</v>
      </c>
      <c r="O393" s="5">
        <v>45240</v>
      </c>
      <c r="P393" s="5">
        <v>43777</v>
      </c>
      <c r="Q393" s="3">
        <v>38.9</v>
      </c>
      <c r="S393">
        <f t="shared" si="18"/>
        <v>1464</v>
      </c>
      <c r="T393">
        <f t="shared" si="19"/>
        <v>16.043835616438358</v>
      </c>
      <c r="U393" s="6">
        <f t="shared" si="20"/>
        <v>0.79862663558610159</v>
      </c>
    </row>
    <row r="394" spans="1:21" x14ac:dyDescent="0.25">
      <c r="A394" t="s">
        <v>1559</v>
      </c>
      <c r="B394" t="s">
        <v>1560</v>
      </c>
      <c r="C394" t="s">
        <v>14</v>
      </c>
      <c r="D394">
        <v>330</v>
      </c>
      <c r="E394">
        <v>330</v>
      </c>
      <c r="F394">
        <v>318</v>
      </c>
      <c r="G394" s="3">
        <v>319.60000000000002</v>
      </c>
      <c r="H394">
        <v>320.05</v>
      </c>
      <c r="I394">
        <v>317</v>
      </c>
      <c r="J394">
        <v>716338</v>
      </c>
      <c r="K394">
        <v>231841860.44999999</v>
      </c>
      <c r="L394" s="1">
        <v>45240</v>
      </c>
      <c r="M394">
        <v>15356</v>
      </c>
      <c r="N394" t="s">
        <v>1561</v>
      </c>
      <c r="O394" s="5">
        <v>45240</v>
      </c>
      <c r="P394" s="5">
        <v>43777</v>
      </c>
      <c r="Q394" s="3">
        <v>28.9</v>
      </c>
      <c r="S394">
        <f t="shared" si="18"/>
        <v>1464</v>
      </c>
      <c r="T394">
        <f t="shared" si="19"/>
        <v>16.043835616438358</v>
      </c>
      <c r="U394" s="6">
        <f t="shared" si="20"/>
        <v>0.64636764343900754</v>
      </c>
    </row>
    <row r="395" spans="1:21" x14ac:dyDescent="0.25">
      <c r="A395" t="s">
        <v>1562</v>
      </c>
      <c r="B395" t="s">
        <v>1563</v>
      </c>
      <c r="C395" t="s">
        <v>10</v>
      </c>
      <c r="D395">
        <v>0.8</v>
      </c>
      <c r="E395">
        <v>0.85</v>
      </c>
      <c r="F395">
        <v>0.8</v>
      </c>
      <c r="G395" s="3">
        <v>0.85</v>
      </c>
      <c r="H395">
        <v>0.85</v>
      </c>
      <c r="I395">
        <v>0.8</v>
      </c>
      <c r="J395">
        <v>1795634</v>
      </c>
      <c r="K395">
        <v>1500658.85</v>
      </c>
      <c r="L395" s="1">
        <v>45240</v>
      </c>
      <c r="M395">
        <v>1069</v>
      </c>
      <c r="N395" t="s">
        <v>1564</v>
      </c>
      <c r="O395" s="5">
        <v>45240</v>
      </c>
      <c r="P395" s="5">
        <v>43777</v>
      </c>
      <c r="Q395" s="3">
        <v>25.2</v>
      </c>
      <c r="S395">
        <f t="shared" si="18"/>
        <v>1464</v>
      </c>
      <c r="T395">
        <f t="shared" si="19"/>
        <v>16.043835616438358</v>
      </c>
      <c r="U395" s="6">
        <f t="shared" si="20"/>
        <v>-0.76173412413917063</v>
      </c>
    </row>
    <row r="396" spans="1:21" x14ac:dyDescent="0.25">
      <c r="A396" t="s">
        <v>1565</v>
      </c>
      <c r="B396" t="s">
        <v>1566</v>
      </c>
      <c r="C396" t="s">
        <v>14</v>
      </c>
      <c r="D396">
        <v>2.95</v>
      </c>
      <c r="E396">
        <v>2.95</v>
      </c>
      <c r="F396">
        <v>2.85</v>
      </c>
      <c r="G396" s="3">
        <v>2.9</v>
      </c>
      <c r="H396">
        <v>2.95</v>
      </c>
      <c r="I396">
        <v>2.9</v>
      </c>
      <c r="J396">
        <v>10661216</v>
      </c>
      <c r="K396">
        <v>30878608.600000001</v>
      </c>
      <c r="L396" s="1">
        <v>45240</v>
      </c>
      <c r="M396">
        <v>4235</v>
      </c>
      <c r="N396" t="s">
        <v>1567</v>
      </c>
      <c r="O396" s="5">
        <v>45240</v>
      </c>
      <c r="P396" s="5">
        <v>43777</v>
      </c>
      <c r="Q396" s="3">
        <v>0.25</v>
      </c>
      <c r="S396">
        <f t="shared" si="18"/>
        <v>1464</v>
      </c>
      <c r="T396">
        <f t="shared" si="19"/>
        <v>16.043835616438358</v>
      </c>
      <c r="U396" s="6">
        <f t="shared" si="20"/>
        <v>0.66022455059404894</v>
      </c>
    </row>
    <row r="397" spans="1:21" x14ac:dyDescent="0.25">
      <c r="A397" t="s">
        <v>1568</v>
      </c>
      <c r="B397" t="s">
        <v>1569</v>
      </c>
      <c r="C397" t="s">
        <v>14</v>
      </c>
      <c r="D397">
        <v>385.9</v>
      </c>
      <c r="E397">
        <v>391.2</v>
      </c>
      <c r="F397">
        <v>375.6</v>
      </c>
      <c r="G397" s="3">
        <v>385.95</v>
      </c>
      <c r="H397">
        <v>385</v>
      </c>
      <c r="I397">
        <v>386.05</v>
      </c>
      <c r="J397">
        <v>486973</v>
      </c>
      <c r="K397">
        <v>187022354.15000001</v>
      </c>
      <c r="L397" s="1">
        <v>45240</v>
      </c>
      <c r="M397">
        <v>16320</v>
      </c>
      <c r="N397" t="s">
        <v>1570</v>
      </c>
      <c r="O397" s="5">
        <v>45240</v>
      </c>
      <c r="P397" s="5">
        <v>43777</v>
      </c>
      <c r="Q397" s="3">
        <v>177.95</v>
      </c>
      <c r="S397">
        <f t="shared" si="18"/>
        <v>1464</v>
      </c>
      <c r="T397">
        <f t="shared" si="19"/>
        <v>16.043835616438358</v>
      </c>
      <c r="U397" s="6">
        <f t="shared" si="20"/>
        <v>0.19775550935176955</v>
      </c>
    </row>
    <row r="398" spans="1:21" x14ac:dyDescent="0.25">
      <c r="A398" t="s">
        <v>1571</v>
      </c>
      <c r="B398" t="s">
        <v>1572</v>
      </c>
      <c r="C398" t="s">
        <v>14</v>
      </c>
      <c r="D398">
        <v>147.5</v>
      </c>
      <c r="E398">
        <v>150</v>
      </c>
      <c r="F398">
        <v>147.30000000000001</v>
      </c>
      <c r="G398" s="3">
        <v>149.85</v>
      </c>
      <c r="H398">
        <v>149.75</v>
      </c>
      <c r="I398">
        <v>147.55000000000001</v>
      </c>
      <c r="J398">
        <v>8015794</v>
      </c>
      <c r="K398">
        <v>1192698270.4000001</v>
      </c>
      <c r="L398" s="1">
        <v>45240</v>
      </c>
      <c r="M398">
        <v>39603</v>
      </c>
      <c r="N398" t="s">
        <v>1573</v>
      </c>
      <c r="O398" s="5">
        <v>45240</v>
      </c>
      <c r="P398" s="5">
        <v>43777</v>
      </c>
      <c r="Q398" s="3">
        <v>82.15</v>
      </c>
      <c r="S398">
        <f t="shared" si="18"/>
        <v>1464</v>
      </c>
      <c r="T398">
        <f t="shared" si="19"/>
        <v>16.043835616438358</v>
      </c>
      <c r="U398" s="6">
        <f t="shared" si="20"/>
        <v>0.15270410306697002</v>
      </c>
    </row>
    <row r="399" spans="1:21" x14ac:dyDescent="0.25">
      <c r="A399" t="s">
        <v>1574</v>
      </c>
      <c r="B399" t="s">
        <v>1575</v>
      </c>
      <c r="C399" t="s">
        <v>786</v>
      </c>
      <c r="D399">
        <v>0.8</v>
      </c>
      <c r="E399">
        <v>0.8</v>
      </c>
      <c r="F399">
        <v>0.75</v>
      </c>
      <c r="G399" s="3">
        <v>0.8</v>
      </c>
      <c r="H399">
        <v>0.8</v>
      </c>
      <c r="I399">
        <v>0.75</v>
      </c>
      <c r="J399">
        <v>194815</v>
      </c>
      <c r="K399">
        <v>151294.25</v>
      </c>
      <c r="L399" s="1">
        <v>45240</v>
      </c>
      <c r="M399">
        <v>103</v>
      </c>
      <c r="N399" t="s">
        <v>1576</v>
      </c>
      <c r="O399" s="5">
        <v>45240</v>
      </c>
      <c r="P399" s="5">
        <v>43777</v>
      </c>
      <c r="Q399" s="3">
        <v>24.9</v>
      </c>
      <c r="S399">
        <f t="shared" si="18"/>
        <v>1464</v>
      </c>
      <c r="T399">
        <f t="shared" si="19"/>
        <v>16.043835616438358</v>
      </c>
      <c r="U399" s="6">
        <f t="shared" si="20"/>
        <v>-0.77153838513753836</v>
      </c>
    </row>
    <row r="400" spans="1:21" x14ac:dyDescent="0.25">
      <c r="A400" t="s">
        <v>6695</v>
      </c>
      <c r="B400" t="s">
        <v>7798</v>
      </c>
      <c r="C400" t="s">
        <v>10</v>
      </c>
      <c r="D400">
        <v>5.25</v>
      </c>
      <c r="E400">
        <v>5.25</v>
      </c>
      <c r="F400">
        <v>5</v>
      </c>
      <c r="G400" s="3">
        <v>5.15</v>
      </c>
      <c r="H400">
        <v>5.15</v>
      </c>
      <c r="I400">
        <v>5</v>
      </c>
      <c r="J400">
        <v>9599</v>
      </c>
      <c r="K400">
        <v>49341.2</v>
      </c>
      <c r="L400" s="1">
        <v>45240</v>
      </c>
      <c r="M400">
        <v>52</v>
      </c>
      <c r="N400" t="s">
        <v>6694</v>
      </c>
      <c r="O400" s="5">
        <v>45240</v>
      </c>
      <c r="P400" s="5">
        <v>43777</v>
      </c>
      <c r="Q400" s="3">
        <v>23.55</v>
      </c>
      <c r="S400">
        <f t="shared" si="18"/>
        <v>1464</v>
      </c>
      <c r="T400">
        <f t="shared" si="19"/>
        <v>16.043835616438358</v>
      </c>
      <c r="U400" s="6">
        <f t="shared" si="20"/>
        <v>-0.36159326050386476</v>
      </c>
    </row>
    <row r="401" spans="1:21" x14ac:dyDescent="0.25">
      <c r="A401" t="s">
        <v>1580</v>
      </c>
      <c r="B401" t="s">
        <v>1581</v>
      </c>
      <c r="C401" t="s">
        <v>14</v>
      </c>
      <c r="D401">
        <v>1753.4</v>
      </c>
      <c r="E401">
        <v>1806</v>
      </c>
      <c r="F401">
        <v>1753.4</v>
      </c>
      <c r="G401" s="3">
        <v>1778.85</v>
      </c>
      <c r="H401">
        <v>1787.6</v>
      </c>
      <c r="I401">
        <v>1753.4</v>
      </c>
      <c r="J401">
        <v>24155</v>
      </c>
      <c r="K401">
        <v>43111347.5</v>
      </c>
      <c r="L401" s="1">
        <v>45240</v>
      </c>
      <c r="M401">
        <v>4953</v>
      </c>
      <c r="N401" t="s">
        <v>1582</v>
      </c>
      <c r="O401" s="5">
        <v>45240</v>
      </c>
      <c r="P401" s="5">
        <v>43777</v>
      </c>
      <c r="Q401" s="3">
        <v>370.15</v>
      </c>
      <c r="S401">
        <f t="shared" si="18"/>
        <v>1464</v>
      </c>
      <c r="T401">
        <f t="shared" si="19"/>
        <v>16.043835616438358</v>
      </c>
      <c r="U401" s="6">
        <f t="shared" si="20"/>
        <v>0.4111687153610557</v>
      </c>
    </row>
    <row r="402" spans="1:21" x14ac:dyDescent="0.25">
      <c r="A402" t="s">
        <v>1583</v>
      </c>
      <c r="B402" t="s">
        <v>1584</v>
      </c>
      <c r="C402" t="s">
        <v>14</v>
      </c>
      <c r="D402">
        <v>47</v>
      </c>
      <c r="E402">
        <v>48.2</v>
      </c>
      <c r="F402">
        <v>47</v>
      </c>
      <c r="G402" s="3">
        <v>47.7</v>
      </c>
      <c r="H402">
        <v>47.5</v>
      </c>
      <c r="I402">
        <v>47.4</v>
      </c>
      <c r="J402">
        <v>444427</v>
      </c>
      <c r="K402">
        <v>21221528.100000001</v>
      </c>
      <c r="L402" s="1">
        <v>45240</v>
      </c>
      <c r="M402">
        <v>2036</v>
      </c>
      <c r="N402" t="s">
        <v>1585</v>
      </c>
      <c r="O402" s="5">
        <v>45240</v>
      </c>
      <c r="P402" s="5">
        <v>43777</v>
      </c>
      <c r="Q402" s="3">
        <v>39.15</v>
      </c>
      <c r="S402">
        <f t="shared" si="18"/>
        <v>1464</v>
      </c>
      <c r="T402">
        <f t="shared" si="19"/>
        <v>16.043835616438358</v>
      </c>
      <c r="U402" s="6">
        <f t="shared" si="20"/>
        <v>4.9552234823841523E-2</v>
      </c>
    </row>
    <row r="403" spans="1:21" x14ac:dyDescent="0.25">
      <c r="A403" t="s">
        <v>1586</v>
      </c>
      <c r="B403" t="s">
        <v>1587</v>
      </c>
      <c r="C403" t="s">
        <v>14</v>
      </c>
      <c r="D403">
        <v>938</v>
      </c>
      <c r="E403">
        <v>940.1</v>
      </c>
      <c r="F403">
        <v>917.55</v>
      </c>
      <c r="G403" s="3">
        <v>933.9</v>
      </c>
      <c r="H403">
        <v>931.95</v>
      </c>
      <c r="I403">
        <v>940.1</v>
      </c>
      <c r="J403">
        <v>550951</v>
      </c>
      <c r="K403">
        <v>511791917.94999999</v>
      </c>
      <c r="L403" s="1">
        <v>45240</v>
      </c>
      <c r="M403">
        <v>24244</v>
      </c>
      <c r="N403" t="s">
        <v>1588</v>
      </c>
      <c r="O403" s="5">
        <v>45240</v>
      </c>
      <c r="P403" s="5">
        <v>43777</v>
      </c>
      <c r="Q403" s="3">
        <v>371.05</v>
      </c>
      <c r="S403">
        <f t="shared" si="18"/>
        <v>1464</v>
      </c>
      <c r="T403">
        <f t="shared" si="19"/>
        <v>16.043835616438358</v>
      </c>
      <c r="U403" s="6">
        <f t="shared" si="20"/>
        <v>0.23687628841615371</v>
      </c>
    </row>
    <row r="404" spans="1:21" x14ac:dyDescent="0.25">
      <c r="A404" t="s">
        <v>1589</v>
      </c>
      <c r="B404" t="s">
        <v>1590</v>
      </c>
      <c r="C404" t="s">
        <v>14</v>
      </c>
      <c r="D404">
        <v>4238.1000000000004</v>
      </c>
      <c r="E404">
        <v>4254.95</v>
      </c>
      <c r="F404">
        <v>4218.25</v>
      </c>
      <c r="G404" s="3">
        <v>4224.45</v>
      </c>
      <c r="H404">
        <v>4236</v>
      </c>
      <c r="I404">
        <v>4238.05</v>
      </c>
      <c r="J404">
        <v>15292</v>
      </c>
      <c r="K404">
        <v>64685123.649999999</v>
      </c>
      <c r="L404" s="1">
        <v>45240</v>
      </c>
      <c r="M404">
        <v>4630</v>
      </c>
      <c r="N404" t="s">
        <v>1591</v>
      </c>
      <c r="O404" s="5">
        <v>45240</v>
      </c>
      <c r="P404" s="5">
        <v>43777</v>
      </c>
      <c r="Q404" s="3">
        <v>1893.85</v>
      </c>
      <c r="S404">
        <f t="shared" si="18"/>
        <v>1464</v>
      </c>
      <c r="T404">
        <f t="shared" si="19"/>
        <v>16.043835616438358</v>
      </c>
      <c r="U404" s="6">
        <f t="shared" si="20"/>
        <v>0.20510679504473117</v>
      </c>
    </row>
    <row r="405" spans="1:21" x14ac:dyDescent="0.25">
      <c r="A405" t="s">
        <v>1595</v>
      </c>
      <c r="B405" t="s">
        <v>1596</v>
      </c>
      <c r="C405" t="s">
        <v>14</v>
      </c>
      <c r="D405">
        <v>191</v>
      </c>
      <c r="E405">
        <v>191.1</v>
      </c>
      <c r="F405">
        <v>188.8</v>
      </c>
      <c r="G405" s="3">
        <v>189.8</v>
      </c>
      <c r="H405">
        <v>191</v>
      </c>
      <c r="I405">
        <v>191.05</v>
      </c>
      <c r="J405">
        <v>260087</v>
      </c>
      <c r="K405">
        <v>49383556.25</v>
      </c>
      <c r="L405" s="1">
        <v>45240</v>
      </c>
      <c r="M405">
        <v>8538</v>
      </c>
      <c r="N405" t="s">
        <v>1597</v>
      </c>
      <c r="O405" s="5">
        <v>45240</v>
      </c>
      <c r="P405" s="5">
        <v>43777</v>
      </c>
      <c r="Q405" s="3">
        <v>592.15</v>
      </c>
      <c r="S405">
        <f t="shared" si="18"/>
        <v>1464</v>
      </c>
      <c r="T405">
        <f t="shared" si="19"/>
        <v>16.043835616438358</v>
      </c>
      <c r="U405" s="6">
        <f t="shared" si="20"/>
        <v>-0.2738451252581986</v>
      </c>
    </row>
    <row r="406" spans="1:21" x14ac:dyDescent="0.25">
      <c r="A406" t="s">
        <v>1601</v>
      </c>
      <c r="B406" t="s">
        <v>1602</v>
      </c>
      <c r="C406" t="s">
        <v>10</v>
      </c>
      <c r="D406">
        <v>40.5</v>
      </c>
      <c r="E406">
        <v>41.6</v>
      </c>
      <c r="F406">
        <v>40.5</v>
      </c>
      <c r="G406" s="3">
        <v>41.6</v>
      </c>
      <c r="H406">
        <v>41.6</v>
      </c>
      <c r="I406">
        <v>40.799999999999997</v>
      </c>
      <c r="J406">
        <v>674</v>
      </c>
      <c r="K406">
        <v>27301.4</v>
      </c>
      <c r="L406" s="1">
        <v>45240</v>
      </c>
      <c r="M406">
        <v>7</v>
      </c>
      <c r="N406" t="s">
        <v>1603</v>
      </c>
      <c r="O406" s="5">
        <v>45240</v>
      </c>
      <c r="P406" s="5">
        <v>43777</v>
      </c>
      <c r="Q406" s="3">
        <v>4.0999999999999996</v>
      </c>
      <c r="S406">
        <f t="shared" si="18"/>
        <v>1464</v>
      </c>
      <c r="T406">
        <f t="shared" si="19"/>
        <v>16.043835616438358</v>
      </c>
      <c r="U406" s="6">
        <f t="shared" si="20"/>
        <v>0.62149503695855568</v>
      </c>
    </row>
    <row r="407" spans="1:21" x14ac:dyDescent="0.25">
      <c r="A407" t="s">
        <v>1604</v>
      </c>
      <c r="B407" t="s">
        <v>1605</v>
      </c>
      <c r="C407" t="s">
        <v>786</v>
      </c>
      <c r="D407">
        <v>3.05</v>
      </c>
      <c r="E407">
        <v>3.1</v>
      </c>
      <c r="F407">
        <v>3</v>
      </c>
      <c r="G407" s="3">
        <v>3.1</v>
      </c>
      <c r="H407">
        <v>3.1</v>
      </c>
      <c r="I407">
        <v>3.05</v>
      </c>
      <c r="J407">
        <v>19716</v>
      </c>
      <c r="K407">
        <v>60099.75</v>
      </c>
      <c r="L407" s="1">
        <v>45240</v>
      </c>
      <c r="M407">
        <v>58</v>
      </c>
      <c r="N407" t="s">
        <v>1606</v>
      </c>
      <c r="O407" s="5">
        <v>45240</v>
      </c>
      <c r="P407" s="5">
        <v>43777</v>
      </c>
      <c r="Q407" s="3">
        <v>396</v>
      </c>
      <c r="S407">
        <f t="shared" si="18"/>
        <v>1464</v>
      </c>
      <c r="T407">
        <f t="shared" si="19"/>
        <v>16.043835616438358</v>
      </c>
      <c r="U407" s="6">
        <f t="shared" si="20"/>
        <v>-1.0435275513335172</v>
      </c>
    </row>
    <row r="408" spans="1:21" x14ac:dyDescent="0.25">
      <c r="A408" t="s">
        <v>1607</v>
      </c>
      <c r="B408" t="s">
        <v>1608</v>
      </c>
      <c r="C408" t="s">
        <v>14</v>
      </c>
      <c r="D408">
        <v>2750.25</v>
      </c>
      <c r="E408">
        <v>2785</v>
      </c>
      <c r="F408">
        <v>2715.05</v>
      </c>
      <c r="G408" s="3">
        <v>2775.05</v>
      </c>
      <c r="H408">
        <v>2762.05</v>
      </c>
      <c r="I408">
        <v>2750.25</v>
      </c>
      <c r="J408">
        <v>79603</v>
      </c>
      <c r="K408">
        <v>219086201.34999999</v>
      </c>
      <c r="L408" s="1">
        <v>45240</v>
      </c>
      <c r="M408">
        <v>9150</v>
      </c>
      <c r="N408" t="s">
        <v>1609</v>
      </c>
      <c r="O408" s="5">
        <v>45240</v>
      </c>
      <c r="P408" s="5">
        <v>43777</v>
      </c>
      <c r="Q408" s="3">
        <v>616.9</v>
      </c>
      <c r="S408">
        <f t="shared" si="18"/>
        <v>1464</v>
      </c>
      <c r="T408">
        <f t="shared" si="19"/>
        <v>16.043835616438358</v>
      </c>
      <c r="U408" s="6">
        <f t="shared" si="20"/>
        <v>0.39303309291009825</v>
      </c>
    </row>
    <row r="409" spans="1:21" x14ac:dyDescent="0.25">
      <c r="A409" t="s">
        <v>1610</v>
      </c>
      <c r="B409" t="s">
        <v>1611</v>
      </c>
      <c r="C409" t="s">
        <v>14</v>
      </c>
      <c r="D409">
        <v>360</v>
      </c>
      <c r="E409">
        <v>361.1</v>
      </c>
      <c r="F409">
        <v>353.25</v>
      </c>
      <c r="G409" s="3">
        <v>357.1</v>
      </c>
      <c r="H409">
        <v>358.6</v>
      </c>
      <c r="I409">
        <v>357.55</v>
      </c>
      <c r="J409">
        <v>64007</v>
      </c>
      <c r="K409">
        <v>22837167.899999999</v>
      </c>
      <c r="L409" s="1">
        <v>45240</v>
      </c>
      <c r="M409">
        <v>2840</v>
      </c>
      <c r="N409" t="s">
        <v>1612</v>
      </c>
      <c r="O409" s="5">
        <v>45240</v>
      </c>
      <c r="P409" s="5">
        <v>43777</v>
      </c>
      <c r="Q409" s="3">
        <v>594.1</v>
      </c>
      <c r="S409">
        <f t="shared" si="18"/>
        <v>1464</v>
      </c>
      <c r="T409">
        <f t="shared" si="19"/>
        <v>16.043835616438358</v>
      </c>
      <c r="U409" s="6">
        <f t="shared" si="20"/>
        <v>-0.12491809869857429</v>
      </c>
    </row>
    <row r="410" spans="1:21" x14ac:dyDescent="0.25">
      <c r="A410" t="s">
        <v>1613</v>
      </c>
      <c r="B410" t="s">
        <v>1614</v>
      </c>
      <c r="C410" t="s">
        <v>10</v>
      </c>
      <c r="D410">
        <v>5.4</v>
      </c>
      <c r="E410">
        <v>5.75</v>
      </c>
      <c r="F410">
        <v>5.4</v>
      </c>
      <c r="G410" s="3">
        <v>5.6</v>
      </c>
      <c r="H410">
        <v>5.6</v>
      </c>
      <c r="I410">
        <v>5.55</v>
      </c>
      <c r="J410">
        <v>28965</v>
      </c>
      <c r="K410">
        <v>158732.65</v>
      </c>
      <c r="L410" s="1">
        <v>45240</v>
      </c>
      <c r="M410">
        <v>87</v>
      </c>
      <c r="N410" t="s">
        <v>1615</v>
      </c>
      <c r="O410" s="5">
        <v>45240</v>
      </c>
      <c r="P410" s="5">
        <v>43777</v>
      </c>
      <c r="Q410" s="3">
        <v>32.549999999999997</v>
      </c>
      <c r="S410">
        <f t="shared" si="18"/>
        <v>1464</v>
      </c>
      <c r="T410">
        <f t="shared" si="19"/>
        <v>16.043835616438358</v>
      </c>
      <c r="U410" s="6">
        <f t="shared" si="20"/>
        <v>-0.41558874425929071</v>
      </c>
    </row>
    <row r="411" spans="1:21" x14ac:dyDescent="0.25">
      <c r="A411" t="s">
        <v>1622</v>
      </c>
      <c r="B411" t="s">
        <v>1623</v>
      </c>
      <c r="C411" t="s">
        <v>14</v>
      </c>
      <c r="D411">
        <v>343.5</v>
      </c>
      <c r="E411">
        <v>366</v>
      </c>
      <c r="F411">
        <v>341.05</v>
      </c>
      <c r="G411" s="3">
        <v>359.4</v>
      </c>
      <c r="H411">
        <v>361.9</v>
      </c>
      <c r="I411">
        <v>342.2</v>
      </c>
      <c r="J411">
        <v>3712746</v>
      </c>
      <c r="K411">
        <v>1313493550</v>
      </c>
      <c r="L411" s="1">
        <v>45240</v>
      </c>
      <c r="M411">
        <v>41078</v>
      </c>
      <c r="N411" t="s">
        <v>1624</v>
      </c>
      <c r="O411" s="5">
        <v>45240</v>
      </c>
      <c r="P411" s="5">
        <v>43777</v>
      </c>
      <c r="Q411" s="3">
        <v>152.05000000000001</v>
      </c>
      <c r="S411">
        <f t="shared" si="18"/>
        <v>1464</v>
      </c>
      <c r="T411">
        <f t="shared" si="19"/>
        <v>16.043835616438358</v>
      </c>
      <c r="U411" s="6">
        <f t="shared" si="20"/>
        <v>0.22032282746787324</v>
      </c>
    </row>
    <row r="412" spans="1:21" x14ac:dyDescent="0.25">
      <c r="A412" t="s">
        <v>1625</v>
      </c>
      <c r="B412" t="s">
        <v>1626</v>
      </c>
      <c r="C412" t="s">
        <v>14</v>
      </c>
      <c r="D412">
        <v>3525.15</v>
      </c>
      <c r="E412">
        <v>3700</v>
      </c>
      <c r="F412">
        <v>3525.15</v>
      </c>
      <c r="G412" s="3">
        <v>3663.35</v>
      </c>
      <c r="H412">
        <v>3650</v>
      </c>
      <c r="I412">
        <v>3572.9</v>
      </c>
      <c r="J412">
        <v>8381</v>
      </c>
      <c r="K412">
        <v>30562155.25</v>
      </c>
      <c r="L412" s="1">
        <v>45240</v>
      </c>
      <c r="M412">
        <v>1921</v>
      </c>
      <c r="N412" t="s">
        <v>1627</v>
      </c>
      <c r="O412" s="5">
        <v>45240</v>
      </c>
      <c r="P412" s="5">
        <v>43777</v>
      </c>
      <c r="Q412" s="3">
        <v>1369.45</v>
      </c>
      <c r="S412">
        <f t="shared" si="18"/>
        <v>1464</v>
      </c>
      <c r="T412">
        <f t="shared" si="19"/>
        <v>16.043835616438358</v>
      </c>
      <c r="U412" s="6">
        <f t="shared" si="20"/>
        <v>0.25299901864598429</v>
      </c>
    </row>
    <row r="413" spans="1:21" x14ac:dyDescent="0.25">
      <c r="A413" t="s">
        <v>1628</v>
      </c>
      <c r="B413" t="s">
        <v>1629</v>
      </c>
      <c r="C413" t="s">
        <v>786</v>
      </c>
      <c r="D413">
        <v>3.05</v>
      </c>
      <c r="E413">
        <v>3.1</v>
      </c>
      <c r="F413">
        <v>3</v>
      </c>
      <c r="G413" s="3">
        <v>3</v>
      </c>
      <c r="H413">
        <v>3.05</v>
      </c>
      <c r="I413">
        <v>3</v>
      </c>
      <c r="J413">
        <v>228862</v>
      </c>
      <c r="K413">
        <v>689985.45</v>
      </c>
      <c r="L413" s="1">
        <v>45240</v>
      </c>
      <c r="M413">
        <v>224</v>
      </c>
      <c r="N413" t="s">
        <v>1630</v>
      </c>
      <c r="O413" s="5">
        <v>45240</v>
      </c>
      <c r="P413" s="5">
        <v>43777</v>
      </c>
      <c r="Q413" s="3">
        <v>359.5</v>
      </c>
      <c r="S413">
        <f t="shared" si="18"/>
        <v>1464</v>
      </c>
      <c r="T413">
        <f t="shared" si="19"/>
        <v>16.043835616438358</v>
      </c>
      <c r="U413" s="6">
        <f t="shared" si="20"/>
        <v>-1.0317270305683723</v>
      </c>
    </row>
    <row r="414" spans="1:21" x14ac:dyDescent="0.25">
      <c r="A414" t="s">
        <v>1631</v>
      </c>
      <c r="B414" t="s">
        <v>1632</v>
      </c>
      <c r="C414" t="s">
        <v>786</v>
      </c>
      <c r="D414">
        <v>9.9</v>
      </c>
      <c r="E414">
        <v>10.35</v>
      </c>
      <c r="F414">
        <v>9.75</v>
      </c>
      <c r="G414" s="3">
        <v>10.199999999999999</v>
      </c>
      <c r="H414">
        <v>10.35</v>
      </c>
      <c r="I414">
        <v>9.9</v>
      </c>
      <c r="J414">
        <v>16299</v>
      </c>
      <c r="K414">
        <v>164388.85</v>
      </c>
      <c r="L414" s="1">
        <v>45240</v>
      </c>
      <c r="M414">
        <v>74</v>
      </c>
      <c r="N414" t="s">
        <v>1633</v>
      </c>
      <c r="O414" s="5">
        <v>45240</v>
      </c>
      <c r="P414" s="5">
        <v>43777</v>
      </c>
      <c r="Q414" s="3">
        <v>480.35</v>
      </c>
      <c r="S414">
        <f t="shared" si="18"/>
        <v>1464</v>
      </c>
      <c r="T414">
        <f t="shared" si="19"/>
        <v>16.043835616438358</v>
      </c>
      <c r="U414" s="6">
        <f t="shared" si="20"/>
        <v>-0.85380365258104662</v>
      </c>
    </row>
    <row r="415" spans="1:21" x14ac:dyDescent="0.25">
      <c r="A415" t="s">
        <v>1634</v>
      </c>
      <c r="B415" t="s">
        <v>1635</v>
      </c>
      <c r="C415" t="s">
        <v>14</v>
      </c>
      <c r="D415">
        <v>161</v>
      </c>
      <c r="E415">
        <v>161.25</v>
      </c>
      <c r="F415">
        <v>157</v>
      </c>
      <c r="G415" s="3">
        <v>158</v>
      </c>
      <c r="H415">
        <v>157.65</v>
      </c>
      <c r="I415">
        <v>161.15</v>
      </c>
      <c r="J415">
        <v>1776915</v>
      </c>
      <c r="K415">
        <v>284026170.5</v>
      </c>
      <c r="L415" s="1">
        <v>45240</v>
      </c>
      <c r="M415">
        <v>12251</v>
      </c>
      <c r="N415" t="s">
        <v>1636</v>
      </c>
      <c r="O415" s="5">
        <v>45240</v>
      </c>
      <c r="P415" s="5">
        <v>43777</v>
      </c>
      <c r="Q415" s="3">
        <v>45.1</v>
      </c>
      <c r="S415">
        <f t="shared" si="18"/>
        <v>1464</v>
      </c>
      <c r="T415">
        <f t="shared" si="19"/>
        <v>16.043835616438358</v>
      </c>
      <c r="U415" s="6">
        <f t="shared" si="20"/>
        <v>0.3251089031203005</v>
      </c>
    </row>
    <row r="416" spans="1:21" x14ac:dyDescent="0.25">
      <c r="A416" t="s">
        <v>1640</v>
      </c>
      <c r="B416" t="s">
        <v>1641</v>
      </c>
      <c r="C416" t="s">
        <v>14</v>
      </c>
      <c r="D416">
        <v>367.7</v>
      </c>
      <c r="E416">
        <v>369.95</v>
      </c>
      <c r="F416">
        <v>357.05</v>
      </c>
      <c r="G416" s="3">
        <v>361.85</v>
      </c>
      <c r="H416">
        <v>363.4</v>
      </c>
      <c r="I416">
        <v>365.55</v>
      </c>
      <c r="J416">
        <v>614155</v>
      </c>
      <c r="K416">
        <v>222283083.59999999</v>
      </c>
      <c r="L416" s="1">
        <v>45240</v>
      </c>
      <c r="M416">
        <v>17247</v>
      </c>
      <c r="N416" t="s">
        <v>1642</v>
      </c>
      <c r="O416" s="5">
        <v>45240</v>
      </c>
      <c r="P416" s="5">
        <v>43777</v>
      </c>
      <c r="Q416" s="3">
        <v>117.5</v>
      </c>
      <c r="S416">
        <f t="shared" si="18"/>
        <v>1464</v>
      </c>
      <c r="T416">
        <f t="shared" si="19"/>
        <v>16.043835616438358</v>
      </c>
      <c r="U416" s="6">
        <f t="shared" si="20"/>
        <v>0.29049345291205508</v>
      </c>
    </row>
    <row r="417" spans="1:21" x14ac:dyDescent="0.25">
      <c r="A417" t="s">
        <v>1643</v>
      </c>
      <c r="B417" t="s">
        <v>1644</v>
      </c>
      <c r="C417" t="s">
        <v>14</v>
      </c>
      <c r="D417">
        <v>338.85</v>
      </c>
      <c r="E417">
        <v>346.45</v>
      </c>
      <c r="F417">
        <v>335.5</v>
      </c>
      <c r="G417" s="3">
        <v>339.7</v>
      </c>
      <c r="H417">
        <v>338.4</v>
      </c>
      <c r="I417">
        <v>339.45</v>
      </c>
      <c r="J417">
        <v>242990</v>
      </c>
      <c r="K417">
        <v>83035423.200000003</v>
      </c>
      <c r="L417" s="1">
        <v>45240</v>
      </c>
      <c r="M417">
        <v>12453</v>
      </c>
      <c r="N417" t="s">
        <v>1645</v>
      </c>
      <c r="O417" s="5">
        <v>45240</v>
      </c>
      <c r="P417" s="5">
        <v>43777</v>
      </c>
      <c r="Q417" s="3">
        <v>130.35</v>
      </c>
      <c r="S417">
        <f t="shared" si="18"/>
        <v>1464</v>
      </c>
      <c r="T417">
        <f t="shared" si="19"/>
        <v>16.043835616438358</v>
      </c>
      <c r="U417" s="6">
        <f t="shared" si="20"/>
        <v>0.24607819392882924</v>
      </c>
    </row>
    <row r="418" spans="1:21" x14ac:dyDescent="0.25">
      <c r="A418" t="s">
        <v>1646</v>
      </c>
      <c r="B418" t="s">
        <v>1647</v>
      </c>
      <c r="C418" t="s">
        <v>14</v>
      </c>
      <c r="D418">
        <v>123.9</v>
      </c>
      <c r="E418">
        <v>125.9</v>
      </c>
      <c r="F418">
        <v>123.2</v>
      </c>
      <c r="G418" s="3">
        <v>125.6</v>
      </c>
      <c r="H418">
        <v>125.6</v>
      </c>
      <c r="I418">
        <v>124.15</v>
      </c>
      <c r="J418">
        <v>6880677</v>
      </c>
      <c r="K418">
        <v>861523820.14999998</v>
      </c>
      <c r="L418" s="1">
        <v>45240</v>
      </c>
      <c r="M418">
        <v>29065</v>
      </c>
      <c r="N418" t="s">
        <v>1648</v>
      </c>
      <c r="O418" s="5">
        <v>45240</v>
      </c>
      <c r="P418" s="5">
        <v>43777</v>
      </c>
      <c r="Q418" s="3">
        <v>127.05</v>
      </c>
      <c r="S418">
        <f t="shared" si="18"/>
        <v>1464</v>
      </c>
      <c r="T418">
        <f t="shared" si="19"/>
        <v>16.043835616438358</v>
      </c>
      <c r="U418" s="6">
        <f t="shared" si="20"/>
        <v>-2.8607499834700789E-3</v>
      </c>
    </row>
    <row r="419" spans="1:21" x14ac:dyDescent="0.25">
      <c r="A419" t="s">
        <v>1649</v>
      </c>
      <c r="B419" t="s">
        <v>1650</v>
      </c>
      <c r="C419" t="s">
        <v>14</v>
      </c>
      <c r="D419">
        <v>2849.35</v>
      </c>
      <c r="E419">
        <v>2974</v>
      </c>
      <c r="F419">
        <v>2845.05</v>
      </c>
      <c r="G419" s="3">
        <v>2952.5</v>
      </c>
      <c r="H419">
        <v>2935</v>
      </c>
      <c r="I419">
        <v>2844.7</v>
      </c>
      <c r="J419">
        <v>43480</v>
      </c>
      <c r="K419">
        <v>127383169.59999999</v>
      </c>
      <c r="L419" s="1">
        <v>45240</v>
      </c>
      <c r="M419">
        <v>6192</v>
      </c>
      <c r="N419" t="s">
        <v>1651</v>
      </c>
      <c r="O419" s="5">
        <v>45240</v>
      </c>
      <c r="P419" s="5">
        <v>43777</v>
      </c>
      <c r="Q419" s="3">
        <v>1567.75</v>
      </c>
      <c r="S419">
        <f t="shared" si="18"/>
        <v>1464</v>
      </c>
      <c r="T419">
        <f t="shared" si="19"/>
        <v>16.043835616438358</v>
      </c>
      <c r="U419" s="6">
        <f t="shared" si="20"/>
        <v>0.16097507538624001</v>
      </c>
    </row>
    <row r="420" spans="1:21" x14ac:dyDescent="0.25">
      <c r="A420" t="s">
        <v>1652</v>
      </c>
      <c r="B420" t="s">
        <v>1653</v>
      </c>
      <c r="C420" t="s">
        <v>14</v>
      </c>
      <c r="D420">
        <v>95.25</v>
      </c>
      <c r="E420">
        <v>96.8</v>
      </c>
      <c r="F420">
        <v>93.7</v>
      </c>
      <c r="G420" s="3">
        <v>95.1</v>
      </c>
      <c r="H420">
        <v>95</v>
      </c>
      <c r="I420">
        <v>95.25</v>
      </c>
      <c r="J420">
        <v>171556</v>
      </c>
      <c r="K420">
        <v>16326402.25</v>
      </c>
      <c r="L420" s="1">
        <v>45240</v>
      </c>
      <c r="M420">
        <v>1603</v>
      </c>
      <c r="N420" t="s">
        <v>1654</v>
      </c>
      <c r="O420" s="5">
        <v>45240</v>
      </c>
      <c r="P420" s="5">
        <v>43777</v>
      </c>
      <c r="Q420" s="3">
        <v>26.1</v>
      </c>
      <c r="S420">
        <f t="shared" si="18"/>
        <v>1464</v>
      </c>
      <c r="T420">
        <f t="shared" si="19"/>
        <v>16.043835616438358</v>
      </c>
      <c r="U420" s="6">
        <f t="shared" si="20"/>
        <v>0.3357112421490811</v>
      </c>
    </row>
    <row r="421" spans="1:21" x14ac:dyDescent="0.25">
      <c r="A421" t="s">
        <v>1655</v>
      </c>
      <c r="B421" t="s">
        <v>1656</v>
      </c>
      <c r="C421" t="s">
        <v>14</v>
      </c>
      <c r="D421">
        <v>682.8</v>
      </c>
      <c r="E421">
        <v>700.1</v>
      </c>
      <c r="F421">
        <v>680</v>
      </c>
      <c r="G421" s="3">
        <v>690.9</v>
      </c>
      <c r="H421">
        <v>686</v>
      </c>
      <c r="I421">
        <v>681.85</v>
      </c>
      <c r="J421">
        <v>9957</v>
      </c>
      <c r="K421">
        <v>6893143.5499999998</v>
      </c>
      <c r="L421" s="1">
        <v>45240</v>
      </c>
      <c r="M421">
        <v>994</v>
      </c>
      <c r="N421" t="s">
        <v>1657</v>
      </c>
      <c r="O421" s="5">
        <v>45240</v>
      </c>
      <c r="P421" s="5">
        <v>43777</v>
      </c>
      <c r="Q421" s="3">
        <v>295.14999999999998</v>
      </c>
      <c r="S421">
        <f t="shared" si="18"/>
        <v>1464</v>
      </c>
      <c r="T421">
        <f t="shared" si="19"/>
        <v>16.043835616438358</v>
      </c>
      <c r="U421" s="6">
        <f t="shared" si="20"/>
        <v>0.21776803145774615</v>
      </c>
    </row>
    <row r="422" spans="1:21" x14ac:dyDescent="0.25">
      <c r="A422" t="s">
        <v>1658</v>
      </c>
      <c r="B422" t="s">
        <v>1659</v>
      </c>
      <c r="C422" t="s">
        <v>14</v>
      </c>
      <c r="D422">
        <v>832.45</v>
      </c>
      <c r="E422">
        <v>863.3</v>
      </c>
      <c r="F422">
        <v>823.45</v>
      </c>
      <c r="G422" s="3">
        <v>852.65</v>
      </c>
      <c r="H422">
        <v>850</v>
      </c>
      <c r="I422">
        <v>828.35</v>
      </c>
      <c r="J422">
        <v>56570</v>
      </c>
      <c r="K422">
        <v>48054623.75</v>
      </c>
      <c r="L422" s="1">
        <v>45240</v>
      </c>
      <c r="M422">
        <v>7577</v>
      </c>
      <c r="N422" t="s">
        <v>1660</v>
      </c>
      <c r="O422" s="5">
        <v>45240</v>
      </c>
      <c r="P422" s="5">
        <v>43777</v>
      </c>
      <c r="Q422" s="3">
        <v>267.25</v>
      </c>
      <c r="S422">
        <f t="shared" si="18"/>
        <v>1464</v>
      </c>
      <c r="T422">
        <f t="shared" si="19"/>
        <v>16.043835616438358</v>
      </c>
      <c r="U422" s="6">
        <f t="shared" si="20"/>
        <v>0.2999634939489777</v>
      </c>
    </row>
    <row r="423" spans="1:21" x14ac:dyDescent="0.25">
      <c r="A423" t="s">
        <v>1664</v>
      </c>
      <c r="B423" t="s">
        <v>1665</v>
      </c>
      <c r="C423" t="s">
        <v>14</v>
      </c>
      <c r="D423">
        <v>369.55</v>
      </c>
      <c r="E423">
        <v>376.55</v>
      </c>
      <c r="F423">
        <v>362.6</v>
      </c>
      <c r="G423" s="3">
        <v>364.15</v>
      </c>
      <c r="H423">
        <v>365.9</v>
      </c>
      <c r="I423">
        <v>372.8</v>
      </c>
      <c r="J423">
        <v>77869</v>
      </c>
      <c r="K423">
        <v>28659320.449999999</v>
      </c>
      <c r="L423" s="1">
        <v>45240</v>
      </c>
      <c r="M423">
        <v>2848</v>
      </c>
      <c r="N423" t="s">
        <v>1666</v>
      </c>
      <c r="O423" s="5">
        <v>45240</v>
      </c>
      <c r="P423" s="5">
        <v>43777</v>
      </c>
      <c r="Q423" s="3">
        <v>35.049999999999997</v>
      </c>
      <c r="S423">
        <f t="shared" si="18"/>
        <v>1464</v>
      </c>
      <c r="T423">
        <f t="shared" si="19"/>
        <v>16.043835616438358</v>
      </c>
      <c r="U423" s="6">
        <f t="shared" si="20"/>
        <v>0.62832035083475368</v>
      </c>
    </row>
    <row r="424" spans="1:21" x14ac:dyDescent="0.25">
      <c r="A424" t="s">
        <v>1670</v>
      </c>
      <c r="B424" t="s">
        <v>1671</v>
      </c>
      <c r="C424" t="s">
        <v>14</v>
      </c>
      <c r="D424">
        <v>119.55</v>
      </c>
      <c r="E424">
        <v>121.8</v>
      </c>
      <c r="F424">
        <v>119.5</v>
      </c>
      <c r="G424" s="3">
        <v>120.45</v>
      </c>
      <c r="H424">
        <v>120.5</v>
      </c>
      <c r="I424">
        <v>121.3</v>
      </c>
      <c r="J424">
        <v>16258</v>
      </c>
      <c r="K424">
        <v>1952324.2</v>
      </c>
      <c r="L424" s="1">
        <v>45240</v>
      </c>
      <c r="M424">
        <v>100</v>
      </c>
      <c r="N424" t="s">
        <v>1672</v>
      </c>
      <c r="O424" s="5">
        <v>45240</v>
      </c>
      <c r="P424" s="5">
        <v>43777</v>
      </c>
      <c r="Q424" s="3">
        <v>40.15</v>
      </c>
      <c r="S424">
        <f t="shared" si="18"/>
        <v>1464</v>
      </c>
      <c r="T424">
        <f t="shared" si="19"/>
        <v>16.043835616438358</v>
      </c>
      <c r="U424" s="6">
        <f t="shared" si="20"/>
        <v>0.28349825311278742</v>
      </c>
    </row>
    <row r="425" spans="1:21" x14ac:dyDescent="0.25">
      <c r="A425" t="s">
        <v>1673</v>
      </c>
      <c r="B425" t="s">
        <v>1674</v>
      </c>
      <c r="C425" t="s">
        <v>14</v>
      </c>
      <c r="D425">
        <v>3139.25</v>
      </c>
      <c r="E425">
        <v>3162.2</v>
      </c>
      <c r="F425">
        <v>3105.9</v>
      </c>
      <c r="G425" s="3">
        <v>3121.2</v>
      </c>
      <c r="H425">
        <v>3106</v>
      </c>
      <c r="I425">
        <v>3139.25</v>
      </c>
      <c r="J425">
        <v>7246</v>
      </c>
      <c r="K425">
        <v>22742259.75</v>
      </c>
      <c r="L425" s="1">
        <v>45240</v>
      </c>
      <c r="M425">
        <v>1662</v>
      </c>
      <c r="N425" t="s">
        <v>1675</v>
      </c>
      <c r="O425" s="5">
        <v>45240</v>
      </c>
      <c r="P425" s="5">
        <v>43777</v>
      </c>
      <c r="Q425" s="3">
        <v>1200.75</v>
      </c>
      <c r="S425">
        <f t="shared" si="18"/>
        <v>1464</v>
      </c>
      <c r="T425">
        <f t="shared" si="19"/>
        <v>16.043835616438358</v>
      </c>
      <c r="U425" s="6">
        <f t="shared" si="20"/>
        <v>0.24539846842274926</v>
      </c>
    </row>
    <row r="426" spans="1:21" x14ac:dyDescent="0.25">
      <c r="A426" t="s">
        <v>1682</v>
      </c>
      <c r="B426" t="s">
        <v>1683</v>
      </c>
      <c r="C426" t="s">
        <v>14</v>
      </c>
      <c r="D426">
        <v>136.05000000000001</v>
      </c>
      <c r="E426">
        <v>136.1</v>
      </c>
      <c r="F426">
        <v>133.19999999999999</v>
      </c>
      <c r="G426" s="3">
        <v>134.94999999999999</v>
      </c>
      <c r="H426">
        <v>135</v>
      </c>
      <c r="I426">
        <v>136</v>
      </c>
      <c r="J426">
        <v>256576</v>
      </c>
      <c r="K426">
        <v>34611750</v>
      </c>
      <c r="L426" s="1">
        <v>45240</v>
      </c>
      <c r="M426">
        <v>3431</v>
      </c>
      <c r="N426" t="s">
        <v>1684</v>
      </c>
      <c r="O426" s="5">
        <v>45240</v>
      </c>
      <c r="P426" s="5">
        <v>43777</v>
      </c>
      <c r="Q426" s="3">
        <v>63.65</v>
      </c>
      <c r="S426">
        <f t="shared" si="18"/>
        <v>1464</v>
      </c>
      <c r="T426">
        <f t="shared" si="19"/>
        <v>16.043835616438358</v>
      </c>
      <c r="U426" s="6">
        <f t="shared" si="20"/>
        <v>0.19182036294376115</v>
      </c>
    </row>
    <row r="427" spans="1:21" x14ac:dyDescent="0.25">
      <c r="A427" t="s">
        <v>1685</v>
      </c>
      <c r="B427" t="s">
        <v>1686</v>
      </c>
      <c r="C427" t="s">
        <v>14</v>
      </c>
      <c r="D427">
        <v>0.95</v>
      </c>
      <c r="E427">
        <v>0.95</v>
      </c>
      <c r="F427">
        <v>0.9</v>
      </c>
      <c r="G427" s="3">
        <v>0.95</v>
      </c>
      <c r="H427">
        <v>0.95</v>
      </c>
      <c r="I427">
        <v>0.95</v>
      </c>
      <c r="J427">
        <v>600874</v>
      </c>
      <c r="K427">
        <v>549318.25</v>
      </c>
      <c r="L427" s="1">
        <v>45240</v>
      </c>
      <c r="M427">
        <v>412</v>
      </c>
      <c r="N427" t="s">
        <v>1687</v>
      </c>
      <c r="O427" s="5">
        <v>45240</v>
      </c>
      <c r="P427" s="5">
        <v>43777</v>
      </c>
      <c r="Q427" s="3">
        <v>0.25</v>
      </c>
      <c r="S427">
        <f t="shared" si="18"/>
        <v>1464</v>
      </c>
      <c r="T427">
        <f t="shared" si="19"/>
        <v>16.043835616438358</v>
      </c>
      <c r="U427" s="6">
        <f t="shared" si="20"/>
        <v>0.34707826535479569</v>
      </c>
    </row>
    <row r="428" spans="1:21" x14ac:dyDescent="0.25">
      <c r="A428" t="s">
        <v>1688</v>
      </c>
      <c r="B428" t="s">
        <v>1689</v>
      </c>
      <c r="C428" t="s">
        <v>786</v>
      </c>
      <c r="D428">
        <v>6.4</v>
      </c>
      <c r="E428">
        <v>6.75</v>
      </c>
      <c r="F428">
        <v>6.4</v>
      </c>
      <c r="G428" s="3">
        <v>6.6</v>
      </c>
      <c r="H428">
        <v>6.5</v>
      </c>
      <c r="I428">
        <v>6.65</v>
      </c>
      <c r="J428">
        <v>35227</v>
      </c>
      <c r="K428">
        <v>231809.75</v>
      </c>
      <c r="L428" s="1">
        <v>45240</v>
      </c>
      <c r="M428">
        <v>69</v>
      </c>
      <c r="N428" t="s">
        <v>1690</v>
      </c>
      <c r="O428" s="5">
        <v>45240</v>
      </c>
      <c r="P428" s="5">
        <v>43777</v>
      </c>
      <c r="Q428" s="3">
        <v>108.5</v>
      </c>
      <c r="S428">
        <f t="shared" si="18"/>
        <v>1464</v>
      </c>
      <c r="T428">
        <f t="shared" si="19"/>
        <v>16.043835616438358</v>
      </c>
      <c r="U428" s="6">
        <f t="shared" si="20"/>
        <v>-0.64049911807660731</v>
      </c>
    </row>
    <row r="429" spans="1:21" x14ac:dyDescent="0.25">
      <c r="A429" t="s">
        <v>1691</v>
      </c>
      <c r="B429" t="s">
        <v>1692</v>
      </c>
      <c r="C429" t="s">
        <v>14</v>
      </c>
      <c r="D429">
        <v>218</v>
      </c>
      <c r="E429">
        <v>228</v>
      </c>
      <c r="F429">
        <v>211.2</v>
      </c>
      <c r="G429" s="3">
        <v>214.05</v>
      </c>
      <c r="H429">
        <v>214.5</v>
      </c>
      <c r="I429">
        <v>222.6</v>
      </c>
      <c r="J429">
        <v>459847</v>
      </c>
      <c r="K429">
        <v>101706597.40000001</v>
      </c>
      <c r="L429" s="1">
        <v>45240</v>
      </c>
      <c r="M429">
        <v>12905</v>
      </c>
      <c r="N429" t="s">
        <v>1693</v>
      </c>
      <c r="O429" s="5">
        <v>45240</v>
      </c>
      <c r="P429" s="5">
        <v>43777</v>
      </c>
      <c r="Q429" s="3">
        <v>92.4</v>
      </c>
      <c r="S429">
        <f t="shared" si="18"/>
        <v>1464</v>
      </c>
      <c r="T429">
        <f t="shared" si="19"/>
        <v>16.043835616438358</v>
      </c>
      <c r="U429" s="6">
        <f t="shared" si="20"/>
        <v>0.21502730823120153</v>
      </c>
    </row>
    <row r="430" spans="1:21" x14ac:dyDescent="0.25">
      <c r="A430" t="s">
        <v>1694</v>
      </c>
      <c r="B430" t="s">
        <v>1695</v>
      </c>
      <c r="C430" t="s">
        <v>10</v>
      </c>
      <c r="D430">
        <v>79.599999999999994</v>
      </c>
      <c r="E430">
        <v>79.7</v>
      </c>
      <c r="F430">
        <v>78.5</v>
      </c>
      <c r="G430" s="3">
        <v>79.7</v>
      </c>
      <c r="H430">
        <v>79.7</v>
      </c>
      <c r="I430">
        <v>79.599999999999994</v>
      </c>
      <c r="J430">
        <v>49459</v>
      </c>
      <c r="K430">
        <v>3912845.4</v>
      </c>
      <c r="L430" s="1">
        <v>45240</v>
      </c>
      <c r="M430">
        <v>223</v>
      </c>
      <c r="N430" t="s">
        <v>1696</v>
      </c>
      <c r="O430" s="5">
        <v>45240</v>
      </c>
      <c r="P430" s="5">
        <v>43777</v>
      </c>
      <c r="Q430" s="3">
        <v>33</v>
      </c>
      <c r="S430">
        <f t="shared" si="18"/>
        <v>1464</v>
      </c>
      <c r="T430">
        <f t="shared" si="19"/>
        <v>16.043835616438358</v>
      </c>
      <c r="U430" s="6">
        <f t="shared" si="20"/>
        <v>0.22599152404900114</v>
      </c>
    </row>
    <row r="431" spans="1:21" x14ac:dyDescent="0.25">
      <c r="A431" t="s">
        <v>1700</v>
      </c>
      <c r="B431" t="s">
        <v>1701</v>
      </c>
      <c r="C431" t="s">
        <v>14</v>
      </c>
      <c r="D431">
        <v>305.25</v>
      </c>
      <c r="E431">
        <v>316.7</v>
      </c>
      <c r="F431">
        <v>304.85000000000002</v>
      </c>
      <c r="G431" s="3">
        <v>312.5</v>
      </c>
      <c r="H431">
        <v>307.10000000000002</v>
      </c>
      <c r="I431">
        <v>304.60000000000002</v>
      </c>
      <c r="J431">
        <v>42995</v>
      </c>
      <c r="K431">
        <v>13402356.5</v>
      </c>
      <c r="L431" s="1">
        <v>45240</v>
      </c>
      <c r="M431">
        <v>2485</v>
      </c>
      <c r="N431" t="s">
        <v>1702</v>
      </c>
      <c r="O431" s="5">
        <v>45240</v>
      </c>
      <c r="P431" s="5">
        <v>43777</v>
      </c>
      <c r="Q431" s="3">
        <v>80.8</v>
      </c>
      <c r="S431">
        <f t="shared" si="18"/>
        <v>1464</v>
      </c>
      <c r="T431">
        <f t="shared" si="19"/>
        <v>16.043835616438358</v>
      </c>
      <c r="U431" s="6">
        <f t="shared" si="20"/>
        <v>0.35185677399698534</v>
      </c>
    </row>
    <row r="432" spans="1:21" x14ac:dyDescent="0.25">
      <c r="A432" t="s">
        <v>1706</v>
      </c>
      <c r="B432" t="s">
        <v>1707</v>
      </c>
      <c r="C432" t="s">
        <v>14</v>
      </c>
      <c r="D432">
        <v>21.45</v>
      </c>
      <c r="E432">
        <v>21.65</v>
      </c>
      <c r="F432">
        <v>20.9</v>
      </c>
      <c r="G432" s="3">
        <v>21.2</v>
      </c>
      <c r="H432">
        <v>21.3</v>
      </c>
      <c r="I432">
        <v>21.2</v>
      </c>
      <c r="J432">
        <v>1700102</v>
      </c>
      <c r="K432">
        <v>36103694.850000001</v>
      </c>
      <c r="L432" s="1">
        <v>45240</v>
      </c>
      <c r="M432">
        <v>4128</v>
      </c>
      <c r="N432" t="s">
        <v>1708</v>
      </c>
      <c r="O432" s="5">
        <v>45240</v>
      </c>
      <c r="P432" s="5">
        <v>43777</v>
      </c>
      <c r="Q432" s="3">
        <v>5</v>
      </c>
      <c r="S432">
        <f t="shared" si="18"/>
        <v>1464</v>
      </c>
      <c r="T432">
        <f t="shared" si="19"/>
        <v>16.043835616438358</v>
      </c>
      <c r="U432" s="6">
        <f t="shared" si="20"/>
        <v>0.37686574350498958</v>
      </c>
    </row>
    <row r="433" spans="1:21" x14ac:dyDescent="0.25">
      <c r="A433" t="s">
        <v>1709</v>
      </c>
      <c r="B433" t="s">
        <v>1710</v>
      </c>
      <c r="C433" t="s">
        <v>14</v>
      </c>
      <c r="D433">
        <v>250.3</v>
      </c>
      <c r="E433">
        <v>252.8</v>
      </c>
      <c r="F433">
        <v>237.8</v>
      </c>
      <c r="G433" s="3">
        <v>238.15</v>
      </c>
      <c r="H433">
        <v>237.95</v>
      </c>
      <c r="I433">
        <v>250.3</v>
      </c>
      <c r="J433">
        <v>1412154</v>
      </c>
      <c r="K433">
        <v>343143754.75</v>
      </c>
      <c r="L433" s="1">
        <v>45240</v>
      </c>
      <c r="M433">
        <v>18105</v>
      </c>
      <c r="N433" t="s">
        <v>1711</v>
      </c>
      <c r="O433" s="5">
        <v>45240</v>
      </c>
      <c r="P433" s="5">
        <v>43777</v>
      </c>
      <c r="Q433" s="3">
        <v>24.6</v>
      </c>
      <c r="S433">
        <f t="shared" si="18"/>
        <v>1464</v>
      </c>
      <c r="T433">
        <f t="shared" si="19"/>
        <v>16.043835616438358</v>
      </c>
      <c r="U433" s="6">
        <f t="shared" si="20"/>
        <v>0.60798810002677861</v>
      </c>
    </row>
    <row r="434" spans="1:21" x14ac:dyDescent="0.25">
      <c r="A434" t="s">
        <v>1712</v>
      </c>
      <c r="B434" t="s">
        <v>1713</v>
      </c>
      <c r="C434" t="s">
        <v>14</v>
      </c>
      <c r="D434">
        <v>64.45</v>
      </c>
      <c r="E434">
        <v>67.8</v>
      </c>
      <c r="F434">
        <v>64.45</v>
      </c>
      <c r="G434" s="3">
        <v>65.95</v>
      </c>
      <c r="H434">
        <v>66</v>
      </c>
      <c r="I434">
        <v>64.55</v>
      </c>
      <c r="J434">
        <v>2139900</v>
      </c>
      <c r="K434">
        <v>141322875.15000001</v>
      </c>
      <c r="L434" s="1">
        <v>45240</v>
      </c>
      <c r="M434">
        <v>6654</v>
      </c>
      <c r="N434" t="s">
        <v>1714</v>
      </c>
      <c r="O434" s="5">
        <v>45240</v>
      </c>
      <c r="P434" s="5">
        <v>43777</v>
      </c>
      <c r="Q434" s="3">
        <v>28.85</v>
      </c>
      <c r="S434">
        <f t="shared" si="18"/>
        <v>1464</v>
      </c>
      <c r="T434">
        <f t="shared" si="19"/>
        <v>16.043835616438358</v>
      </c>
      <c r="U434" s="6">
        <f t="shared" si="20"/>
        <v>0.21153569871824995</v>
      </c>
    </row>
    <row r="435" spans="1:21" x14ac:dyDescent="0.25">
      <c r="A435" t="s">
        <v>1715</v>
      </c>
      <c r="B435" t="s">
        <v>1716</v>
      </c>
      <c r="C435" t="s">
        <v>14</v>
      </c>
      <c r="D435">
        <v>171.45</v>
      </c>
      <c r="E435">
        <v>171.75</v>
      </c>
      <c r="F435">
        <v>159.9</v>
      </c>
      <c r="G435" s="3">
        <v>168.1</v>
      </c>
      <c r="H435">
        <v>170</v>
      </c>
      <c r="I435">
        <v>174.45</v>
      </c>
      <c r="J435">
        <v>423247</v>
      </c>
      <c r="K435">
        <v>70974599.950000003</v>
      </c>
      <c r="L435" s="1">
        <v>45240</v>
      </c>
      <c r="M435">
        <v>6904</v>
      </c>
      <c r="N435" t="s">
        <v>1717</v>
      </c>
      <c r="O435" s="5">
        <v>45240</v>
      </c>
      <c r="P435" s="5">
        <v>43777</v>
      </c>
      <c r="Q435" s="3">
        <v>688.05</v>
      </c>
      <c r="S435">
        <f t="shared" si="18"/>
        <v>1464</v>
      </c>
      <c r="T435">
        <f t="shared" si="19"/>
        <v>16.043835616438358</v>
      </c>
      <c r="U435" s="6">
        <f t="shared" si="20"/>
        <v>-0.33637308776663355</v>
      </c>
    </row>
    <row r="436" spans="1:21" x14ac:dyDescent="0.25">
      <c r="A436" t="s">
        <v>1718</v>
      </c>
      <c r="B436" t="s">
        <v>1719</v>
      </c>
      <c r="C436" t="s">
        <v>14</v>
      </c>
      <c r="D436">
        <v>737.05</v>
      </c>
      <c r="E436">
        <v>762.3</v>
      </c>
      <c r="F436">
        <v>731</v>
      </c>
      <c r="G436" s="3">
        <v>757.65</v>
      </c>
      <c r="H436">
        <v>758.5</v>
      </c>
      <c r="I436">
        <v>733.3</v>
      </c>
      <c r="J436">
        <v>538888</v>
      </c>
      <c r="K436">
        <v>405164483.44999999</v>
      </c>
      <c r="L436" s="1">
        <v>45240</v>
      </c>
      <c r="M436">
        <v>29652</v>
      </c>
      <c r="N436" t="s">
        <v>1720</v>
      </c>
      <c r="O436" s="5">
        <v>45240</v>
      </c>
      <c r="P436" s="5">
        <v>43777</v>
      </c>
      <c r="Q436" s="3">
        <v>299.25</v>
      </c>
      <c r="S436">
        <f t="shared" si="18"/>
        <v>1464</v>
      </c>
      <c r="T436">
        <f t="shared" si="19"/>
        <v>16.043835616438358</v>
      </c>
      <c r="U436" s="6">
        <f t="shared" si="20"/>
        <v>0.23843720406173396</v>
      </c>
    </row>
    <row r="437" spans="1:21" x14ac:dyDescent="0.25">
      <c r="A437" t="s">
        <v>1721</v>
      </c>
      <c r="B437" t="s">
        <v>1722</v>
      </c>
      <c r="C437" t="s">
        <v>10</v>
      </c>
      <c r="D437">
        <v>383.9</v>
      </c>
      <c r="E437">
        <v>392.45</v>
      </c>
      <c r="F437">
        <v>380</v>
      </c>
      <c r="G437" s="3">
        <v>390.05</v>
      </c>
      <c r="H437">
        <v>392</v>
      </c>
      <c r="I437">
        <v>388.25</v>
      </c>
      <c r="J437">
        <v>30435</v>
      </c>
      <c r="K437">
        <v>11731825.5</v>
      </c>
      <c r="L437" s="1">
        <v>45240</v>
      </c>
      <c r="M437">
        <v>810</v>
      </c>
      <c r="N437" t="s">
        <v>1723</v>
      </c>
      <c r="O437" s="5">
        <v>45240</v>
      </c>
      <c r="P437" s="5">
        <v>43777</v>
      </c>
      <c r="Q437" s="3">
        <v>167.1</v>
      </c>
      <c r="S437">
        <f t="shared" si="18"/>
        <v>1464</v>
      </c>
      <c r="T437">
        <f t="shared" si="19"/>
        <v>16.043835616438358</v>
      </c>
      <c r="U437" s="6">
        <f t="shared" si="20"/>
        <v>0.2170244085186237</v>
      </c>
    </row>
    <row r="438" spans="1:21" x14ac:dyDescent="0.25">
      <c r="A438" t="s">
        <v>1724</v>
      </c>
      <c r="B438" t="s">
        <v>1725</v>
      </c>
      <c r="C438" t="s">
        <v>14</v>
      </c>
      <c r="D438">
        <v>100.35</v>
      </c>
      <c r="E438">
        <v>101.15</v>
      </c>
      <c r="F438">
        <v>96</v>
      </c>
      <c r="G438" s="3">
        <v>97.65</v>
      </c>
      <c r="H438">
        <v>97.3</v>
      </c>
      <c r="I438">
        <v>99.65</v>
      </c>
      <c r="J438">
        <v>156491</v>
      </c>
      <c r="K438">
        <v>15474432.6</v>
      </c>
      <c r="L438" s="1">
        <v>45240</v>
      </c>
      <c r="M438">
        <v>2116</v>
      </c>
      <c r="N438" t="s">
        <v>1726</v>
      </c>
      <c r="O438" s="5">
        <v>45240</v>
      </c>
      <c r="P438" s="5">
        <v>43777</v>
      </c>
      <c r="Q438" s="3">
        <v>80.5</v>
      </c>
      <c r="S438">
        <f t="shared" si="18"/>
        <v>1464</v>
      </c>
      <c r="T438">
        <f t="shared" si="19"/>
        <v>16.043835616438358</v>
      </c>
      <c r="U438" s="6">
        <f t="shared" si="20"/>
        <v>4.8442180788421219E-2</v>
      </c>
    </row>
    <row r="439" spans="1:21" x14ac:dyDescent="0.25">
      <c r="A439" t="s">
        <v>1727</v>
      </c>
      <c r="B439" t="s">
        <v>1728</v>
      </c>
      <c r="C439" t="s">
        <v>14</v>
      </c>
      <c r="D439">
        <v>528.5</v>
      </c>
      <c r="E439">
        <v>537.79999999999995</v>
      </c>
      <c r="F439">
        <v>527</v>
      </c>
      <c r="G439" s="3">
        <v>532.25</v>
      </c>
      <c r="H439">
        <v>533.29999999999995</v>
      </c>
      <c r="I439">
        <v>526.4</v>
      </c>
      <c r="J439">
        <v>461142</v>
      </c>
      <c r="K439">
        <v>245396799.25</v>
      </c>
      <c r="L439" s="1">
        <v>45240</v>
      </c>
      <c r="M439">
        <v>17081</v>
      </c>
      <c r="N439" t="s">
        <v>1729</v>
      </c>
      <c r="O439" s="5">
        <v>45240</v>
      </c>
      <c r="P439" s="5">
        <v>43777</v>
      </c>
      <c r="Q439" s="3">
        <v>207.6</v>
      </c>
      <c r="S439">
        <f t="shared" si="18"/>
        <v>1464</v>
      </c>
      <c r="T439">
        <f t="shared" si="19"/>
        <v>16.043835616438358</v>
      </c>
      <c r="U439" s="6">
        <f t="shared" si="20"/>
        <v>0.24175604623646496</v>
      </c>
    </row>
    <row r="440" spans="1:21" x14ac:dyDescent="0.25">
      <c r="A440" t="s">
        <v>1733</v>
      </c>
      <c r="B440" t="s">
        <v>1734</v>
      </c>
      <c r="C440" t="s">
        <v>14</v>
      </c>
      <c r="D440">
        <v>189.8</v>
      </c>
      <c r="E440">
        <v>189.8</v>
      </c>
      <c r="F440">
        <v>181</v>
      </c>
      <c r="G440" s="3">
        <v>184.65</v>
      </c>
      <c r="H440">
        <v>184.95</v>
      </c>
      <c r="I440">
        <v>184.55</v>
      </c>
      <c r="J440">
        <v>109918</v>
      </c>
      <c r="K440">
        <v>20337011.649999999</v>
      </c>
      <c r="L440" s="1">
        <v>45240</v>
      </c>
      <c r="M440">
        <v>2098</v>
      </c>
      <c r="N440" t="s">
        <v>1735</v>
      </c>
      <c r="O440" s="5">
        <v>45240</v>
      </c>
      <c r="P440" s="5">
        <v>43777</v>
      </c>
      <c r="Q440" s="3">
        <v>161.05000000000001</v>
      </c>
      <c r="S440">
        <f t="shared" si="18"/>
        <v>1464</v>
      </c>
      <c r="T440">
        <f t="shared" si="19"/>
        <v>16.043835616438358</v>
      </c>
      <c r="U440" s="6">
        <f t="shared" si="20"/>
        <v>3.4239118533483826E-2</v>
      </c>
    </row>
    <row r="441" spans="1:21" x14ac:dyDescent="0.25">
      <c r="A441" t="s">
        <v>1736</v>
      </c>
      <c r="B441" t="s">
        <v>1737</v>
      </c>
      <c r="C441" t="s">
        <v>14</v>
      </c>
      <c r="D441">
        <v>223</v>
      </c>
      <c r="E441">
        <v>227.65</v>
      </c>
      <c r="F441">
        <v>221.45</v>
      </c>
      <c r="G441" s="3">
        <v>226.5</v>
      </c>
      <c r="H441">
        <v>227.2</v>
      </c>
      <c r="I441">
        <v>224.4</v>
      </c>
      <c r="J441">
        <v>341129</v>
      </c>
      <c r="K441">
        <v>76755879.049999997</v>
      </c>
      <c r="L441" s="1">
        <v>45240</v>
      </c>
      <c r="M441">
        <v>6830</v>
      </c>
      <c r="N441" t="s">
        <v>1738</v>
      </c>
      <c r="O441" s="5">
        <v>45240</v>
      </c>
      <c r="P441" s="5">
        <v>43777</v>
      </c>
      <c r="Q441" s="3">
        <v>273.64999999999998</v>
      </c>
      <c r="S441">
        <f t="shared" si="18"/>
        <v>1464</v>
      </c>
      <c r="T441">
        <f t="shared" si="19"/>
        <v>16.043835616438358</v>
      </c>
      <c r="U441" s="6">
        <f t="shared" si="20"/>
        <v>-4.6870305755402963E-2</v>
      </c>
    </row>
    <row r="442" spans="1:21" x14ac:dyDescent="0.25">
      <c r="A442" t="s">
        <v>1739</v>
      </c>
      <c r="B442" t="s">
        <v>1740</v>
      </c>
      <c r="C442" t="s">
        <v>14</v>
      </c>
      <c r="D442">
        <v>95.25</v>
      </c>
      <c r="E442">
        <v>97</v>
      </c>
      <c r="F442">
        <v>93.3</v>
      </c>
      <c r="G442" s="3">
        <v>95.35</v>
      </c>
      <c r="H442">
        <v>96.45</v>
      </c>
      <c r="I442">
        <v>97</v>
      </c>
      <c r="J442">
        <v>21582</v>
      </c>
      <c r="K442">
        <v>2055831.8</v>
      </c>
      <c r="L442" s="1">
        <v>45240</v>
      </c>
      <c r="M442">
        <v>232</v>
      </c>
      <c r="N442" t="s">
        <v>1741</v>
      </c>
      <c r="O442" s="5">
        <v>45240</v>
      </c>
      <c r="P442" s="5">
        <v>43777</v>
      </c>
      <c r="Q442" s="3">
        <v>30.2</v>
      </c>
      <c r="S442">
        <f t="shared" si="18"/>
        <v>1464</v>
      </c>
      <c r="T442">
        <f t="shared" si="19"/>
        <v>16.043835616438358</v>
      </c>
      <c r="U442" s="6">
        <f t="shared" si="20"/>
        <v>0.2971630791234201</v>
      </c>
    </row>
    <row r="443" spans="1:21" x14ac:dyDescent="0.25">
      <c r="A443" t="s">
        <v>1742</v>
      </c>
      <c r="B443" t="s">
        <v>1743</v>
      </c>
      <c r="C443" t="s">
        <v>14</v>
      </c>
      <c r="D443">
        <v>6395</v>
      </c>
      <c r="E443">
        <v>6395</v>
      </c>
      <c r="F443">
        <v>6350</v>
      </c>
      <c r="G443" s="3">
        <v>6373.35</v>
      </c>
      <c r="H443">
        <v>6370.1</v>
      </c>
      <c r="I443">
        <v>6372.3</v>
      </c>
      <c r="J443">
        <v>6632</v>
      </c>
      <c r="K443">
        <v>42246994.600000001</v>
      </c>
      <c r="L443" s="1">
        <v>45240</v>
      </c>
      <c r="M443">
        <v>2309</v>
      </c>
      <c r="N443" t="s">
        <v>1744</v>
      </c>
      <c r="O443" s="5">
        <v>45240</v>
      </c>
      <c r="P443" s="5">
        <v>43777</v>
      </c>
      <c r="Q443" s="3">
        <v>7287.95</v>
      </c>
      <c r="S443">
        <f t="shared" si="18"/>
        <v>1464</v>
      </c>
      <c r="T443">
        <f t="shared" si="19"/>
        <v>16.043835616438358</v>
      </c>
      <c r="U443" s="6">
        <f t="shared" si="20"/>
        <v>-3.3293340497836166E-2</v>
      </c>
    </row>
    <row r="444" spans="1:21" x14ac:dyDescent="0.25">
      <c r="A444" t="s">
        <v>1745</v>
      </c>
      <c r="B444" t="s">
        <v>1746</v>
      </c>
      <c r="C444" t="s">
        <v>14</v>
      </c>
      <c r="D444">
        <v>25.05</v>
      </c>
      <c r="E444">
        <v>25.7</v>
      </c>
      <c r="F444">
        <v>24.45</v>
      </c>
      <c r="G444" s="3">
        <v>24.85</v>
      </c>
      <c r="H444">
        <v>24.95</v>
      </c>
      <c r="I444">
        <v>25.75</v>
      </c>
      <c r="J444">
        <v>67394</v>
      </c>
      <c r="K444">
        <v>1690452.8</v>
      </c>
      <c r="L444" s="1">
        <v>45240</v>
      </c>
      <c r="M444">
        <v>445</v>
      </c>
      <c r="N444" t="s">
        <v>1747</v>
      </c>
      <c r="O444" s="5">
        <v>45240</v>
      </c>
      <c r="P444" s="5">
        <v>43777</v>
      </c>
      <c r="Q444" s="3">
        <v>9.3000000000000007</v>
      </c>
      <c r="S444">
        <f t="shared" si="18"/>
        <v>1464</v>
      </c>
      <c r="T444">
        <f t="shared" si="19"/>
        <v>16.043835616438358</v>
      </c>
      <c r="U444" s="6">
        <f t="shared" si="20"/>
        <v>0.2527006805674592</v>
      </c>
    </row>
    <row r="445" spans="1:21" x14ac:dyDescent="0.25">
      <c r="A445" t="s">
        <v>1748</v>
      </c>
      <c r="B445" t="s">
        <v>1749</v>
      </c>
      <c r="C445" t="s">
        <v>14</v>
      </c>
      <c r="D445">
        <v>146</v>
      </c>
      <c r="E445">
        <v>146.80000000000001</v>
      </c>
      <c r="F445">
        <v>143.5</v>
      </c>
      <c r="G445" s="3">
        <v>144.6</v>
      </c>
      <c r="H445">
        <v>144.5</v>
      </c>
      <c r="I445">
        <v>145.69999999999999</v>
      </c>
      <c r="J445">
        <v>412427</v>
      </c>
      <c r="K445">
        <v>59924184.649999999</v>
      </c>
      <c r="L445" s="1">
        <v>45240</v>
      </c>
      <c r="M445">
        <v>6215</v>
      </c>
      <c r="N445" t="s">
        <v>1750</v>
      </c>
      <c r="O445" s="5">
        <v>45240</v>
      </c>
      <c r="P445" s="5">
        <v>43777</v>
      </c>
      <c r="Q445" s="3">
        <v>71.3</v>
      </c>
      <c r="S445">
        <f t="shared" si="18"/>
        <v>1464</v>
      </c>
      <c r="T445">
        <f t="shared" si="19"/>
        <v>16.043835616438358</v>
      </c>
      <c r="U445" s="6">
        <f t="shared" si="20"/>
        <v>0.18022805572905742</v>
      </c>
    </row>
    <row r="446" spans="1:21" x14ac:dyDescent="0.25">
      <c r="A446" t="s">
        <v>1751</v>
      </c>
      <c r="B446" t="s">
        <v>1752</v>
      </c>
      <c r="C446" t="s">
        <v>10</v>
      </c>
      <c r="D446">
        <v>1671.05</v>
      </c>
      <c r="E446">
        <v>1724.95</v>
      </c>
      <c r="F446">
        <v>1669.55</v>
      </c>
      <c r="G446" s="3">
        <v>1669.55</v>
      </c>
      <c r="H446">
        <v>1669.55</v>
      </c>
      <c r="I446">
        <v>1757.4</v>
      </c>
      <c r="J446">
        <v>4425</v>
      </c>
      <c r="K446">
        <v>7394996.2999999998</v>
      </c>
      <c r="L446" s="1">
        <v>45240</v>
      </c>
      <c r="M446">
        <v>172</v>
      </c>
      <c r="N446" t="s">
        <v>1753</v>
      </c>
      <c r="O446" s="5">
        <v>45240</v>
      </c>
      <c r="P446" s="5">
        <v>43777</v>
      </c>
      <c r="Q446" s="3">
        <v>729.85</v>
      </c>
      <c r="S446">
        <f t="shared" si="18"/>
        <v>1464</v>
      </c>
      <c r="T446">
        <f t="shared" si="19"/>
        <v>16.043835616438358</v>
      </c>
      <c r="U446" s="6">
        <f t="shared" si="20"/>
        <v>0.21171511943097077</v>
      </c>
    </row>
    <row r="447" spans="1:21" x14ac:dyDescent="0.25">
      <c r="A447" t="s">
        <v>1757</v>
      </c>
      <c r="B447" t="s">
        <v>1758</v>
      </c>
      <c r="C447" t="s">
        <v>14</v>
      </c>
      <c r="D447">
        <v>1472</v>
      </c>
      <c r="E447">
        <v>1496.95</v>
      </c>
      <c r="F447">
        <v>1449.05</v>
      </c>
      <c r="G447" s="3">
        <v>1471.8</v>
      </c>
      <c r="H447">
        <v>1465</v>
      </c>
      <c r="I447">
        <v>1449.4</v>
      </c>
      <c r="J447">
        <v>282109</v>
      </c>
      <c r="K447">
        <v>419016514.30000001</v>
      </c>
      <c r="L447" s="1">
        <v>45240</v>
      </c>
      <c r="M447">
        <v>13479</v>
      </c>
      <c r="N447" t="s">
        <v>1759</v>
      </c>
      <c r="O447" s="5">
        <v>45240</v>
      </c>
      <c r="P447" s="5">
        <v>43777</v>
      </c>
      <c r="Q447" s="3">
        <v>1612.1</v>
      </c>
      <c r="S447">
        <f t="shared" si="18"/>
        <v>1464</v>
      </c>
      <c r="T447">
        <f t="shared" si="19"/>
        <v>16.043835616438358</v>
      </c>
      <c r="U447" s="6">
        <f t="shared" si="20"/>
        <v>-2.2636396691879668E-2</v>
      </c>
    </row>
    <row r="448" spans="1:21" x14ac:dyDescent="0.25">
      <c r="A448" t="s">
        <v>1760</v>
      </c>
      <c r="B448" t="s">
        <v>1761</v>
      </c>
      <c r="C448" t="s">
        <v>14</v>
      </c>
      <c r="D448">
        <v>786</v>
      </c>
      <c r="E448">
        <v>786</v>
      </c>
      <c r="F448">
        <v>767</v>
      </c>
      <c r="G448" s="3">
        <v>777.85</v>
      </c>
      <c r="H448">
        <v>776.2</v>
      </c>
      <c r="I448">
        <v>784.1</v>
      </c>
      <c r="J448">
        <v>605913</v>
      </c>
      <c r="K448">
        <v>471128903.55000001</v>
      </c>
      <c r="L448" s="1">
        <v>45240</v>
      </c>
      <c r="M448">
        <v>18861</v>
      </c>
      <c r="N448" t="s">
        <v>1762</v>
      </c>
      <c r="O448" s="5">
        <v>45240</v>
      </c>
      <c r="P448" s="5">
        <v>43777</v>
      </c>
      <c r="Q448" s="3">
        <v>286.45</v>
      </c>
      <c r="S448">
        <f t="shared" si="18"/>
        <v>1464</v>
      </c>
      <c r="T448">
        <f t="shared" si="19"/>
        <v>16.043835616438358</v>
      </c>
      <c r="U448" s="6">
        <f t="shared" si="20"/>
        <v>0.25697740221272447</v>
      </c>
    </row>
    <row r="449" spans="1:21" x14ac:dyDescent="0.25">
      <c r="A449" t="s">
        <v>1769</v>
      </c>
      <c r="B449" t="s">
        <v>1770</v>
      </c>
      <c r="C449" t="s">
        <v>14</v>
      </c>
      <c r="D449">
        <v>94.35</v>
      </c>
      <c r="E449">
        <v>96.5</v>
      </c>
      <c r="F449">
        <v>93.25</v>
      </c>
      <c r="G449" s="3">
        <v>93.65</v>
      </c>
      <c r="H449">
        <v>93.5</v>
      </c>
      <c r="I449">
        <v>94.25</v>
      </c>
      <c r="J449">
        <v>14082</v>
      </c>
      <c r="K449">
        <v>1330538.05</v>
      </c>
      <c r="L449" s="1">
        <v>45240</v>
      </c>
      <c r="M449">
        <v>227</v>
      </c>
      <c r="N449" t="s">
        <v>1771</v>
      </c>
      <c r="O449" s="5">
        <v>45240</v>
      </c>
      <c r="P449" s="5">
        <v>43777</v>
      </c>
      <c r="Q449" s="3">
        <v>55.4</v>
      </c>
      <c r="S449">
        <f t="shared" si="18"/>
        <v>1464</v>
      </c>
      <c r="T449">
        <f t="shared" si="19"/>
        <v>16.043835616438358</v>
      </c>
      <c r="U449" s="6">
        <f t="shared" si="20"/>
        <v>0.13305260820332165</v>
      </c>
    </row>
    <row r="450" spans="1:21" x14ac:dyDescent="0.25">
      <c r="A450" t="s">
        <v>1775</v>
      </c>
      <c r="B450" t="s">
        <v>1776</v>
      </c>
      <c r="C450" t="s">
        <v>14</v>
      </c>
      <c r="D450">
        <v>816</v>
      </c>
      <c r="E450">
        <v>820</v>
      </c>
      <c r="F450">
        <v>800</v>
      </c>
      <c r="G450" s="3">
        <v>809.85</v>
      </c>
      <c r="H450">
        <v>813</v>
      </c>
      <c r="I450">
        <v>814.25</v>
      </c>
      <c r="J450">
        <v>235832</v>
      </c>
      <c r="K450">
        <v>189805349.25</v>
      </c>
      <c r="L450" s="1">
        <v>45240</v>
      </c>
      <c r="M450">
        <v>12412</v>
      </c>
      <c r="N450" t="s">
        <v>1777</v>
      </c>
      <c r="O450" s="5">
        <v>45240</v>
      </c>
      <c r="P450" s="5">
        <v>43777</v>
      </c>
      <c r="Q450" s="3">
        <v>142.44999999999999</v>
      </c>
      <c r="S450">
        <f t="shared" si="18"/>
        <v>1464</v>
      </c>
      <c r="T450">
        <f t="shared" si="19"/>
        <v>16.043835616438358</v>
      </c>
      <c r="U450" s="6">
        <f t="shared" si="20"/>
        <v>0.45761433198549284</v>
      </c>
    </row>
    <row r="451" spans="1:21" x14ac:dyDescent="0.25">
      <c r="A451" t="s">
        <v>1781</v>
      </c>
      <c r="B451" t="s">
        <v>1782</v>
      </c>
      <c r="C451" t="s">
        <v>14</v>
      </c>
      <c r="D451">
        <v>670</v>
      </c>
      <c r="E451">
        <v>673</v>
      </c>
      <c r="F451">
        <v>658.05</v>
      </c>
      <c r="G451" s="3">
        <v>659.9</v>
      </c>
      <c r="H451">
        <v>659.6</v>
      </c>
      <c r="I451">
        <v>670.65</v>
      </c>
      <c r="J451">
        <v>23823</v>
      </c>
      <c r="K451">
        <v>15840781.75</v>
      </c>
      <c r="L451" s="1">
        <v>45240</v>
      </c>
      <c r="M451">
        <v>1675</v>
      </c>
      <c r="N451" t="s">
        <v>1783</v>
      </c>
      <c r="O451" s="5">
        <v>45240</v>
      </c>
      <c r="P451" s="5">
        <v>43777</v>
      </c>
      <c r="Q451" s="3">
        <v>415.5</v>
      </c>
      <c r="S451">
        <f t="shared" ref="S451:S514" si="21">O451-P451+1</f>
        <v>1464</v>
      </c>
      <c r="T451">
        <f t="shared" ref="T451:T514" si="22">(S451/365)*4</f>
        <v>16.043835616438358</v>
      </c>
      <c r="U451" s="6">
        <f t="shared" ref="U451:U514" si="23">(((G451/Q451)^(1/T451))-1)*4</f>
        <v>0.1170143162295485</v>
      </c>
    </row>
    <row r="452" spans="1:21" x14ac:dyDescent="0.25">
      <c r="A452" t="s">
        <v>1784</v>
      </c>
      <c r="B452" t="s">
        <v>1785</v>
      </c>
      <c r="C452" t="s">
        <v>14</v>
      </c>
      <c r="D452">
        <v>362</v>
      </c>
      <c r="E452">
        <v>382.5</v>
      </c>
      <c r="F452">
        <v>358.9</v>
      </c>
      <c r="G452" s="3">
        <v>379.2</v>
      </c>
      <c r="H452">
        <v>380.25</v>
      </c>
      <c r="I452">
        <v>365.7</v>
      </c>
      <c r="J452">
        <v>7760438</v>
      </c>
      <c r="K452">
        <v>2894211927.5500002</v>
      </c>
      <c r="L452" s="1">
        <v>45240</v>
      </c>
      <c r="M452">
        <v>71273</v>
      </c>
      <c r="N452" t="s">
        <v>1786</v>
      </c>
      <c r="O452" s="5">
        <v>45240</v>
      </c>
      <c r="P452" s="5">
        <v>43777</v>
      </c>
      <c r="Q452" s="3">
        <v>62.65</v>
      </c>
      <c r="S452">
        <f t="shared" si="21"/>
        <v>1464</v>
      </c>
      <c r="T452">
        <f t="shared" si="22"/>
        <v>16.043835616438358</v>
      </c>
      <c r="U452" s="6">
        <f t="shared" si="23"/>
        <v>0.47505281654884524</v>
      </c>
    </row>
    <row r="453" spans="1:21" x14ac:dyDescent="0.25">
      <c r="A453" t="s">
        <v>1787</v>
      </c>
      <c r="B453" t="s">
        <v>1788</v>
      </c>
      <c r="C453" t="s">
        <v>14</v>
      </c>
      <c r="D453">
        <v>1760</v>
      </c>
      <c r="E453">
        <v>1766.85</v>
      </c>
      <c r="F453">
        <v>1681</v>
      </c>
      <c r="G453" s="3">
        <v>1686.05</v>
      </c>
      <c r="H453">
        <v>1690</v>
      </c>
      <c r="I453">
        <v>1750.25</v>
      </c>
      <c r="J453">
        <v>96799</v>
      </c>
      <c r="K453">
        <v>165064379.09999999</v>
      </c>
      <c r="L453" s="1">
        <v>45240</v>
      </c>
      <c r="M453">
        <v>11964</v>
      </c>
      <c r="N453" t="s">
        <v>1789</v>
      </c>
      <c r="O453" s="5">
        <v>45240</v>
      </c>
      <c r="P453" s="5">
        <v>43777</v>
      </c>
      <c r="Q453" s="3">
        <v>1450.6</v>
      </c>
      <c r="S453">
        <f t="shared" si="21"/>
        <v>1464</v>
      </c>
      <c r="T453">
        <f t="shared" si="22"/>
        <v>16.043835616438358</v>
      </c>
      <c r="U453" s="6">
        <f t="shared" si="23"/>
        <v>3.7676405412800484E-2</v>
      </c>
    </row>
    <row r="454" spans="1:21" x14ac:dyDescent="0.25">
      <c r="A454" t="s">
        <v>1790</v>
      </c>
      <c r="B454" t="s">
        <v>1791</v>
      </c>
      <c r="C454" t="s">
        <v>14</v>
      </c>
      <c r="D454">
        <v>56.5</v>
      </c>
      <c r="E454">
        <v>58.4</v>
      </c>
      <c r="F454">
        <v>55.7</v>
      </c>
      <c r="G454" s="3">
        <v>57.65</v>
      </c>
      <c r="H454">
        <v>57.5</v>
      </c>
      <c r="I454">
        <v>56.2</v>
      </c>
      <c r="J454">
        <v>15351937</v>
      </c>
      <c r="K454">
        <v>879645581.29999995</v>
      </c>
      <c r="L454" s="1">
        <v>45240</v>
      </c>
      <c r="M454">
        <v>36191</v>
      </c>
      <c r="N454" t="s">
        <v>1792</v>
      </c>
      <c r="O454" s="5">
        <v>45240</v>
      </c>
      <c r="P454" s="5">
        <v>43777</v>
      </c>
      <c r="Q454" s="3">
        <v>21.65</v>
      </c>
      <c r="S454">
        <f t="shared" si="21"/>
        <v>1464</v>
      </c>
      <c r="T454">
        <f t="shared" si="22"/>
        <v>16.043835616438358</v>
      </c>
      <c r="U454" s="6">
        <f t="shared" si="23"/>
        <v>0.25178402721180149</v>
      </c>
    </row>
    <row r="455" spans="1:21" x14ac:dyDescent="0.25">
      <c r="A455" t="s">
        <v>1796</v>
      </c>
      <c r="B455" t="s">
        <v>1797</v>
      </c>
      <c r="C455" t="s">
        <v>14</v>
      </c>
      <c r="D455">
        <v>420</v>
      </c>
      <c r="E455">
        <v>428.8</v>
      </c>
      <c r="F455">
        <v>416.05</v>
      </c>
      <c r="G455" s="3">
        <v>420.4</v>
      </c>
      <c r="H455">
        <v>420</v>
      </c>
      <c r="I455">
        <v>420.05</v>
      </c>
      <c r="J455">
        <v>41690</v>
      </c>
      <c r="K455">
        <v>17681683.399999999</v>
      </c>
      <c r="L455" s="1">
        <v>45240</v>
      </c>
      <c r="M455">
        <v>3598</v>
      </c>
      <c r="N455" t="s">
        <v>1798</v>
      </c>
      <c r="O455" s="5">
        <v>45240</v>
      </c>
      <c r="P455" s="5">
        <v>43777</v>
      </c>
      <c r="Q455" s="3">
        <v>271.55</v>
      </c>
      <c r="S455">
        <f t="shared" si="21"/>
        <v>1464</v>
      </c>
      <c r="T455">
        <f t="shared" si="22"/>
        <v>16.043835616438358</v>
      </c>
      <c r="U455" s="6">
        <f t="shared" si="23"/>
        <v>0.11046433352742735</v>
      </c>
    </row>
    <row r="456" spans="1:21" x14ac:dyDescent="0.25">
      <c r="A456" t="s">
        <v>1799</v>
      </c>
      <c r="B456" t="s">
        <v>1800</v>
      </c>
      <c r="C456" t="s">
        <v>14</v>
      </c>
      <c r="D456">
        <v>684</v>
      </c>
      <c r="E456">
        <v>693</v>
      </c>
      <c r="F456">
        <v>670.1</v>
      </c>
      <c r="G456" s="3">
        <v>675.55</v>
      </c>
      <c r="H456">
        <v>674</v>
      </c>
      <c r="I456">
        <v>676</v>
      </c>
      <c r="J456">
        <v>1644167</v>
      </c>
      <c r="K456">
        <v>1125479039.3</v>
      </c>
      <c r="L456" s="1">
        <v>45240</v>
      </c>
      <c r="M456">
        <v>29481</v>
      </c>
      <c r="N456" t="s">
        <v>1801</v>
      </c>
      <c r="O456" s="5">
        <v>45240</v>
      </c>
      <c r="P456" s="5">
        <v>43777</v>
      </c>
      <c r="Q456" s="3">
        <v>202.85</v>
      </c>
      <c r="S456">
        <f t="shared" si="21"/>
        <v>1464</v>
      </c>
      <c r="T456">
        <f t="shared" si="22"/>
        <v>16.043835616438358</v>
      </c>
      <c r="U456" s="6">
        <f t="shared" si="23"/>
        <v>0.31147552405521761</v>
      </c>
    </row>
    <row r="457" spans="1:21" x14ac:dyDescent="0.25">
      <c r="A457" t="s">
        <v>1802</v>
      </c>
      <c r="B457" t="s">
        <v>1803</v>
      </c>
      <c r="C457" t="s">
        <v>14</v>
      </c>
      <c r="D457">
        <v>516.70000000000005</v>
      </c>
      <c r="E457">
        <v>522.4</v>
      </c>
      <c r="F457">
        <v>511</v>
      </c>
      <c r="G457" s="3">
        <v>514.85</v>
      </c>
      <c r="H457">
        <v>517.95000000000005</v>
      </c>
      <c r="I457">
        <v>515.15</v>
      </c>
      <c r="J457">
        <v>18083</v>
      </c>
      <c r="K457">
        <v>9352230.9000000004</v>
      </c>
      <c r="L457" s="1">
        <v>45240</v>
      </c>
      <c r="M457">
        <v>1753</v>
      </c>
      <c r="N457" t="s">
        <v>1804</v>
      </c>
      <c r="O457" s="5">
        <v>45240</v>
      </c>
      <c r="P457" s="5">
        <v>43777</v>
      </c>
      <c r="Q457" s="3">
        <v>222.2</v>
      </c>
      <c r="S457">
        <f t="shared" si="21"/>
        <v>1464</v>
      </c>
      <c r="T457">
        <f t="shared" si="22"/>
        <v>16.043835616438358</v>
      </c>
      <c r="U457" s="6">
        <f t="shared" si="23"/>
        <v>0.21508381035147117</v>
      </c>
    </row>
    <row r="458" spans="1:21" x14ac:dyDescent="0.25">
      <c r="A458" t="s">
        <v>1805</v>
      </c>
      <c r="B458" t="s">
        <v>1806</v>
      </c>
      <c r="C458" t="s">
        <v>14</v>
      </c>
      <c r="D458">
        <v>550.1</v>
      </c>
      <c r="E458">
        <v>553.54999999999995</v>
      </c>
      <c r="F458">
        <v>531.20000000000005</v>
      </c>
      <c r="G458" s="3">
        <v>542.54999999999995</v>
      </c>
      <c r="H458">
        <v>541</v>
      </c>
      <c r="I458">
        <v>552</v>
      </c>
      <c r="J458">
        <v>129168</v>
      </c>
      <c r="K458">
        <v>69902478.75</v>
      </c>
      <c r="L458" s="1">
        <v>45240</v>
      </c>
      <c r="M458">
        <v>8029</v>
      </c>
      <c r="N458" t="s">
        <v>1807</v>
      </c>
      <c r="O458" s="5">
        <v>45240</v>
      </c>
      <c r="P458" s="5">
        <v>43777</v>
      </c>
      <c r="Q458" s="3">
        <v>292.89999999999998</v>
      </c>
      <c r="S458">
        <f t="shared" si="21"/>
        <v>1464</v>
      </c>
      <c r="T458">
        <f t="shared" si="22"/>
        <v>16.043835616438358</v>
      </c>
      <c r="U458" s="6">
        <f t="shared" si="23"/>
        <v>0.15668198086875496</v>
      </c>
    </row>
    <row r="459" spans="1:21" x14ac:dyDescent="0.25">
      <c r="A459" t="s">
        <v>1811</v>
      </c>
      <c r="B459" t="s">
        <v>1812</v>
      </c>
      <c r="C459" t="s">
        <v>14</v>
      </c>
      <c r="D459">
        <v>2090</v>
      </c>
      <c r="E459">
        <v>2115</v>
      </c>
      <c r="F459">
        <v>2070</v>
      </c>
      <c r="G459" s="3">
        <v>2079.35</v>
      </c>
      <c r="H459">
        <v>2077.4</v>
      </c>
      <c r="I459">
        <v>2087.5500000000002</v>
      </c>
      <c r="J459">
        <v>39890</v>
      </c>
      <c r="K459">
        <v>83335729.200000003</v>
      </c>
      <c r="L459" s="1">
        <v>45240</v>
      </c>
      <c r="M459">
        <v>5262</v>
      </c>
      <c r="N459" t="s">
        <v>1813</v>
      </c>
      <c r="O459" s="5">
        <v>45240</v>
      </c>
      <c r="P459" s="5">
        <v>43777</v>
      </c>
      <c r="Q459" s="3">
        <v>1146.0999999999999</v>
      </c>
      <c r="S459">
        <f t="shared" si="21"/>
        <v>1464</v>
      </c>
      <c r="T459">
        <f t="shared" si="22"/>
        <v>16.043835616438358</v>
      </c>
      <c r="U459" s="6">
        <f t="shared" si="23"/>
        <v>0.15130728228501678</v>
      </c>
    </row>
    <row r="460" spans="1:21" x14ac:dyDescent="0.25">
      <c r="A460" t="s">
        <v>1817</v>
      </c>
      <c r="B460" t="s">
        <v>1818</v>
      </c>
      <c r="C460" t="s">
        <v>14</v>
      </c>
      <c r="D460">
        <v>478</v>
      </c>
      <c r="E460">
        <v>481</v>
      </c>
      <c r="F460">
        <v>474.5</v>
      </c>
      <c r="G460" s="3">
        <v>475.55</v>
      </c>
      <c r="H460">
        <v>476</v>
      </c>
      <c r="I460">
        <v>477</v>
      </c>
      <c r="J460">
        <v>84501</v>
      </c>
      <c r="K460">
        <v>40442404.649999999</v>
      </c>
      <c r="L460" s="1">
        <v>45240</v>
      </c>
      <c r="M460">
        <v>5068</v>
      </c>
      <c r="N460" t="s">
        <v>1819</v>
      </c>
      <c r="O460" s="5">
        <v>45240</v>
      </c>
      <c r="P460" s="5">
        <v>43777</v>
      </c>
      <c r="Q460" s="3">
        <v>493.85</v>
      </c>
      <c r="S460">
        <f t="shared" si="21"/>
        <v>1464</v>
      </c>
      <c r="T460">
        <f t="shared" si="22"/>
        <v>16.043835616438358</v>
      </c>
      <c r="U460" s="6">
        <f t="shared" si="23"/>
        <v>-9.4030877854214268E-3</v>
      </c>
    </row>
    <row r="461" spans="1:21" x14ac:dyDescent="0.25">
      <c r="A461" t="s">
        <v>1820</v>
      </c>
      <c r="B461" t="s">
        <v>1821</v>
      </c>
      <c r="C461" t="s">
        <v>14</v>
      </c>
      <c r="D461">
        <v>987.9</v>
      </c>
      <c r="E461">
        <v>989.55</v>
      </c>
      <c r="F461">
        <v>976.05</v>
      </c>
      <c r="G461" s="3">
        <v>984.3</v>
      </c>
      <c r="H461">
        <v>983.9</v>
      </c>
      <c r="I461">
        <v>987.9</v>
      </c>
      <c r="J461">
        <v>748668</v>
      </c>
      <c r="K461">
        <v>736580715.64999998</v>
      </c>
      <c r="L461" s="1">
        <v>45240</v>
      </c>
      <c r="M461">
        <v>18905</v>
      </c>
      <c r="N461" t="s">
        <v>1822</v>
      </c>
      <c r="O461" s="5">
        <v>45240</v>
      </c>
      <c r="P461" s="5">
        <v>43777</v>
      </c>
      <c r="Q461" s="3">
        <v>734.5</v>
      </c>
      <c r="S461">
        <f t="shared" si="21"/>
        <v>1464</v>
      </c>
      <c r="T461">
        <f t="shared" si="22"/>
        <v>16.043835616438358</v>
      </c>
      <c r="U461" s="6">
        <f t="shared" si="23"/>
        <v>7.3655147440031321E-2</v>
      </c>
    </row>
    <row r="462" spans="1:21" x14ac:dyDescent="0.25">
      <c r="A462" t="s">
        <v>1823</v>
      </c>
      <c r="B462" t="s">
        <v>1824</v>
      </c>
      <c r="C462" t="s">
        <v>14</v>
      </c>
      <c r="D462">
        <v>665</v>
      </c>
      <c r="E462">
        <v>671</v>
      </c>
      <c r="F462">
        <v>655.9</v>
      </c>
      <c r="G462" s="3">
        <v>668.25</v>
      </c>
      <c r="H462">
        <v>666</v>
      </c>
      <c r="I462">
        <v>667.7</v>
      </c>
      <c r="J462">
        <v>139108</v>
      </c>
      <c r="K462">
        <v>92687758.400000006</v>
      </c>
      <c r="L462" s="1">
        <v>45240</v>
      </c>
      <c r="M462">
        <v>7852</v>
      </c>
      <c r="N462" t="s">
        <v>1825</v>
      </c>
      <c r="O462" s="5">
        <v>45240</v>
      </c>
      <c r="P462" s="5">
        <v>43777</v>
      </c>
      <c r="Q462" s="3">
        <v>425.25</v>
      </c>
      <c r="S462">
        <f t="shared" si="21"/>
        <v>1464</v>
      </c>
      <c r="T462">
        <f t="shared" si="22"/>
        <v>16.043835616438358</v>
      </c>
      <c r="U462" s="6">
        <f t="shared" si="23"/>
        <v>0.11428986977908373</v>
      </c>
    </row>
    <row r="463" spans="1:21" x14ac:dyDescent="0.25">
      <c r="A463" t="s">
        <v>1826</v>
      </c>
      <c r="B463" t="s">
        <v>1827</v>
      </c>
      <c r="C463" t="s">
        <v>14</v>
      </c>
      <c r="D463">
        <v>1814.35</v>
      </c>
      <c r="E463">
        <v>1861.1</v>
      </c>
      <c r="F463">
        <v>1799.05</v>
      </c>
      <c r="G463" s="3">
        <v>1817.65</v>
      </c>
      <c r="H463">
        <v>1815.25</v>
      </c>
      <c r="I463">
        <v>1815.25</v>
      </c>
      <c r="J463">
        <v>1367500</v>
      </c>
      <c r="K463">
        <v>2499627561.6999998</v>
      </c>
      <c r="L463" s="1">
        <v>45240</v>
      </c>
      <c r="M463">
        <v>54433</v>
      </c>
      <c r="N463" t="s">
        <v>1828</v>
      </c>
      <c r="O463" s="5">
        <v>45240</v>
      </c>
      <c r="P463" s="5">
        <v>43777</v>
      </c>
      <c r="Q463" s="3">
        <v>961.25</v>
      </c>
      <c r="S463">
        <f t="shared" si="21"/>
        <v>1464</v>
      </c>
      <c r="T463">
        <f t="shared" si="22"/>
        <v>16.043835616438358</v>
      </c>
      <c r="U463" s="6">
        <f t="shared" si="23"/>
        <v>0.16202672302930043</v>
      </c>
    </row>
    <row r="464" spans="1:21" x14ac:dyDescent="0.25">
      <c r="A464" t="s">
        <v>1829</v>
      </c>
      <c r="B464" t="s">
        <v>1830</v>
      </c>
      <c r="C464" t="s">
        <v>14</v>
      </c>
      <c r="D464">
        <v>805.3</v>
      </c>
      <c r="E464">
        <v>824.45</v>
      </c>
      <c r="F464">
        <v>798</v>
      </c>
      <c r="G464" s="3">
        <v>820.85</v>
      </c>
      <c r="H464">
        <v>820.5</v>
      </c>
      <c r="I464">
        <v>807.05</v>
      </c>
      <c r="J464">
        <v>264218</v>
      </c>
      <c r="K464">
        <v>215089263.94999999</v>
      </c>
      <c r="L464" s="1">
        <v>45240</v>
      </c>
      <c r="M464">
        <v>12495</v>
      </c>
      <c r="N464" t="s">
        <v>1831</v>
      </c>
      <c r="O464" s="5">
        <v>45240</v>
      </c>
      <c r="P464" s="5">
        <v>43777</v>
      </c>
      <c r="Q464" s="3">
        <v>85.15</v>
      </c>
      <c r="S464">
        <f t="shared" si="21"/>
        <v>1464</v>
      </c>
      <c r="T464">
        <f t="shared" si="22"/>
        <v>16.043835616438358</v>
      </c>
      <c r="U464" s="6">
        <f t="shared" si="23"/>
        <v>0.60677383919542383</v>
      </c>
    </row>
    <row r="465" spans="1:21" x14ac:dyDescent="0.25">
      <c r="A465" t="s">
        <v>1832</v>
      </c>
      <c r="B465" t="s">
        <v>1833</v>
      </c>
      <c r="C465" t="s">
        <v>14</v>
      </c>
      <c r="D465">
        <v>39.049999999999997</v>
      </c>
      <c r="E465">
        <v>41.35</v>
      </c>
      <c r="F465">
        <v>38.799999999999997</v>
      </c>
      <c r="G465" s="3">
        <v>39.950000000000003</v>
      </c>
      <c r="H465">
        <v>40</v>
      </c>
      <c r="I465">
        <v>39.049999999999997</v>
      </c>
      <c r="J465">
        <v>265818</v>
      </c>
      <c r="K465">
        <v>10645915.300000001</v>
      </c>
      <c r="L465" s="1">
        <v>45240</v>
      </c>
      <c r="M465">
        <v>2200</v>
      </c>
      <c r="N465" t="s">
        <v>1834</v>
      </c>
      <c r="O465" s="5">
        <v>45240</v>
      </c>
      <c r="P465" s="5">
        <v>43777</v>
      </c>
      <c r="Q465" s="3">
        <v>11.9</v>
      </c>
      <c r="S465">
        <f t="shared" si="21"/>
        <v>1464</v>
      </c>
      <c r="T465">
        <f t="shared" si="22"/>
        <v>16.043835616438358</v>
      </c>
      <c r="U465" s="6">
        <f t="shared" si="23"/>
        <v>0.31363394370794229</v>
      </c>
    </row>
    <row r="466" spans="1:21" x14ac:dyDescent="0.25">
      <c r="A466" t="s">
        <v>1835</v>
      </c>
      <c r="B466" t="s">
        <v>1836</v>
      </c>
      <c r="C466" t="s">
        <v>14</v>
      </c>
      <c r="D466">
        <v>114.55</v>
      </c>
      <c r="E466">
        <v>117.6</v>
      </c>
      <c r="F466">
        <v>112.55</v>
      </c>
      <c r="G466" s="3">
        <v>116.3</v>
      </c>
      <c r="H466">
        <v>115</v>
      </c>
      <c r="I466">
        <v>114.1</v>
      </c>
      <c r="J466">
        <v>101834</v>
      </c>
      <c r="K466">
        <v>11757700.65</v>
      </c>
      <c r="L466" s="1">
        <v>45240</v>
      </c>
      <c r="M466">
        <v>2260</v>
      </c>
      <c r="N466" t="s">
        <v>1837</v>
      </c>
      <c r="O466" s="5">
        <v>45240</v>
      </c>
      <c r="P466" s="5">
        <v>43777</v>
      </c>
      <c r="Q466" s="3">
        <v>13.35</v>
      </c>
      <c r="S466">
        <f t="shared" si="21"/>
        <v>1464</v>
      </c>
      <c r="T466">
        <f t="shared" si="22"/>
        <v>16.043835616438358</v>
      </c>
      <c r="U466" s="6">
        <f t="shared" si="23"/>
        <v>0.57778728405514457</v>
      </c>
    </row>
    <row r="467" spans="1:21" x14ac:dyDescent="0.25">
      <c r="A467" t="s">
        <v>6677</v>
      </c>
      <c r="B467" t="s">
        <v>7798</v>
      </c>
      <c r="C467" t="s">
        <v>14</v>
      </c>
      <c r="D467">
        <v>51.3</v>
      </c>
      <c r="E467">
        <v>51.41</v>
      </c>
      <c r="F467">
        <v>51.1</v>
      </c>
      <c r="G467" s="3">
        <v>51.31</v>
      </c>
      <c r="H467">
        <v>51.3</v>
      </c>
      <c r="I467">
        <v>50.94</v>
      </c>
      <c r="J467">
        <v>5683308</v>
      </c>
      <c r="K467">
        <v>291529400.11000001</v>
      </c>
      <c r="L467" s="1">
        <v>45240</v>
      </c>
      <c r="M467">
        <v>33992</v>
      </c>
      <c r="N467" t="s">
        <v>6676</v>
      </c>
      <c r="O467" s="5">
        <v>45240</v>
      </c>
      <c r="P467" s="5">
        <v>43777</v>
      </c>
      <c r="Q467" s="3">
        <v>3350.45</v>
      </c>
      <c r="S467">
        <f t="shared" si="21"/>
        <v>1464</v>
      </c>
      <c r="T467">
        <f t="shared" si="22"/>
        <v>16.043835616438358</v>
      </c>
      <c r="U467" s="6">
        <f t="shared" si="23"/>
        <v>-0.91724796892774352</v>
      </c>
    </row>
    <row r="468" spans="1:21" x14ac:dyDescent="0.25">
      <c r="A468" t="s">
        <v>1838</v>
      </c>
      <c r="B468" t="s">
        <v>1839</v>
      </c>
      <c r="C468" t="s">
        <v>786</v>
      </c>
      <c r="D468">
        <v>52.55</v>
      </c>
      <c r="E468">
        <v>52.95</v>
      </c>
      <c r="F468">
        <v>51.45</v>
      </c>
      <c r="G468" s="3">
        <v>52.45</v>
      </c>
      <c r="H468">
        <v>51.65</v>
      </c>
      <c r="I468">
        <v>52.55</v>
      </c>
      <c r="J468">
        <v>2479</v>
      </c>
      <c r="K468">
        <v>129792.55</v>
      </c>
      <c r="L468" s="1">
        <v>45240</v>
      </c>
      <c r="M468">
        <v>27</v>
      </c>
      <c r="N468" t="s">
        <v>1840</v>
      </c>
      <c r="O468" s="5">
        <v>45240</v>
      </c>
      <c r="P468" s="5">
        <v>43777</v>
      </c>
      <c r="Q468" s="3">
        <v>31.15</v>
      </c>
      <c r="S468">
        <f t="shared" si="21"/>
        <v>1464</v>
      </c>
      <c r="T468">
        <f t="shared" si="22"/>
        <v>16.043835616438358</v>
      </c>
      <c r="U468" s="6">
        <f t="shared" si="23"/>
        <v>0.13203807247845045</v>
      </c>
    </row>
    <row r="469" spans="1:21" x14ac:dyDescent="0.25">
      <c r="A469" t="s">
        <v>1841</v>
      </c>
      <c r="B469" t="s">
        <v>1842</v>
      </c>
      <c r="C469" t="s">
        <v>14</v>
      </c>
      <c r="D469">
        <v>133.69999999999999</v>
      </c>
      <c r="E469">
        <v>138.80000000000001</v>
      </c>
      <c r="F469">
        <v>133.15</v>
      </c>
      <c r="G469" s="3">
        <v>136.9</v>
      </c>
      <c r="H469">
        <v>136.5</v>
      </c>
      <c r="I469">
        <v>133.1</v>
      </c>
      <c r="J469">
        <v>1287453</v>
      </c>
      <c r="K469">
        <v>175992778.15000001</v>
      </c>
      <c r="L469" s="1">
        <v>45240</v>
      </c>
      <c r="M469">
        <v>11253</v>
      </c>
      <c r="N469" t="s">
        <v>1843</v>
      </c>
      <c r="O469" s="5">
        <v>45240</v>
      </c>
      <c r="P469" s="5">
        <v>43777</v>
      </c>
      <c r="Q469" s="3">
        <v>146.80000000000001</v>
      </c>
      <c r="S469">
        <f t="shared" si="21"/>
        <v>1464</v>
      </c>
      <c r="T469">
        <f t="shared" si="22"/>
        <v>16.043835616438358</v>
      </c>
      <c r="U469" s="6">
        <f t="shared" si="23"/>
        <v>-1.7369582121842697E-2</v>
      </c>
    </row>
    <row r="470" spans="1:21" x14ac:dyDescent="0.25">
      <c r="A470" t="s">
        <v>6673</v>
      </c>
      <c r="B470" t="s">
        <v>7798</v>
      </c>
      <c r="C470" t="s">
        <v>14</v>
      </c>
      <c r="D470">
        <v>51.5</v>
      </c>
      <c r="E470">
        <v>52.8</v>
      </c>
      <c r="F470">
        <v>51.4</v>
      </c>
      <c r="G470" s="3">
        <v>51.5</v>
      </c>
      <c r="H470">
        <v>51.55</v>
      </c>
      <c r="I470">
        <v>51.1</v>
      </c>
      <c r="J470">
        <v>156403</v>
      </c>
      <c r="K470">
        <v>8060096.9000000004</v>
      </c>
      <c r="L470" s="1">
        <v>45240</v>
      </c>
      <c r="M470">
        <v>1186</v>
      </c>
      <c r="N470" t="s">
        <v>6672</v>
      </c>
      <c r="O470" s="5">
        <v>45240</v>
      </c>
      <c r="P470" s="5">
        <v>43777</v>
      </c>
      <c r="Q470" s="3">
        <v>3387.65</v>
      </c>
      <c r="S470">
        <f t="shared" si="21"/>
        <v>1464</v>
      </c>
      <c r="T470">
        <f t="shared" si="22"/>
        <v>16.043835616438358</v>
      </c>
      <c r="U470" s="6">
        <f t="shared" si="23"/>
        <v>-0.91865908150749087</v>
      </c>
    </row>
    <row r="471" spans="1:21" x14ac:dyDescent="0.25">
      <c r="A471" t="s">
        <v>1844</v>
      </c>
      <c r="B471" t="s">
        <v>1845</v>
      </c>
      <c r="C471" t="s">
        <v>10</v>
      </c>
      <c r="D471">
        <v>91</v>
      </c>
      <c r="E471">
        <v>91</v>
      </c>
      <c r="F471">
        <v>89.2</v>
      </c>
      <c r="G471" s="3">
        <v>89.2</v>
      </c>
      <c r="H471">
        <v>89.2</v>
      </c>
      <c r="I471">
        <v>91</v>
      </c>
      <c r="J471">
        <v>11989</v>
      </c>
      <c r="K471">
        <v>1070471.8</v>
      </c>
      <c r="L471" s="1">
        <v>45240</v>
      </c>
      <c r="M471">
        <v>40</v>
      </c>
      <c r="N471" t="s">
        <v>1846</v>
      </c>
      <c r="O471" s="5">
        <v>45240</v>
      </c>
      <c r="P471" s="5">
        <v>43777</v>
      </c>
      <c r="Q471" s="3">
        <v>9.6</v>
      </c>
      <c r="S471">
        <f t="shared" si="21"/>
        <v>1464</v>
      </c>
      <c r="T471">
        <f t="shared" si="22"/>
        <v>16.043835616438358</v>
      </c>
      <c r="U471" s="6">
        <f t="shared" si="23"/>
        <v>0.59621701476225031</v>
      </c>
    </row>
    <row r="472" spans="1:21" x14ac:dyDescent="0.25">
      <c r="A472" t="s">
        <v>1847</v>
      </c>
      <c r="B472" t="s">
        <v>1848</v>
      </c>
      <c r="C472" t="s">
        <v>14</v>
      </c>
      <c r="D472">
        <v>843</v>
      </c>
      <c r="E472">
        <v>892</v>
      </c>
      <c r="F472">
        <v>843</v>
      </c>
      <c r="G472" s="3">
        <v>875.9</v>
      </c>
      <c r="H472">
        <v>883</v>
      </c>
      <c r="I472">
        <v>839.9</v>
      </c>
      <c r="J472">
        <v>245808</v>
      </c>
      <c r="K472">
        <v>214779703.19999999</v>
      </c>
      <c r="L472" s="1">
        <v>45240</v>
      </c>
      <c r="M472">
        <v>14842</v>
      </c>
      <c r="N472" t="s">
        <v>1849</v>
      </c>
      <c r="O472" s="5">
        <v>45240</v>
      </c>
      <c r="P472" s="5">
        <v>43777</v>
      </c>
      <c r="Q472" s="3">
        <v>54.7</v>
      </c>
      <c r="S472">
        <f t="shared" si="21"/>
        <v>1464</v>
      </c>
      <c r="T472">
        <f t="shared" si="22"/>
        <v>16.043835616438358</v>
      </c>
      <c r="U472" s="6">
        <f t="shared" si="23"/>
        <v>0.75481375572409082</v>
      </c>
    </row>
    <row r="473" spans="1:21" x14ac:dyDescent="0.25">
      <c r="A473" t="s">
        <v>1853</v>
      </c>
      <c r="B473" t="s">
        <v>1854</v>
      </c>
      <c r="C473" t="s">
        <v>14</v>
      </c>
      <c r="D473">
        <v>615.95000000000005</v>
      </c>
      <c r="E473">
        <v>629</v>
      </c>
      <c r="F473">
        <v>615.95000000000005</v>
      </c>
      <c r="G473" s="3">
        <v>623.95000000000005</v>
      </c>
      <c r="H473">
        <v>621</v>
      </c>
      <c r="I473">
        <v>618.5</v>
      </c>
      <c r="J473">
        <v>260699</v>
      </c>
      <c r="K473">
        <v>162716136.75</v>
      </c>
      <c r="L473" s="1">
        <v>45240</v>
      </c>
      <c r="M473">
        <v>8374</v>
      </c>
      <c r="N473" t="s">
        <v>1855</v>
      </c>
      <c r="O473" s="5">
        <v>45240</v>
      </c>
      <c r="P473" s="5">
        <v>43777</v>
      </c>
      <c r="Q473" s="3">
        <v>147.5</v>
      </c>
      <c r="S473">
        <f t="shared" si="21"/>
        <v>1464</v>
      </c>
      <c r="T473">
        <f t="shared" si="22"/>
        <v>16.043835616438358</v>
      </c>
      <c r="U473" s="6">
        <f t="shared" si="23"/>
        <v>0.3762325482129949</v>
      </c>
    </row>
    <row r="474" spans="1:21" x14ac:dyDescent="0.25">
      <c r="A474" t="s">
        <v>1856</v>
      </c>
      <c r="B474" t="s">
        <v>1857</v>
      </c>
      <c r="C474" t="s">
        <v>14</v>
      </c>
      <c r="D474">
        <v>135.05000000000001</v>
      </c>
      <c r="E474">
        <v>138.19999999999999</v>
      </c>
      <c r="F474">
        <v>134.05000000000001</v>
      </c>
      <c r="G474" s="3">
        <v>135</v>
      </c>
      <c r="H474">
        <v>134.9</v>
      </c>
      <c r="I474">
        <v>135.30000000000001</v>
      </c>
      <c r="J474">
        <v>1876562</v>
      </c>
      <c r="K474">
        <v>256202040.75</v>
      </c>
      <c r="L474" s="1">
        <v>45240</v>
      </c>
      <c r="M474">
        <v>16207</v>
      </c>
      <c r="N474" t="s">
        <v>1858</v>
      </c>
      <c r="O474" s="5">
        <v>45240</v>
      </c>
      <c r="P474" s="5">
        <v>43777</v>
      </c>
      <c r="Q474" s="3">
        <v>84.1</v>
      </c>
      <c r="S474">
        <f t="shared" si="21"/>
        <v>1464</v>
      </c>
      <c r="T474">
        <f t="shared" si="22"/>
        <v>16.043835616438358</v>
      </c>
      <c r="U474" s="6">
        <f t="shared" si="23"/>
        <v>0.1197513379646189</v>
      </c>
    </row>
    <row r="475" spans="1:21" x14ac:dyDescent="0.25">
      <c r="A475" t="s">
        <v>1859</v>
      </c>
      <c r="B475" t="s">
        <v>1860</v>
      </c>
      <c r="C475" t="s">
        <v>10</v>
      </c>
      <c r="D475">
        <v>123.65</v>
      </c>
      <c r="E475">
        <v>123.65</v>
      </c>
      <c r="F475">
        <v>123.65</v>
      </c>
      <c r="G475" s="3">
        <v>123.65</v>
      </c>
      <c r="H475">
        <v>123.65</v>
      </c>
      <c r="I475">
        <v>121.25</v>
      </c>
      <c r="J475">
        <v>34605</v>
      </c>
      <c r="K475">
        <v>4278908.25</v>
      </c>
      <c r="L475" s="1">
        <v>45240</v>
      </c>
      <c r="M475">
        <v>61</v>
      </c>
      <c r="N475" t="s">
        <v>1861</v>
      </c>
      <c r="O475" s="5">
        <v>45240</v>
      </c>
      <c r="P475" s="5">
        <v>43777</v>
      </c>
      <c r="Q475" s="3">
        <v>41.8</v>
      </c>
      <c r="S475">
        <f t="shared" si="21"/>
        <v>1464</v>
      </c>
      <c r="T475">
        <f t="shared" si="22"/>
        <v>16.043835616438358</v>
      </c>
      <c r="U475" s="6">
        <f t="shared" si="23"/>
        <v>0.27974775596151069</v>
      </c>
    </row>
    <row r="476" spans="1:21" x14ac:dyDescent="0.25">
      <c r="A476" t="s">
        <v>1862</v>
      </c>
      <c r="B476" t="s">
        <v>1863</v>
      </c>
      <c r="C476" t="s">
        <v>14</v>
      </c>
      <c r="D476">
        <v>369</v>
      </c>
      <c r="E476">
        <v>371.95</v>
      </c>
      <c r="F476">
        <v>364.15</v>
      </c>
      <c r="G476" s="3">
        <v>366.55</v>
      </c>
      <c r="H476">
        <v>366.45</v>
      </c>
      <c r="I476">
        <v>370.1</v>
      </c>
      <c r="J476">
        <v>1089859</v>
      </c>
      <c r="K476">
        <v>400422245.14999998</v>
      </c>
      <c r="L476" s="1">
        <v>45240</v>
      </c>
      <c r="M476">
        <v>18646</v>
      </c>
      <c r="N476" t="s">
        <v>1864</v>
      </c>
      <c r="O476" s="5">
        <v>45240</v>
      </c>
      <c r="P476" s="5">
        <v>43777</v>
      </c>
      <c r="Q476" s="3">
        <v>120.1</v>
      </c>
      <c r="S476">
        <f t="shared" si="21"/>
        <v>1464</v>
      </c>
      <c r="T476">
        <f t="shared" si="22"/>
        <v>16.043835616438358</v>
      </c>
      <c r="U476" s="6">
        <f t="shared" si="23"/>
        <v>0.28809233890247121</v>
      </c>
    </row>
    <row r="477" spans="1:21" x14ac:dyDescent="0.25">
      <c r="A477" t="s">
        <v>1865</v>
      </c>
      <c r="B477" t="s">
        <v>1866</v>
      </c>
      <c r="C477" t="s">
        <v>14</v>
      </c>
      <c r="D477">
        <v>459.1</v>
      </c>
      <c r="E477">
        <v>473</v>
      </c>
      <c r="F477">
        <v>445</v>
      </c>
      <c r="G477" s="3">
        <v>464.35</v>
      </c>
      <c r="H477">
        <v>465.5</v>
      </c>
      <c r="I477">
        <v>455.55</v>
      </c>
      <c r="J477">
        <v>1244402</v>
      </c>
      <c r="K477">
        <v>579772733.85000002</v>
      </c>
      <c r="L477" s="1">
        <v>45240</v>
      </c>
      <c r="M477">
        <v>29139</v>
      </c>
      <c r="N477" t="s">
        <v>1867</v>
      </c>
      <c r="O477" s="5">
        <v>45240</v>
      </c>
      <c r="P477" s="5">
        <v>43777</v>
      </c>
      <c r="Q477" s="3">
        <v>302.45</v>
      </c>
      <c r="S477">
        <f t="shared" si="21"/>
        <v>1464</v>
      </c>
      <c r="T477">
        <f t="shared" si="22"/>
        <v>16.043835616438358</v>
      </c>
      <c r="U477" s="6">
        <f t="shared" si="23"/>
        <v>0.10832873923913322</v>
      </c>
    </row>
    <row r="478" spans="1:21" x14ac:dyDescent="0.25">
      <c r="A478" t="s">
        <v>1868</v>
      </c>
      <c r="B478" t="s">
        <v>1869</v>
      </c>
      <c r="C478" t="s">
        <v>14</v>
      </c>
      <c r="D478">
        <v>1930.05</v>
      </c>
      <c r="E478">
        <v>1947.8</v>
      </c>
      <c r="F478">
        <v>1921.2</v>
      </c>
      <c r="G478" s="3">
        <v>1943</v>
      </c>
      <c r="H478">
        <v>1945.65</v>
      </c>
      <c r="I478">
        <v>1935</v>
      </c>
      <c r="J478">
        <v>192889</v>
      </c>
      <c r="K478">
        <v>373617060.60000002</v>
      </c>
      <c r="L478" s="1">
        <v>45240</v>
      </c>
      <c r="M478">
        <v>16966</v>
      </c>
      <c r="N478" t="s">
        <v>1870</v>
      </c>
      <c r="O478" s="5">
        <v>45240</v>
      </c>
      <c r="P478" s="5">
        <v>43777</v>
      </c>
      <c r="Q478" s="3">
        <v>774</v>
      </c>
      <c r="S478">
        <f t="shared" si="21"/>
        <v>1464</v>
      </c>
      <c r="T478">
        <f t="shared" si="22"/>
        <v>16.043835616438358</v>
      </c>
      <c r="U478" s="6">
        <f t="shared" si="23"/>
        <v>0.23618551716503511</v>
      </c>
    </row>
    <row r="479" spans="1:21" x14ac:dyDescent="0.25">
      <c r="A479" t="s">
        <v>1871</v>
      </c>
      <c r="B479" t="s">
        <v>1872</v>
      </c>
      <c r="C479" t="s">
        <v>14</v>
      </c>
      <c r="D479">
        <v>1126.5</v>
      </c>
      <c r="E479">
        <v>1126.5</v>
      </c>
      <c r="F479">
        <v>1086.4000000000001</v>
      </c>
      <c r="G479" s="3">
        <v>1098.95</v>
      </c>
      <c r="H479">
        <v>1114.9000000000001</v>
      </c>
      <c r="I479">
        <v>1116.75</v>
      </c>
      <c r="J479">
        <v>95128</v>
      </c>
      <c r="K479">
        <v>105039297.05</v>
      </c>
      <c r="L479" s="1">
        <v>45240</v>
      </c>
      <c r="M479">
        <v>8761</v>
      </c>
      <c r="N479" t="s">
        <v>1873</v>
      </c>
      <c r="O479" s="5">
        <v>45240</v>
      </c>
      <c r="P479" s="5">
        <v>43777</v>
      </c>
      <c r="Q479" s="3">
        <v>42.5</v>
      </c>
      <c r="S479">
        <f t="shared" si="21"/>
        <v>1464</v>
      </c>
      <c r="T479">
        <f t="shared" si="22"/>
        <v>16.043835616438358</v>
      </c>
      <c r="U479" s="6">
        <f t="shared" si="23"/>
        <v>0.89897906118793269</v>
      </c>
    </row>
    <row r="480" spans="1:21" x14ac:dyDescent="0.25">
      <c r="A480" t="s">
        <v>1874</v>
      </c>
      <c r="B480" t="s">
        <v>1875</v>
      </c>
      <c r="C480" t="s">
        <v>14</v>
      </c>
      <c r="D480">
        <v>130.80000000000001</v>
      </c>
      <c r="E480">
        <v>131.65</v>
      </c>
      <c r="F480">
        <v>128.55000000000001</v>
      </c>
      <c r="G480" s="3">
        <v>129.1</v>
      </c>
      <c r="H480">
        <v>129.19999999999999</v>
      </c>
      <c r="I480">
        <v>130.80000000000001</v>
      </c>
      <c r="J480">
        <v>440529</v>
      </c>
      <c r="K480">
        <v>57185109.450000003</v>
      </c>
      <c r="L480" s="1">
        <v>45240</v>
      </c>
      <c r="M480">
        <v>6039</v>
      </c>
      <c r="N480" t="s">
        <v>1876</v>
      </c>
      <c r="O480" s="5">
        <v>45240</v>
      </c>
      <c r="P480" s="5">
        <v>43777</v>
      </c>
      <c r="Q480" s="3">
        <v>133.75</v>
      </c>
      <c r="S480">
        <f t="shared" si="21"/>
        <v>1464</v>
      </c>
      <c r="T480">
        <f t="shared" si="22"/>
        <v>16.043835616438358</v>
      </c>
      <c r="U480" s="6">
        <f t="shared" si="23"/>
        <v>-8.8123803020945246E-3</v>
      </c>
    </row>
    <row r="481" spans="1:21" x14ac:dyDescent="0.25">
      <c r="A481" t="s">
        <v>1877</v>
      </c>
      <c r="B481" t="s">
        <v>1878</v>
      </c>
      <c r="C481" t="s">
        <v>14</v>
      </c>
      <c r="D481">
        <v>537.70000000000005</v>
      </c>
      <c r="E481">
        <v>564.70000000000005</v>
      </c>
      <c r="F481">
        <v>531.1</v>
      </c>
      <c r="G481" s="3">
        <v>559.15</v>
      </c>
      <c r="H481">
        <v>558.5</v>
      </c>
      <c r="I481">
        <v>537.54999999999995</v>
      </c>
      <c r="J481">
        <v>88083</v>
      </c>
      <c r="K481">
        <v>48972957.200000003</v>
      </c>
      <c r="L481" s="1">
        <v>45240</v>
      </c>
      <c r="M481">
        <v>4253</v>
      </c>
      <c r="N481" t="s">
        <v>1879</v>
      </c>
      <c r="O481" s="5">
        <v>45240</v>
      </c>
      <c r="P481" s="5">
        <v>43777</v>
      </c>
      <c r="Q481" s="3">
        <v>961.8</v>
      </c>
      <c r="S481">
        <f t="shared" si="21"/>
        <v>1464</v>
      </c>
      <c r="T481">
        <f t="shared" si="22"/>
        <v>16.043835616438358</v>
      </c>
      <c r="U481" s="6">
        <f t="shared" si="23"/>
        <v>-0.132966464013347</v>
      </c>
    </row>
    <row r="482" spans="1:21" x14ac:dyDescent="0.25">
      <c r="A482" t="s">
        <v>1880</v>
      </c>
      <c r="B482" t="s">
        <v>1881</v>
      </c>
      <c r="C482" t="s">
        <v>14</v>
      </c>
      <c r="D482">
        <v>326.14999999999998</v>
      </c>
      <c r="E482">
        <v>327.95</v>
      </c>
      <c r="F482">
        <v>319.89999999999998</v>
      </c>
      <c r="G482" s="3">
        <v>322.85000000000002</v>
      </c>
      <c r="H482">
        <v>324.10000000000002</v>
      </c>
      <c r="I482">
        <v>326.14999999999998</v>
      </c>
      <c r="J482">
        <v>284107</v>
      </c>
      <c r="K482">
        <v>91778839.5</v>
      </c>
      <c r="L482" s="1">
        <v>45240</v>
      </c>
      <c r="M482">
        <v>19892</v>
      </c>
      <c r="N482" t="s">
        <v>1882</v>
      </c>
      <c r="O482" s="5">
        <v>45240</v>
      </c>
      <c r="P482" s="5">
        <v>43777</v>
      </c>
      <c r="Q482" s="3">
        <v>40.35</v>
      </c>
      <c r="S482">
        <f t="shared" si="21"/>
        <v>1464</v>
      </c>
      <c r="T482">
        <f t="shared" si="22"/>
        <v>16.043835616438358</v>
      </c>
      <c r="U482" s="6">
        <f t="shared" si="23"/>
        <v>0.55358126829743792</v>
      </c>
    </row>
    <row r="483" spans="1:21" x14ac:dyDescent="0.25">
      <c r="A483" t="s">
        <v>1883</v>
      </c>
      <c r="B483" t="s">
        <v>1884</v>
      </c>
      <c r="C483" t="s">
        <v>14</v>
      </c>
      <c r="D483">
        <v>185</v>
      </c>
      <c r="E483">
        <v>185</v>
      </c>
      <c r="F483">
        <v>182.5</v>
      </c>
      <c r="G483" s="3">
        <v>183.45</v>
      </c>
      <c r="H483">
        <v>183</v>
      </c>
      <c r="I483">
        <v>185.25</v>
      </c>
      <c r="J483">
        <v>239545</v>
      </c>
      <c r="K483">
        <v>43948927.25</v>
      </c>
      <c r="L483" s="1">
        <v>45240</v>
      </c>
      <c r="M483">
        <v>5146</v>
      </c>
      <c r="N483" t="s">
        <v>1885</v>
      </c>
      <c r="O483" s="5">
        <v>45240</v>
      </c>
      <c r="P483" s="5">
        <v>43777</v>
      </c>
      <c r="Q483" s="3">
        <v>161.30000000000001</v>
      </c>
      <c r="S483">
        <f t="shared" si="21"/>
        <v>1464</v>
      </c>
      <c r="T483">
        <f t="shared" si="22"/>
        <v>16.043835616438358</v>
      </c>
      <c r="U483" s="6">
        <f t="shared" si="23"/>
        <v>3.2210142495142868E-2</v>
      </c>
    </row>
    <row r="484" spans="1:21" x14ac:dyDescent="0.25">
      <c r="A484" t="s">
        <v>1886</v>
      </c>
      <c r="B484" t="s">
        <v>1887</v>
      </c>
      <c r="C484" t="s">
        <v>14</v>
      </c>
      <c r="D484">
        <v>17.95</v>
      </c>
      <c r="E484">
        <v>18.350000000000001</v>
      </c>
      <c r="F484">
        <v>16.649999999999999</v>
      </c>
      <c r="G484" s="3">
        <v>17.350000000000001</v>
      </c>
      <c r="H484">
        <v>17.45</v>
      </c>
      <c r="I484">
        <v>17.5</v>
      </c>
      <c r="J484">
        <v>54246198</v>
      </c>
      <c r="K484">
        <v>956185466.54999995</v>
      </c>
      <c r="L484" s="1">
        <v>45240</v>
      </c>
      <c r="M484">
        <v>37097</v>
      </c>
      <c r="N484" t="s">
        <v>1888</v>
      </c>
      <c r="O484" s="5">
        <v>45240</v>
      </c>
      <c r="P484" s="5">
        <v>43777</v>
      </c>
      <c r="Q484" s="3">
        <v>1.6</v>
      </c>
      <c r="S484">
        <f t="shared" si="21"/>
        <v>1464</v>
      </c>
      <c r="T484">
        <f t="shared" si="22"/>
        <v>16.043835616438358</v>
      </c>
      <c r="U484" s="6">
        <f t="shared" si="23"/>
        <v>0.64068336494533096</v>
      </c>
    </row>
    <row r="485" spans="1:21" x14ac:dyDescent="0.25">
      <c r="A485" t="s">
        <v>1889</v>
      </c>
      <c r="B485" t="s">
        <v>1890</v>
      </c>
      <c r="C485" t="s">
        <v>14</v>
      </c>
      <c r="D485">
        <v>2099.9</v>
      </c>
      <c r="E485">
        <v>2099.9</v>
      </c>
      <c r="F485">
        <v>2052</v>
      </c>
      <c r="G485" s="3">
        <v>2066.1</v>
      </c>
      <c r="H485">
        <v>2070</v>
      </c>
      <c r="I485">
        <v>2097.0500000000002</v>
      </c>
      <c r="J485">
        <v>76264</v>
      </c>
      <c r="K485">
        <v>157807577.80000001</v>
      </c>
      <c r="L485" s="1">
        <v>45240</v>
      </c>
      <c r="M485">
        <v>7617</v>
      </c>
      <c r="N485" t="s">
        <v>1891</v>
      </c>
      <c r="O485" s="5">
        <v>45240</v>
      </c>
      <c r="P485" s="5">
        <v>43777</v>
      </c>
      <c r="Q485" s="3">
        <v>590.45000000000005</v>
      </c>
      <c r="S485">
        <f t="shared" si="21"/>
        <v>1464</v>
      </c>
      <c r="T485">
        <f t="shared" si="22"/>
        <v>16.043835616438358</v>
      </c>
      <c r="U485" s="6">
        <f t="shared" si="23"/>
        <v>0.32479089221944957</v>
      </c>
    </row>
    <row r="486" spans="1:21" x14ac:dyDescent="0.25">
      <c r="A486" t="s">
        <v>1901</v>
      </c>
      <c r="B486" t="s">
        <v>1902</v>
      </c>
      <c r="C486" t="s">
        <v>14</v>
      </c>
      <c r="D486">
        <v>3851.45</v>
      </c>
      <c r="E486">
        <v>3897</v>
      </c>
      <c r="F486">
        <v>3820</v>
      </c>
      <c r="G486" s="3">
        <v>3851.65</v>
      </c>
      <c r="H486">
        <v>3850</v>
      </c>
      <c r="I486">
        <v>3855</v>
      </c>
      <c r="J486">
        <v>831</v>
      </c>
      <c r="K486">
        <v>3202576.8</v>
      </c>
      <c r="L486" s="1">
        <v>45240</v>
      </c>
      <c r="M486">
        <v>105</v>
      </c>
      <c r="N486" t="s">
        <v>1903</v>
      </c>
      <c r="O486" s="5">
        <v>45240</v>
      </c>
      <c r="P486" s="5">
        <v>43777</v>
      </c>
      <c r="Q486" s="3">
        <v>881.6</v>
      </c>
      <c r="S486">
        <f t="shared" si="21"/>
        <v>1464</v>
      </c>
      <c r="T486">
        <f t="shared" si="22"/>
        <v>16.043835616438358</v>
      </c>
      <c r="U486" s="6">
        <f t="shared" si="23"/>
        <v>0.38504535600195844</v>
      </c>
    </row>
    <row r="487" spans="1:21" x14ac:dyDescent="0.25">
      <c r="A487" t="s">
        <v>1904</v>
      </c>
      <c r="B487" t="s">
        <v>1905</v>
      </c>
      <c r="C487" t="s">
        <v>14</v>
      </c>
      <c r="D487">
        <v>783.3</v>
      </c>
      <c r="E487">
        <v>791.25</v>
      </c>
      <c r="F487">
        <v>771</v>
      </c>
      <c r="G487" s="3">
        <v>774</v>
      </c>
      <c r="H487">
        <v>772.4</v>
      </c>
      <c r="I487">
        <v>779.4</v>
      </c>
      <c r="J487">
        <v>588785</v>
      </c>
      <c r="K487">
        <v>460446774</v>
      </c>
      <c r="L487" s="1">
        <v>45240</v>
      </c>
      <c r="M487">
        <v>19598</v>
      </c>
      <c r="N487" t="s">
        <v>1906</v>
      </c>
      <c r="O487" s="5">
        <v>45240</v>
      </c>
      <c r="P487" s="5">
        <v>43777</v>
      </c>
      <c r="Q487" s="3">
        <v>226.35</v>
      </c>
      <c r="S487">
        <f t="shared" si="21"/>
        <v>1464</v>
      </c>
      <c r="T487">
        <f t="shared" si="22"/>
        <v>16.043835616438358</v>
      </c>
      <c r="U487" s="6">
        <f t="shared" si="23"/>
        <v>0.31858367206111549</v>
      </c>
    </row>
    <row r="488" spans="1:21" x14ac:dyDescent="0.25">
      <c r="A488" t="s">
        <v>1910</v>
      </c>
      <c r="B488" t="s">
        <v>1911</v>
      </c>
      <c r="C488" t="s">
        <v>14</v>
      </c>
      <c r="D488">
        <v>182</v>
      </c>
      <c r="E488">
        <v>182.9</v>
      </c>
      <c r="F488">
        <v>179.1</v>
      </c>
      <c r="G488" s="3">
        <v>180.95</v>
      </c>
      <c r="H488">
        <v>180.8</v>
      </c>
      <c r="I488">
        <v>182.3</v>
      </c>
      <c r="J488">
        <v>4089185</v>
      </c>
      <c r="K488">
        <v>739573889.45000005</v>
      </c>
      <c r="L488" s="1">
        <v>45240</v>
      </c>
      <c r="M488">
        <v>24555</v>
      </c>
      <c r="N488" t="s">
        <v>1912</v>
      </c>
      <c r="O488" s="5">
        <v>45240</v>
      </c>
      <c r="P488" s="5">
        <v>43777</v>
      </c>
      <c r="Q488" s="3">
        <v>77.75</v>
      </c>
      <c r="S488">
        <f t="shared" si="21"/>
        <v>1464</v>
      </c>
      <c r="T488">
        <f t="shared" si="22"/>
        <v>16.043835616438358</v>
      </c>
      <c r="U488" s="6">
        <f t="shared" si="23"/>
        <v>0.21624638309648336</v>
      </c>
    </row>
    <row r="489" spans="1:21" x14ac:dyDescent="0.25">
      <c r="A489" t="s">
        <v>1916</v>
      </c>
      <c r="B489" t="s">
        <v>1917</v>
      </c>
      <c r="C489" t="s">
        <v>14</v>
      </c>
      <c r="D489">
        <v>272</v>
      </c>
      <c r="E489">
        <v>275.8</v>
      </c>
      <c r="F489">
        <v>270.75</v>
      </c>
      <c r="G489" s="3">
        <v>274.39999999999998</v>
      </c>
      <c r="H489">
        <v>274.45</v>
      </c>
      <c r="I489">
        <v>270.2</v>
      </c>
      <c r="J489">
        <v>578232</v>
      </c>
      <c r="K489">
        <v>158704871.25</v>
      </c>
      <c r="L489" s="1">
        <v>45240</v>
      </c>
      <c r="M489">
        <v>17043</v>
      </c>
      <c r="N489" t="s">
        <v>1918</v>
      </c>
      <c r="O489" s="5">
        <v>45240</v>
      </c>
      <c r="P489" s="5">
        <v>43777</v>
      </c>
      <c r="Q489" s="3">
        <v>213.7</v>
      </c>
      <c r="S489">
        <f t="shared" si="21"/>
        <v>1464</v>
      </c>
      <c r="T489">
        <f t="shared" si="22"/>
        <v>16.043835616438358</v>
      </c>
      <c r="U489" s="6">
        <f t="shared" si="23"/>
        <v>6.2820861637984393E-2</v>
      </c>
    </row>
    <row r="490" spans="1:21" x14ac:dyDescent="0.25">
      <c r="A490" t="s">
        <v>1919</v>
      </c>
      <c r="B490" t="s">
        <v>1920</v>
      </c>
      <c r="C490" t="s">
        <v>14</v>
      </c>
      <c r="D490">
        <v>194</v>
      </c>
      <c r="E490">
        <v>194.95</v>
      </c>
      <c r="F490">
        <v>189.05</v>
      </c>
      <c r="G490" s="3">
        <v>189.95</v>
      </c>
      <c r="H490">
        <v>189.9</v>
      </c>
      <c r="I490">
        <v>193.05</v>
      </c>
      <c r="J490">
        <v>19562</v>
      </c>
      <c r="K490">
        <v>3723758.35</v>
      </c>
      <c r="L490" s="1">
        <v>45240</v>
      </c>
      <c r="M490">
        <v>732</v>
      </c>
      <c r="N490" t="s">
        <v>1921</v>
      </c>
      <c r="O490" s="5">
        <v>45240</v>
      </c>
      <c r="P490" s="5">
        <v>43777</v>
      </c>
      <c r="Q490" s="3">
        <v>34.4</v>
      </c>
      <c r="S490">
        <f t="shared" si="21"/>
        <v>1464</v>
      </c>
      <c r="T490">
        <f t="shared" si="22"/>
        <v>16.043835616438358</v>
      </c>
      <c r="U490" s="6">
        <f t="shared" si="23"/>
        <v>0.44952164050477261</v>
      </c>
    </row>
    <row r="491" spans="1:21" x14ac:dyDescent="0.25">
      <c r="A491" t="s">
        <v>1925</v>
      </c>
      <c r="B491" t="s">
        <v>1926</v>
      </c>
      <c r="C491" t="s">
        <v>10</v>
      </c>
      <c r="D491">
        <v>8.85</v>
      </c>
      <c r="E491">
        <v>8.85</v>
      </c>
      <c r="F491">
        <v>8.85</v>
      </c>
      <c r="G491" s="3">
        <v>8.85</v>
      </c>
      <c r="H491">
        <v>8.85</v>
      </c>
      <c r="I491">
        <v>9</v>
      </c>
      <c r="J491">
        <v>76766</v>
      </c>
      <c r="K491">
        <v>679379.1</v>
      </c>
      <c r="L491" s="1">
        <v>45240</v>
      </c>
      <c r="M491">
        <v>158</v>
      </c>
      <c r="N491" t="s">
        <v>1927</v>
      </c>
      <c r="O491" s="5">
        <v>45240</v>
      </c>
      <c r="P491" s="5">
        <v>43777</v>
      </c>
      <c r="Q491" s="3">
        <v>1.4</v>
      </c>
      <c r="S491">
        <f t="shared" si="21"/>
        <v>1464</v>
      </c>
      <c r="T491">
        <f t="shared" si="22"/>
        <v>16.043835616438358</v>
      </c>
      <c r="U491" s="6">
        <f t="shared" si="23"/>
        <v>0.48718724269104285</v>
      </c>
    </row>
    <row r="492" spans="1:21" x14ac:dyDescent="0.25">
      <c r="A492" t="s">
        <v>1928</v>
      </c>
      <c r="B492" t="s">
        <v>1929</v>
      </c>
      <c r="C492" t="s">
        <v>14</v>
      </c>
      <c r="D492">
        <v>1.1000000000000001</v>
      </c>
      <c r="E492">
        <v>1.1499999999999999</v>
      </c>
      <c r="F492">
        <v>1.1000000000000001</v>
      </c>
      <c r="G492" s="3">
        <v>1.1000000000000001</v>
      </c>
      <c r="H492">
        <v>1.1000000000000001</v>
      </c>
      <c r="I492">
        <v>1.1499999999999999</v>
      </c>
      <c r="J492">
        <v>24647502</v>
      </c>
      <c r="K492">
        <v>27115039.449999999</v>
      </c>
      <c r="L492" s="1">
        <v>45240</v>
      </c>
      <c r="M492">
        <v>7309</v>
      </c>
      <c r="N492" t="s">
        <v>1930</v>
      </c>
      <c r="O492" s="5">
        <v>45240</v>
      </c>
      <c r="P492" s="5">
        <v>43777</v>
      </c>
      <c r="Q492" s="3">
        <v>0.45</v>
      </c>
      <c r="S492">
        <f t="shared" si="21"/>
        <v>1464</v>
      </c>
      <c r="T492">
        <f t="shared" si="22"/>
        <v>16.043835616438358</v>
      </c>
      <c r="U492" s="6">
        <f t="shared" si="23"/>
        <v>0.22916826276865709</v>
      </c>
    </row>
    <row r="493" spans="1:21" x14ac:dyDescent="0.25">
      <c r="A493" t="s">
        <v>1931</v>
      </c>
      <c r="B493" t="s">
        <v>1932</v>
      </c>
      <c r="C493" t="s">
        <v>14</v>
      </c>
      <c r="D493">
        <v>171.95</v>
      </c>
      <c r="E493">
        <v>177</v>
      </c>
      <c r="F493">
        <v>168.7</v>
      </c>
      <c r="G493" s="3">
        <v>175.5</v>
      </c>
      <c r="H493">
        <v>176</v>
      </c>
      <c r="I493">
        <v>171.95</v>
      </c>
      <c r="J493">
        <v>75214</v>
      </c>
      <c r="K493">
        <v>13065571.699999999</v>
      </c>
      <c r="L493" s="1">
        <v>45240</v>
      </c>
      <c r="M493">
        <v>1654</v>
      </c>
      <c r="N493" t="s">
        <v>1933</v>
      </c>
      <c r="O493" s="5">
        <v>45240</v>
      </c>
      <c r="P493" s="5">
        <v>43777</v>
      </c>
      <c r="Q493" s="3">
        <v>70.8</v>
      </c>
      <c r="S493">
        <f t="shared" si="21"/>
        <v>1464</v>
      </c>
      <c r="T493">
        <f t="shared" si="22"/>
        <v>16.043835616438358</v>
      </c>
      <c r="U493" s="6">
        <f t="shared" si="23"/>
        <v>0.23285030317467825</v>
      </c>
    </row>
    <row r="494" spans="1:21" x14ac:dyDescent="0.25">
      <c r="A494" t="s">
        <v>1934</v>
      </c>
      <c r="B494" t="s">
        <v>1935</v>
      </c>
      <c r="C494" t="s">
        <v>14</v>
      </c>
      <c r="D494">
        <v>268.8</v>
      </c>
      <c r="E494">
        <v>272.7</v>
      </c>
      <c r="F494">
        <v>259.75</v>
      </c>
      <c r="G494" s="3">
        <v>262</v>
      </c>
      <c r="H494">
        <v>260.3</v>
      </c>
      <c r="I494">
        <v>266.25</v>
      </c>
      <c r="J494">
        <v>119707</v>
      </c>
      <c r="K494">
        <v>31693822.399999999</v>
      </c>
      <c r="L494" s="1">
        <v>45240</v>
      </c>
      <c r="M494">
        <v>4477</v>
      </c>
      <c r="N494" t="s">
        <v>1936</v>
      </c>
      <c r="O494" s="5">
        <v>45240</v>
      </c>
      <c r="P494" s="5">
        <v>43777</v>
      </c>
      <c r="Q494" s="3">
        <v>70.2</v>
      </c>
      <c r="S494">
        <f t="shared" si="21"/>
        <v>1464</v>
      </c>
      <c r="T494">
        <f t="shared" si="22"/>
        <v>16.043835616438358</v>
      </c>
      <c r="U494" s="6">
        <f t="shared" si="23"/>
        <v>0.34220257994772396</v>
      </c>
    </row>
    <row r="495" spans="1:21" x14ac:dyDescent="0.25">
      <c r="A495" t="s">
        <v>1937</v>
      </c>
      <c r="B495" t="s">
        <v>1938</v>
      </c>
      <c r="C495" t="s">
        <v>14</v>
      </c>
      <c r="D495">
        <v>721</v>
      </c>
      <c r="E495">
        <v>729.85</v>
      </c>
      <c r="F495">
        <v>717.05</v>
      </c>
      <c r="G495" s="3">
        <v>724.05</v>
      </c>
      <c r="H495">
        <v>723.55</v>
      </c>
      <c r="I495">
        <v>719.1</v>
      </c>
      <c r="J495">
        <v>75329</v>
      </c>
      <c r="K495">
        <v>54372754.049999997</v>
      </c>
      <c r="L495" s="1">
        <v>45240</v>
      </c>
      <c r="M495">
        <v>6038</v>
      </c>
      <c r="N495" t="s">
        <v>1939</v>
      </c>
      <c r="O495" s="5">
        <v>45240</v>
      </c>
      <c r="P495" s="5">
        <v>43777</v>
      </c>
      <c r="Q495" s="3">
        <v>415.3</v>
      </c>
      <c r="S495">
        <f t="shared" si="21"/>
        <v>1464</v>
      </c>
      <c r="T495">
        <f t="shared" si="22"/>
        <v>16.043835616438358</v>
      </c>
      <c r="U495" s="6">
        <f t="shared" si="23"/>
        <v>0.14101383711873083</v>
      </c>
    </row>
    <row r="496" spans="1:21" x14ac:dyDescent="0.25">
      <c r="A496" t="s">
        <v>1940</v>
      </c>
      <c r="B496" t="s">
        <v>1941</v>
      </c>
      <c r="C496" t="s">
        <v>14</v>
      </c>
      <c r="D496">
        <v>218.9</v>
      </c>
      <c r="E496">
        <v>221.7</v>
      </c>
      <c r="F496">
        <v>214</v>
      </c>
      <c r="G496" s="3">
        <v>216</v>
      </c>
      <c r="H496">
        <v>215.1</v>
      </c>
      <c r="I496">
        <v>214.45</v>
      </c>
      <c r="J496">
        <v>12047</v>
      </c>
      <c r="K496">
        <v>2639202.9</v>
      </c>
      <c r="L496" s="1">
        <v>45240</v>
      </c>
      <c r="M496">
        <v>242</v>
      </c>
      <c r="N496" t="s">
        <v>1942</v>
      </c>
      <c r="O496" s="5">
        <v>45240</v>
      </c>
      <c r="P496" s="5">
        <v>43777</v>
      </c>
      <c r="Q496" s="3">
        <v>129.55000000000001</v>
      </c>
      <c r="S496">
        <f t="shared" si="21"/>
        <v>1464</v>
      </c>
      <c r="T496">
        <f t="shared" si="22"/>
        <v>16.043835616438358</v>
      </c>
      <c r="U496" s="6">
        <f t="shared" si="23"/>
        <v>0.12950598198823915</v>
      </c>
    </row>
    <row r="497" spans="1:21" x14ac:dyDescent="0.25">
      <c r="A497" t="s">
        <v>1943</v>
      </c>
      <c r="B497" t="s">
        <v>1944</v>
      </c>
      <c r="C497" t="s">
        <v>14</v>
      </c>
      <c r="D497">
        <v>413.65</v>
      </c>
      <c r="E497">
        <v>420</v>
      </c>
      <c r="F497">
        <v>412</v>
      </c>
      <c r="G497" s="3">
        <v>417.55</v>
      </c>
      <c r="H497">
        <v>417.25</v>
      </c>
      <c r="I497">
        <v>413.6</v>
      </c>
      <c r="J497">
        <v>232630</v>
      </c>
      <c r="K497">
        <v>96669681.200000003</v>
      </c>
      <c r="L497" s="1">
        <v>45240</v>
      </c>
      <c r="M497">
        <v>6542</v>
      </c>
      <c r="N497" t="s">
        <v>1945</v>
      </c>
      <c r="O497" s="5">
        <v>45240</v>
      </c>
      <c r="P497" s="5">
        <v>43777</v>
      </c>
      <c r="Q497" s="3">
        <v>196.35</v>
      </c>
      <c r="S497">
        <f t="shared" si="21"/>
        <v>1464</v>
      </c>
      <c r="T497">
        <f t="shared" si="22"/>
        <v>16.043835616438358</v>
      </c>
      <c r="U497" s="6">
        <f t="shared" si="23"/>
        <v>0.19260438631317633</v>
      </c>
    </row>
    <row r="498" spans="1:21" x14ac:dyDescent="0.25">
      <c r="A498" t="s">
        <v>1949</v>
      </c>
      <c r="B498" t="s">
        <v>1950</v>
      </c>
      <c r="C498" t="s">
        <v>14</v>
      </c>
      <c r="D498">
        <v>600</v>
      </c>
      <c r="E498">
        <v>617.9</v>
      </c>
      <c r="F498">
        <v>600</v>
      </c>
      <c r="G498" s="3">
        <v>611.75</v>
      </c>
      <c r="H498">
        <v>609.9</v>
      </c>
      <c r="I498">
        <v>608.45000000000005</v>
      </c>
      <c r="J498">
        <v>96233</v>
      </c>
      <c r="K498">
        <v>58871682.850000001</v>
      </c>
      <c r="L498" s="1">
        <v>45240</v>
      </c>
      <c r="M498">
        <v>6744</v>
      </c>
      <c r="N498" t="s">
        <v>1951</v>
      </c>
      <c r="O498" s="5">
        <v>45240</v>
      </c>
      <c r="P498" s="5">
        <v>43777</v>
      </c>
      <c r="Q498" s="3">
        <v>858.3</v>
      </c>
      <c r="S498">
        <f t="shared" si="21"/>
        <v>1464</v>
      </c>
      <c r="T498">
        <f t="shared" si="22"/>
        <v>16.043835616438358</v>
      </c>
      <c r="U498" s="6">
        <f t="shared" si="23"/>
        <v>-8.3541454744341603E-2</v>
      </c>
    </row>
    <row r="499" spans="1:21" x14ac:dyDescent="0.25">
      <c r="A499" t="s">
        <v>1952</v>
      </c>
      <c r="B499" t="s">
        <v>1953</v>
      </c>
      <c r="C499" t="s">
        <v>10</v>
      </c>
      <c r="D499">
        <v>55.3</v>
      </c>
      <c r="E499">
        <v>55.5</v>
      </c>
      <c r="F499">
        <v>53.25</v>
      </c>
      <c r="G499" s="3">
        <v>55.3</v>
      </c>
      <c r="H499">
        <v>54.35</v>
      </c>
      <c r="I499">
        <v>55.35</v>
      </c>
      <c r="J499">
        <v>21060</v>
      </c>
      <c r="K499">
        <v>1157975.7</v>
      </c>
      <c r="L499" s="1">
        <v>45240</v>
      </c>
      <c r="M499">
        <v>206</v>
      </c>
      <c r="N499" t="s">
        <v>1954</v>
      </c>
      <c r="O499" s="5">
        <v>45240</v>
      </c>
      <c r="P499" s="5">
        <v>43777</v>
      </c>
      <c r="Q499" s="3">
        <v>39</v>
      </c>
      <c r="S499">
        <f t="shared" si="21"/>
        <v>1464</v>
      </c>
      <c r="T499">
        <f t="shared" si="22"/>
        <v>16.043835616438358</v>
      </c>
      <c r="U499" s="6">
        <f t="shared" si="23"/>
        <v>8.8018719189601136E-2</v>
      </c>
    </row>
    <row r="500" spans="1:21" x14ac:dyDescent="0.25">
      <c r="A500" t="s">
        <v>1955</v>
      </c>
      <c r="B500" t="s">
        <v>1956</v>
      </c>
      <c r="C500" t="s">
        <v>14</v>
      </c>
      <c r="D500">
        <v>199</v>
      </c>
      <c r="E500">
        <v>201.75</v>
      </c>
      <c r="F500">
        <v>196.75</v>
      </c>
      <c r="G500" s="3">
        <v>197.9</v>
      </c>
      <c r="H500">
        <v>197.4</v>
      </c>
      <c r="I500">
        <v>198.85</v>
      </c>
      <c r="J500">
        <v>63259</v>
      </c>
      <c r="K500">
        <v>12582680.9</v>
      </c>
      <c r="L500" s="1">
        <v>45240</v>
      </c>
      <c r="M500">
        <v>2319</v>
      </c>
      <c r="N500" t="s">
        <v>1957</v>
      </c>
      <c r="O500" s="5">
        <v>45240</v>
      </c>
      <c r="P500" s="5">
        <v>43777</v>
      </c>
      <c r="Q500" s="3">
        <v>42.4</v>
      </c>
      <c r="S500">
        <f t="shared" si="21"/>
        <v>1464</v>
      </c>
      <c r="T500">
        <f t="shared" si="22"/>
        <v>16.043835616438358</v>
      </c>
      <c r="U500" s="6">
        <f t="shared" si="23"/>
        <v>0.40314747914813776</v>
      </c>
    </row>
    <row r="501" spans="1:21" x14ac:dyDescent="0.25">
      <c r="A501" t="s">
        <v>1958</v>
      </c>
      <c r="B501" t="s">
        <v>1959</v>
      </c>
      <c r="C501" t="s">
        <v>10</v>
      </c>
      <c r="D501">
        <v>9.5</v>
      </c>
      <c r="E501">
        <v>9.5</v>
      </c>
      <c r="F501">
        <v>9.5</v>
      </c>
      <c r="G501" s="3">
        <v>9.5</v>
      </c>
      <c r="H501">
        <v>9.5</v>
      </c>
      <c r="I501">
        <v>9.0500000000000007</v>
      </c>
      <c r="J501">
        <v>2126286</v>
      </c>
      <c r="K501">
        <v>20199717</v>
      </c>
      <c r="L501" s="1">
        <v>45240</v>
      </c>
      <c r="M501">
        <v>1561</v>
      </c>
      <c r="N501" t="s">
        <v>1960</v>
      </c>
      <c r="O501" s="5">
        <v>45240</v>
      </c>
      <c r="P501" s="5">
        <v>43777</v>
      </c>
      <c r="Q501" s="3">
        <v>4.8499999999999996</v>
      </c>
      <c r="S501">
        <f t="shared" si="21"/>
        <v>1464</v>
      </c>
      <c r="T501">
        <f t="shared" si="22"/>
        <v>16.043835616438358</v>
      </c>
      <c r="U501" s="6">
        <f t="shared" si="23"/>
        <v>0.17118063613554213</v>
      </c>
    </row>
    <row r="502" spans="1:21" x14ac:dyDescent="0.25">
      <c r="A502" t="s">
        <v>1964</v>
      </c>
      <c r="B502" t="s">
        <v>1965</v>
      </c>
      <c r="C502" t="s">
        <v>14</v>
      </c>
      <c r="D502">
        <v>2041.65</v>
      </c>
      <c r="E502">
        <v>2110.9499999999998</v>
      </c>
      <c r="F502">
        <v>1995</v>
      </c>
      <c r="G502" s="3">
        <v>2058.9</v>
      </c>
      <c r="H502">
        <v>2056</v>
      </c>
      <c r="I502">
        <v>2030.8</v>
      </c>
      <c r="J502">
        <v>4755794</v>
      </c>
      <c r="K502">
        <v>9814592816.2999992</v>
      </c>
      <c r="L502" s="1">
        <v>45240</v>
      </c>
      <c r="M502">
        <v>199569</v>
      </c>
      <c r="N502" t="s">
        <v>1966</v>
      </c>
      <c r="O502" s="5">
        <v>45240</v>
      </c>
      <c r="P502" s="5">
        <v>43777</v>
      </c>
      <c r="Q502" s="3">
        <v>759.05</v>
      </c>
      <c r="S502">
        <f t="shared" si="21"/>
        <v>1464</v>
      </c>
      <c r="T502">
        <f t="shared" si="22"/>
        <v>16.043835616438358</v>
      </c>
      <c r="U502" s="6">
        <f t="shared" si="23"/>
        <v>0.25668283433126415</v>
      </c>
    </row>
    <row r="503" spans="1:21" x14ac:dyDescent="0.25">
      <c r="A503" t="s">
        <v>1976</v>
      </c>
      <c r="B503" t="s">
        <v>1977</v>
      </c>
      <c r="C503" t="s">
        <v>14</v>
      </c>
      <c r="D503">
        <v>145.15</v>
      </c>
      <c r="E503">
        <v>145.80000000000001</v>
      </c>
      <c r="F503">
        <v>143.75</v>
      </c>
      <c r="G503" s="3">
        <v>144</v>
      </c>
      <c r="H503">
        <v>144.80000000000001</v>
      </c>
      <c r="I503">
        <v>146.1</v>
      </c>
      <c r="J503">
        <v>9513</v>
      </c>
      <c r="K503">
        <v>1374052.15</v>
      </c>
      <c r="L503" s="1">
        <v>45240</v>
      </c>
      <c r="M503">
        <v>309</v>
      </c>
      <c r="N503" t="s">
        <v>1978</v>
      </c>
      <c r="O503" s="5">
        <v>45240</v>
      </c>
      <c r="P503" s="5">
        <v>43777</v>
      </c>
      <c r="Q503" s="3">
        <v>48.2</v>
      </c>
      <c r="S503">
        <f t="shared" si="21"/>
        <v>1464</v>
      </c>
      <c r="T503">
        <f t="shared" si="22"/>
        <v>16.043835616438358</v>
      </c>
      <c r="U503" s="6">
        <f t="shared" si="23"/>
        <v>0.2823882615960267</v>
      </c>
    </row>
    <row r="504" spans="1:21" x14ac:dyDescent="0.25">
      <c r="A504" t="s">
        <v>1982</v>
      </c>
      <c r="B504" t="s">
        <v>1983</v>
      </c>
      <c r="C504" t="s">
        <v>14</v>
      </c>
      <c r="D504">
        <v>18.5</v>
      </c>
      <c r="E504">
        <v>19</v>
      </c>
      <c r="F504">
        <v>18.3</v>
      </c>
      <c r="G504" s="3">
        <v>18.95</v>
      </c>
      <c r="H504">
        <v>18.95</v>
      </c>
      <c r="I504">
        <v>18.649999999999999</v>
      </c>
      <c r="J504">
        <v>6275958</v>
      </c>
      <c r="K504">
        <v>117185994.2</v>
      </c>
      <c r="L504" s="1">
        <v>45240</v>
      </c>
      <c r="M504">
        <v>5489</v>
      </c>
      <c r="N504" t="s">
        <v>1984</v>
      </c>
      <c r="O504" s="5">
        <v>45240</v>
      </c>
      <c r="P504" s="5">
        <v>43777</v>
      </c>
      <c r="Q504" s="3">
        <v>20.9</v>
      </c>
      <c r="S504">
        <f t="shared" si="21"/>
        <v>1464</v>
      </c>
      <c r="T504">
        <f t="shared" si="22"/>
        <v>16.043835616438358</v>
      </c>
      <c r="U504" s="6">
        <f t="shared" si="23"/>
        <v>-2.4345017419775683E-2</v>
      </c>
    </row>
    <row r="505" spans="1:21" x14ac:dyDescent="0.25">
      <c r="A505" t="s">
        <v>1985</v>
      </c>
      <c r="B505" t="s">
        <v>1986</v>
      </c>
      <c r="C505" t="s">
        <v>14</v>
      </c>
      <c r="D505">
        <v>1110.3</v>
      </c>
      <c r="E505">
        <v>1115.9000000000001</v>
      </c>
      <c r="F505">
        <v>1101.4000000000001</v>
      </c>
      <c r="G505" s="3">
        <v>1109.6500000000001</v>
      </c>
      <c r="H505">
        <v>1110</v>
      </c>
      <c r="I505">
        <v>1110.3</v>
      </c>
      <c r="J505">
        <v>6039</v>
      </c>
      <c r="K505">
        <v>6688923.9500000002</v>
      </c>
      <c r="L505" s="1">
        <v>45240</v>
      </c>
      <c r="M505">
        <v>1101</v>
      </c>
      <c r="N505" t="s">
        <v>1987</v>
      </c>
      <c r="O505" s="5">
        <v>45240</v>
      </c>
      <c r="P505" s="5">
        <v>43777</v>
      </c>
      <c r="Q505" s="3">
        <v>590.75</v>
      </c>
      <c r="S505">
        <f t="shared" si="21"/>
        <v>1464</v>
      </c>
      <c r="T505">
        <f t="shared" si="22"/>
        <v>16.043835616438358</v>
      </c>
      <c r="U505" s="6">
        <f t="shared" si="23"/>
        <v>0.1602998374011948</v>
      </c>
    </row>
    <row r="506" spans="1:21" x14ac:dyDescent="0.25">
      <c r="A506" t="s">
        <v>1988</v>
      </c>
      <c r="B506" t="s">
        <v>1989</v>
      </c>
      <c r="C506" t="s">
        <v>14</v>
      </c>
      <c r="D506">
        <v>1255</v>
      </c>
      <c r="E506">
        <v>1262</v>
      </c>
      <c r="F506">
        <v>1244.3</v>
      </c>
      <c r="G506" s="3">
        <v>1257.4000000000001</v>
      </c>
      <c r="H506">
        <v>1256.6500000000001</v>
      </c>
      <c r="I506">
        <v>1253.1500000000001</v>
      </c>
      <c r="J506">
        <v>372182</v>
      </c>
      <c r="K506">
        <v>467167390.69999999</v>
      </c>
      <c r="L506" s="1">
        <v>45240</v>
      </c>
      <c r="M506">
        <v>19814</v>
      </c>
      <c r="N506" t="s">
        <v>1990</v>
      </c>
      <c r="O506" s="5">
        <v>45240</v>
      </c>
      <c r="P506" s="5">
        <v>43777</v>
      </c>
      <c r="Q506" s="3">
        <v>707.5</v>
      </c>
      <c r="S506">
        <f t="shared" si="21"/>
        <v>1464</v>
      </c>
      <c r="T506">
        <f t="shared" si="22"/>
        <v>16.043835616438358</v>
      </c>
      <c r="U506" s="6">
        <f t="shared" si="23"/>
        <v>0.14597359206207816</v>
      </c>
    </row>
    <row r="507" spans="1:21" x14ac:dyDescent="0.25">
      <c r="A507" t="s">
        <v>1991</v>
      </c>
      <c r="B507" t="s">
        <v>1992</v>
      </c>
      <c r="C507" t="s">
        <v>10</v>
      </c>
      <c r="D507">
        <v>1.75</v>
      </c>
      <c r="E507">
        <v>1.75</v>
      </c>
      <c r="F507">
        <v>1.7</v>
      </c>
      <c r="G507" s="3">
        <v>1.75</v>
      </c>
      <c r="H507">
        <v>1.75</v>
      </c>
      <c r="I507">
        <v>1.7</v>
      </c>
      <c r="J507">
        <v>34298</v>
      </c>
      <c r="K507">
        <v>59977.1</v>
      </c>
      <c r="L507" s="1">
        <v>45240</v>
      </c>
      <c r="M507">
        <v>70</v>
      </c>
      <c r="N507" t="s">
        <v>1993</v>
      </c>
      <c r="O507" s="5">
        <v>45240</v>
      </c>
      <c r="P507" s="5">
        <v>43777</v>
      </c>
      <c r="Q507" s="3">
        <v>0.55000000000000004</v>
      </c>
      <c r="S507">
        <f t="shared" si="21"/>
        <v>1464</v>
      </c>
      <c r="T507">
        <f t="shared" si="22"/>
        <v>16.043835616438358</v>
      </c>
      <c r="U507" s="6">
        <f t="shared" si="23"/>
        <v>0.29923675434854147</v>
      </c>
    </row>
    <row r="508" spans="1:21" x14ac:dyDescent="0.25">
      <c r="A508" t="s">
        <v>1994</v>
      </c>
      <c r="B508" t="s">
        <v>1995</v>
      </c>
      <c r="C508" t="s">
        <v>14</v>
      </c>
      <c r="D508">
        <v>304.85000000000002</v>
      </c>
      <c r="E508">
        <v>320.75</v>
      </c>
      <c r="F508">
        <v>303.85000000000002</v>
      </c>
      <c r="G508" s="3">
        <v>319.25</v>
      </c>
      <c r="H508">
        <v>319.39999999999998</v>
      </c>
      <c r="I508">
        <v>303.3</v>
      </c>
      <c r="J508">
        <v>3103955</v>
      </c>
      <c r="K508">
        <v>979946241.70000005</v>
      </c>
      <c r="L508" s="1">
        <v>45240</v>
      </c>
      <c r="M508">
        <v>36883</v>
      </c>
      <c r="N508" t="s">
        <v>1996</v>
      </c>
      <c r="O508" s="5">
        <v>45240</v>
      </c>
      <c r="P508" s="5">
        <v>43777</v>
      </c>
      <c r="Q508" s="3">
        <v>16.95</v>
      </c>
      <c r="S508">
        <f t="shared" si="21"/>
        <v>1464</v>
      </c>
      <c r="T508">
        <f t="shared" si="22"/>
        <v>16.043835616438358</v>
      </c>
      <c r="U508" s="6">
        <f t="shared" si="23"/>
        <v>0.80316325062962157</v>
      </c>
    </row>
    <row r="509" spans="1:21" x14ac:dyDescent="0.25">
      <c r="A509" t="s">
        <v>2000</v>
      </c>
      <c r="B509" t="s">
        <v>2001</v>
      </c>
      <c r="C509" t="s">
        <v>14</v>
      </c>
      <c r="D509">
        <v>27.7</v>
      </c>
      <c r="E509">
        <v>29.2</v>
      </c>
      <c r="F509">
        <v>27.7</v>
      </c>
      <c r="G509" s="3">
        <v>28.05</v>
      </c>
      <c r="H509">
        <v>28.05</v>
      </c>
      <c r="I509">
        <v>29</v>
      </c>
      <c r="J509">
        <v>41761014</v>
      </c>
      <c r="K509">
        <v>1179894479.6500001</v>
      </c>
      <c r="L509" s="1">
        <v>45240</v>
      </c>
      <c r="M509">
        <v>24163</v>
      </c>
      <c r="N509" t="s">
        <v>2002</v>
      </c>
      <c r="O509" s="5">
        <v>45240</v>
      </c>
      <c r="P509" s="5">
        <v>43777</v>
      </c>
      <c r="Q509" s="3">
        <v>8.25</v>
      </c>
      <c r="S509">
        <f t="shared" si="21"/>
        <v>1464</v>
      </c>
      <c r="T509">
        <f t="shared" si="22"/>
        <v>16.043835616438358</v>
      </c>
      <c r="U509" s="6">
        <f t="shared" si="23"/>
        <v>0.31704589417560847</v>
      </c>
    </row>
    <row r="510" spans="1:21" x14ac:dyDescent="0.25">
      <c r="A510" t="s">
        <v>2003</v>
      </c>
      <c r="B510" t="s">
        <v>2004</v>
      </c>
      <c r="C510" t="s">
        <v>14</v>
      </c>
      <c r="D510">
        <v>375.95</v>
      </c>
      <c r="E510">
        <v>389.35</v>
      </c>
      <c r="F510">
        <v>367.8</v>
      </c>
      <c r="G510" s="3">
        <v>376.15</v>
      </c>
      <c r="H510">
        <v>374.45</v>
      </c>
      <c r="I510">
        <v>373.1</v>
      </c>
      <c r="J510">
        <v>459024</v>
      </c>
      <c r="K510">
        <v>174534177.30000001</v>
      </c>
      <c r="L510" s="1">
        <v>45240</v>
      </c>
      <c r="M510">
        <v>20343</v>
      </c>
      <c r="N510" t="s">
        <v>2005</v>
      </c>
      <c r="O510" s="5">
        <v>45240</v>
      </c>
      <c r="P510" s="5">
        <v>43777</v>
      </c>
      <c r="Q510" s="3">
        <v>114.05</v>
      </c>
      <c r="S510">
        <f t="shared" si="21"/>
        <v>1464</v>
      </c>
      <c r="T510">
        <f t="shared" si="22"/>
        <v>16.043835616438358</v>
      </c>
      <c r="U510" s="6">
        <f t="shared" si="23"/>
        <v>0.30886711492818275</v>
      </c>
    </row>
    <row r="511" spans="1:21" x14ac:dyDescent="0.25">
      <c r="A511" t="s">
        <v>2006</v>
      </c>
      <c r="B511" t="s">
        <v>2007</v>
      </c>
      <c r="C511" t="s">
        <v>14</v>
      </c>
      <c r="D511">
        <v>16.100000000000001</v>
      </c>
      <c r="E511">
        <v>16.2</v>
      </c>
      <c r="F511">
        <v>15.9</v>
      </c>
      <c r="G511" s="3">
        <v>15.95</v>
      </c>
      <c r="H511">
        <v>16.149999999999999</v>
      </c>
      <c r="I511">
        <v>16.05</v>
      </c>
      <c r="J511">
        <v>492336</v>
      </c>
      <c r="K511">
        <v>7895197.25</v>
      </c>
      <c r="L511" s="1">
        <v>45240</v>
      </c>
      <c r="M511">
        <v>1539</v>
      </c>
      <c r="N511" t="s">
        <v>2008</v>
      </c>
      <c r="O511" s="5">
        <v>45240</v>
      </c>
      <c r="P511" s="5">
        <v>43777</v>
      </c>
      <c r="Q511" s="3">
        <v>7.75</v>
      </c>
      <c r="S511">
        <f t="shared" si="21"/>
        <v>1464</v>
      </c>
      <c r="T511">
        <f t="shared" si="22"/>
        <v>16.043835616438358</v>
      </c>
      <c r="U511" s="6">
        <f t="shared" si="23"/>
        <v>0.18405755585790384</v>
      </c>
    </row>
    <row r="512" spans="1:21" x14ac:dyDescent="0.25">
      <c r="A512" t="s">
        <v>2009</v>
      </c>
      <c r="B512" t="s">
        <v>2010</v>
      </c>
      <c r="C512" t="s">
        <v>14</v>
      </c>
      <c r="D512">
        <v>1262.3</v>
      </c>
      <c r="E512">
        <v>1271</v>
      </c>
      <c r="F512">
        <v>1250.6500000000001</v>
      </c>
      <c r="G512" s="3">
        <v>1255.45</v>
      </c>
      <c r="H512">
        <v>1256</v>
      </c>
      <c r="I512">
        <v>1267.5</v>
      </c>
      <c r="J512">
        <v>1469902</v>
      </c>
      <c r="K512">
        <v>1847016185.9000001</v>
      </c>
      <c r="L512" s="1">
        <v>45240</v>
      </c>
      <c r="M512">
        <v>80555</v>
      </c>
      <c r="N512" t="s">
        <v>2011</v>
      </c>
      <c r="O512" s="5">
        <v>45240</v>
      </c>
      <c r="P512" s="5">
        <v>43777</v>
      </c>
      <c r="Q512" s="3">
        <v>1150.0999999999999</v>
      </c>
      <c r="S512">
        <f t="shared" si="21"/>
        <v>1464</v>
      </c>
      <c r="T512">
        <f t="shared" si="22"/>
        <v>16.043835616438358</v>
      </c>
      <c r="U512" s="6">
        <f t="shared" si="23"/>
        <v>2.1911222253670815E-2</v>
      </c>
    </row>
    <row r="513" spans="1:21" x14ac:dyDescent="0.25">
      <c r="A513" t="s">
        <v>2012</v>
      </c>
      <c r="B513" t="s">
        <v>2013</v>
      </c>
      <c r="C513" t="s">
        <v>14</v>
      </c>
      <c r="D513">
        <v>2758.15</v>
      </c>
      <c r="E513">
        <v>2787.95</v>
      </c>
      <c r="F513">
        <v>2741.05</v>
      </c>
      <c r="G513" s="3">
        <v>2769.85</v>
      </c>
      <c r="H513">
        <v>2780</v>
      </c>
      <c r="I513">
        <v>2762.5</v>
      </c>
      <c r="J513">
        <v>324625</v>
      </c>
      <c r="K513">
        <v>899250984.89999998</v>
      </c>
      <c r="L513" s="1">
        <v>45240</v>
      </c>
      <c r="M513">
        <v>24734</v>
      </c>
      <c r="N513" t="s">
        <v>2014</v>
      </c>
      <c r="O513" s="5">
        <v>45240</v>
      </c>
      <c r="P513" s="5">
        <v>43777</v>
      </c>
      <c r="Q513" s="3">
        <v>3191.55</v>
      </c>
      <c r="S513">
        <f t="shared" si="21"/>
        <v>1464</v>
      </c>
      <c r="T513">
        <f t="shared" si="22"/>
        <v>16.043835616438358</v>
      </c>
      <c r="U513" s="6">
        <f t="shared" si="23"/>
        <v>-3.51760007447246E-2</v>
      </c>
    </row>
    <row r="514" spans="1:21" x14ac:dyDescent="0.25">
      <c r="A514" t="s">
        <v>2015</v>
      </c>
      <c r="B514" t="s">
        <v>2016</v>
      </c>
      <c r="C514" t="s">
        <v>14</v>
      </c>
      <c r="D514">
        <v>1480.1</v>
      </c>
      <c r="E514">
        <v>1496</v>
      </c>
      <c r="F514">
        <v>1480.05</v>
      </c>
      <c r="G514" s="3">
        <v>1491.5</v>
      </c>
      <c r="H514">
        <v>1495</v>
      </c>
      <c r="I514">
        <v>1485.65</v>
      </c>
      <c r="J514">
        <v>7007593</v>
      </c>
      <c r="K514">
        <v>10417971067.75</v>
      </c>
      <c r="L514" s="1">
        <v>45240</v>
      </c>
      <c r="M514">
        <v>181055</v>
      </c>
      <c r="N514" t="s">
        <v>2017</v>
      </c>
      <c r="O514" s="5">
        <v>45240</v>
      </c>
      <c r="P514" s="5">
        <v>43777</v>
      </c>
      <c r="Q514" s="3">
        <v>1255.5999999999999</v>
      </c>
      <c r="S514">
        <f t="shared" si="21"/>
        <v>1464</v>
      </c>
      <c r="T514">
        <f t="shared" si="22"/>
        <v>16.043835616438358</v>
      </c>
      <c r="U514" s="6">
        <f t="shared" si="23"/>
        <v>4.3155734272005475E-2</v>
      </c>
    </row>
    <row r="515" spans="1:21" x14ac:dyDescent="0.25">
      <c r="A515" t="s">
        <v>2018</v>
      </c>
      <c r="B515" t="s">
        <v>2019</v>
      </c>
      <c r="C515" t="s">
        <v>14</v>
      </c>
      <c r="D515">
        <v>620.85</v>
      </c>
      <c r="E515">
        <v>631.5</v>
      </c>
      <c r="F515">
        <v>620.04999999999995</v>
      </c>
      <c r="G515" s="3">
        <v>626.75</v>
      </c>
      <c r="H515">
        <v>626.29999999999995</v>
      </c>
      <c r="I515">
        <v>621.35</v>
      </c>
      <c r="J515">
        <v>2449660</v>
      </c>
      <c r="K515">
        <v>1534496633.95</v>
      </c>
      <c r="L515" s="1">
        <v>45240</v>
      </c>
      <c r="M515">
        <v>67005</v>
      </c>
      <c r="N515" t="s">
        <v>2020</v>
      </c>
      <c r="O515" s="5">
        <v>45240</v>
      </c>
      <c r="P515" s="5">
        <v>43777</v>
      </c>
      <c r="Q515" s="3">
        <v>567.9</v>
      </c>
      <c r="S515">
        <f t="shared" ref="S515:S578" si="24">O515-P515+1</f>
        <v>1464</v>
      </c>
      <c r="T515">
        <f t="shared" ref="T515:T578" si="25">(S515/365)*4</f>
        <v>16.043835616438358</v>
      </c>
      <c r="U515" s="6">
        <f t="shared" ref="U515:U578" si="26">(((G515/Q515)^(1/T515))-1)*4</f>
        <v>2.4658943172145342E-2</v>
      </c>
    </row>
    <row r="516" spans="1:21" x14ac:dyDescent="0.25">
      <c r="A516" t="s">
        <v>2027</v>
      </c>
      <c r="B516" t="s">
        <v>2028</v>
      </c>
      <c r="C516" t="s">
        <v>14</v>
      </c>
      <c r="D516">
        <v>1593.7</v>
      </c>
      <c r="E516">
        <v>1616</v>
      </c>
      <c r="F516">
        <v>1560.6</v>
      </c>
      <c r="G516" s="3">
        <v>1566.75</v>
      </c>
      <c r="H516">
        <v>1570</v>
      </c>
      <c r="I516">
        <v>1595.45</v>
      </c>
      <c r="J516">
        <v>218657</v>
      </c>
      <c r="K516">
        <v>346600091.75</v>
      </c>
      <c r="L516" s="1">
        <v>45240</v>
      </c>
      <c r="M516">
        <v>15062</v>
      </c>
      <c r="N516" t="s">
        <v>2029</v>
      </c>
      <c r="O516" s="5">
        <v>45240</v>
      </c>
      <c r="P516" s="5">
        <v>43777</v>
      </c>
      <c r="Q516" s="3">
        <v>1021</v>
      </c>
      <c r="S516">
        <f t="shared" si="24"/>
        <v>1464</v>
      </c>
      <c r="T516">
        <f t="shared" si="25"/>
        <v>16.043835616438358</v>
      </c>
      <c r="U516" s="6">
        <f t="shared" si="26"/>
        <v>0.10820026305621688</v>
      </c>
    </row>
    <row r="517" spans="1:21" x14ac:dyDescent="0.25">
      <c r="A517" t="s">
        <v>2030</v>
      </c>
      <c r="B517" t="s">
        <v>2031</v>
      </c>
      <c r="C517" t="s">
        <v>14</v>
      </c>
      <c r="D517">
        <v>188</v>
      </c>
      <c r="E517">
        <v>189</v>
      </c>
      <c r="F517">
        <v>186.7</v>
      </c>
      <c r="G517" s="3">
        <v>187.95</v>
      </c>
      <c r="H517">
        <v>188</v>
      </c>
      <c r="I517">
        <v>188.1</v>
      </c>
      <c r="J517">
        <v>171716</v>
      </c>
      <c r="K517">
        <v>32273067.350000001</v>
      </c>
      <c r="L517" s="1">
        <v>45240</v>
      </c>
      <c r="M517">
        <v>3870</v>
      </c>
      <c r="N517" t="s">
        <v>2032</v>
      </c>
      <c r="O517" s="5">
        <v>45240</v>
      </c>
      <c r="P517" s="5">
        <v>43777</v>
      </c>
      <c r="Q517" s="3">
        <v>191.2</v>
      </c>
      <c r="S517">
        <f t="shared" si="24"/>
        <v>1464</v>
      </c>
      <c r="T517">
        <f t="shared" si="25"/>
        <v>16.043835616438358</v>
      </c>
      <c r="U517" s="6">
        <f t="shared" si="26"/>
        <v>-4.272014359455234E-3</v>
      </c>
    </row>
    <row r="518" spans="1:21" x14ac:dyDescent="0.25">
      <c r="A518" t="s">
        <v>2039</v>
      </c>
      <c r="B518" t="s">
        <v>2040</v>
      </c>
      <c r="C518" t="s">
        <v>14</v>
      </c>
      <c r="D518">
        <v>315.60000000000002</v>
      </c>
      <c r="E518">
        <v>324.2</v>
      </c>
      <c r="F518">
        <v>312.75</v>
      </c>
      <c r="G518" s="3">
        <v>316.35000000000002</v>
      </c>
      <c r="H518">
        <v>316.64999999999998</v>
      </c>
      <c r="I518">
        <v>314.60000000000002</v>
      </c>
      <c r="J518">
        <v>26513</v>
      </c>
      <c r="K518">
        <v>8369819.75</v>
      </c>
      <c r="L518" s="1">
        <v>45240</v>
      </c>
      <c r="M518">
        <v>2210</v>
      </c>
      <c r="N518" t="s">
        <v>2041</v>
      </c>
      <c r="O518" s="5">
        <v>45240</v>
      </c>
      <c r="P518" s="5">
        <v>43777</v>
      </c>
      <c r="Q518" s="3">
        <v>93.95</v>
      </c>
      <c r="S518">
        <f t="shared" si="24"/>
        <v>1464</v>
      </c>
      <c r="T518">
        <f t="shared" si="25"/>
        <v>16.043835616438358</v>
      </c>
      <c r="U518" s="6">
        <f t="shared" si="26"/>
        <v>0.31443959312058212</v>
      </c>
    </row>
    <row r="519" spans="1:21" x14ac:dyDescent="0.25">
      <c r="A519" t="s">
        <v>2042</v>
      </c>
      <c r="B519" t="s">
        <v>2043</v>
      </c>
      <c r="C519" t="s">
        <v>14</v>
      </c>
      <c r="D519">
        <v>224.05</v>
      </c>
      <c r="E519">
        <v>231.1</v>
      </c>
      <c r="F519">
        <v>224.05</v>
      </c>
      <c r="G519" s="3">
        <v>228.95</v>
      </c>
      <c r="H519">
        <v>228.6</v>
      </c>
      <c r="I519">
        <v>227.1</v>
      </c>
      <c r="J519">
        <v>178099</v>
      </c>
      <c r="K519">
        <v>40603381.399999999</v>
      </c>
      <c r="L519" s="1">
        <v>45240</v>
      </c>
      <c r="M519">
        <v>5303</v>
      </c>
      <c r="N519" t="s">
        <v>2044</v>
      </c>
      <c r="O519" s="5">
        <v>45240</v>
      </c>
      <c r="P519" s="5">
        <v>43777</v>
      </c>
      <c r="Q519" s="3">
        <v>337.9</v>
      </c>
      <c r="S519">
        <f t="shared" si="24"/>
        <v>1464</v>
      </c>
      <c r="T519">
        <f t="shared" si="25"/>
        <v>16.043835616438358</v>
      </c>
      <c r="U519" s="6">
        <f t="shared" si="26"/>
        <v>-9.5877939259178646E-2</v>
      </c>
    </row>
    <row r="520" spans="1:21" x14ac:dyDescent="0.25">
      <c r="A520" t="s">
        <v>2045</v>
      </c>
      <c r="B520" t="s">
        <v>2046</v>
      </c>
      <c r="C520" t="s">
        <v>14</v>
      </c>
      <c r="D520">
        <v>3173.85</v>
      </c>
      <c r="E520">
        <v>3179.05</v>
      </c>
      <c r="F520">
        <v>3095.15</v>
      </c>
      <c r="G520" s="3">
        <v>3105.2</v>
      </c>
      <c r="H520">
        <v>3108</v>
      </c>
      <c r="I520">
        <v>3173.9</v>
      </c>
      <c r="J520">
        <v>820659</v>
      </c>
      <c r="K520">
        <v>2558044651.25</v>
      </c>
      <c r="L520" s="1">
        <v>45240</v>
      </c>
      <c r="M520">
        <v>51270</v>
      </c>
      <c r="N520" t="s">
        <v>2047</v>
      </c>
      <c r="O520" s="5">
        <v>45240</v>
      </c>
      <c r="P520" s="5">
        <v>43777</v>
      </c>
      <c r="Q520" s="3">
        <v>2646.95</v>
      </c>
      <c r="S520">
        <f t="shared" si="24"/>
        <v>1464</v>
      </c>
      <c r="T520">
        <f t="shared" si="25"/>
        <v>16.043835616438358</v>
      </c>
      <c r="U520" s="6">
        <f t="shared" si="26"/>
        <v>4.0007206623924318E-2</v>
      </c>
    </row>
    <row r="521" spans="1:21" x14ac:dyDescent="0.25">
      <c r="A521" t="s">
        <v>2048</v>
      </c>
      <c r="B521" t="s">
        <v>2049</v>
      </c>
      <c r="C521" t="s">
        <v>14</v>
      </c>
      <c r="D521">
        <v>1595.75</v>
      </c>
      <c r="E521">
        <v>1610</v>
      </c>
      <c r="F521">
        <v>1590.75</v>
      </c>
      <c r="G521" s="3">
        <v>1597.05</v>
      </c>
      <c r="H521">
        <v>1596</v>
      </c>
      <c r="I521">
        <v>1590.75</v>
      </c>
      <c r="J521">
        <v>1496</v>
      </c>
      <c r="K521">
        <v>2395797.4</v>
      </c>
      <c r="L521" s="1">
        <v>45240</v>
      </c>
      <c r="M521">
        <v>338</v>
      </c>
      <c r="N521" t="s">
        <v>2050</v>
      </c>
      <c r="O521" s="5">
        <v>45240</v>
      </c>
      <c r="P521" s="5">
        <v>43777</v>
      </c>
      <c r="Q521" s="3">
        <v>1631.95</v>
      </c>
      <c r="S521">
        <f t="shared" si="24"/>
        <v>1464</v>
      </c>
      <c r="T521">
        <f t="shared" si="25"/>
        <v>16.043835616438358</v>
      </c>
      <c r="U521" s="6">
        <f t="shared" si="26"/>
        <v>-5.3859649952636701E-3</v>
      </c>
    </row>
    <row r="522" spans="1:21" x14ac:dyDescent="0.25">
      <c r="A522" t="s">
        <v>2054</v>
      </c>
      <c r="B522" t="s">
        <v>2055</v>
      </c>
      <c r="C522" t="s">
        <v>14</v>
      </c>
      <c r="D522">
        <v>146.85</v>
      </c>
      <c r="E522">
        <v>148.5</v>
      </c>
      <c r="F522">
        <v>145.69999999999999</v>
      </c>
      <c r="G522" s="3">
        <v>146.05000000000001</v>
      </c>
      <c r="H522">
        <v>147.30000000000001</v>
      </c>
      <c r="I522">
        <v>146.44999999999999</v>
      </c>
      <c r="J522">
        <v>2060</v>
      </c>
      <c r="K522">
        <v>302415.15000000002</v>
      </c>
      <c r="L522" s="1">
        <v>45240</v>
      </c>
      <c r="M522">
        <v>76</v>
      </c>
      <c r="N522" t="s">
        <v>2056</v>
      </c>
      <c r="O522" s="5">
        <v>45240</v>
      </c>
      <c r="P522" s="5">
        <v>43777</v>
      </c>
      <c r="Q522" s="3">
        <v>11.85</v>
      </c>
      <c r="S522">
        <f t="shared" si="24"/>
        <v>1464</v>
      </c>
      <c r="T522">
        <f t="shared" si="25"/>
        <v>16.043835616438358</v>
      </c>
      <c r="U522" s="6">
        <f t="shared" si="26"/>
        <v>0.67786489420032403</v>
      </c>
    </row>
    <row r="523" spans="1:21" x14ac:dyDescent="0.25">
      <c r="A523" t="s">
        <v>2057</v>
      </c>
      <c r="B523" t="s">
        <v>2058</v>
      </c>
      <c r="C523" t="s">
        <v>14</v>
      </c>
      <c r="D523">
        <v>65.400000000000006</v>
      </c>
      <c r="E523">
        <v>66.25</v>
      </c>
      <c r="F523">
        <v>65.05</v>
      </c>
      <c r="G523" s="3">
        <v>65.7</v>
      </c>
      <c r="H523">
        <v>65.7</v>
      </c>
      <c r="I523">
        <v>65.55</v>
      </c>
      <c r="J523">
        <v>2682583</v>
      </c>
      <c r="K523">
        <v>175497203.34999999</v>
      </c>
      <c r="L523" s="1">
        <v>45240</v>
      </c>
      <c r="M523">
        <v>8742</v>
      </c>
      <c r="N523" t="s">
        <v>2059</v>
      </c>
      <c r="O523" s="5">
        <v>45240</v>
      </c>
      <c r="P523" s="5">
        <v>43777</v>
      </c>
      <c r="Q523" s="3">
        <v>17</v>
      </c>
      <c r="S523">
        <f t="shared" si="24"/>
        <v>1464</v>
      </c>
      <c r="T523">
        <f t="shared" si="25"/>
        <v>16.043835616438358</v>
      </c>
      <c r="U523" s="6">
        <f t="shared" si="26"/>
        <v>0.35165553380469561</v>
      </c>
    </row>
    <row r="524" spans="1:21" x14ac:dyDescent="0.25">
      <c r="A524" t="s">
        <v>2060</v>
      </c>
      <c r="B524" t="s">
        <v>2061</v>
      </c>
      <c r="C524" t="s">
        <v>14</v>
      </c>
      <c r="D524">
        <v>870</v>
      </c>
      <c r="E524">
        <v>876.6</v>
      </c>
      <c r="F524">
        <v>860.35</v>
      </c>
      <c r="G524" s="3">
        <v>865.1</v>
      </c>
      <c r="H524">
        <v>869.95</v>
      </c>
      <c r="I524">
        <v>869.65</v>
      </c>
      <c r="J524">
        <v>54558</v>
      </c>
      <c r="K524">
        <v>47384411.25</v>
      </c>
      <c r="L524" s="1">
        <v>45240</v>
      </c>
      <c r="M524">
        <v>5975</v>
      </c>
      <c r="N524" t="s">
        <v>2062</v>
      </c>
      <c r="O524" s="5">
        <v>45240</v>
      </c>
      <c r="P524" s="5">
        <v>43777</v>
      </c>
      <c r="Q524" s="3">
        <v>183.75</v>
      </c>
      <c r="S524">
        <f t="shared" si="24"/>
        <v>1464</v>
      </c>
      <c r="T524">
        <f t="shared" si="25"/>
        <v>16.043835616438358</v>
      </c>
      <c r="U524" s="6">
        <f t="shared" si="26"/>
        <v>0.40552357127555716</v>
      </c>
    </row>
    <row r="525" spans="1:21" x14ac:dyDescent="0.25">
      <c r="A525" t="s">
        <v>2063</v>
      </c>
      <c r="B525" t="s">
        <v>2064</v>
      </c>
      <c r="C525" t="s">
        <v>14</v>
      </c>
      <c r="D525">
        <v>950.35</v>
      </c>
      <c r="E525">
        <v>951.05</v>
      </c>
      <c r="F525">
        <v>931</v>
      </c>
      <c r="G525" s="3">
        <v>934.6</v>
      </c>
      <c r="H525">
        <v>938</v>
      </c>
      <c r="I525">
        <v>957.65</v>
      </c>
      <c r="J525">
        <v>36017</v>
      </c>
      <c r="K525">
        <v>33721082.899999999</v>
      </c>
      <c r="L525" s="1">
        <v>45240</v>
      </c>
      <c r="M525">
        <v>4057</v>
      </c>
      <c r="N525" t="s">
        <v>2065</v>
      </c>
      <c r="O525" s="5">
        <v>45240</v>
      </c>
      <c r="P525" s="5">
        <v>43777</v>
      </c>
      <c r="Q525" s="3">
        <v>590.25</v>
      </c>
      <c r="S525">
        <f t="shared" si="24"/>
        <v>1464</v>
      </c>
      <c r="T525">
        <f t="shared" si="25"/>
        <v>16.043835616438358</v>
      </c>
      <c r="U525" s="6">
        <f t="shared" si="26"/>
        <v>0.11623602907000841</v>
      </c>
    </row>
    <row r="526" spans="1:21" x14ac:dyDescent="0.25">
      <c r="A526" t="s">
        <v>2066</v>
      </c>
      <c r="B526" t="s">
        <v>2067</v>
      </c>
      <c r="C526" t="s">
        <v>14</v>
      </c>
      <c r="D526">
        <v>273.55</v>
      </c>
      <c r="E526">
        <v>278.10000000000002</v>
      </c>
      <c r="F526">
        <v>271.75</v>
      </c>
      <c r="G526" s="3">
        <v>276.39999999999998</v>
      </c>
      <c r="H526">
        <v>275.35000000000002</v>
      </c>
      <c r="I526">
        <v>273.75</v>
      </c>
      <c r="J526">
        <v>76789</v>
      </c>
      <c r="K526">
        <v>21106642.449999999</v>
      </c>
      <c r="L526" s="1">
        <v>45240</v>
      </c>
      <c r="M526">
        <v>2891</v>
      </c>
      <c r="N526" t="s">
        <v>2068</v>
      </c>
      <c r="O526" s="5">
        <v>45240</v>
      </c>
      <c r="P526" s="5">
        <v>43777</v>
      </c>
      <c r="Q526" s="3">
        <v>111.65</v>
      </c>
      <c r="S526">
        <f t="shared" si="24"/>
        <v>1464</v>
      </c>
      <c r="T526">
        <f t="shared" si="25"/>
        <v>16.043835616438358</v>
      </c>
      <c r="U526" s="6">
        <f t="shared" si="26"/>
        <v>0.23250735648852494</v>
      </c>
    </row>
    <row r="527" spans="1:21" x14ac:dyDescent="0.25">
      <c r="A527" t="s">
        <v>2069</v>
      </c>
      <c r="B527" t="s">
        <v>2070</v>
      </c>
      <c r="C527" t="s">
        <v>14</v>
      </c>
      <c r="D527">
        <v>2560.85</v>
      </c>
      <c r="E527">
        <v>2587</v>
      </c>
      <c r="F527">
        <v>2545.75</v>
      </c>
      <c r="G527" s="3">
        <v>2575.9</v>
      </c>
      <c r="H527">
        <v>2587</v>
      </c>
      <c r="I527">
        <v>2542.75</v>
      </c>
      <c r="J527">
        <v>5221</v>
      </c>
      <c r="K527">
        <v>13399638.75</v>
      </c>
      <c r="L527" s="1">
        <v>45240</v>
      </c>
      <c r="M527">
        <v>1475</v>
      </c>
      <c r="N527" t="s">
        <v>2071</v>
      </c>
      <c r="O527" s="5">
        <v>45240</v>
      </c>
      <c r="P527" s="5">
        <v>43777</v>
      </c>
      <c r="Q527" s="3">
        <v>1105.2</v>
      </c>
      <c r="S527">
        <f t="shared" si="24"/>
        <v>1464</v>
      </c>
      <c r="T527">
        <f t="shared" si="25"/>
        <v>16.043835616438358</v>
      </c>
      <c r="U527" s="6">
        <f t="shared" si="26"/>
        <v>0.21662757839574009</v>
      </c>
    </row>
    <row r="528" spans="1:21" x14ac:dyDescent="0.25">
      <c r="A528" t="s">
        <v>2072</v>
      </c>
      <c r="B528" t="s">
        <v>2073</v>
      </c>
      <c r="C528" t="s">
        <v>14</v>
      </c>
      <c r="D528">
        <v>146.6</v>
      </c>
      <c r="E528">
        <v>148</v>
      </c>
      <c r="F528">
        <v>141</v>
      </c>
      <c r="G528" s="3">
        <v>147.44999999999999</v>
      </c>
      <c r="H528">
        <v>147.69999999999999</v>
      </c>
      <c r="I528">
        <v>142.1</v>
      </c>
      <c r="J528">
        <v>123117</v>
      </c>
      <c r="K528">
        <v>17983703.399999999</v>
      </c>
      <c r="L528" s="1">
        <v>45240</v>
      </c>
      <c r="M528">
        <v>824</v>
      </c>
      <c r="N528" t="s">
        <v>2074</v>
      </c>
      <c r="O528" s="5">
        <v>45240</v>
      </c>
      <c r="P528" s="5">
        <v>43777</v>
      </c>
      <c r="Q528" s="3">
        <v>13.5</v>
      </c>
      <c r="S528">
        <f t="shared" si="24"/>
        <v>1464</v>
      </c>
      <c r="T528">
        <f t="shared" si="25"/>
        <v>16.043835616438358</v>
      </c>
      <c r="U528" s="6">
        <f t="shared" si="26"/>
        <v>0.64276949359737134</v>
      </c>
    </row>
    <row r="529" spans="1:21" x14ac:dyDescent="0.25">
      <c r="A529" t="s">
        <v>2075</v>
      </c>
      <c r="B529" t="s">
        <v>2076</v>
      </c>
      <c r="C529" t="s">
        <v>14</v>
      </c>
      <c r="D529">
        <v>146.4</v>
      </c>
      <c r="E529">
        <v>149.30000000000001</v>
      </c>
      <c r="F529">
        <v>145.9</v>
      </c>
      <c r="G529" s="3">
        <v>147.5</v>
      </c>
      <c r="H529">
        <v>146.9</v>
      </c>
      <c r="I529">
        <v>146.30000000000001</v>
      </c>
      <c r="J529">
        <v>648967</v>
      </c>
      <c r="K529">
        <v>95978759.150000006</v>
      </c>
      <c r="L529" s="1">
        <v>45240</v>
      </c>
      <c r="M529">
        <v>7210</v>
      </c>
      <c r="N529" t="s">
        <v>2077</v>
      </c>
      <c r="O529" s="5">
        <v>45240</v>
      </c>
      <c r="P529" s="5">
        <v>43777</v>
      </c>
      <c r="Q529" s="3">
        <v>143.19999999999999</v>
      </c>
      <c r="S529">
        <f t="shared" si="24"/>
        <v>1464</v>
      </c>
      <c r="T529">
        <f t="shared" si="25"/>
        <v>16.043835616438358</v>
      </c>
      <c r="U529" s="6">
        <f t="shared" si="26"/>
        <v>7.383076705643532E-3</v>
      </c>
    </row>
    <row r="530" spans="1:21" x14ac:dyDescent="0.25">
      <c r="A530" t="s">
        <v>2078</v>
      </c>
      <c r="B530" t="s">
        <v>2079</v>
      </c>
      <c r="C530" t="s">
        <v>14</v>
      </c>
      <c r="D530">
        <v>482.05</v>
      </c>
      <c r="E530">
        <v>488.25</v>
      </c>
      <c r="F530">
        <v>479.55</v>
      </c>
      <c r="G530" s="3">
        <v>481.3</v>
      </c>
      <c r="H530">
        <v>481</v>
      </c>
      <c r="I530">
        <v>484.45</v>
      </c>
      <c r="J530">
        <v>3498064</v>
      </c>
      <c r="K530">
        <v>1691546706.45</v>
      </c>
      <c r="L530" s="1">
        <v>45240</v>
      </c>
      <c r="M530">
        <v>47824</v>
      </c>
      <c r="N530" t="s">
        <v>2080</v>
      </c>
      <c r="O530" s="5">
        <v>45240</v>
      </c>
      <c r="P530" s="5">
        <v>43777</v>
      </c>
      <c r="Q530" s="3">
        <v>203.85</v>
      </c>
      <c r="S530">
        <f t="shared" si="24"/>
        <v>1464</v>
      </c>
      <c r="T530">
        <f t="shared" si="25"/>
        <v>16.043835616438358</v>
      </c>
      <c r="U530" s="6">
        <f t="shared" si="26"/>
        <v>0.22002816624506849</v>
      </c>
    </row>
    <row r="531" spans="1:21" x14ac:dyDescent="0.25">
      <c r="A531" t="s">
        <v>2081</v>
      </c>
      <c r="B531" t="s">
        <v>2082</v>
      </c>
      <c r="C531" t="s">
        <v>14</v>
      </c>
      <c r="D531">
        <v>415</v>
      </c>
      <c r="E531">
        <v>417.75</v>
      </c>
      <c r="F531">
        <v>404.1</v>
      </c>
      <c r="G531" s="3">
        <v>406.95</v>
      </c>
      <c r="H531">
        <v>405.55</v>
      </c>
      <c r="I531">
        <v>414.55</v>
      </c>
      <c r="J531">
        <v>9434</v>
      </c>
      <c r="K531">
        <v>3850640.9</v>
      </c>
      <c r="L531" s="1">
        <v>45240</v>
      </c>
      <c r="M531">
        <v>891</v>
      </c>
      <c r="N531" t="s">
        <v>2083</v>
      </c>
      <c r="O531" s="5">
        <v>45240</v>
      </c>
      <c r="P531" s="5">
        <v>43777</v>
      </c>
      <c r="Q531" s="3">
        <v>176.7</v>
      </c>
      <c r="S531">
        <f t="shared" si="24"/>
        <v>1464</v>
      </c>
      <c r="T531">
        <f t="shared" si="25"/>
        <v>16.043835616438358</v>
      </c>
      <c r="U531" s="6">
        <f t="shared" si="26"/>
        <v>0.21349180758314645</v>
      </c>
    </row>
    <row r="532" spans="1:21" x14ac:dyDescent="0.25">
      <c r="A532" t="s">
        <v>2087</v>
      </c>
      <c r="B532" t="s">
        <v>2088</v>
      </c>
      <c r="C532" t="s">
        <v>14</v>
      </c>
      <c r="D532">
        <v>144.9</v>
      </c>
      <c r="E532">
        <v>146.44999999999999</v>
      </c>
      <c r="F532">
        <v>142.65</v>
      </c>
      <c r="G532" s="3">
        <v>145.05000000000001</v>
      </c>
      <c r="H532">
        <v>145</v>
      </c>
      <c r="I532">
        <v>144.25</v>
      </c>
      <c r="J532">
        <v>2398962</v>
      </c>
      <c r="K532">
        <v>346576607.64999998</v>
      </c>
      <c r="L532" s="1">
        <v>45240</v>
      </c>
      <c r="M532">
        <v>14364</v>
      </c>
      <c r="N532" t="s">
        <v>2089</v>
      </c>
      <c r="O532" s="5">
        <v>45240</v>
      </c>
      <c r="P532" s="5">
        <v>43777</v>
      </c>
      <c r="Q532" s="3">
        <v>40.200000000000003</v>
      </c>
      <c r="S532">
        <f t="shared" si="24"/>
        <v>1464</v>
      </c>
      <c r="T532">
        <f t="shared" si="25"/>
        <v>16.043835616438358</v>
      </c>
      <c r="U532" s="6">
        <f t="shared" si="26"/>
        <v>0.33306850699007562</v>
      </c>
    </row>
    <row r="533" spans="1:21" x14ac:dyDescent="0.25">
      <c r="A533" t="s">
        <v>2090</v>
      </c>
      <c r="B533" t="s">
        <v>2091</v>
      </c>
      <c r="C533" t="s">
        <v>14</v>
      </c>
      <c r="D533">
        <v>17.05</v>
      </c>
      <c r="E533">
        <v>17.5</v>
      </c>
      <c r="F533">
        <v>16.850000000000001</v>
      </c>
      <c r="G533" s="3">
        <v>17.05</v>
      </c>
      <c r="H533">
        <v>17.149999999999999</v>
      </c>
      <c r="I533">
        <v>17.05</v>
      </c>
      <c r="J533">
        <v>398540</v>
      </c>
      <c r="K533">
        <v>6805913.3499999996</v>
      </c>
      <c r="L533" s="1">
        <v>45240</v>
      </c>
      <c r="M533">
        <v>2378</v>
      </c>
      <c r="N533" t="s">
        <v>2092</v>
      </c>
      <c r="O533" s="5">
        <v>45240</v>
      </c>
      <c r="P533" s="5">
        <v>43777</v>
      </c>
      <c r="Q533" s="3">
        <v>5.6</v>
      </c>
      <c r="S533">
        <f t="shared" si="24"/>
        <v>1464</v>
      </c>
      <c r="T533">
        <f t="shared" si="25"/>
        <v>16.043835616438358</v>
      </c>
      <c r="U533" s="6">
        <f t="shared" si="26"/>
        <v>0.28744382134221258</v>
      </c>
    </row>
    <row r="534" spans="1:21" x14ac:dyDescent="0.25">
      <c r="A534" t="s">
        <v>2093</v>
      </c>
      <c r="B534" t="s">
        <v>2094</v>
      </c>
      <c r="C534" t="s">
        <v>14</v>
      </c>
      <c r="D534">
        <v>169.7</v>
      </c>
      <c r="E534">
        <v>174</v>
      </c>
      <c r="F534">
        <v>166</v>
      </c>
      <c r="G534" s="3">
        <v>168.9</v>
      </c>
      <c r="H534">
        <v>167.6</v>
      </c>
      <c r="I534">
        <v>169.75</v>
      </c>
      <c r="J534">
        <v>607646</v>
      </c>
      <c r="K534">
        <v>102414950.55</v>
      </c>
      <c r="L534" s="1">
        <v>45240</v>
      </c>
      <c r="M534">
        <v>6022</v>
      </c>
      <c r="N534" t="s">
        <v>2095</v>
      </c>
      <c r="O534" s="5">
        <v>45240</v>
      </c>
      <c r="P534" s="5">
        <v>43777</v>
      </c>
      <c r="Q534" s="3">
        <v>98.2</v>
      </c>
      <c r="S534">
        <f t="shared" si="24"/>
        <v>1464</v>
      </c>
      <c r="T534">
        <f t="shared" si="25"/>
        <v>16.043835616438358</v>
      </c>
      <c r="U534" s="6">
        <f t="shared" si="26"/>
        <v>0.13751573273639295</v>
      </c>
    </row>
    <row r="535" spans="1:21" x14ac:dyDescent="0.25">
      <c r="A535" t="s">
        <v>2096</v>
      </c>
      <c r="B535" t="s">
        <v>2097</v>
      </c>
      <c r="C535" t="s">
        <v>14</v>
      </c>
      <c r="D535">
        <v>298</v>
      </c>
      <c r="E535">
        <v>302.75</v>
      </c>
      <c r="F535">
        <v>295.75</v>
      </c>
      <c r="G535" s="3">
        <v>299.55</v>
      </c>
      <c r="H535">
        <v>298.8</v>
      </c>
      <c r="I535">
        <v>298.95</v>
      </c>
      <c r="J535">
        <v>3324906</v>
      </c>
      <c r="K535">
        <v>996011445.95000005</v>
      </c>
      <c r="L535" s="1">
        <v>45240</v>
      </c>
      <c r="M535">
        <v>35333</v>
      </c>
      <c r="N535" t="s">
        <v>2098</v>
      </c>
      <c r="O535" s="5">
        <v>45240</v>
      </c>
      <c r="P535" s="5">
        <v>43777</v>
      </c>
      <c r="Q535" s="3">
        <v>293.95</v>
      </c>
      <c r="S535">
        <f t="shared" si="24"/>
        <v>1464</v>
      </c>
      <c r="T535">
        <f t="shared" si="25"/>
        <v>16.043835616438358</v>
      </c>
      <c r="U535" s="6">
        <f t="shared" si="26"/>
        <v>4.7077936830905998E-3</v>
      </c>
    </row>
    <row r="536" spans="1:21" x14ac:dyDescent="0.25">
      <c r="A536" t="s">
        <v>2099</v>
      </c>
      <c r="B536" t="s">
        <v>2100</v>
      </c>
      <c r="C536" t="s">
        <v>14</v>
      </c>
      <c r="D536">
        <v>2477</v>
      </c>
      <c r="E536">
        <v>2488.6</v>
      </c>
      <c r="F536">
        <v>2465.35</v>
      </c>
      <c r="G536" s="3">
        <v>2486.5500000000002</v>
      </c>
      <c r="H536">
        <v>2486</v>
      </c>
      <c r="I536">
        <v>2476.6999999999998</v>
      </c>
      <c r="J536">
        <v>771062</v>
      </c>
      <c r="K536">
        <v>1911854569.5999999</v>
      </c>
      <c r="L536" s="1">
        <v>45240</v>
      </c>
      <c r="M536">
        <v>52173</v>
      </c>
      <c r="N536" t="s">
        <v>2101</v>
      </c>
      <c r="O536" s="5">
        <v>45240</v>
      </c>
      <c r="P536" s="5">
        <v>43777</v>
      </c>
      <c r="Q536" s="3">
        <v>2086.4</v>
      </c>
      <c r="S536">
        <f t="shared" si="24"/>
        <v>1464</v>
      </c>
      <c r="T536">
        <f t="shared" si="25"/>
        <v>16.043835616438358</v>
      </c>
      <c r="U536" s="6">
        <f t="shared" si="26"/>
        <v>4.3984250142268699E-2</v>
      </c>
    </row>
    <row r="537" spans="1:21" x14ac:dyDescent="0.25">
      <c r="A537" t="s">
        <v>2105</v>
      </c>
      <c r="B537" t="s">
        <v>2106</v>
      </c>
      <c r="C537" t="s">
        <v>14</v>
      </c>
      <c r="D537">
        <v>296.60000000000002</v>
      </c>
      <c r="E537">
        <v>305.89999999999998</v>
      </c>
      <c r="F537">
        <v>295.35000000000002</v>
      </c>
      <c r="G537" s="3">
        <v>301.8</v>
      </c>
      <c r="H537">
        <v>302.35000000000002</v>
      </c>
      <c r="I537">
        <v>296.60000000000002</v>
      </c>
      <c r="J537">
        <v>331948</v>
      </c>
      <c r="K537">
        <v>99808953.700000003</v>
      </c>
      <c r="L537" s="1">
        <v>45240</v>
      </c>
      <c r="M537">
        <v>10409</v>
      </c>
      <c r="N537" t="s">
        <v>2107</v>
      </c>
      <c r="O537" s="5">
        <v>45240</v>
      </c>
      <c r="P537" s="5">
        <v>43777</v>
      </c>
      <c r="Q537" s="3">
        <v>210.8</v>
      </c>
      <c r="S537">
        <f t="shared" si="24"/>
        <v>1464</v>
      </c>
      <c r="T537">
        <f t="shared" si="25"/>
        <v>16.043835616438358</v>
      </c>
      <c r="U537" s="6">
        <f t="shared" si="26"/>
        <v>9.0476642962836529E-2</v>
      </c>
    </row>
    <row r="538" spans="1:21" x14ac:dyDescent="0.25">
      <c r="A538" t="s">
        <v>2108</v>
      </c>
      <c r="B538" t="s">
        <v>2109</v>
      </c>
      <c r="C538" t="s">
        <v>14</v>
      </c>
      <c r="D538">
        <v>619</v>
      </c>
      <c r="E538">
        <v>666.1</v>
      </c>
      <c r="F538">
        <v>619</v>
      </c>
      <c r="G538" s="3">
        <v>633.04999999999995</v>
      </c>
      <c r="H538">
        <v>633</v>
      </c>
      <c r="I538">
        <v>605.54999999999995</v>
      </c>
      <c r="J538">
        <v>66706</v>
      </c>
      <c r="K538">
        <v>43387278.299999997</v>
      </c>
      <c r="L538" s="1">
        <v>45240</v>
      </c>
      <c r="M538">
        <v>2951</v>
      </c>
      <c r="N538" t="s">
        <v>2110</v>
      </c>
      <c r="O538" s="5">
        <v>45240</v>
      </c>
      <c r="P538" s="5">
        <v>43777</v>
      </c>
      <c r="Q538" s="3">
        <v>184.75</v>
      </c>
      <c r="S538">
        <f t="shared" si="24"/>
        <v>1464</v>
      </c>
      <c r="T538">
        <f t="shared" si="25"/>
        <v>16.043835616438358</v>
      </c>
      <c r="U538" s="6">
        <f t="shared" si="26"/>
        <v>0.31913725002186677</v>
      </c>
    </row>
    <row r="539" spans="1:21" x14ac:dyDescent="0.25">
      <c r="A539" t="s">
        <v>2111</v>
      </c>
      <c r="B539" t="s">
        <v>2112</v>
      </c>
      <c r="C539" t="s">
        <v>10</v>
      </c>
      <c r="D539">
        <v>173.4</v>
      </c>
      <c r="E539">
        <v>177</v>
      </c>
      <c r="F539">
        <v>170.25</v>
      </c>
      <c r="G539" s="3">
        <v>175.9</v>
      </c>
      <c r="H539">
        <v>176</v>
      </c>
      <c r="I539">
        <v>177.15</v>
      </c>
      <c r="J539">
        <v>2984</v>
      </c>
      <c r="K539">
        <v>519461.55</v>
      </c>
      <c r="L539" s="1">
        <v>45240</v>
      </c>
      <c r="M539">
        <v>50</v>
      </c>
      <c r="N539" t="s">
        <v>2113</v>
      </c>
      <c r="O539" s="5">
        <v>45240</v>
      </c>
      <c r="P539" s="5">
        <v>43777</v>
      </c>
      <c r="Q539" s="3">
        <v>56.1</v>
      </c>
      <c r="S539">
        <f t="shared" si="24"/>
        <v>1464</v>
      </c>
      <c r="T539">
        <f t="shared" si="25"/>
        <v>16.043835616438358</v>
      </c>
      <c r="U539" s="6">
        <f t="shared" si="26"/>
        <v>0.29530666881151735</v>
      </c>
    </row>
    <row r="540" spans="1:21" x14ac:dyDescent="0.25">
      <c r="A540" t="s">
        <v>2114</v>
      </c>
      <c r="B540" t="s">
        <v>2115</v>
      </c>
      <c r="C540" t="s">
        <v>14</v>
      </c>
      <c r="D540">
        <v>108.25</v>
      </c>
      <c r="E540">
        <v>112.35</v>
      </c>
      <c r="F540">
        <v>108.25</v>
      </c>
      <c r="G540" s="3">
        <v>111.95</v>
      </c>
      <c r="H540">
        <v>111.75</v>
      </c>
      <c r="I540">
        <v>109.2</v>
      </c>
      <c r="J540">
        <v>2901154</v>
      </c>
      <c r="K540">
        <v>322418955.64999998</v>
      </c>
      <c r="L540" s="1">
        <v>45240</v>
      </c>
      <c r="M540">
        <v>15102</v>
      </c>
      <c r="N540" t="s">
        <v>2116</v>
      </c>
      <c r="O540" s="5">
        <v>45240</v>
      </c>
      <c r="P540" s="5">
        <v>43777</v>
      </c>
      <c r="Q540" s="3">
        <v>158.15</v>
      </c>
      <c r="S540">
        <f t="shared" si="24"/>
        <v>1464</v>
      </c>
      <c r="T540">
        <f t="shared" si="25"/>
        <v>16.043835616438358</v>
      </c>
      <c r="U540" s="6">
        <f t="shared" si="26"/>
        <v>-8.5216085822050758E-2</v>
      </c>
    </row>
    <row r="541" spans="1:21" x14ac:dyDescent="0.25">
      <c r="A541" t="s">
        <v>2117</v>
      </c>
      <c r="B541" t="s">
        <v>2118</v>
      </c>
      <c r="C541" t="s">
        <v>14</v>
      </c>
      <c r="D541">
        <v>278.14999999999998</v>
      </c>
      <c r="E541">
        <v>280.5</v>
      </c>
      <c r="F541">
        <v>271.2</v>
      </c>
      <c r="G541" s="3">
        <v>271.89999999999998</v>
      </c>
      <c r="H541">
        <v>273</v>
      </c>
      <c r="I541">
        <v>275.14999999999998</v>
      </c>
      <c r="J541">
        <v>17427</v>
      </c>
      <c r="K541">
        <v>4777075.4000000004</v>
      </c>
      <c r="L541" s="1">
        <v>45240</v>
      </c>
      <c r="M541">
        <v>1429</v>
      </c>
      <c r="N541" t="s">
        <v>2119</v>
      </c>
      <c r="O541" s="5">
        <v>45240</v>
      </c>
      <c r="P541" s="5">
        <v>43777</v>
      </c>
      <c r="Q541" s="3">
        <v>92.65</v>
      </c>
      <c r="S541">
        <f t="shared" si="24"/>
        <v>1464</v>
      </c>
      <c r="T541">
        <f t="shared" si="25"/>
        <v>16.043835616438358</v>
      </c>
      <c r="U541" s="6">
        <f t="shared" si="26"/>
        <v>0.27762672374286179</v>
      </c>
    </row>
    <row r="542" spans="1:21" x14ac:dyDescent="0.25">
      <c r="A542" t="s">
        <v>2120</v>
      </c>
      <c r="B542" t="s">
        <v>2121</v>
      </c>
      <c r="C542" t="s">
        <v>14</v>
      </c>
      <c r="D542">
        <v>411.6</v>
      </c>
      <c r="E542">
        <v>413.9</v>
      </c>
      <c r="F542">
        <v>401.55</v>
      </c>
      <c r="G542" s="3">
        <v>410.85</v>
      </c>
      <c r="H542">
        <v>412</v>
      </c>
      <c r="I542">
        <v>409.15</v>
      </c>
      <c r="J542">
        <v>28264</v>
      </c>
      <c r="K542">
        <v>11556804.699999999</v>
      </c>
      <c r="L542" s="1">
        <v>45240</v>
      </c>
      <c r="M542">
        <v>2371</v>
      </c>
      <c r="N542" t="s">
        <v>2122</v>
      </c>
      <c r="O542" s="5">
        <v>45240</v>
      </c>
      <c r="P542" s="5">
        <v>43777</v>
      </c>
      <c r="Q542" s="3">
        <v>183</v>
      </c>
      <c r="S542">
        <f t="shared" si="24"/>
        <v>1464</v>
      </c>
      <c r="T542">
        <f t="shared" si="25"/>
        <v>16.043835616438358</v>
      </c>
      <c r="U542" s="6">
        <f t="shared" si="26"/>
        <v>0.2068015547158959</v>
      </c>
    </row>
    <row r="543" spans="1:21" x14ac:dyDescent="0.25">
      <c r="A543" t="s">
        <v>2132</v>
      </c>
      <c r="B543" t="s">
        <v>2133</v>
      </c>
      <c r="C543" t="s">
        <v>786</v>
      </c>
      <c r="D543">
        <v>53.75</v>
      </c>
      <c r="E543">
        <v>53.75</v>
      </c>
      <c r="F543">
        <v>53.75</v>
      </c>
      <c r="G543" s="3">
        <v>53.75</v>
      </c>
      <c r="H543">
        <v>53.75</v>
      </c>
      <c r="I543">
        <v>52.7</v>
      </c>
      <c r="J543">
        <v>8612</v>
      </c>
      <c r="K543">
        <v>462895</v>
      </c>
      <c r="L543" s="1">
        <v>45240</v>
      </c>
      <c r="M543">
        <v>52</v>
      </c>
      <c r="N543" t="s">
        <v>2134</v>
      </c>
      <c r="O543" s="5">
        <v>45240</v>
      </c>
      <c r="P543" s="5">
        <v>43777</v>
      </c>
      <c r="Q543" s="3">
        <v>16.399999999999999</v>
      </c>
      <c r="S543">
        <f t="shared" si="24"/>
        <v>1464</v>
      </c>
      <c r="T543">
        <f t="shared" si="25"/>
        <v>16.043835616438358</v>
      </c>
      <c r="U543" s="6">
        <f t="shared" si="26"/>
        <v>0.30717849472606407</v>
      </c>
    </row>
    <row r="544" spans="1:21" x14ac:dyDescent="0.25">
      <c r="A544" t="s">
        <v>2135</v>
      </c>
      <c r="B544" t="s">
        <v>2136</v>
      </c>
      <c r="C544" t="s">
        <v>14</v>
      </c>
      <c r="D544">
        <v>80</v>
      </c>
      <c r="E544">
        <v>81.900000000000006</v>
      </c>
      <c r="F544">
        <v>78.349999999999994</v>
      </c>
      <c r="G544" s="3">
        <v>80.8</v>
      </c>
      <c r="H544">
        <v>80</v>
      </c>
      <c r="I544">
        <v>80.75</v>
      </c>
      <c r="J544">
        <v>152221</v>
      </c>
      <c r="K544">
        <v>12221809.300000001</v>
      </c>
      <c r="L544" s="1">
        <v>45240</v>
      </c>
      <c r="M544">
        <v>2301</v>
      </c>
      <c r="N544" t="s">
        <v>2137</v>
      </c>
      <c r="O544" s="5">
        <v>45240</v>
      </c>
      <c r="P544" s="5">
        <v>43777</v>
      </c>
      <c r="Q544" s="3">
        <v>80.650000000000006</v>
      </c>
      <c r="S544">
        <f t="shared" si="24"/>
        <v>1464</v>
      </c>
      <c r="T544">
        <f t="shared" si="25"/>
        <v>16.043835616438358</v>
      </c>
      <c r="U544" s="6">
        <f t="shared" si="26"/>
        <v>4.6329783187104567E-4</v>
      </c>
    </row>
    <row r="545" spans="1:21" x14ac:dyDescent="0.25">
      <c r="A545" t="s">
        <v>2138</v>
      </c>
      <c r="B545" t="s">
        <v>2139</v>
      </c>
      <c r="C545" t="s">
        <v>14</v>
      </c>
      <c r="D545">
        <v>529.6</v>
      </c>
      <c r="E545">
        <v>542</v>
      </c>
      <c r="F545">
        <v>525</v>
      </c>
      <c r="G545" s="3">
        <v>531</v>
      </c>
      <c r="H545">
        <v>532.25</v>
      </c>
      <c r="I545">
        <v>526.4</v>
      </c>
      <c r="J545">
        <v>57431</v>
      </c>
      <c r="K545">
        <v>30577246.75</v>
      </c>
      <c r="L545" s="1">
        <v>45240</v>
      </c>
      <c r="M545">
        <v>5855</v>
      </c>
      <c r="N545" t="s">
        <v>2140</v>
      </c>
      <c r="O545" s="5">
        <v>45240</v>
      </c>
      <c r="P545" s="5">
        <v>43777</v>
      </c>
      <c r="Q545" s="3">
        <v>624.20000000000005</v>
      </c>
      <c r="S545">
        <f t="shared" si="24"/>
        <v>1464</v>
      </c>
      <c r="T545">
        <f t="shared" si="25"/>
        <v>16.043835616438358</v>
      </c>
      <c r="U545" s="6">
        <f t="shared" si="26"/>
        <v>-4.0114246231188311E-2</v>
      </c>
    </row>
    <row r="546" spans="1:21" x14ac:dyDescent="0.25">
      <c r="A546" t="s">
        <v>6619</v>
      </c>
      <c r="B546" t="s">
        <v>7798</v>
      </c>
      <c r="C546" t="s">
        <v>14</v>
      </c>
      <c r="D546">
        <v>262.49</v>
      </c>
      <c r="E546">
        <v>263.64999999999998</v>
      </c>
      <c r="F546">
        <v>259.98</v>
      </c>
      <c r="G546" s="3">
        <v>260.27999999999997</v>
      </c>
      <c r="H546">
        <v>260.35000000000002</v>
      </c>
      <c r="I546">
        <v>263.02</v>
      </c>
      <c r="J546">
        <v>32040</v>
      </c>
      <c r="K546">
        <v>8344613.6600000001</v>
      </c>
      <c r="L546" s="1">
        <v>45240</v>
      </c>
      <c r="M546">
        <v>910</v>
      </c>
      <c r="N546" t="s">
        <v>6618</v>
      </c>
      <c r="O546" s="5">
        <v>45240</v>
      </c>
      <c r="P546" s="5">
        <v>43777</v>
      </c>
      <c r="Q546" s="3">
        <v>3551.14</v>
      </c>
      <c r="S546">
        <f t="shared" si="24"/>
        <v>1464</v>
      </c>
      <c r="T546">
        <f t="shared" si="25"/>
        <v>16.043835616438358</v>
      </c>
      <c r="U546" s="6">
        <f t="shared" si="26"/>
        <v>-0.60123717087891126</v>
      </c>
    </row>
    <row r="547" spans="1:21" x14ac:dyDescent="0.25">
      <c r="A547" t="s">
        <v>2147</v>
      </c>
      <c r="B547" t="s">
        <v>2148</v>
      </c>
      <c r="C547" t="s">
        <v>14</v>
      </c>
      <c r="D547">
        <v>37436.800000000003</v>
      </c>
      <c r="E547">
        <v>37527.65</v>
      </c>
      <c r="F547">
        <v>37150.1</v>
      </c>
      <c r="G547" s="3">
        <v>37341.75</v>
      </c>
      <c r="H547">
        <v>37451.800000000003</v>
      </c>
      <c r="I547">
        <v>37436.800000000003</v>
      </c>
      <c r="J547">
        <v>720</v>
      </c>
      <c r="K547">
        <v>26847455.300000001</v>
      </c>
      <c r="L547" s="1">
        <v>45240</v>
      </c>
      <c r="M547">
        <v>560</v>
      </c>
      <c r="N547" t="s">
        <v>2149</v>
      </c>
      <c r="O547" s="5">
        <v>45240</v>
      </c>
      <c r="P547" s="5">
        <v>43777</v>
      </c>
      <c r="Q547" s="3">
        <v>27873.85</v>
      </c>
      <c r="S547">
        <f t="shared" si="24"/>
        <v>1464</v>
      </c>
      <c r="T547">
        <f t="shared" si="25"/>
        <v>16.043835616438358</v>
      </c>
      <c r="U547" s="6">
        <f t="shared" si="26"/>
        <v>7.3574481042597561E-2</v>
      </c>
    </row>
    <row r="548" spans="1:21" x14ac:dyDescent="0.25">
      <c r="A548" t="s">
        <v>2150</v>
      </c>
      <c r="B548" t="s">
        <v>2151</v>
      </c>
      <c r="C548" t="s">
        <v>14</v>
      </c>
      <c r="D548">
        <v>2798.95</v>
      </c>
      <c r="E548">
        <v>2850.9</v>
      </c>
      <c r="F548">
        <v>2670</v>
      </c>
      <c r="G548" s="3">
        <v>2756.4</v>
      </c>
      <c r="H548">
        <v>2748.15</v>
      </c>
      <c r="I548">
        <v>2799.25</v>
      </c>
      <c r="J548">
        <v>28400</v>
      </c>
      <c r="K548">
        <v>78164316.349999994</v>
      </c>
      <c r="L548" s="1">
        <v>45240</v>
      </c>
      <c r="M548">
        <v>4524</v>
      </c>
      <c r="N548" t="s">
        <v>2152</v>
      </c>
      <c r="O548" s="5">
        <v>45240</v>
      </c>
      <c r="P548" s="5">
        <v>43777</v>
      </c>
      <c r="Q548" s="3">
        <v>1310.4000000000001</v>
      </c>
      <c r="S548">
        <f t="shared" si="24"/>
        <v>1464</v>
      </c>
      <c r="T548">
        <f t="shared" si="25"/>
        <v>16.043835616438358</v>
      </c>
      <c r="U548" s="6">
        <f t="shared" si="26"/>
        <v>0.18975368928254177</v>
      </c>
    </row>
    <row r="549" spans="1:21" x14ac:dyDescent="0.25">
      <c r="A549" t="s">
        <v>2153</v>
      </c>
      <c r="B549" t="s">
        <v>2154</v>
      </c>
      <c r="C549" t="s">
        <v>14</v>
      </c>
      <c r="D549">
        <v>55</v>
      </c>
      <c r="E549">
        <v>57.9</v>
      </c>
      <c r="F549">
        <v>54.1</v>
      </c>
      <c r="G549" s="3">
        <v>55.6</v>
      </c>
      <c r="H549">
        <v>54.7</v>
      </c>
      <c r="I549">
        <v>55.5</v>
      </c>
      <c r="J549">
        <v>59580</v>
      </c>
      <c r="K549">
        <v>3351178.05</v>
      </c>
      <c r="L549" s="1">
        <v>45240</v>
      </c>
      <c r="M549">
        <v>1228</v>
      </c>
      <c r="N549" t="s">
        <v>2155</v>
      </c>
      <c r="O549" s="5">
        <v>45240</v>
      </c>
      <c r="P549" s="5">
        <v>43777</v>
      </c>
      <c r="Q549" s="3">
        <v>61.35</v>
      </c>
      <c r="S549">
        <f t="shared" si="24"/>
        <v>1464</v>
      </c>
      <c r="T549">
        <f t="shared" si="25"/>
        <v>16.043835616438358</v>
      </c>
      <c r="U549" s="6">
        <f t="shared" si="26"/>
        <v>-2.4460674300847529E-2</v>
      </c>
    </row>
    <row r="550" spans="1:21" x14ac:dyDescent="0.25">
      <c r="A550" t="s">
        <v>2162</v>
      </c>
      <c r="B550" t="s">
        <v>2163</v>
      </c>
      <c r="C550" t="s">
        <v>14</v>
      </c>
      <c r="D550">
        <v>209.9</v>
      </c>
      <c r="E550">
        <v>209.9</v>
      </c>
      <c r="F550">
        <v>205</v>
      </c>
      <c r="G550" s="3">
        <v>205.6</v>
      </c>
      <c r="H550">
        <v>205.35</v>
      </c>
      <c r="I550">
        <v>209.35</v>
      </c>
      <c r="J550">
        <v>157319</v>
      </c>
      <c r="K550">
        <v>32501618.149999999</v>
      </c>
      <c r="L550" s="1">
        <v>45240</v>
      </c>
      <c r="M550">
        <v>3124</v>
      </c>
      <c r="N550" t="s">
        <v>2164</v>
      </c>
      <c r="O550" s="5">
        <v>45240</v>
      </c>
      <c r="P550" s="5">
        <v>43777</v>
      </c>
      <c r="Q550" s="3">
        <v>46</v>
      </c>
      <c r="S550">
        <f t="shared" si="24"/>
        <v>1464</v>
      </c>
      <c r="T550">
        <f t="shared" si="25"/>
        <v>16.043835616438358</v>
      </c>
      <c r="U550" s="6">
        <f t="shared" si="26"/>
        <v>0.39127392196293354</v>
      </c>
    </row>
    <row r="551" spans="1:21" x14ac:dyDescent="0.25">
      <c r="A551" t="s">
        <v>2165</v>
      </c>
      <c r="B551" t="s">
        <v>2166</v>
      </c>
      <c r="C551" t="s">
        <v>14</v>
      </c>
      <c r="D551">
        <v>250</v>
      </c>
      <c r="E551">
        <v>251.9</v>
      </c>
      <c r="F551">
        <v>248</v>
      </c>
      <c r="G551" s="3">
        <v>248.8</v>
      </c>
      <c r="H551">
        <v>248.5</v>
      </c>
      <c r="I551">
        <v>251.45</v>
      </c>
      <c r="J551">
        <v>519975</v>
      </c>
      <c r="K551">
        <v>129923346.5</v>
      </c>
      <c r="L551" s="1">
        <v>45240</v>
      </c>
      <c r="M551">
        <v>8042</v>
      </c>
      <c r="N551" t="s">
        <v>2167</v>
      </c>
      <c r="O551" s="5">
        <v>45240</v>
      </c>
      <c r="P551" s="5">
        <v>43777</v>
      </c>
      <c r="Q551" s="3">
        <v>72.099999999999994</v>
      </c>
      <c r="S551">
        <f t="shared" si="24"/>
        <v>1464</v>
      </c>
      <c r="T551">
        <f t="shared" si="25"/>
        <v>16.043835616438358</v>
      </c>
      <c r="U551" s="6">
        <f t="shared" si="26"/>
        <v>0.32103544398139228</v>
      </c>
    </row>
    <row r="552" spans="1:21" x14ac:dyDescent="0.25">
      <c r="A552" t="s">
        <v>2168</v>
      </c>
      <c r="B552" t="s">
        <v>2169</v>
      </c>
      <c r="C552" t="s">
        <v>14</v>
      </c>
      <c r="D552">
        <v>23.8</v>
      </c>
      <c r="E552">
        <v>24</v>
      </c>
      <c r="F552">
        <v>23.5</v>
      </c>
      <c r="G552" s="3">
        <v>23.7</v>
      </c>
      <c r="H552">
        <v>23.75</v>
      </c>
      <c r="I552">
        <v>23.8</v>
      </c>
      <c r="J552">
        <v>350560</v>
      </c>
      <c r="K552">
        <v>8324271.4000000004</v>
      </c>
      <c r="L552" s="1">
        <v>45240</v>
      </c>
      <c r="M552">
        <v>1517</v>
      </c>
      <c r="N552" t="s">
        <v>2170</v>
      </c>
      <c r="O552" s="5">
        <v>45240</v>
      </c>
      <c r="P552" s="5">
        <v>43777</v>
      </c>
      <c r="Q552" s="3">
        <v>15.9</v>
      </c>
      <c r="S552">
        <f t="shared" si="24"/>
        <v>1464</v>
      </c>
      <c r="T552">
        <f t="shared" si="25"/>
        <v>16.043835616438358</v>
      </c>
      <c r="U552" s="6">
        <f t="shared" si="26"/>
        <v>0.10076460532609843</v>
      </c>
    </row>
    <row r="553" spans="1:21" x14ac:dyDescent="0.25">
      <c r="A553" t="s">
        <v>2171</v>
      </c>
      <c r="B553" t="s">
        <v>2172</v>
      </c>
      <c r="C553" t="s">
        <v>14</v>
      </c>
      <c r="D553">
        <v>64.150000000000006</v>
      </c>
      <c r="E553">
        <v>66.45</v>
      </c>
      <c r="F553">
        <v>63.75</v>
      </c>
      <c r="G553" s="3">
        <v>65.55</v>
      </c>
      <c r="H553">
        <v>65.5</v>
      </c>
      <c r="I553">
        <v>65.8</v>
      </c>
      <c r="J553">
        <v>238080</v>
      </c>
      <c r="K553">
        <v>15535127.85</v>
      </c>
      <c r="L553" s="1">
        <v>45240</v>
      </c>
      <c r="M553">
        <v>1166</v>
      </c>
      <c r="N553" t="s">
        <v>2173</v>
      </c>
      <c r="O553" s="5">
        <v>45240</v>
      </c>
      <c r="P553" s="5">
        <v>43777</v>
      </c>
      <c r="Q553" s="3">
        <v>14.9</v>
      </c>
      <c r="S553">
        <f t="shared" si="24"/>
        <v>1464</v>
      </c>
      <c r="T553">
        <f t="shared" si="25"/>
        <v>16.043835616438358</v>
      </c>
      <c r="U553" s="6">
        <f t="shared" si="26"/>
        <v>0.38694081351193965</v>
      </c>
    </row>
    <row r="554" spans="1:21" x14ac:dyDescent="0.25">
      <c r="A554" t="s">
        <v>2174</v>
      </c>
      <c r="B554" t="s">
        <v>2175</v>
      </c>
      <c r="C554" t="s">
        <v>14</v>
      </c>
      <c r="D554">
        <v>79.2</v>
      </c>
      <c r="E554">
        <v>81.400000000000006</v>
      </c>
      <c r="F554">
        <v>78.25</v>
      </c>
      <c r="G554" s="3">
        <v>80.3</v>
      </c>
      <c r="H554">
        <v>80.2</v>
      </c>
      <c r="I554">
        <v>79.45</v>
      </c>
      <c r="J554">
        <v>9820785</v>
      </c>
      <c r="K554">
        <v>785456024.64999998</v>
      </c>
      <c r="L554" s="1">
        <v>45240</v>
      </c>
      <c r="M554">
        <v>25415</v>
      </c>
      <c r="N554" t="s">
        <v>2176</v>
      </c>
      <c r="O554" s="5">
        <v>45240</v>
      </c>
      <c r="P554" s="5">
        <v>43777</v>
      </c>
      <c r="Q554" s="3">
        <v>40.65</v>
      </c>
      <c r="S554">
        <f t="shared" si="24"/>
        <v>1464</v>
      </c>
      <c r="T554">
        <f t="shared" si="25"/>
        <v>16.043835616438358</v>
      </c>
      <c r="U554" s="6">
        <f t="shared" si="26"/>
        <v>0.17338010136379811</v>
      </c>
    </row>
    <row r="555" spans="1:21" x14ac:dyDescent="0.25">
      <c r="A555" t="s">
        <v>2174</v>
      </c>
      <c r="B555" t="s">
        <v>2175</v>
      </c>
      <c r="C555" t="s">
        <v>6176</v>
      </c>
      <c r="D555">
        <v>1140.01</v>
      </c>
      <c r="E555">
        <v>1140.51</v>
      </c>
      <c r="F555">
        <v>1140</v>
      </c>
      <c r="G555" s="3">
        <v>1140.0899999999999</v>
      </c>
      <c r="H555">
        <v>1140</v>
      </c>
      <c r="I555">
        <v>1139.92</v>
      </c>
      <c r="J555">
        <v>1109</v>
      </c>
      <c r="K555">
        <v>1264342.67</v>
      </c>
      <c r="L555" s="1">
        <v>45240</v>
      </c>
      <c r="M555">
        <v>10</v>
      </c>
      <c r="N555" t="s">
        <v>6613</v>
      </c>
      <c r="O555" s="5">
        <v>45240</v>
      </c>
      <c r="P555" s="5">
        <v>43777</v>
      </c>
      <c r="Q555" s="3">
        <v>40.65</v>
      </c>
      <c r="S555">
        <f t="shared" si="24"/>
        <v>1464</v>
      </c>
      <c r="T555">
        <f t="shared" si="25"/>
        <v>16.043835616438358</v>
      </c>
      <c r="U555" s="6">
        <f t="shared" si="26"/>
        <v>0.92385387549288644</v>
      </c>
    </row>
    <row r="556" spans="1:21" x14ac:dyDescent="0.25">
      <c r="A556" t="s">
        <v>2174</v>
      </c>
      <c r="B556" t="s">
        <v>2175</v>
      </c>
      <c r="C556" t="s">
        <v>5874</v>
      </c>
      <c r="D556">
        <v>1174</v>
      </c>
      <c r="E556">
        <v>1177.99</v>
      </c>
      <c r="F556">
        <v>1172.5</v>
      </c>
      <c r="G556" s="3">
        <v>1173</v>
      </c>
      <c r="H556">
        <v>1173</v>
      </c>
      <c r="I556">
        <v>1173</v>
      </c>
      <c r="J556">
        <v>233</v>
      </c>
      <c r="K556">
        <v>273593.52</v>
      </c>
      <c r="L556" s="1">
        <v>45240</v>
      </c>
      <c r="M556">
        <v>7</v>
      </c>
      <c r="N556" t="s">
        <v>6612</v>
      </c>
      <c r="O556" s="5">
        <v>45240</v>
      </c>
      <c r="P556" s="5">
        <v>43777</v>
      </c>
      <c r="Q556" s="3">
        <v>40.65</v>
      </c>
      <c r="S556">
        <f t="shared" si="24"/>
        <v>1464</v>
      </c>
      <c r="T556">
        <f t="shared" si="25"/>
        <v>16.043835616438358</v>
      </c>
      <c r="U556" s="6">
        <f t="shared" si="26"/>
        <v>0.93259519154365211</v>
      </c>
    </row>
    <row r="557" spans="1:21" x14ac:dyDescent="0.25">
      <c r="A557" t="s">
        <v>2174</v>
      </c>
      <c r="B557" t="s">
        <v>2175</v>
      </c>
      <c r="C557" t="s">
        <v>6611</v>
      </c>
      <c r="D557">
        <v>1180</v>
      </c>
      <c r="E557">
        <v>1180</v>
      </c>
      <c r="F557">
        <v>1180</v>
      </c>
      <c r="G557" s="3">
        <v>1180</v>
      </c>
      <c r="H557">
        <v>1180</v>
      </c>
      <c r="I557">
        <v>1204.9000000000001</v>
      </c>
      <c r="J557">
        <v>25</v>
      </c>
      <c r="K557">
        <v>29500</v>
      </c>
      <c r="L557" s="1">
        <v>45240</v>
      </c>
      <c r="M557">
        <v>1</v>
      </c>
      <c r="N557" t="s">
        <v>6610</v>
      </c>
      <c r="O557" s="5">
        <v>45240</v>
      </c>
      <c r="P557" s="5">
        <v>43777</v>
      </c>
      <c r="Q557" s="3">
        <v>40.65</v>
      </c>
      <c r="S557">
        <f t="shared" si="24"/>
        <v>1464</v>
      </c>
      <c r="T557">
        <f t="shared" si="25"/>
        <v>16.043835616438358</v>
      </c>
      <c r="U557" s="6">
        <f t="shared" si="26"/>
        <v>0.93442478750544478</v>
      </c>
    </row>
    <row r="558" spans="1:21" x14ac:dyDescent="0.25">
      <c r="A558" t="s">
        <v>2174</v>
      </c>
      <c r="B558" t="s">
        <v>2175</v>
      </c>
      <c r="C558" t="s">
        <v>6240</v>
      </c>
      <c r="D558">
        <v>1355.1</v>
      </c>
      <c r="E558">
        <v>1356</v>
      </c>
      <c r="F558">
        <v>1355.1</v>
      </c>
      <c r="G558" s="3">
        <v>1355.87</v>
      </c>
      <c r="H558">
        <v>1356</v>
      </c>
      <c r="I558">
        <v>1355</v>
      </c>
      <c r="J558">
        <v>80</v>
      </c>
      <c r="K558">
        <v>108446.5</v>
      </c>
      <c r="L558" s="1">
        <v>45240</v>
      </c>
      <c r="M558">
        <v>3</v>
      </c>
      <c r="N558" t="s">
        <v>6609</v>
      </c>
      <c r="O558" s="5">
        <v>45240</v>
      </c>
      <c r="P558" s="5">
        <v>43777</v>
      </c>
      <c r="Q558" s="3">
        <v>40.65</v>
      </c>
      <c r="S558">
        <f t="shared" si="24"/>
        <v>1464</v>
      </c>
      <c r="T558">
        <f t="shared" si="25"/>
        <v>16.043835616438358</v>
      </c>
      <c r="U558" s="6">
        <f t="shared" si="26"/>
        <v>0.97733913954400542</v>
      </c>
    </row>
    <row r="559" spans="1:21" x14ac:dyDescent="0.25">
      <c r="A559" t="s">
        <v>2183</v>
      </c>
      <c r="B559" t="s">
        <v>2184</v>
      </c>
      <c r="C559" t="s">
        <v>14</v>
      </c>
      <c r="D559">
        <v>80.7</v>
      </c>
      <c r="E559">
        <v>82</v>
      </c>
      <c r="F559">
        <v>79.599999999999994</v>
      </c>
      <c r="G559" s="3">
        <v>80.5</v>
      </c>
      <c r="H559">
        <v>80</v>
      </c>
      <c r="I559">
        <v>80.8</v>
      </c>
      <c r="J559">
        <v>8069861</v>
      </c>
      <c r="K559">
        <v>651771839.5</v>
      </c>
      <c r="L559" s="1">
        <v>45240</v>
      </c>
      <c r="M559">
        <v>19217</v>
      </c>
      <c r="N559" t="s">
        <v>2185</v>
      </c>
      <c r="O559" s="5">
        <v>45240</v>
      </c>
      <c r="P559" s="5">
        <v>43777</v>
      </c>
      <c r="Q559" s="3">
        <v>73</v>
      </c>
      <c r="S559">
        <f t="shared" si="24"/>
        <v>1464</v>
      </c>
      <c r="T559">
        <f t="shared" si="25"/>
        <v>16.043835616438358</v>
      </c>
      <c r="U559" s="6">
        <f t="shared" si="26"/>
        <v>2.4457099415609029E-2</v>
      </c>
    </row>
    <row r="560" spans="1:21" x14ac:dyDescent="0.25">
      <c r="A560" t="s">
        <v>6608</v>
      </c>
      <c r="B560" t="s">
        <v>7798</v>
      </c>
      <c r="C560" t="s">
        <v>6240</v>
      </c>
      <c r="D560">
        <v>1035</v>
      </c>
      <c r="E560">
        <v>1035</v>
      </c>
      <c r="F560">
        <v>1035</v>
      </c>
      <c r="G560" s="3">
        <v>1035</v>
      </c>
      <c r="H560">
        <v>1035</v>
      </c>
      <c r="I560">
        <v>1035</v>
      </c>
      <c r="J560">
        <v>10</v>
      </c>
      <c r="K560">
        <v>10350</v>
      </c>
      <c r="L560" s="1">
        <v>45240</v>
      </c>
      <c r="M560">
        <v>1</v>
      </c>
      <c r="N560" t="s">
        <v>6607</v>
      </c>
      <c r="O560" s="5">
        <v>45240</v>
      </c>
      <c r="P560" s="5">
        <v>43777</v>
      </c>
      <c r="Q560" s="3">
        <v>840</v>
      </c>
      <c r="S560">
        <f t="shared" si="24"/>
        <v>1464</v>
      </c>
      <c r="T560">
        <f t="shared" si="25"/>
        <v>16.043835616438358</v>
      </c>
      <c r="U560" s="6">
        <f t="shared" si="26"/>
        <v>5.2386184449339623E-2</v>
      </c>
    </row>
    <row r="561" spans="1:21" x14ac:dyDescent="0.25">
      <c r="A561" t="s">
        <v>2186</v>
      </c>
      <c r="B561" t="s">
        <v>2187</v>
      </c>
      <c r="C561" t="s">
        <v>6604</v>
      </c>
      <c r="D561">
        <v>960</v>
      </c>
      <c r="E561">
        <v>960</v>
      </c>
      <c r="F561">
        <v>960</v>
      </c>
      <c r="G561" s="3">
        <v>960</v>
      </c>
      <c r="H561">
        <v>960</v>
      </c>
      <c r="I561">
        <v>969.99</v>
      </c>
      <c r="J561">
        <v>2</v>
      </c>
      <c r="K561">
        <v>1920</v>
      </c>
      <c r="L561" s="1">
        <v>45240</v>
      </c>
      <c r="M561">
        <v>1</v>
      </c>
      <c r="N561" t="s">
        <v>6603</v>
      </c>
      <c r="O561" s="5">
        <v>45240</v>
      </c>
      <c r="P561" s="5">
        <v>43777</v>
      </c>
      <c r="Q561" s="3">
        <v>241.65</v>
      </c>
      <c r="S561">
        <f t="shared" si="24"/>
        <v>1464</v>
      </c>
      <c r="T561">
        <f t="shared" si="25"/>
        <v>16.043835616438358</v>
      </c>
      <c r="U561" s="6">
        <f t="shared" si="26"/>
        <v>0.35913647217028277</v>
      </c>
    </row>
    <row r="562" spans="1:21" x14ac:dyDescent="0.25">
      <c r="A562" t="s">
        <v>2186</v>
      </c>
      <c r="B562" t="s">
        <v>2187</v>
      </c>
      <c r="C562" t="s">
        <v>6602</v>
      </c>
      <c r="D562">
        <v>980</v>
      </c>
      <c r="E562">
        <v>980</v>
      </c>
      <c r="F562">
        <v>980</v>
      </c>
      <c r="G562" s="3">
        <v>980</v>
      </c>
      <c r="H562">
        <v>980</v>
      </c>
      <c r="I562">
        <v>980</v>
      </c>
      <c r="J562">
        <v>11</v>
      </c>
      <c r="K562">
        <v>10780</v>
      </c>
      <c r="L562" s="1">
        <v>45240</v>
      </c>
      <c r="M562">
        <v>2</v>
      </c>
      <c r="N562" t="s">
        <v>6601</v>
      </c>
      <c r="O562" s="5">
        <v>45240</v>
      </c>
      <c r="P562" s="5">
        <v>43777</v>
      </c>
      <c r="Q562" s="3">
        <v>241.65</v>
      </c>
      <c r="S562">
        <f t="shared" si="24"/>
        <v>1464</v>
      </c>
      <c r="T562">
        <f t="shared" si="25"/>
        <v>16.043835616438358</v>
      </c>
      <c r="U562" s="6">
        <f t="shared" si="26"/>
        <v>0.36474236788207914</v>
      </c>
    </row>
    <row r="563" spans="1:21" x14ac:dyDescent="0.25">
      <c r="A563" t="s">
        <v>2186</v>
      </c>
      <c r="B563" t="s">
        <v>2187</v>
      </c>
      <c r="C563" t="s">
        <v>6600</v>
      </c>
      <c r="D563">
        <v>975</v>
      </c>
      <c r="E563">
        <v>975</v>
      </c>
      <c r="F563">
        <v>975</v>
      </c>
      <c r="G563" s="3">
        <v>975</v>
      </c>
      <c r="H563">
        <v>975</v>
      </c>
      <c r="I563">
        <v>989</v>
      </c>
      <c r="J563">
        <v>1</v>
      </c>
      <c r="K563">
        <v>975</v>
      </c>
      <c r="L563" s="1">
        <v>45240</v>
      </c>
      <c r="M563">
        <v>1</v>
      </c>
      <c r="N563" t="s">
        <v>6599</v>
      </c>
      <c r="O563" s="5">
        <v>45240</v>
      </c>
      <c r="P563" s="5">
        <v>43777</v>
      </c>
      <c r="Q563" s="3">
        <v>241.65</v>
      </c>
      <c r="S563">
        <f t="shared" si="24"/>
        <v>1464</v>
      </c>
      <c r="T563">
        <f t="shared" si="25"/>
        <v>16.043835616438358</v>
      </c>
      <c r="U563" s="6">
        <f t="shared" si="26"/>
        <v>0.3633510211678912</v>
      </c>
    </row>
    <row r="564" spans="1:21" x14ac:dyDescent="0.25">
      <c r="A564" t="s">
        <v>2186</v>
      </c>
      <c r="B564" t="s">
        <v>2187</v>
      </c>
      <c r="C564" t="s">
        <v>14</v>
      </c>
      <c r="D564">
        <v>168</v>
      </c>
      <c r="E564">
        <v>169.5</v>
      </c>
      <c r="F564">
        <v>166.15</v>
      </c>
      <c r="G564" s="3">
        <v>167.9</v>
      </c>
      <c r="H564">
        <v>167.9</v>
      </c>
      <c r="I564">
        <v>168.85</v>
      </c>
      <c r="J564">
        <v>4845906</v>
      </c>
      <c r="K564">
        <v>813916951.64999998</v>
      </c>
      <c r="L564" s="1">
        <v>45240</v>
      </c>
      <c r="M564">
        <v>23056</v>
      </c>
      <c r="N564" t="s">
        <v>2188</v>
      </c>
      <c r="O564" s="5">
        <v>45240</v>
      </c>
      <c r="P564" s="5">
        <v>43777</v>
      </c>
      <c r="Q564" s="3">
        <v>241.65</v>
      </c>
      <c r="S564">
        <f t="shared" si="24"/>
        <v>1464</v>
      </c>
      <c r="T564">
        <f t="shared" si="25"/>
        <v>16.043835616438358</v>
      </c>
      <c r="U564" s="6">
        <f t="shared" si="26"/>
        <v>-8.9759325213028429E-2</v>
      </c>
    </row>
    <row r="565" spans="1:21" x14ac:dyDescent="0.25">
      <c r="A565" t="s">
        <v>2186</v>
      </c>
      <c r="B565" t="s">
        <v>2187</v>
      </c>
      <c r="C565" t="s">
        <v>5874</v>
      </c>
      <c r="D565">
        <v>960.99</v>
      </c>
      <c r="E565">
        <v>962</v>
      </c>
      <c r="F565">
        <v>960.99</v>
      </c>
      <c r="G565" s="3">
        <v>962</v>
      </c>
      <c r="H565">
        <v>962</v>
      </c>
      <c r="I565">
        <v>962.4</v>
      </c>
      <c r="J565">
        <v>140</v>
      </c>
      <c r="K565">
        <v>134610.79999999999</v>
      </c>
      <c r="L565" s="1">
        <v>45240</v>
      </c>
      <c r="M565">
        <v>8</v>
      </c>
      <c r="N565" t="s">
        <v>6598</v>
      </c>
      <c r="O565" s="5">
        <v>45240</v>
      </c>
      <c r="P565" s="5">
        <v>43777</v>
      </c>
      <c r="Q565" s="3">
        <v>241.65</v>
      </c>
      <c r="S565">
        <f t="shared" si="24"/>
        <v>1464</v>
      </c>
      <c r="T565">
        <f t="shared" si="25"/>
        <v>16.043835616438358</v>
      </c>
      <c r="U565" s="6">
        <f t="shared" si="26"/>
        <v>0.35970196512036789</v>
      </c>
    </row>
    <row r="566" spans="1:21" x14ac:dyDescent="0.25">
      <c r="A566" t="s">
        <v>2186</v>
      </c>
      <c r="B566" t="s">
        <v>2187</v>
      </c>
      <c r="C566" t="s">
        <v>6130</v>
      </c>
      <c r="D566">
        <v>935</v>
      </c>
      <c r="E566">
        <v>935</v>
      </c>
      <c r="F566">
        <v>935</v>
      </c>
      <c r="G566" s="3">
        <v>935</v>
      </c>
      <c r="H566">
        <v>935</v>
      </c>
      <c r="I566">
        <v>935</v>
      </c>
      <c r="J566">
        <v>30</v>
      </c>
      <c r="K566">
        <v>28050</v>
      </c>
      <c r="L566" s="1">
        <v>45240</v>
      </c>
      <c r="M566">
        <v>1</v>
      </c>
      <c r="N566" t="s">
        <v>6597</v>
      </c>
      <c r="O566" s="5">
        <v>45240</v>
      </c>
      <c r="P566" s="5">
        <v>43777</v>
      </c>
      <c r="Q566" s="3">
        <v>241.65</v>
      </c>
      <c r="S566">
        <f t="shared" si="24"/>
        <v>1464</v>
      </c>
      <c r="T566">
        <f t="shared" si="25"/>
        <v>16.043835616438358</v>
      </c>
      <c r="U566" s="6">
        <f t="shared" si="26"/>
        <v>0.35197303981960903</v>
      </c>
    </row>
    <row r="567" spans="1:21" x14ac:dyDescent="0.25">
      <c r="A567" t="s">
        <v>2186</v>
      </c>
      <c r="B567" t="s">
        <v>2187</v>
      </c>
      <c r="C567" t="s">
        <v>6247</v>
      </c>
      <c r="D567">
        <v>944.95</v>
      </c>
      <c r="E567">
        <v>944.95</v>
      </c>
      <c r="F567">
        <v>944.95</v>
      </c>
      <c r="G567" s="3">
        <v>944.95</v>
      </c>
      <c r="H567">
        <v>944.95</v>
      </c>
      <c r="I567">
        <v>940</v>
      </c>
      <c r="J567">
        <v>25</v>
      </c>
      <c r="K567">
        <v>23623.75</v>
      </c>
      <c r="L567" s="1">
        <v>45240</v>
      </c>
      <c r="M567">
        <v>1</v>
      </c>
      <c r="N567" t="s">
        <v>6596</v>
      </c>
      <c r="O567" s="5">
        <v>45240</v>
      </c>
      <c r="P567" s="5">
        <v>43777</v>
      </c>
      <c r="Q567" s="3">
        <v>241.65</v>
      </c>
      <c r="S567">
        <f t="shared" si="24"/>
        <v>1464</v>
      </c>
      <c r="T567">
        <f t="shared" si="25"/>
        <v>16.043835616438358</v>
      </c>
      <c r="U567" s="6">
        <f t="shared" si="26"/>
        <v>0.35484535506997261</v>
      </c>
    </row>
    <row r="568" spans="1:21" x14ac:dyDescent="0.25">
      <c r="A568" t="s">
        <v>2186</v>
      </c>
      <c r="B568" t="s">
        <v>2187</v>
      </c>
      <c r="C568" t="s">
        <v>5865</v>
      </c>
      <c r="D568">
        <v>965</v>
      </c>
      <c r="E568">
        <v>970</v>
      </c>
      <c r="F568">
        <v>965</v>
      </c>
      <c r="G568" s="3">
        <v>970</v>
      </c>
      <c r="H568">
        <v>970</v>
      </c>
      <c r="I568">
        <v>963</v>
      </c>
      <c r="J568">
        <v>100</v>
      </c>
      <c r="K568">
        <v>96950</v>
      </c>
      <c r="L568" s="1">
        <v>45240</v>
      </c>
      <c r="M568">
        <v>3</v>
      </c>
      <c r="N568" t="s">
        <v>6595</v>
      </c>
      <c r="O568" s="5">
        <v>45240</v>
      </c>
      <c r="P568" s="5">
        <v>43777</v>
      </c>
      <c r="Q568" s="3">
        <v>241.65</v>
      </c>
      <c r="S568">
        <f t="shared" si="24"/>
        <v>1464</v>
      </c>
      <c r="T568">
        <f t="shared" si="25"/>
        <v>16.043835616438358</v>
      </c>
      <c r="U568" s="6">
        <f t="shared" si="26"/>
        <v>0.36195296791369991</v>
      </c>
    </row>
    <row r="569" spans="1:21" x14ac:dyDescent="0.25">
      <c r="A569" t="s">
        <v>2186</v>
      </c>
      <c r="B569" t="s">
        <v>2187</v>
      </c>
      <c r="C569" t="s">
        <v>6594</v>
      </c>
      <c r="D569">
        <v>1163.45</v>
      </c>
      <c r="E569">
        <v>1163.45</v>
      </c>
      <c r="F569">
        <v>1163.45</v>
      </c>
      <c r="G569" s="3">
        <v>1163.45</v>
      </c>
      <c r="H569">
        <v>1163.45</v>
      </c>
      <c r="I569">
        <v>1158.8499999999999</v>
      </c>
      <c r="J569">
        <v>5</v>
      </c>
      <c r="K569">
        <v>5817.25</v>
      </c>
      <c r="L569" s="1">
        <v>45240</v>
      </c>
      <c r="M569">
        <v>1</v>
      </c>
      <c r="N569" t="s">
        <v>6593</v>
      </c>
      <c r="O569" s="5">
        <v>45240</v>
      </c>
      <c r="P569" s="5">
        <v>43777</v>
      </c>
      <c r="Q569" s="3">
        <v>241.65</v>
      </c>
      <c r="S569">
        <f t="shared" si="24"/>
        <v>1464</v>
      </c>
      <c r="T569">
        <f t="shared" si="25"/>
        <v>16.043835616438358</v>
      </c>
      <c r="U569" s="6">
        <f t="shared" si="26"/>
        <v>0.41167479991442768</v>
      </c>
    </row>
    <row r="570" spans="1:21" x14ac:dyDescent="0.25">
      <c r="A570" t="s">
        <v>2186</v>
      </c>
      <c r="B570" t="s">
        <v>2187</v>
      </c>
      <c r="C570" t="s">
        <v>6592</v>
      </c>
      <c r="D570">
        <v>990</v>
      </c>
      <c r="E570">
        <v>990</v>
      </c>
      <c r="F570">
        <v>990</v>
      </c>
      <c r="G570" s="3">
        <v>990</v>
      </c>
      <c r="H570">
        <v>990</v>
      </c>
      <c r="I570">
        <v>988</v>
      </c>
      <c r="J570">
        <v>20</v>
      </c>
      <c r="K570">
        <v>19800</v>
      </c>
      <c r="L570" s="1">
        <v>45240</v>
      </c>
      <c r="M570">
        <v>1</v>
      </c>
      <c r="N570" t="s">
        <v>6591</v>
      </c>
      <c r="O570" s="5">
        <v>45240</v>
      </c>
      <c r="P570" s="5">
        <v>43777</v>
      </c>
      <c r="Q570" s="3">
        <v>241.65</v>
      </c>
      <c r="S570">
        <f t="shared" si="24"/>
        <v>1464</v>
      </c>
      <c r="T570">
        <f t="shared" si="25"/>
        <v>16.043835616438358</v>
      </c>
      <c r="U570" s="6">
        <f t="shared" si="26"/>
        <v>0.36750520528080788</v>
      </c>
    </row>
    <row r="571" spans="1:21" x14ac:dyDescent="0.25">
      <c r="A571" t="s">
        <v>2186</v>
      </c>
      <c r="B571" t="s">
        <v>2187</v>
      </c>
      <c r="C571" t="s">
        <v>6590</v>
      </c>
      <c r="D571">
        <v>944.8</v>
      </c>
      <c r="E571">
        <v>944.8</v>
      </c>
      <c r="F571">
        <v>944.8</v>
      </c>
      <c r="G571" s="3">
        <v>944.8</v>
      </c>
      <c r="H571">
        <v>944.8</v>
      </c>
      <c r="I571">
        <v>944.8</v>
      </c>
      <c r="J571">
        <v>10</v>
      </c>
      <c r="K571">
        <v>9448</v>
      </c>
      <c r="L571" s="1">
        <v>45240</v>
      </c>
      <c r="M571">
        <v>1</v>
      </c>
      <c r="N571" t="s">
        <v>6589</v>
      </c>
      <c r="O571" s="5">
        <v>45240</v>
      </c>
      <c r="P571" s="5">
        <v>43777</v>
      </c>
      <c r="Q571" s="3">
        <v>241.65</v>
      </c>
      <c r="S571">
        <f t="shared" si="24"/>
        <v>1464</v>
      </c>
      <c r="T571">
        <f t="shared" si="25"/>
        <v>16.043835616438358</v>
      </c>
      <c r="U571" s="6">
        <f t="shared" si="26"/>
        <v>0.35480226479288568</v>
      </c>
    </row>
    <row r="572" spans="1:21" x14ac:dyDescent="0.25">
      <c r="A572" t="s">
        <v>2186</v>
      </c>
      <c r="B572" t="s">
        <v>2187</v>
      </c>
      <c r="C572" t="s">
        <v>6588</v>
      </c>
      <c r="D572">
        <v>1035.68</v>
      </c>
      <c r="E572">
        <v>1035.68</v>
      </c>
      <c r="F572">
        <v>1035.68</v>
      </c>
      <c r="G572" s="3">
        <v>1035.68</v>
      </c>
      <c r="H572">
        <v>1035.68</v>
      </c>
      <c r="I572">
        <v>980.1</v>
      </c>
      <c r="J572">
        <v>24</v>
      </c>
      <c r="K572">
        <v>24856.32</v>
      </c>
      <c r="L572" s="1">
        <v>45240</v>
      </c>
      <c r="M572">
        <v>1</v>
      </c>
      <c r="N572" t="s">
        <v>6587</v>
      </c>
      <c r="O572" s="5">
        <v>45240</v>
      </c>
      <c r="P572" s="5">
        <v>43777</v>
      </c>
      <c r="Q572" s="3">
        <v>241.65</v>
      </c>
      <c r="S572">
        <f t="shared" si="24"/>
        <v>1464</v>
      </c>
      <c r="T572">
        <f t="shared" si="25"/>
        <v>16.043835616438358</v>
      </c>
      <c r="U572" s="6">
        <f t="shared" si="26"/>
        <v>0.37980208092157408</v>
      </c>
    </row>
    <row r="573" spans="1:21" x14ac:dyDescent="0.25">
      <c r="A573" t="s">
        <v>2186</v>
      </c>
      <c r="B573" t="s">
        <v>2187</v>
      </c>
      <c r="C573" t="s">
        <v>6586</v>
      </c>
      <c r="D573">
        <v>960</v>
      </c>
      <c r="E573">
        <v>960</v>
      </c>
      <c r="F573">
        <v>960</v>
      </c>
      <c r="G573" s="3">
        <v>960</v>
      </c>
      <c r="H573">
        <v>960</v>
      </c>
      <c r="I573">
        <v>977</v>
      </c>
      <c r="J573">
        <v>5</v>
      </c>
      <c r="K573">
        <v>4800</v>
      </c>
      <c r="L573" s="1">
        <v>45240</v>
      </c>
      <c r="M573">
        <v>1</v>
      </c>
      <c r="N573" t="s">
        <v>6585</v>
      </c>
      <c r="O573" s="5">
        <v>45240</v>
      </c>
      <c r="P573" s="5">
        <v>43777</v>
      </c>
      <c r="Q573" s="3">
        <v>241.65</v>
      </c>
      <c r="S573">
        <f t="shared" si="24"/>
        <v>1464</v>
      </c>
      <c r="T573">
        <f t="shared" si="25"/>
        <v>16.043835616438358</v>
      </c>
      <c r="U573" s="6">
        <f t="shared" si="26"/>
        <v>0.35913647217028277</v>
      </c>
    </row>
    <row r="574" spans="1:21" x14ac:dyDescent="0.25">
      <c r="A574" t="s">
        <v>2186</v>
      </c>
      <c r="B574" t="s">
        <v>2187</v>
      </c>
      <c r="C574" t="s">
        <v>5927</v>
      </c>
      <c r="D574">
        <v>970.9</v>
      </c>
      <c r="E574">
        <v>970.9</v>
      </c>
      <c r="F574">
        <v>970.9</v>
      </c>
      <c r="G574" s="3">
        <v>970.9</v>
      </c>
      <c r="H574">
        <v>970.9</v>
      </c>
      <c r="I574">
        <v>963.45</v>
      </c>
      <c r="J574">
        <v>9</v>
      </c>
      <c r="K574">
        <v>8738.1</v>
      </c>
      <c r="L574" s="1">
        <v>45240</v>
      </c>
      <c r="M574">
        <v>1</v>
      </c>
      <c r="N574" t="s">
        <v>6584</v>
      </c>
      <c r="O574" s="5">
        <v>45240</v>
      </c>
      <c r="P574" s="5">
        <v>43777</v>
      </c>
      <c r="Q574" s="3">
        <v>241.65</v>
      </c>
      <c r="S574">
        <f t="shared" si="24"/>
        <v>1464</v>
      </c>
      <c r="T574">
        <f t="shared" si="25"/>
        <v>16.043835616438358</v>
      </c>
      <c r="U574" s="6">
        <f t="shared" si="26"/>
        <v>0.3622051154350272</v>
      </c>
    </row>
    <row r="575" spans="1:21" x14ac:dyDescent="0.25">
      <c r="A575" t="s">
        <v>2186</v>
      </c>
      <c r="B575" t="s">
        <v>2187</v>
      </c>
      <c r="C575" t="s">
        <v>6583</v>
      </c>
      <c r="D575">
        <v>1012.2</v>
      </c>
      <c r="E575">
        <v>1012.2</v>
      </c>
      <c r="F575">
        <v>1012.2</v>
      </c>
      <c r="G575" s="3">
        <v>1012.2</v>
      </c>
      <c r="H575">
        <v>1012.2</v>
      </c>
      <c r="I575">
        <v>1010</v>
      </c>
      <c r="J575">
        <v>1</v>
      </c>
      <c r="K575">
        <v>1012.2</v>
      </c>
      <c r="L575" s="1">
        <v>45240</v>
      </c>
      <c r="M575">
        <v>1</v>
      </c>
      <c r="N575" t="s">
        <v>6582</v>
      </c>
      <c r="O575" s="5">
        <v>45240</v>
      </c>
      <c r="P575" s="5">
        <v>43777</v>
      </c>
      <c r="Q575" s="3">
        <v>241.65</v>
      </c>
      <c r="S575">
        <f t="shared" si="24"/>
        <v>1464</v>
      </c>
      <c r="T575">
        <f t="shared" si="25"/>
        <v>16.043835616438358</v>
      </c>
      <c r="U575" s="6">
        <f t="shared" si="26"/>
        <v>0.37354634283159793</v>
      </c>
    </row>
    <row r="576" spans="1:21" x14ac:dyDescent="0.25">
      <c r="A576" t="s">
        <v>2186</v>
      </c>
      <c r="B576" t="s">
        <v>2187</v>
      </c>
      <c r="C576" t="s">
        <v>6581</v>
      </c>
      <c r="D576">
        <v>975</v>
      </c>
      <c r="E576">
        <v>975</v>
      </c>
      <c r="F576">
        <v>975</v>
      </c>
      <c r="G576" s="3">
        <v>975</v>
      </c>
      <c r="H576">
        <v>975</v>
      </c>
      <c r="I576">
        <v>975</v>
      </c>
      <c r="J576">
        <v>11</v>
      </c>
      <c r="K576">
        <v>10725</v>
      </c>
      <c r="L576" s="1">
        <v>45240</v>
      </c>
      <c r="M576">
        <v>2</v>
      </c>
      <c r="N576" t="s">
        <v>6580</v>
      </c>
      <c r="O576" s="5">
        <v>45240</v>
      </c>
      <c r="P576" s="5">
        <v>43777</v>
      </c>
      <c r="Q576" s="3">
        <v>241.65</v>
      </c>
      <c r="S576">
        <f t="shared" si="24"/>
        <v>1464</v>
      </c>
      <c r="T576">
        <f t="shared" si="25"/>
        <v>16.043835616438358</v>
      </c>
      <c r="U576" s="6">
        <f t="shared" si="26"/>
        <v>0.3633510211678912</v>
      </c>
    </row>
    <row r="577" spans="1:21" x14ac:dyDescent="0.25">
      <c r="A577" t="s">
        <v>6579</v>
      </c>
      <c r="B577" t="s">
        <v>7798</v>
      </c>
      <c r="C577" t="s">
        <v>14</v>
      </c>
      <c r="D577">
        <v>29.13</v>
      </c>
      <c r="E577">
        <v>29.13</v>
      </c>
      <c r="F577">
        <v>28.75</v>
      </c>
      <c r="G577" s="3">
        <v>28.9</v>
      </c>
      <c r="H577">
        <v>28.94</v>
      </c>
      <c r="I577">
        <v>28.89</v>
      </c>
      <c r="J577">
        <v>13064</v>
      </c>
      <c r="K577">
        <v>377173.28</v>
      </c>
      <c r="L577" s="1">
        <v>45240</v>
      </c>
      <c r="M577">
        <v>447</v>
      </c>
      <c r="N577" t="s">
        <v>6578</v>
      </c>
      <c r="O577" s="5">
        <v>45240</v>
      </c>
      <c r="P577" s="5">
        <v>43777</v>
      </c>
      <c r="Q577" s="3">
        <v>157.08000000000001</v>
      </c>
      <c r="S577">
        <f t="shared" si="24"/>
        <v>1464</v>
      </c>
      <c r="T577">
        <f t="shared" si="25"/>
        <v>16.043835616438358</v>
      </c>
      <c r="U577" s="6">
        <f t="shared" si="26"/>
        <v>-0.40056694117318692</v>
      </c>
    </row>
    <row r="578" spans="1:21" x14ac:dyDescent="0.25">
      <c r="A578" t="s">
        <v>6571</v>
      </c>
      <c r="B578" t="s">
        <v>7798</v>
      </c>
      <c r="C578" t="s">
        <v>14</v>
      </c>
      <c r="D578">
        <v>76.33</v>
      </c>
      <c r="E578">
        <v>77.02</v>
      </c>
      <c r="F578">
        <v>75.91</v>
      </c>
      <c r="G578" s="3">
        <v>76.88</v>
      </c>
      <c r="H578">
        <v>76.849999999999994</v>
      </c>
      <c r="I578">
        <v>76.33</v>
      </c>
      <c r="J578">
        <v>662221</v>
      </c>
      <c r="K578">
        <v>50940069.25</v>
      </c>
      <c r="L578" s="1">
        <v>45240</v>
      </c>
      <c r="M578">
        <v>2442</v>
      </c>
      <c r="N578" t="s">
        <v>6570</v>
      </c>
      <c r="O578" s="5">
        <v>45240</v>
      </c>
      <c r="P578" s="5">
        <v>43777</v>
      </c>
      <c r="Q578" s="3">
        <v>35.630000000000003</v>
      </c>
      <c r="S578">
        <f t="shared" si="24"/>
        <v>1464</v>
      </c>
      <c r="T578">
        <f t="shared" si="25"/>
        <v>16.043835616438358</v>
      </c>
      <c r="U578" s="6">
        <f t="shared" si="26"/>
        <v>0.19640893681524307</v>
      </c>
    </row>
    <row r="579" spans="1:21" x14ac:dyDescent="0.25">
      <c r="A579" t="s">
        <v>2195</v>
      </c>
      <c r="B579" t="s">
        <v>2196</v>
      </c>
      <c r="C579" t="s">
        <v>14</v>
      </c>
      <c r="D579">
        <v>934.9</v>
      </c>
      <c r="E579">
        <v>941.45</v>
      </c>
      <c r="F579">
        <v>932.4</v>
      </c>
      <c r="G579" s="3">
        <v>938.6</v>
      </c>
      <c r="H579">
        <v>940.5</v>
      </c>
      <c r="I579">
        <v>937.35</v>
      </c>
      <c r="J579">
        <v>9560455</v>
      </c>
      <c r="K579">
        <v>8962808080</v>
      </c>
      <c r="L579" s="1">
        <v>45240</v>
      </c>
      <c r="M579">
        <v>160920</v>
      </c>
      <c r="N579" t="s">
        <v>2197</v>
      </c>
      <c r="O579" s="5">
        <v>45240</v>
      </c>
      <c r="P579" s="5">
        <v>43777</v>
      </c>
      <c r="Q579" s="3">
        <v>489.45</v>
      </c>
      <c r="S579">
        <f t="shared" ref="S579:S642" si="27">O579-P579+1</f>
        <v>1464</v>
      </c>
      <c r="T579">
        <f t="shared" ref="T579:T642" si="28">(S579/365)*4</f>
        <v>16.043835616438358</v>
      </c>
      <c r="U579" s="6">
        <f t="shared" ref="U579:U642" si="29">(((G579/Q579)^(1/T579))-1)*4</f>
        <v>0.16567100392924328</v>
      </c>
    </row>
    <row r="580" spans="1:21" x14ac:dyDescent="0.25">
      <c r="A580" t="s">
        <v>6569</v>
      </c>
      <c r="B580" t="s">
        <v>7798</v>
      </c>
      <c r="C580" t="s">
        <v>14</v>
      </c>
      <c r="D580">
        <v>45.45</v>
      </c>
      <c r="E580">
        <v>45.45</v>
      </c>
      <c r="F580">
        <v>43.91</v>
      </c>
      <c r="G580" s="3">
        <v>44.19</v>
      </c>
      <c r="H580">
        <v>44.28</v>
      </c>
      <c r="I580">
        <v>44.11</v>
      </c>
      <c r="J580">
        <v>563699</v>
      </c>
      <c r="K580">
        <v>24841938.460000001</v>
      </c>
      <c r="L580" s="1">
        <v>45240</v>
      </c>
      <c r="M580">
        <v>395</v>
      </c>
      <c r="N580" t="s">
        <v>6568</v>
      </c>
      <c r="O580" s="5">
        <v>45240</v>
      </c>
      <c r="P580" s="5">
        <v>43777</v>
      </c>
      <c r="Q580" s="3">
        <v>308.66000000000003</v>
      </c>
      <c r="S580">
        <f t="shared" si="27"/>
        <v>1464</v>
      </c>
      <c r="T580">
        <f t="shared" si="28"/>
        <v>16.043835616438358</v>
      </c>
      <c r="U580" s="6">
        <f t="shared" si="29"/>
        <v>-0.45640262077491167</v>
      </c>
    </row>
    <row r="581" spans="1:21" x14ac:dyDescent="0.25">
      <c r="A581" t="s">
        <v>6567</v>
      </c>
      <c r="B581" t="s">
        <v>7798</v>
      </c>
      <c r="C581" t="s">
        <v>14</v>
      </c>
      <c r="D581">
        <v>226.94</v>
      </c>
      <c r="E581">
        <v>227.82</v>
      </c>
      <c r="F581">
        <v>226.51</v>
      </c>
      <c r="G581" s="3">
        <v>227.81</v>
      </c>
      <c r="H581">
        <v>227.82</v>
      </c>
      <c r="I581">
        <v>227.34</v>
      </c>
      <c r="J581">
        <v>3015</v>
      </c>
      <c r="K581">
        <v>685414.61</v>
      </c>
      <c r="L581" s="1">
        <v>45240</v>
      </c>
      <c r="M581">
        <v>96</v>
      </c>
      <c r="N581" t="s">
        <v>6566</v>
      </c>
      <c r="O581" s="5">
        <v>45240</v>
      </c>
      <c r="P581" s="5">
        <v>43777</v>
      </c>
      <c r="Q581" s="3">
        <v>170.93</v>
      </c>
      <c r="S581">
        <f t="shared" si="27"/>
        <v>1464</v>
      </c>
      <c r="T581">
        <f t="shared" si="28"/>
        <v>16.043835616438358</v>
      </c>
      <c r="U581" s="6">
        <f t="shared" si="29"/>
        <v>7.2263233969049878E-2</v>
      </c>
    </row>
    <row r="582" spans="1:21" x14ac:dyDescent="0.25">
      <c r="A582" t="s">
        <v>2198</v>
      </c>
      <c r="B582" t="s">
        <v>2199</v>
      </c>
      <c r="C582" t="s">
        <v>14</v>
      </c>
      <c r="D582">
        <v>1350</v>
      </c>
      <c r="E582">
        <v>1362.45</v>
      </c>
      <c r="F582">
        <v>1344</v>
      </c>
      <c r="G582" s="3">
        <v>1352.25</v>
      </c>
      <c r="H582">
        <v>1355.35</v>
      </c>
      <c r="I582">
        <v>1357.2</v>
      </c>
      <c r="J582">
        <v>285344</v>
      </c>
      <c r="K582">
        <v>385445857.19999999</v>
      </c>
      <c r="L582" s="1">
        <v>45240</v>
      </c>
      <c r="M582">
        <v>23915</v>
      </c>
      <c r="N582" t="s">
        <v>2200</v>
      </c>
      <c r="O582" s="5">
        <v>45240</v>
      </c>
      <c r="P582" s="5">
        <v>43777</v>
      </c>
      <c r="Q582" s="3">
        <v>1320.45</v>
      </c>
      <c r="S582">
        <f t="shared" si="27"/>
        <v>1464</v>
      </c>
      <c r="T582">
        <f t="shared" si="28"/>
        <v>16.043835616438358</v>
      </c>
      <c r="U582" s="6">
        <f t="shared" si="29"/>
        <v>5.937468404062507E-3</v>
      </c>
    </row>
    <row r="583" spans="1:21" x14ac:dyDescent="0.25">
      <c r="A583" t="s">
        <v>6557</v>
      </c>
      <c r="B583" t="s">
        <v>7798</v>
      </c>
      <c r="C583" t="s">
        <v>14</v>
      </c>
      <c r="D583">
        <v>54</v>
      </c>
      <c r="E583">
        <v>54</v>
      </c>
      <c r="F583">
        <v>52.61</v>
      </c>
      <c r="G583" s="3">
        <v>52.8</v>
      </c>
      <c r="H583">
        <v>52.83</v>
      </c>
      <c r="I583">
        <v>52.43</v>
      </c>
      <c r="J583">
        <v>1219638</v>
      </c>
      <c r="K583">
        <v>64386079.960000001</v>
      </c>
      <c r="L583" s="1">
        <v>45240</v>
      </c>
      <c r="M583">
        <v>5864</v>
      </c>
      <c r="N583" t="s">
        <v>6556</v>
      </c>
      <c r="O583" s="5">
        <v>45240</v>
      </c>
      <c r="P583" s="5">
        <v>43777</v>
      </c>
      <c r="Q583" s="3">
        <v>34.450000000000003</v>
      </c>
      <c r="S583">
        <f t="shared" si="27"/>
        <v>1464</v>
      </c>
      <c r="T583">
        <f t="shared" si="28"/>
        <v>16.043835616438358</v>
      </c>
      <c r="U583" s="6">
        <f t="shared" si="29"/>
        <v>0.10788821910529123</v>
      </c>
    </row>
    <row r="584" spans="1:21" x14ac:dyDescent="0.25">
      <c r="A584" t="s">
        <v>6553</v>
      </c>
      <c r="B584" t="s">
        <v>7798</v>
      </c>
      <c r="C584" t="s">
        <v>14</v>
      </c>
      <c r="D584">
        <v>1000</v>
      </c>
      <c r="E584">
        <v>1000.01</v>
      </c>
      <c r="F584">
        <v>999.99</v>
      </c>
      <c r="G584" s="3">
        <v>999.99</v>
      </c>
      <c r="H584">
        <v>1000</v>
      </c>
      <c r="I584">
        <v>999.99</v>
      </c>
      <c r="J584">
        <v>134573</v>
      </c>
      <c r="K584">
        <v>134572834.21000001</v>
      </c>
      <c r="L584" s="1">
        <v>45240</v>
      </c>
      <c r="M584">
        <v>204</v>
      </c>
      <c r="N584" t="s">
        <v>6552</v>
      </c>
      <c r="O584" s="5">
        <v>45240</v>
      </c>
      <c r="P584" s="5">
        <v>43777</v>
      </c>
      <c r="Q584" s="3">
        <v>999.99</v>
      </c>
      <c r="S584">
        <f t="shared" si="27"/>
        <v>1464</v>
      </c>
      <c r="T584">
        <f t="shared" si="28"/>
        <v>16.043835616438358</v>
      </c>
      <c r="U584" s="6">
        <f t="shared" si="29"/>
        <v>0</v>
      </c>
    </row>
    <row r="585" spans="1:21" x14ac:dyDescent="0.25">
      <c r="A585" t="s">
        <v>6551</v>
      </c>
      <c r="B585" t="s">
        <v>7798</v>
      </c>
      <c r="C585" t="s">
        <v>14</v>
      </c>
      <c r="D585">
        <v>169.9</v>
      </c>
      <c r="E585">
        <v>169.9</v>
      </c>
      <c r="F585">
        <v>163.99</v>
      </c>
      <c r="G585" s="3">
        <v>164.8</v>
      </c>
      <c r="H585">
        <v>164.85</v>
      </c>
      <c r="I585">
        <v>164.93</v>
      </c>
      <c r="J585">
        <v>17766</v>
      </c>
      <c r="K585">
        <v>2923845.74</v>
      </c>
      <c r="L585" s="1">
        <v>45240</v>
      </c>
      <c r="M585">
        <v>754</v>
      </c>
      <c r="N585" t="s">
        <v>6550</v>
      </c>
      <c r="O585" s="5">
        <v>45240</v>
      </c>
      <c r="P585" s="5">
        <v>43777</v>
      </c>
      <c r="Q585" s="3">
        <v>93.27</v>
      </c>
      <c r="S585">
        <f t="shared" si="27"/>
        <v>1464</v>
      </c>
      <c r="T585">
        <f t="shared" si="28"/>
        <v>16.043835616438358</v>
      </c>
      <c r="U585" s="6">
        <f t="shared" si="29"/>
        <v>0.14446739675187459</v>
      </c>
    </row>
    <row r="586" spans="1:21" x14ac:dyDescent="0.25">
      <c r="A586" t="s">
        <v>6547</v>
      </c>
      <c r="B586" t="s">
        <v>7798</v>
      </c>
      <c r="C586" t="s">
        <v>14</v>
      </c>
      <c r="D586">
        <v>123.44</v>
      </c>
      <c r="E586">
        <v>123.97</v>
      </c>
      <c r="F586">
        <v>122.75</v>
      </c>
      <c r="G586" s="3">
        <v>123.9</v>
      </c>
      <c r="H586">
        <v>123.75</v>
      </c>
      <c r="I586">
        <v>123.36</v>
      </c>
      <c r="J586">
        <v>6671</v>
      </c>
      <c r="K586">
        <v>823222.14</v>
      </c>
      <c r="L586" s="1">
        <v>45240</v>
      </c>
      <c r="M586">
        <v>148</v>
      </c>
      <c r="N586" t="s">
        <v>6546</v>
      </c>
      <c r="O586" s="5">
        <v>45240</v>
      </c>
      <c r="P586" s="5">
        <v>43777</v>
      </c>
      <c r="Q586" s="3">
        <v>64.28</v>
      </c>
      <c r="S586">
        <f t="shared" si="27"/>
        <v>1464</v>
      </c>
      <c r="T586">
        <f t="shared" si="28"/>
        <v>16.043835616438358</v>
      </c>
      <c r="U586" s="6">
        <f t="shared" si="29"/>
        <v>0.16700036949543318</v>
      </c>
    </row>
    <row r="587" spans="1:21" x14ac:dyDescent="0.25">
      <c r="A587" t="s">
        <v>6543</v>
      </c>
      <c r="B587" t="s">
        <v>7798</v>
      </c>
      <c r="C587" t="s">
        <v>14</v>
      </c>
      <c r="D587">
        <v>212.8</v>
      </c>
      <c r="E587">
        <v>213.69</v>
      </c>
      <c r="F587">
        <v>212.01</v>
      </c>
      <c r="G587" s="3">
        <v>213.44</v>
      </c>
      <c r="H587">
        <v>213.51</v>
      </c>
      <c r="I587">
        <v>213.46</v>
      </c>
      <c r="J587">
        <v>4042</v>
      </c>
      <c r="K587">
        <v>861729.7</v>
      </c>
      <c r="L587" s="1">
        <v>45240</v>
      </c>
      <c r="M587">
        <v>457</v>
      </c>
      <c r="N587" t="s">
        <v>6542</v>
      </c>
      <c r="O587" s="5">
        <v>45240</v>
      </c>
      <c r="P587" s="5">
        <v>43777</v>
      </c>
      <c r="Q587" s="3">
        <v>129.27000000000001</v>
      </c>
      <c r="S587">
        <f t="shared" si="27"/>
        <v>1464</v>
      </c>
      <c r="T587">
        <f t="shared" si="28"/>
        <v>16.043835616438358</v>
      </c>
      <c r="U587" s="6">
        <f t="shared" si="29"/>
        <v>0.12699489262487873</v>
      </c>
    </row>
    <row r="588" spans="1:21" x14ac:dyDescent="0.25">
      <c r="A588" t="s">
        <v>6541</v>
      </c>
      <c r="B588" t="s">
        <v>7798</v>
      </c>
      <c r="C588" t="s">
        <v>14</v>
      </c>
      <c r="D588">
        <v>216.1</v>
      </c>
      <c r="E588">
        <v>216.1</v>
      </c>
      <c r="F588">
        <v>212.21</v>
      </c>
      <c r="G588" s="3">
        <v>213.07</v>
      </c>
      <c r="H588">
        <v>213.22</v>
      </c>
      <c r="I588">
        <v>213.18</v>
      </c>
      <c r="J588">
        <v>277424</v>
      </c>
      <c r="K588">
        <v>59097874.090000004</v>
      </c>
      <c r="L588" s="1">
        <v>45240</v>
      </c>
      <c r="M588">
        <v>5298</v>
      </c>
      <c r="N588" t="s">
        <v>6540</v>
      </c>
      <c r="O588" s="5">
        <v>45240</v>
      </c>
      <c r="P588" s="5">
        <v>43777</v>
      </c>
      <c r="Q588" s="3">
        <v>125.34</v>
      </c>
      <c r="S588">
        <f t="shared" si="27"/>
        <v>1464</v>
      </c>
      <c r="T588">
        <f t="shared" si="28"/>
        <v>16.043835616438358</v>
      </c>
      <c r="U588" s="6">
        <f t="shared" si="29"/>
        <v>0.13449698881288885</v>
      </c>
    </row>
    <row r="589" spans="1:21" x14ac:dyDescent="0.25">
      <c r="A589" t="s">
        <v>6539</v>
      </c>
      <c r="B589" t="s">
        <v>7798</v>
      </c>
      <c r="C589" t="s">
        <v>14</v>
      </c>
      <c r="D589">
        <v>115.9</v>
      </c>
      <c r="E589">
        <v>115.9</v>
      </c>
      <c r="F589">
        <v>112.11</v>
      </c>
      <c r="G589" s="3">
        <v>112.58</v>
      </c>
      <c r="H589">
        <v>112.26</v>
      </c>
      <c r="I589">
        <v>112.51</v>
      </c>
      <c r="J589">
        <v>18468</v>
      </c>
      <c r="K589">
        <v>2080690.32</v>
      </c>
      <c r="L589" s="1">
        <v>45240</v>
      </c>
      <c r="M589">
        <v>1004</v>
      </c>
      <c r="N589" t="s">
        <v>6538</v>
      </c>
      <c r="O589" s="5">
        <v>45240</v>
      </c>
      <c r="P589" s="5">
        <v>43777</v>
      </c>
      <c r="Q589" s="3">
        <v>57.44</v>
      </c>
      <c r="S589">
        <f t="shared" si="27"/>
        <v>1464</v>
      </c>
      <c r="T589">
        <f t="shared" si="28"/>
        <v>16.043835616438358</v>
      </c>
      <c r="U589" s="6">
        <f t="shared" si="29"/>
        <v>0.17133924694011338</v>
      </c>
    </row>
    <row r="590" spans="1:21" x14ac:dyDescent="0.25">
      <c r="A590" t="s">
        <v>6537</v>
      </c>
      <c r="B590" t="s">
        <v>7798</v>
      </c>
      <c r="C590" t="s">
        <v>14</v>
      </c>
      <c r="D590">
        <v>48.7</v>
      </c>
      <c r="E590">
        <v>48.7</v>
      </c>
      <c r="F590">
        <v>46.91</v>
      </c>
      <c r="G590" s="3">
        <v>47.23</v>
      </c>
      <c r="H590">
        <v>47.35</v>
      </c>
      <c r="I590">
        <v>47.27</v>
      </c>
      <c r="J590">
        <v>43953</v>
      </c>
      <c r="K590">
        <v>2074372.01</v>
      </c>
      <c r="L590" s="1">
        <v>45240</v>
      </c>
      <c r="M590">
        <v>984</v>
      </c>
      <c r="N590" t="s">
        <v>6536</v>
      </c>
      <c r="O590" s="5">
        <v>45240</v>
      </c>
      <c r="P590" s="5">
        <v>43777</v>
      </c>
      <c r="Q590" s="3">
        <v>28.72</v>
      </c>
      <c r="S590">
        <f t="shared" si="27"/>
        <v>1464</v>
      </c>
      <c r="T590">
        <f t="shared" si="28"/>
        <v>16.043835616438358</v>
      </c>
      <c r="U590" s="6">
        <f t="shared" si="29"/>
        <v>0.12596172373063208</v>
      </c>
    </row>
    <row r="591" spans="1:21" x14ac:dyDescent="0.25">
      <c r="A591" t="s">
        <v>2201</v>
      </c>
      <c r="B591" t="s">
        <v>2202</v>
      </c>
      <c r="C591" t="s">
        <v>14</v>
      </c>
      <c r="D591">
        <v>527.9</v>
      </c>
      <c r="E591">
        <v>531.54999999999995</v>
      </c>
      <c r="F591">
        <v>523.54999999999995</v>
      </c>
      <c r="G591" s="3">
        <v>530.1</v>
      </c>
      <c r="H591">
        <v>530</v>
      </c>
      <c r="I591">
        <v>528.20000000000005</v>
      </c>
      <c r="J591">
        <v>500837</v>
      </c>
      <c r="K591">
        <v>264943164.84999999</v>
      </c>
      <c r="L591" s="1">
        <v>45240</v>
      </c>
      <c r="M591">
        <v>12742</v>
      </c>
      <c r="N591" t="s">
        <v>2203</v>
      </c>
      <c r="O591" s="5">
        <v>45240</v>
      </c>
      <c r="P591" s="5">
        <v>43777</v>
      </c>
      <c r="Q591" s="3">
        <v>519.45000000000005</v>
      </c>
      <c r="S591">
        <f t="shared" si="27"/>
        <v>1464</v>
      </c>
      <c r="T591">
        <f t="shared" si="28"/>
        <v>16.043835616438358</v>
      </c>
      <c r="U591" s="6">
        <f t="shared" si="29"/>
        <v>5.0631160318133084E-3</v>
      </c>
    </row>
    <row r="592" spans="1:21" x14ac:dyDescent="0.25">
      <c r="A592" t="s">
        <v>6531</v>
      </c>
      <c r="B592" t="s">
        <v>7798</v>
      </c>
      <c r="C592" t="s">
        <v>14</v>
      </c>
      <c r="D592">
        <v>729.79</v>
      </c>
      <c r="E592">
        <v>729.79</v>
      </c>
      <c r="F592">
        <v>721.3</v>
      </c>
      <c r="G592" s="3">
        <v>724.8</v>
      </c>
      <c r="H592">
        <v>725</v>
      </c>
      <c r="I592">
        <v>725.38</v>
      </c>
      <c r="J592">
        <v>1483</v>
      </c>
      <c r="K592">
        <v>1071521.6499999999</v>
      </c>
      <c r="L592" s="1">
        <v>45240</v>
      </c>
      <c r="M592">
        <v>121</v>
      </c>
      <c r="N592" t="s">
        <v>6530</v>
      </c>
      <c r="O592" s="5">
        <v>45240</v>
      </c>
      <c r="P592" s="5">
        <v>43777</v>
      </c>
      <c r="Q592" s="3">
        <v>429.08</v>
      </c>
      <c r="S592">
        <f t="shared" si="27"/>
        <v>1464</v>
      </c>
      <c r="T592">
        <f t="shared" si="28"/>
        <v>16.043835616438358</v>
      </c>
      <c r="U592" s="6">
        <f t="shared" si="29"/>
        <v>0.13286392293400695</v>
      </c>
    </row>
    <row r="593" spans="1:21" x14ac:dyDescent="0.25">
      <c r="A593" t="s">
        <v>2204</v>
      </c>
      <c r="B593" t="s">
        <v>2205</v>
      </c>
      <c r="C593" t="s">
        <v>14</v>
      </c>
      <c r="D593">
        <v>289.60000000000002</v>
      </c>
      <c r="E593">
        <v>295.3</v>
      </c>
      <c r="F593">
        <v>288.35000000000002</v>
      </c>
      <c r="G593" s="3">
        <v>293.14999999999998</v>
      </c>
      <c r="H593">
        <v>293</v>
      </c>
      <c r="I593">
        <v>287.2</v>
      </c>
      <c r="J593">
        <v>728714</v>
      </c>
      <c r="K593">
        <v>213788060.05000001</v>
      </c>
      <c r="L593" s="1">
        <v>45240</v>
      </c>
      <c r="M593">
        <v>9970</v>
      </c>
      <c r="N593" t="s">
        <v>2206</v>
      </c>
      <c r="O593" s="5">
        <v>45240</v>
      </c>
      <c r="P593" s="5">
        <v>43777</v>
      </c>
      <c r="Q593" s="3">
        <v>59.15</v>
      </c>
      <c r="S593">
        <f t="shared" si="27"/>
        <v>1464</v>
      </c>
      <c r="T593">
        <f t="shared" si="28"/>
        <v>16.043835616438358</v>
      </c>
      <c r="U593" s="6">
        <f t="shared" si="29"/>
        <v>0.41964343862459685</v>
      </c>
    </row>
    <row r="594" spans="1:21" x14ac:dyDescent="0.25">
      <c r="A594" t="s">
        <v>2207</v>
      </c>
      <c r="B594" t="s">
        <v>2208</v>
      </c>
      <c r="C594" t="s">
        <v>14</v>
      </c>
      <c r="D594">
        <v>5472.95</v>
      </c>
      <c r="E594">
        <v>5472.95</v>
      </c>
      <c r="F594">
        <v>5377.3</v>
      </c>
      <c r="G594" s="3">
        <v>5447.1</v>
      </c>
      <c r="H594">
        <v>5448</v>
      </c>
      <c r="I594">
        <v>5470.25</v>
      </c>
      <c r="J594">
        <v>4226</v>
      </c>
      <c r="K594">
        <v>23000039.25</v>
      </c>
      <c r="L594" s="1">
        <v>45240</v>
      </c>
      <c r="M594">
        <v>938</v>
      </c>
      <c r="N594" t="s">
        <v>2209</v>
      </c>
      <c r="O594" s="5">
        <v>45240</v>
      </c>
      <c r="P594" s="5">
        <v>43777</v>
      </c>
      <c r="Q594" s="3">
        <v>2714.1</v>
      </c>
      <c r="S594">
        <f t="shared" si="27"/>
        <v>1464</v>
      </c>
      <c r="T594">
        <f t="shared" si="28"/>
        <v>16.043835616438358</v>
      </c>
      <c r="U594" s="6">
        <f t="shared" si="29"/>
        <v>0.17750566129190837</v>
      </c>
    </row>
    <row r="595" spans="1:21" x14ac:dyDescent="0.25">
      <c r="A595" t="s">
        <v>2210</v>
      </c>
      <c r="B595" t="s">
        <v>2211</v>
      </c>
      <c r="C595" t="s">
        <v>14</v>
      </c>
      <c r="D595">
        <v>62.8</v>
      </c>
      <c r="E595">
        <v>63.8</v>
      </c>
      <c r="F595">
        <v>62.35</v>
      </c>
      <c r="G595" s="3">
        <v>63.25</v>
      </c>
      <c r="H595">
        <v>63.4</v>
      </c>
      <c r="I595">
        <v>62.8</v>
      </c>
      <c r="J595">
        <v>3815431</v>
      </c>
      <c r="K595">
        <v>240202251.44999999</v>
      </c>
      <c r="L595" s="1">
        <v>45240</v>
      </c>
      <c r="M595">
        <v>9543</v>
      </c>
      <c r="N595" t="s">
        <v>2212</v>
      </c>
      <c r="O595" s="5">
        <v>45240</v>
      </c>
      <c r="P595" s="5">
        <v>43777</v>
      </c>
      <c r="Q595" s="3">
        <v>33.049999999999997</v>
      </c>
      <c r="S595">
        <f t="shared" si="27"/>
        <v>1464</v>
      </c>
      <c r="T595">
        <f t="shared" si="28"/>
        <v>16.043835616438358</v>
      </c>
      <c r="U595" s="6">
        <f t="shared" si="29"/>
        <v>0.16514304529351431</v>
      </c>
    </row>
    <row r="596" spans="1:21" x14ac:dyDescent="0.25">
      <c r="A596" t="s">
        <v>2213</v>
      </c>
      <c r="B596" t="s">
        <v>2214</v>
      </c>
      <c r="C596" t="s">
        <v>14</v>
      </c>
      <c r="D596">
        <v>14.15</v>
      </c>
      <c r="E596">
        <v>14.45</v>
      </c>
      <c r="F596">
        <v>13.65</v>
      </c>
      <c r="G596" s="3">
        <v>13.7</v>
      </c>
      <c r="H596">
        <v>13.75</v>
      </c>
      <c r="I596">
        <v>13.9</v>
      </c>
      <c r="J596">
        <v>249891022</v>
      </c>
      <c r="K596">
        <v>3503741692.0999999</v>
      </c>
      <c r="L596" s="1">
        <v>45240</v>
      </c>
      <c r="M596">
        <v>97450</v>
      </c>
      <c r="N596" t="s">
        <v>2215</v>
      </c>
      <c r="O596" s="5">
        <v>45240</v>
      </c>
      <c r="P596" s="5">
        <v>43777</v>
      </c>
      <c r="Q596" s="3">
        <v>3.75</v>
      </c>
      <c r="S596">
        <f t="shared" si="27"/>
        <v>1464</v>
      </c>
      <c r="T596">
        <f t="shared" si="28"/>
        <v>16.043835616438358</v>
      </c>
      <c r="U596" s="6">
        <f t="shared" si="29"/>
        <v>0.33642645155411</v>
      </c>
    </row>
    <row r="597" spans="1:21" x14ac:dyDescent="0.25">
      <c r="A597" t="s">
        <v>2219</v>
      </c>
      <c r="B597" t="s">
        <v>2220</v>
      </c>
      <c r="C597" t="s">
        <v>14</v>
      </c>
      <c r="D597">
        <v>116</v>
      </c>
      <c r="E597">
        <v>117.2</v>
      </c>
      <c r="F597">
        <v>115.1</v>
      </c>
      <c r="G597" s="3">
        <v>117.05</v>
      </c>
      <c r="H597">
        <v>117.15</v>
      </c>
      <c r="I597">
        <v>116.15</v>
      </c>
      <c r="J597">
        <v>3015437</v>
      </c>
      <c r="K597">
        <v>351037509.85000002</v>
      </c>
      <c r="L597" s="1">
        <v>45240</v>
      </c>
      <c r="M597">
        <v>16118</v>
      </c>
      <c r="N597" t="s">
        <v>2221</v>
      </c>
      <c r="O597" s="5">
        <v>45240</v>
      </c>
      <c r="P597" s="5">
        <v>43777</v>
      </c>
      <c r="Q597" s="3">
        <v>33.75</v>
      </c>
      <c r="S597">
        <f t="shared" si="27"/>
        <v>1464</v>
      </c>
      <c r="T597">
        <f t="shared" si="28"/>
        <v>16.043835616438358</v>
      </c>
      <c r="U597" s="6">
        <f t="shared" si="29"/>
        <v>0.32238914722330936</v>
      </c>
    </row>
    <row r="598" spans="1:21" x14ac:dyDescent="0.25">
      <c r="A598" t="s">
        <v>2222</v>
      </c>
      <c r="B598" t="s">
        <v>2223</v>
      </c>
      <c r="C598" t="s">
        <v>14</v>
      </c>
      <c r="D598">
        <v>84.6</v>
      </c>
      <c r="E598">
        <v>85.55</v>
      </c>
      <c r="F598">
        <v>83.8</v>
      </c>
      <c r="G598" s="3">
        <v>85.35</v>
      </c>
      <c r="H598">
        <v>85.5</v>
      </c>
      <c r="I598">
        <v>84.65</v>
      </c>
      <c r="J598">
        <v>17259640</v>
      </c>
      <c r="K598">
        <v>1462654829.9000001</v>
      </c>
      <c r="L598" s="1">
        <v>45240</v>
      </c>
      <c r="M598">
        <v>67423</v>
      </c>
      <c r="N598" t="s">
        <v>2224</v>
      </c>
      <c r="O598" s="5">
        <v>45240</v>
      </c>
      <c r="P598" s="5">
        <v>43777</v>
      </c>
      <c r="Q598" s="3">
        <v>42.15</v>
      </c>
      <c r="S598">
        <f t="shared" si="27"/>
        <v>1464</v>
      </c>
      <c r="T598">
        <f t="shared" si="28"/>
        <v>16.043835616438358</v>
      </c>
      <c r="U598" s="6">
        <f t="shared" si="29"/>
        <v>0.17982442594862391</v>
      </c>
    </row>
    <row r="599" spans="1:21" x14ac:dyDescent="0.25">
      <c r="A599" t="s">
        <v>6525</v>
      </c>
      <c r="B599" t="s">
        <v>7798</v>
      </c>
      <c r="C599" t="s">
        <v>14</v>
      </c>
      <c r="D599">
        <v>208</v>
      </c>
      <c r="E599">
        <v>208.53</v>
      </c>
      <c r="F599">
        <v>207.68</v>
      </c>
      <c r="G599" s="3">
        <v>208</v>
      </c>
      <c r="H599">
        <v>208</v>
      </c>
      <c r="I599">
        <v>208.85</v>
      </c>
      <c r="J599">
        <v>115</v>
      </c>
      <c r="K599">
        <v>23925.4</v>
      </c>
      <c r="L599" s="1">
        <v>45240</v>
      </c>
      <c r="M599">
        <v>8</v>
      </c>
      <c r="N599" t="s">
        <v>6524</v>
      </c>
      <c r="O599" s="5">
        <v>45240</v>
      </c>
      <c r="P599" s="5">
        <v>43777</v>
      </c>
      <c r="Q599" s="3">
        <v>122.97</v>
      </c>
      <c r="S599">
        <f t="shared" si="27"/>
        <v>1464</v>
      </c>
      <c r="T599">
        <f t="shared" si="28"/>
        <v>16.043835616438358</v>
      </c>
      <c r="U599" s="6">
        <f t="shared" si="29"/>
        <v>0.13321048013851744</v>
      </c>
    </row>
    <row r="600" spans="1:21" x14ac:dyDescent="0.25">
      <c r="A600" t="s">
        <v>2228</v>
      </c>
      <c r="B600" t="s">
        <v>2229</v>
      </c>
      <c r="C600" t="s">
        <v>14</v>
      </c>
      <c r="D600">
        <v>131.19999999999999</v>
      </c>
      <c r="E600">
        <v>131.75</v>
      </c>
      <c r="F600">
        <v>129.85</v>
      </c>
      <c r="G600" s="3">
        <v>131.44999999999999</v>
      </c>
      <c r="H600">
        <v>131.5</v>
      </c>
      <c r="I600">
        <v>131.15</v>
      </c>
      <c r="J600">
        <v>2133417</v>
      </c>
      <c r="K600">
        <v>279528896.14999998</v>
      </c>
      <c r="L600" s="1">
        <v>45240</v>
      </c>
      <c r="M600">
        <v>19305</v>
      </c>
      <c r="N600" t="s">
        <v>2230</v>
      </c>
      <c r="O600" s="5">
        <v>45240</v>
      </c>
      <c r="P600" s="5">
        <v>43777</v>
      </c>
      <c r="Q600" s="3">
        <v>143.4</v>
      </c>
      <c r="S600">
        <f t="shared" si="27"/>
        <v>1464</v>
      </c>
      <c r="T600">
        <f t="shared" si="28"/>
        <v>16.043835616438358</v>
      </c>
      <c r="U600" s="6">
        <f t="shared" si="29"/>
        <v>-2.1634690940505852E-2</v>
      </c>
    </row>
    <row r="601" spans="1:21" x14ac:dyDescent="0.25">
      <c r="A601" t="s">
        <v>2231</v>
      </c>
      <c r="B601" t="s">
        <v>2232</v>
      </c>
      <c r="C601" t="s">
        <v>14</v>
      </c>
      <c r="D601">
        <v>473.5</v>
      </c>
      <c r="E601">
        <v>473.8</v>
      </c>
      <c r="F601">
        <v>454</v>
      </c>
      <c r="G601" s="3">
        <v>460.25</v>
      </c>
      <c r="H601">
        <v>460</v>
      </c>
      <c r="I601">
        <v>469.85</v>
      </c>
      <c r="J601">
        <v>19515</v>
      </c>
      <c r="K601">
        <v>9008671.3499999996</v>
      </c>
      <c r="L601" s="1">
        <v>45240</v>
      </c>
      <c r="M601">
        <v>1507</v>
      </c>
      <c r="N601" t="s">
        <v>2233</v>
      </c>
      <c r="O601" s="5">
        <v>45240</v>
      </c>
      <c r="P601" s="5">
        <v>43777</v>
      </c>
      <c r="Q601" s="3">
        <v>428.2</v>
      </c>
      <c r="S601">
        <f t="shared" si="27"/>
        <v>1464</v>
      </c>
      <c r="T601">
        <f t="shared" si="28"/>
        <v>16.043835616438358</v>
      </c>
      <c r="U601" s="6">
        <f t="shared" si="29"/>
        <v>1.8036098877771245E-2</v>
      </c>
    </row>
    <row r="602" spans="1:21" x14ac:dyDescent="0.25">
      <c r="A602" t="s">
        <v>2234</v>
      </c>
      <c r="B602" t="s">
        <v>2235</v>
      </c>
      <c r="C602" t="s">
        <v>14</v>
      </c>
      <c r="D602">
        <v>874.9</v>
      </c>
      <c r="E602">
        <v>982.85</v>
      </c>
      <c r="F602">
        <v>874.9</v>
      </c>
      <c r="G602" s="3">
        <v>921.7</v>
      </c>
      <c r="H602">
        <v>927</v>
      </c>
      <c r="I602">
        <v>856.6</v>
      </c>
      <c r="J602">
        <v>1132405</v>
      </c>
      <c r="K602">
        <v>1068919151.3</v>
      </c>
      <c r="L602" s="1">
        <v>45240</v>
      </c>
      <c r="M602">
        <v>37528</v>
      </c>
      <c r="N602" t="s">
        <v>2236</v>
      </c>
      <c r="O602" s="5">
        <v>45240</v>
      </c>
      <c r="P602" s="5">
        <v>43777</v>
      </c>
      <c r="Q602" s="3">
        <v>741.7</v>
      </c>
      <c r="S602">
        <f t="shared" si="27"/>
        <v>1464</v>
      </c>
      <c r="T602">
        <f t="shared" si="28"/>
        <v>16.043835616438358</v>
      </c>
      <c r="U602" s="6">
        <f t="shared" si="29"/>
        <v>5.453878815593427E-2</v>
      </c>
    </row>
    <row r="603" spans="1:21" x14ac:dyDescent="0.25">
      <c r="A603" t="s">
        <v>2237</v>
      </c>
      <c r="B603" t="s">
        <v>2238</v>
      </c>
      <c r="C603" t="s">
        <v>14</v>
      </c>
      <c r="D603">
        <v>23.15</v>
      </c>
      <c r="E603">
        <v>23.45</v>
      </c>
      <c r="F603">
        <v>22.6</v>
      </c>
      <c r="G603" s="3">
        <v>22.8</v>
      </c>
      <c r="H603">
        <v>22.9</v>
      </c>
      <c r="I603">
        <v>23.1</v>
      </c>
      <c r="J603">
        <v>15149971</v>
      </c>
      <c r="K603">
        <v>348874411.75</v>
      </c>
      <c r="L603" s="1">
        <v>45240</v>
      </c>
      <c r="M603">
        <v>11880</v>
      </c>
      <c r="N603" t="s">
        <v>2239</v>
      </c>
      <c r="O603" s="5">
        <v>45240</v>
      </c>
      <c r="P603" s="5">
        <v>43777</v>
      </c>
      <c r="Q603" s="3">
        <v>7.9</v>
      </c>
      <c r="S603">
        <f t="shared" si="27"/>
        <v>1464</v>
      </c>
      <c r="T603">
        <f t="shared" si="28"/>
        <v>16.043835616438358</v>
      </c>
      <c r="U603" s="6">
        <f t="shared" si="29"/>
        <v>0.27317443603350089</v>
      </c>
    </row>
    <row r="604" spans="1:21" x14ac:dyDescent="0.25">
      <c r="A604" t="s">
        <v>2237</v>
      </c>
      <c r="B604" t="s">
        <v>2238</v>
      </c>
      <c r="C604" t="s">
        <v>5868</v>
      </c>
      <c r="D604">
        <v>1065</v>
      </c>
      <c r="E604">
        <v>1065</v>
      </c>
      <c r="F604">
        <v>1065</v>
      </c>
      <c r="G604" s="3">
        <v>1065</v>
      </c>
      <c r="H604">
        <v>1065</v>
      </c>
      <c r="I604">
        <v>1060</v>
      </c>
      <c r="J604">
        <v>10</v>
      </c>
      <c r="K604">
        <v>10650</v>
      </c>
      <c r="L604" s="1">
        <v>45240</v>
      </c>
      <c r="M604">
        <v>1</v>
      </c>
      <c r="N604" t="s">
        <v>6523</v>
      </c>
      <c r="O604" s="5">
        <v>45240</v>
      </c>
      <c r="P604" s="5">
        <v>43777</v>
      </c>
      <c r="Q604" s="3">
        <v>7.9</v>
      </c>
      <c r="S604">
        <f t="shared" si="27"/>
        <v>1464</v>
      </c>
      <c r="T604">
        <f t="shared" si="28"/>
        <v>16.043835616438358</v>
      </c>
      <c r="U604" s="6">
        <f t="shared" si="29"/>
        <v>1.4300517240061854</v>
      </c>
    </row>
    <row r="605" spans="1:21" x14ac:dyDescent="0.25">
      <c r="A605" t="s">
        <v>2237</v>
      </c>
      <c r="B605" t="s">
        <v>2238</v>
      </c>
      <c r="C605" t="s">
        <v>6522</v>
      </c>
      <c r="D605">
        <v>2200</v>
      </c>
      <c r="E605">
        <v>2200</v>
      </c>
      <c r="F605">
        <v>2200</v>
      </c>
      <c r="G605" s="3">
        <v>2200</v>
      </c>
      <c r="H605">
        <v>2200</v>
      </c>
      <c r="I605">
        <v>2200</v>
      </c>
      <c r="J605">
        <v>10</v>
      </c>
      <c r="K605">
        <v>22000</v>
      </c>
      <c r="L605" s="1">
        <v>45240</v>
      </c>
      <c r="M605">
        <v>1</v>
      </c>
      <c r="N605" t="s">
        <v>6521</v>
      </c>
      <c r="O605" s="5">
        <v>45240</v>
      </c>
      <c r="P605" s="5">
        <v>43777</v>
      </c>
      <c r="Q605" s="3">
        <v>7.9</v>
      </c>
      <c r="S605">
        <f t="shared" si="27"/>
        <v>1464</v>
      </c>
      <c r="T605">
        <f t="shared" si="28"/>
        <v>16.043835616438358</v>
      </c>
      <c r="U605" s="6">
        <f t="shared" si="29"/>
        <v>1.6812281475813791</v>
      </c>
    </row>
    <row r="606" spans="1:21" x14ac:dyDescent="0.25">
      <c r="A606" t="s">
        <v>2240</v>
      </c>
      <c r="B606" t="s">
        <v>2241</v>
      </c>
      <c r="C606" t="s">
        <v>14</v>
      </c>
      <c r="D606">
        <v>597</v>
      </c>
      <c r="E606">
        <v>649.1</v>
      </c>
      <c r="F606">
        <v>594.35</v>
      </c>
      <c r="G606" s="3">
        <v>649.1</v>
      </c>
      <c r="H606">
        <v>649.1</v>
      </c>
      <c r="I606">
        <v>590.1</v>
      </c>
      <c r="J606">
        <v>137342</v>
      </c>
      <c r="K606">
        <v>87412707.650000006</v>
      </c>
      <c r="L606" s="1">
        <v>45240</v>
      </c>
      <c r="M606">
        <v>4537</v>
      </c>
      <c r="N606" t="s">
        <v>2242</v>
      </c>
      <c r="O606" s="5">
        <v>45240</v>
      </c>
      <c r="P606" s="5">
        <v>43777</v>
      </c>
      <c r="Q606" s="3">
        <v>151.05000000000001</v>
      </c>
      <c r="S606">
        <f t="shared" si="27"/>
        <v>1464</v>
      </c>
      <c r="T606">
        <f t="shared" si="28"/>
        <v>16.043835616438358</v>
      </c>
      <c r="U606" s="6">
        <f t="shared" si="29"/>
        <v>0.38052632345640092</v>
      </c>
    </row>
    <row r="607" spans="1:21" x14ac:dyDescent="0.25">
      <c r="A607" t="s">
        <v>2243</v>
      </c>
      <c r="B607" t="s">
        <v>2244</v>
      </c>
      <c r="C607" t="s">
        <v>14</v>
      </c>
      <c r="D607">
        <v>577</v>
      </c>
      <c r="E607">
        <v>624.79999999999995</v>
      </c>
      <c r="F607">
        <v>575</v>
      </c>
      <c r="G607" s="3">
        <v>581.6</v>
      </c>
      <c r="H607">
        <v>578</v>
      </c>
      <c r="I607">
        <v>579.5</v>
      </c>
      <c r="J607">
        <v>198076</v>
      </c>
      <c r="K607">
        <v>118858199.55</v>
      </c>
      <c r="L607" s="1">
        <v>45240</v>
      </c>
      <c r="M607">
        <v>12886</v>
      </c>
      <c r="N607" t="s">
        <v>2245</v>
      </c>
      <c r="O607" s="5">
        <v>45240</v>
      </c>
      <c r="P607" s="5">
        <v>43777</v>
      </c>
      <c r="Q607" s="3">
        <v>238.7</v>
      </c>
      <c r="S607">
        <f t="shared" si="27"/>
        <v>1464</v>
      </c>
      <c r="T607">
        <f t="shared" si="28"/>
        <v>16.043835616438358</v>
      </c>
      <c r="U607" s="6">
        <f t="shared" si="29"/>
        <v>0.22831362790877474</v>
      </c>
    </row>
    <row r="608" spans="1:21" x14ac:dyDescent="0.25">
      <c r="A608" t="s">
        <v>2246</v>
      </c>
      <c r="B608" t="s">
        <v>2247</v>
      </c>
      <c r="C608" t="s">
        <v>14</v>
      </c>
      <c r="D608">
        <v>394.95</v>
      </c>
      <c r="E608">
        <v>395.55</v>
      </c>
      <c r="F608">
        <v>390.95</v>
      </c>
      <c r="G608" s="3">
        <v>394.15</v>
      </c>
      <c r="H608">
        <v>394.2</v>
      </c>
      <c r="I608">
        <v>395.05</v>
      </c>
      <c r="J608">
        <v>791206</v>
      </c>
      <c r="K608">
        <v>311284847.05000001</v>
      </c>
      <c r="L608" s="1">
        <v>45240</v>
      </c>
      <c r="M608">
        <v>14514</v>
      </c>
      <c r="N608" t="s">
        <v>2248</v>
      </c>
      <c r="O608" s="5">
        <v>45240</v>
      </c>
      <c r="P608" s="5">
        <v>43777</v>
      </c>
      <c r="Q608" s="3">
        <v>418.15</v>
      </c>
      <c r="S608">
        <f t="shared" si="27"/>
        <v>1464</v>
      </c>
      <c r="T608">
        <f t="shared" si="28"/>
        <v>16.043835616438358</v>
      </c>
      <c r="U608" s="6">
        <f t="shared" si="29"/>
        <v>-1.470967997679562E-2</v>
      </c>
    </row>
    <row r="609" spans="1:21" x14ac:dyDescent="0.25">
      <c r="A609" t="s">
        <v>2249</v>
      </c>
      <c r="B609" t="s">
        <v>2250</v>
      </c>
      <c r="C609" t="s">
        <v>14</v>
      </c>
      <c r="D609">
        <v>443.6</v>
      </c>
      <c r="E609">
        <v>446.35</v>
      </c>
      <c r="F609">
        <v>440.05</v>
      </c>
      <c r="G609" s="3">
        <v>442.05</v>
      </c>
      <c r="H609">
        <v>441</v>
      </c>
      <c r="I609">
        <v>441.35</v>
      </c>
      <c r="J609">
        <v>15014</v>
      </c>
      <c r="K609">
        <v>6639245.5999999996</v>
      </c>
      <c r="L609" s="1">
        <v>45240</v>
      </c>
      <c r="M609">
        <v>1837</v>
      </c>
      <c r="N609" t="s">
        <v>2251</v>
      </c>
      <c r="O609" s="5">
        <v>45240</v>
      </c>
      <c r="P609" s="5">
        <v>43777</v>
      </c>
      <c r="Q609" s="3">
        <v>151.85</v>
      </c>
      <c r="S609">
        <f t="shared" si="27"/>
        <v>1464</v>
      </c>
      <c r="T609">
        <f t="shared" si="28"/>
        <v>16.043835616438358</v>
      </c>
      <c r="U609" s="6">
        <f t="shared" si="29"/>
        <v>0.27547414134944681</v>
      </c>
    </row>
    <row r="610" spans="1:21" x14ac:dyDescent="0.25">
      <c r="A610" t="s">
        <v>6518</v>
      </c>
      <c r="B610" t="s">
        <v>7798</v>
      </c>
      <c r="C610" t="s">
        <v>5845</v>
      </c>
      <c r="D610">
        <v>1213.54</v>
      </c>
      <c r="E610">
        <v>1213.54</v>
      </c>
      <c r="F610">
        <v>1213</v>
      </c>
      <c r="G610" s="3">
        <v>1213</v>
      </c>
      <c r="H610">
        <v>1213</v>
      </c>
      <c r="I610">
        <v>1191.05</v>
      </c>
      <c r="J610">
        <v>210</v>
      </c>
      <c r="K610">
        <v>254816.4</v>
      </c>
      <c r="L610" s="1">
        <v>45240</v>
      </c>
      <c r="M610">
        <v>2</v>
      </c>
      <c r="N610" t="s">
        <v>6520</v>
      </c>
      <c r="O610" s="5">
        <v>45240</v>
      </c>
      <c r="P610" s="5">
        <v>43777</v>
      </c>
      <c r="Q610" s="3">
        <v>1369</v>
      </c>
      <c r="S610">
        <f t="shared" si="27"/>
        <v>1464</v>
      </c>
      <c r="T610">
        <f t="shared" si="28"/>
        <v>16.043835616438358</v>
      </c>
      <c r="U610" s="6">
        <f t="shared" si="29"/>
        <v>-3.0049896746379368E-2</v>
      </c>
    </row>
    <row r="611" spans="1:21" x14ac:dyDescent="0.25">
      <c r="A611" t="s">
        <v>6518</v>
      </c>
      <c r="B611" t="s">
        <v>7798</v>
      </c>
      <c r="C611" t="s">
        <v>6176</v>
      </c>
      <c r="D611">
        <v>1061</v>
      </c>
      <c r="E611">
        <v>1061</v>
      </c>
      <c r="F611">
        <v>1004.1</v>
      </c>
      <c r="G611" s="3">
        <v>1004.1</v>
      </c>
      <c r="H611">
        <v>1004.1</v>
      </c>
      <c r="I611">
        <v>1065</v>
      </c>
      <c r="J611">
        <v>100</v>
      </c>
      <c r="K611">
        <v>103255</v>
      </c>
      <c r="L611" s="1">
        <v>45240</v>
      </c>
      <c r="M611">
        <v>2</v>
      </c>
      <c r="N611" t="s">
        <v>6519</v>
      </c>
      <c r="O611" s="5">
        <v>45240</v>
      </c>
      <c r="P611" s="5">
        <v>43777</v>
      </c>
      <c r="Q611" s="3">
        <v>1369</v>
      </c>
      <c r="S611">
        <f t="shared" si="27"/>
        <v>1464</v>
      </c>
      <c r="T611">
        <f t="shared" si="28"/>
        <v>16.043835616438358</v>
      </c>
      <c r="U611" s="6">
        <f t="shared" si="29"/>
        <v>-7.6543645645640535E-2</v>
      </c>
    </row>
    <row r="612" spans="1:21" x14ac:dyDescent="0.25">
      <c r="A612" t="s">
        <v>6518</v>
      </c>
      <c r="B612" t="s">
        <v>7798</v>
      </c>
      <c r="C612" t="s">
        <v>6182</v>
      </c>
      <c r="D612">
        <v>1330</v>
      </c>
      <c r="E612">
        <v>1330</v>
      </c>
      <c r="F612">
        <v>1330</v>
      </c>
      <c r="G612" s="3">
        <v>1330</v>
      </c>
      <c r="H612">
        <v>1330</v>
      </c>
      <c r="I612">
        <v>1315</v>
      </c>
      <c r="J612">
        <v>23</v>
      </c>
      <c r="K612">
        <v>30590</v>
      </c>
      <c r="L612" s="1">
        <v>45240</v>
      </c>
      <c r="M612">
        <v>1</v>
      </c>
      <c r="N612" t="s">
        <v>6517</v>
      </c>
      <c r="O612" s="5">
        <v>45240</v>
      </c>
      <c r="P612" s="5">
        <v>43777</v>
      </c>
      <c r="Q612" s="3">
        <v>1369</v>
      </c>
      <c r="S612">
        <f t="shared" si="27"/>
        <v>1464</v>
      </c>
      <c r="T612">
        <f t="shared" si="28"/>
        <v>16.043835616438358</v>
      </c>
      <c r="U612" s="6">
        <f t="shared" si="29"/>
        <v>-7.199173189669672E-3</v>
      </c>
    </row>
    <row r="613" spans="1:21" x14ac:dyDescent="0.25">
      <c r="A613" t="s">
        <v>2252</v>
      </c>
      <c r="B613" t="s">
        <v>2253</v>
      </c>
      <c r="C613" t="s">
        <v>14</v>
      </c>
      <c r="D613">
        <v>617.95000000000005</v>
      </c>
      <c r="E613">
        <v>621</v>
      </c>
      <c r="F613">
        <v>611.29999999999995</v>
      </c>
      <c r="G613" s="3">
        <v>617.54999999999995</v>
      </c>
      <c r="H613">
        <v>617.25</v>
      </c>
      <c r="I613">
        <v>617.95000000000005</v>
      </c>
      <c r="J613">
        <v>97662</v>
      </c>
      <c r="K613">
        <v>60333793.549999997</v>
      </c>
      <c r="L613" s="1">
        <v>45240</v>
      </c>
      <c r="M613">
        <v>7858</v>
      </c>
      <c r="N613" t="s">
        <v>2254</v>
      </c>
      <c r="O613" s="5">
        <v>45240</v>
      </c>
      <c r="P613" s="5">
        <v>43777</v>
      </c>
      <c r="Q613" s="3">
        <v>136.85</v>
      </c>
      <c r="S613">
        <f t="shared" si="27"/>
        <v>1464</v>
      </c>
      <c r="T613">
        <f t="shared" si="28"/>
        <v>16.043835616438358</v>
      </c>
      <c r="U613" s="6">
        <f t="shared" si="29"/>
        <v>0.39389774517449094</v>
      </c>
    </row>
    <row r="614" spans="1:21" x14ac:dyDescent="0.25">
      <c r="A614" t="s">
        <v>2252</v>
      </c>
      <c r="B614" t="s">
        <v>2253</v>
      </c>
      <c r="C614" t="s">
        <v>5843</v>
      </c>
      <c r="D614">
        <v>1010</v>
      </c>
      <c r="E614">
        <v>1010</v>
      </c>
      <c r="F614">
        <v>1010</v>
      </c>
      <c r="G614" s="3">
        <v>1010</v>
      </c>
      <c r="H614">
        <v>1010</v>
      </c>
      <c r="I614">
        <v>1004.9</v>
      </c>
      <c r="J614">
        <v>50</v>
      </c>
      <c r="K614">
        <v>50500</v>
      </c>
      <c r="L614" s="1">
        <v>45240</v>
      </c>
      <c r="M614">
        <v>3</v>
      </c>
      <c r="N614" t="s">
        <v>6516</v>
      </c>
      <c r="O614" s="5">
        <v>45240</v>
      </c>
      <c r="P614" s="5">
        <v>43777</v>
      </c>
      <c r="Q614" s="3">
        <v>136.85</v>
      </c>
      <c r="S614">
        <f t="shared" si="27"/>
        <v>1464</v>
      </c>
      <c r="T614">
        <f t="shared" si="28"/>
        <v>16.043835616438358</v>
      </c>
      <c r="U614" s="6">
        <f t="shared" si="29"/>
        <v>0.53071286943336826</v>
      </c>
    </row>
    <row r="615" spans="1:21" x14ac:dyDescent="0.25">
      <c r="A615" t="s">
        <v>2252</v>
      </c>
      <c r="B615" t="s">
        <v>2253</v>
      </c>
      <c r="C615" t="s">
        <v>6207</v>
      </c>
      <c r="D615">
        <v>1106.0999999999999</v>
      </c>
      <c r="E615">
        <v>1106.0999999999999</v>
      </c>
      <c r="F615">
        <v>1007</v>
      </c>
      <c r="G615" s="3">
        <v>1007</v>
      </c>
      <c r="H615">
        <v>1007</v>
      </c>
      <c r="I615">
        <v>1145</v>
      </c>
      <c r="J615">
        <v>50</v>
      </c>
      <c r="K615">
        <v>52827.5</v>
      </c>
      <c r="L615" s="1">
        <v>45240</v>
      </c>
      <c r="M615">
        <v>2</v>
      </c>
      <c r="N615" t="s">
        <v>6515</v>
      </c>
      <c r="O615" s="5">
        <v>45240</v>
      </c>
      <c r="P615" s="5">
        <v>43777</v>
      </c>
      <c r="Q615" s="3">
        <v>136.85</v>
      </c>
      <c r="S615">
        <f t="shared" si="27"/>
        <v>1464</v>
      </c>
      <c r="T615">
        <f t="shared" si="28"/>
        <v>16.043835616438358</v>
      </c>
      <c r="U615" s="6">
        <f t="shared" si="29"/>
        <v>0.52987289948660266</v>
      </c>
    </row>
    <row r="616" spans="1:21" x14ac:dyDescent="0.25">
      <c r="A616" t="s">
        <v>2252</v>
      </c>
      <c r="B616" t="s">
        <v>2253</v>
      </c>
      <c r="C616" t="s">
        <v>6245</v>
      </c>
      <c r="D616">
        <v>998.01</v>
      </c>
      <c r="E616">
        <v>998.01</v>
      </c>
      <c r="F616">
        <v>998.01</v>
      </c>
      <c r="G616" s="3">
        <v>998.01</v>
      </c>
      <c r="H616">
        <v>998.01</v>
      </c>
      <c r="I616">
        <v>998.01</v>
      </c>
      <c r="J616">
        <v>350</v>
      </c>
      <c r="K616">
        <v>349303.5</v>
      </c>
      <c r="L616" s="1">
        <v>45240</v>
      </c>
      <c r="M616">
        <v>1</v>
      </c>
      <c r="N616" t="s">
        <v>6514</v>
      </c>
      <c r="O616" s="5">
        <v>45240</v>
      </c>
      <c r="P616" s="5">
        <v>43777</v>
      </c>
      <c r="Q616" s="3">
        <v>136.85</v>
      </c>
      <c r="S616">
        <f t="shared" si="27"/>
        <v>1464</v>
      </c>
      <c r="T616">
        <f t="shared" si="28"/>
        <v>16.043835616438358</v>
      </c>
      <c r="U616" s="6">
        <f t="shared" si="29"/>
        <v>0.52734166429137641</v>
      </c>
    </row>
    <row r="617" spans="1:21" x14ac:dyDescent="0.25">
      <c r="A617" t="s">
        <v>2252</v>
      </c>
      <c r="B617" t="s">
        <v>2253</v>
      </c>
      <c r="C617" t="s">
        <v>6240</v>
      </c>
      <c r="D617">
        <v>1035</v>
      </c>
      <c r="E617">
        <v>1035</v>
      </c>
      <c r="F617">
        <v>1012.05</v>
      </c>
      <c r="G617" s="3">
        <v>1012.05</v>
      </c>
      <c r="H617">
        <v>1012.05</v>
      </c>
      <c r="I617">
        <v>1025</v>
      </c>
      <c r="J617">
        <v>229</v>
      </c>
      <c r="K617">
        <v>235867.5</v>
      </c>
      <c r="L617" s="1">
        <v>45240</v>
      </c>
      <c r="M617">
        <v>4</v>
      </c>
      <c r="N617" t="s">
        <v>6513</v>
      </c>
      <c r="O617" s="5">
        <v>45240</v>
      </c>
      <c r="P617" s="5">
        <v>43777</v>
      </c>
      <c r="Q617" s="3">
        <v>136.85</v>
      </c>
      <c r="S617">
        <f t="shared" si="27"/>
        <v>1464</v>
      </c>
      <c r="T617">
        <f t="shared" si="28"/>
        <v>16.043835616438358</v>
      </c>
      <c r="U617" s="6">
        <f t="shared" si="29"/>
        <v>0.53128550444160361</v>
      </c>
    </row>
    <row r="618" spans="1:21" x14ac:dyDescent="0.25">
      <c r="A618" t="s">
        <v>2252</v>
      </c>
      <c r="B618" t="s">
        <v>2253</v>
      </c>
      <c r="C618" t="s">
        <v>5872</v>
      </c>
      <c r="D618">
        <v>980</v>
      </c>
      <c r="E618">
        <v>980</v>
      </c>
      <c r="F618">
        <v>975.15</v>
      </c>
      <c r="G618" s="3">
        <v>975.97</v>
      </c>
      <c r="H618">
        <v>976</v>
      </c>
      <c r="I618">
        <v>975.78</v>
      </c>
      <c r="J618">
        <v>240</v>
      </c>
      <c r="K618">
        <v>234409.83</v>
      </c>
      <c r="L618" s="1">
        <v>45240</v>
      </c>
      <c r="M618">
        <v>15</v>
      </c>
      <c r="N618" t="s">
        <v>6512</v>
      </c>
      <c r="O618" s="5">
        <v>45240</v>
      </c>
      <c r="P618" s="5">
        <v>43777</v>
      </c>
      <c r="Q618" s="3">
        <v>136.85</v>
      </c>
      <c r="S618">
        <f t="shared" si="27"/>
        <v>1464</v>
      </c>
      <c r="T618">
        <f t="shared" si="28"/>
        <v>16.043835616438358</v>
      </c>
      <c r="U618" s="6">
        <f t="shared" si="29"/>
        <v>0.5210444316225189</v>
      </c>
    </row>
    <row r="619" spans="1:21" x14ac:dyDescent="0.25">
      <c r="A619" t="s">
        <v>2252</v>
      </c>
      <c r="B619" t="s">
        <v>2253</v>
      </c>
      <c r="C619" t="s">
        <v>5868</v>
      </c>
      <c r="D619">
        <v>949.99</v>
      </c>
      <c r="E619">
        <v>949.99</v>
      </c>
      <c r="F619">
        <v>949.99</v>
      </c>
      <c r="G619" s="3">
        <v>949.99</v>
      </c>
      <c r="H619">
        <v>949.99</v>
      </c>
      <c r="I619">
        <v>950</v>
      </c>
      <c r="J619">
        <v>101</v>
      </c>
      <c r="K619">
        <v>95948.99</v>
      </c>
      <c r="L619" s="1">
        <v>45240</v>
      </c>
      <c r="M619">
        <v>2</v>
      </c>
      <c r="N619" t="s">
        <v>6511</v>
      </c>
      <c r="O619" s="5">
        <v>45240</v>
      </c>
      <c r="P619" s="5">
        <v>43777</v>
      </c>
      <c r="Q619" s="3">
        <v>136.85</v>
      </c>
      <c r="S619">
        <f t="shared" si="27"/>
        <v>1464</v>
      </c>
      <c r="T619">
        <f t="shared" si="28"/>
        <v>16.043835616438358</v>
      </c>
      <c r="U619" s="6">
        <f t="shared" si="29"/>
        <v>0.51344792926973692</v>
      </c>
    </row>
    <row r="620" spans="1:21" x14ac:dyDescent="0.25">
      <c r="A620" t="s">
        <v>2252</v>
      </c>
      <c r="B620" t="s">
        <v>2253</v>
      </c>
      <c r="C620" t="s">
        <v>6459</v>
      </c>
      <c r="D620">
        <v>1016.2</v>
      </c>
      <c r="E620">
        <v>1016.2</v>
      </c>
      <c r="F620">
        <v>1016.2</v>
      </c>
      <c r="G620" s="3">
        <v>1016.2</v>
      </c>
      <c r="H620">
        <v>1016.2</v>
      </c>
      <c r="I620">
        <v>1029</v>
      </c>
      <c r="J620">
        <v>10</v>
      </c>
      <c r="K620">
        <v>10162</v>
      </c>
      <c r="L620" s="1">
        <v>45240</v>
      </c>
      <c r="M620">
        <v>1</v>
      </c>
      <c r="N620" t="s">
        <v>6510</v>
      </c>
      <c r="O620" s="5">
        <v>45240</v>
      </c>
      <c r="P620" s="5">
        <v>43777</v>
      </c>
      <c r="Q620" s="3">
        <v>136.85</v>
      </c>
      <c r="S620">
        <f t="shared" si="27"/>
        <v>1464</v>
      </c>
      <c r="T620">
        <f t="shared" si="28"/>
        <v>16.043835616438358</v>
      </c>
      <c r="U620" s="6">
        <f t="shared" si="29"/>
        <v>0.53244141924225818</v>
      </c>
    </row>
    <row r="621" spans="1:21" x14ac:dyDescent="0.25">
      <c r="A621" t="s">
        <v>2252</v>
      </c>
      <c r="B621" t="s">
        <v>2253</v>
      </c>
      <c r="C621" t="s">
        <v>6509</v>
      </c>
      <c r="D621">
        <v>1032</v>
      </c>
      <c r="E621">
        <v>1032</v>
      </c>
      <c r="F621">
        <v>1032</v>
      </c>
      <c r="G621" s="3">
        <v>1032</v>
      </c>
      <c r="H621">
        <v>1032</v>
      </c>
      <c r="I621">
        <v>1033</v>
      </c>
      <c r="J621">
        <v>90</v>
      </c>
      <c r="K621">
        <v>92880</v>
      </c>
      <c r="L621" s="1">
        <v>45240</v>
      </c>
      <c r="M621">
        <v>1</v>
      </c>
      <c r="N621" t="s">
        <v>6508</v>
      </c>
      <c r="O621" s="5">
        <v>45240</v>
      </c>
      <c r="P621" s="5">
        <v>43777</v>
      </c>
      <c r="Q621" s="3">
        <v>136.85</v>
      </c>
      <c r="S621">
        <f t="shared" si="27"/>
        <v>1464</v>
      </c>
      <c r="T621">
        <f t="shared" si="28"/>
        <v>16.043835616438358</v>
      </c>
      <c r="U621" s="6">
        <f t="shared" si="29"/>
        <v>0.53680211881303208</v>
      </c>
    </row>
    <row r="622" spans="1:21" x14ac:dyDescent="0.25">
      <c r="A622" t="s">
        <v>2252</v>
      </c>
      <c r="B622" t="s">
        <v>2253</v>
      </c>
      <c r="C622" t="s">
        <v>6507</v>
      </c>
      <c r="D622">
        <v>938</v>
      </c>
      <c r="E622">
        <v>939</v>
      </c>
      <c r="F622">
        <v>938</v>
      </c>
      <c r="G622" s="3">
        <v>938</v>
      </c>
      <c r="H622">
        <v>938</v>
      </c>
      <c r="I622">
        <v>938</v>
      </c>
      <c r="J622">
        <v>8</v>
      </c>
      <c r="K622">
        <v>7507</v>
      </c>
      <c r="L622" s="1">
        <v>45240</v>
      </c>
      <c r="M622">
        <v>5</v>
      </c>
      <c r="N622" t="s">
        <v>6506</v>
      </c>
      <c r="O622" s="5">
        <v>45240</v>
      </c>
      <c r="P622" s="5">
        <v>43777</v>
      </c>
      <c r="Q622" s="3">
        <v>136.85</v>
      </c>
      <c r="S622">
        <f t="shared" si="27"/>
        <v>1464</v>
      </c>
      <c r="T622">
        <f t="shared" si="28"/>
        <v>16.043835616438358</v>
      </c>
      <c r="U622" s="6">
        <f t="shared" si="29"/>
        <v>0.50987615781758322</v>
      </c>
    </row>
    <row r="623" spans="1:21" x14ac:dyDescent="0.25">
      <c r="A623" t="s">
        <v>2252</v>
      </c>
      <c r="B623" t="s">
        <v>2253</v>
      </c>
      <c r="C623" t="s">
        <v>6505</v>
      </c>
      <c r="D623">
        <v>940</v>
      </c>
      <c r="E623">
        <v>940</v>
      </c>
      <c r="F623">
        <v>940</v>
      </c>
      <c r="G623" s="3">
        <v>940</v>
      </c>
      <c r="H623">
        <v>940</v>
      </c>
      <c r="I623">
        <v>945</v>
      </c>
      <c r="J623">
        <v>1291</v>
      </c>
      <c r="K623">
        <v>1213540</v>
      </c>
      <c r="L623" s="1">
        <v>45240</v>
      </c>
      <c r="M623">
        <v>9</v>
      </c>
      <c r="N623" t="s">
        <v>6504</v>
      </c>
      <c r="O623" s="5">
        <v>45240</v>
      </c>
      <c r="P623" s="5">
        <v>43777</v>
      </c>
      <c r="Q623" s="3">
        <v>136.85</v>
      </c>
      <c r="S623">
        <f t="shared" si="27"/>
        <v>1464</v>
      </c>
      <c r="T623">
        <f t="shared" si="28"/>
        <v>16.043835616438358</v>
      </c>
      <c r="U623" s="6">
        <f t="shared" si="29"/>
        <v>0.51047491372088416</v>
      </c>
    </row>
    <row r="624" spans="1:21" x14ac:dyDescent="0.25">
      <c r="A624" t="s">
        <v>2255</v>
      </c>
      <c r="B624" t="s">
        <v>2256</v>
      </c>
      <c r="C624" t="s">
        <v>14</v>
      </c>
      <c r="D624">
        <v>114.95</v>
      </c>
      <c r="E624">
        <v>120.8</v>
      </c>
      <c r="F624">
        <v>113.75</v>
      </c>
      <c r="G624" s="3">
        <v>119.3</v>
      </c>
      <c r="H624">
        <v>119.2</v>
      </c>
      <c r="I624">
        <v>115.2</v>
      </c>
      <c r="J624">
        <v>3459325</v>
      </c>
      <c r="K624">
        <v>407983226.64999998</v>
      </c>
      <c r="L624" s="1">
        <v>45240</v>
      </c>
      <c r="M624">
        <v>20057</v>
      </c>
      <c r="N624" t="s">
        <v>2257</v>
      </c>
      <c r="O624" s="5">
        <v>45240</v>
      </c>
      <c r="P624" s="5">
        <v>43777</v>
      </c>
      <c r="Q624" s="3">
        <v>26.35</v>
      </c>
      <c r="S624">
        <f t="shared" si="27"/>
        <v>1464</v>
      </c>
      <c r="T624">
        <f t="shared" si="28"/>
        <v>16.043835616438358</v>
      </c>
      <c r="U624" s="6">
        <f t="shared" si="29"/>
        <v>0.394801179629237</v>
      </c>
    </row>
    <row r="625" spans="1:21" x14ac:dyDescent="0.25">
      <c r="A625" t="s">
        <v>6498</v>
      </c>
      <c r="B625" t="s">
        <v>7798</v>
      </c>
      <c r="C625" t="s">
        <v>6210</v>
      </c>
      <c r="D625">
        <v>997</v>
      </c>
      <c r="E625">
        <v>999.99</v>
      </c>
      <c r="F625">
        <v>997</v>
      </c>
      <c r="G625" s="3">
        <v>997.42</v>
      </c>
      <c r="H625">
        <v>999.99</v>
      </c>
      <c r="I625">
        <v>997</v>
      </c>
      <c r="J625">
        <v>35</v>
      </c>
      <c r="K625">
        <v>34909.980000000003</v>
      </c>
      <c r="L625" s="1">
        <v>45240</v>
      </c>
      <c r="M625">
        <v>3</v>
      </c>
      <c r="N625" t="s">
        <v>6503</v>
      </c>
      <c r="O625" s="5">
        <v>45240</v>
      </c>
      <c r="P625" s="5">
        <v>43777</v>
      </c>
      <c r="Q625" s="3">
        <v>1001</v>
      </c>
      <c r="S625">
        <f t="shared" si="27"/>
        <v>1464</v>
      </c>
      <c r="T625">
        <f t="shared" si="28"/>
        <v>16.043835616438358</v>
      </c>
      <c r="U625" s="6">
        <f t="shared" si="29"/>
        <v>-8.9316154396534841E-4</v>
      </c>
    </row>
    <row r="626" spans="1:21" x14ac:dyDescent="0.25">
      <c r="A626" t="s">
        <v>6498</v>
      </c>
      <c r="B626" t="s">
        <v>7798</v>
      </c>
      <c r="C626" t="s">
        <v>6174</v>
      </c>
      <c r="D626">
        <v>973</v>
      </c>
      <c r="E626">
        <v>975</v>
      </c>
      <c r="F626">
        <v>972.4</v>
      </c>
      <c r="G626" s="3">
        <v>975</v>
      </c>
      <c r="H626">
        <v>975</v>
      </c>
      <c r="I626">
        <v>974.11</v>
      </c>
      <c r="J626">
        <v>560</v>
      </c>
      <c r="K626">
        <v>545200.5</v>
      </c>
      <c r="L626" s="1">
        <v>45240</v>
      </c>
      <c r="M626">
        <v>16</v>
      </c>
      <c r="N626" t="s">
        <v>6502</v>
      </c>
      <c r="O626" s="5">
        <v>45240</v>
      </c>
      <c r="P626" s="5">
        <v>43777</v>
      </c>
      <c r="Q626" s="3">
        <v>1001</v>
      </c>
      <c r="S626">
        <f t="shared" si="27"/>
        <v>1464</v>
      </c>
      <c r="T626">
        <f t="shared" si="28"/>
        <v>16.043835616438358</v>
      </c>
      <c r="U626" s="6">
        <f t="shared" si="29"/>
        <v>-6.5559723015873317E-3</v>
      </c>
    </row>
    <row r="627" spans="1:21" x14ac:dyDescent="0.25">
      <c r="A627" t="s">
        <v>6498</v>
      </c>
      <c r="B627" t="s">
        <v>7798</v>
      </c>
      <c r="C627" t="s">
        <v>5843</v>
      </c>
      <c r="D627">
        <v>1115</v>
      </c>
      <c r="E627">
        <v>1115</v>
      </c>
      <c r="F627">
        <v>1115</v>
      </c>
      <c r="G627" s="3">
        <v>1115</v>
      </c>
      <c r="H627">
        <v>1115</v>
      </c>
      <c r="I627">
        <v>1102.21</v>
      </c>
      <c r="J627">
        <v>99</v>
      </c>
      <c r="K627">
        <v>110385</v>
      </c>
      <c r="L627" s="1">
        <v>45240</v>
      </c>
      <c r="M627">
        <v>2</v>
      </c>
      <c r="N627" t="s">
        <v>6501</v>
      </c>
      <c r="O627" s="5">
        <v>45240</v>
      </c>
      <c r="P627" s="5">
        <v>43777</v>
      </c>
      <c r="Q627" s="3">
        <v>1001</v>
      </c>
      <c r="S627">
        <f t="shared" si="27"/>
        <v>1464</v>
      </c>
      <c r="T627">
        <f t="shared" si="28"/>
        <v>16.043835616438358</v>
      </c>
      <c r="U627" s="6">
        <f t="shared" si="29"/>
        <v>2.698064202007E-2</v>
      </c>
    </row>
    <row r="628" spans="1:21" x14ac:dyDescent="0.25">
      <c r="A628" t="s">
        <v>6498</v>
      </c>
      <c r="B628" t="s">
        <v>7798</v>
      </c>
      <c r="C628" t="s">
        <v>6207</v>
      </c>
      <c r="D628">
        <v>1037.8499999999999</v>
      </c>
      <c r="E628">
        <v>1037.8499999999999</v>
      </c>
      <c r="F628">
        <v>1037.8499999999999</v>
      </c>
      <c r="G628" s="3">
        <v>1037.8499999999999</v>
      </c>
      <c r="H628">
        <v>1037.8499999999999</v>
      </c>
      <c r="I628">
        <v>1037.25</v>
      </c>
      <c r="J628">
        <v>4</v>
      </c>
      <c r="K628">
        <v>4151.3999999999996</v>
      </c>
      <c r="L628" s="1">
        <v>45240</v>
      </c>
      <c r="M628">
        <v>1</v>
      </c>
      <c r="N628" t="s">
        <v>6500</v>
      </c>
      <c r="O628" s="5">
        <v>45240</v>
      </c>
      <c r="P628" s="5">
        <v>43777</v>
      </c>
      <c r="Q628" s="3">
        <v>1001</v>
      </c>
      <c r="S628">
        <f t="shared" si="27"/>
        <v>1464</v>
      </c>
      <c r="T628">
        <f t="shared" si="28"/>
        <v>16.043835616438358</v>
      </c>
      <c r="U628" s="6">
        <f t="shared" si="29"/>
        <v>9.0234099561046222E-3</v>
      </c>
    </row>
    <row r="629" spans="1:21" x14ac:dyDescent="0.25">
      <c r="A629" t="s">
        <v>6498</v>
      </c>
      <c r="B629" t="s">
        <v>7798</v>
      </c>
      <c r="C629" t="s">
        <v>6130</v>
      </c>
      <c r="D629">
        <v>946</v>
      </c>
      <c r="E629">
        <v>946</v>
      </c>
      <c r="F629">
        <v>930.1</v>
      </c>
      <c r="G629" s="3">
        <v>930.1</v>
      </c>
      <c r="H629">
        <v>930.1</v>
      </c>
      <c r="I629">
        <v>930</v>
      </c>
      <c r="J629">
        <v>151</v>
      </c>
      <c r="K629">
        <v>142035.1</v>
      </c>
      <c r="L629" s="1">
        <v>45240</v>
      </c>
      <c r="M629">
        <v>4</v>
      </c>
      <c r="N629" t="s">
        <v>6499</v>
      </c>
      <c r="O629" s="5">
        <v>45240</v>
      </c>
      <c r="P629" s="5">
        <v>43777</v>
      </c>
      <c r="Q629" s="3">
        <v>1001</v>
      </c>
      <c r="S629">
        <f t="shared" si="27"/>
        <v>1464</v>
      </c>
      <c r="T629">
        <f t="shared" si="28"/>
        <v>16.043835616438358</v>
      </c>
      <c r="U629" s="6">
        <f t="shared" si="29"/>
        <v>-1.827362038301672E-2</v>
      </c>
    </row>
    <row r="630" spans="1:21" x14ac:dyDescent="0.25">
      <c r="A630" t="s">
        <v>6498</v>
      </c>
      <c r="B630" t="s">
        <v>7798</v>
      </c>
      <c r="C630" t="s">
        <v>6245</v>
      </c>
      <c r="D630">
        <v>915.1</v>
      </c>
      <c r="E630">
        <v>919</v>
      </c>
      <c r="F630">
        <v>915.1</v>
      </c>
      <c r="G630" s="3">
        <v>919</v>
      </c>
      <c r="H630">
        <v>919</v>
      </c>
      <c r="I630">
        <v>920</v>
      </c>
      <c r="J630">
        <v>85</v>
      </c>
      <c r="K630">
        <v>78076</v>
      </c>
      <c r="L630" s="1">
        <v>45240</v>
      </c>
      <c r="M630">
        <v>6</v>
      </c>
      <c r="N630" t="s">
        <v>6497</v>
      </c>
      <c r="O630" s="5">
        <v>45240</v>
      </c>
      <c r="P630" s="5">
        <v>43777</v>
      </c>
      <c r="Q630" s="3">
        <v>1001</v>
      </c>
      <c r="S630">
        <f t="shared" si="27"/>
        <v>1464</v>
      </c>
      <c r="T630">
        <f t="shared" si="28"/>
        <v>16.043835616438358</v>
      </c>
      <c r="U630" s="6">
        <f t="shared" si="29"/>
        <v>-2.1252126628195978E-2</v>
      </c>
    </row>
    <row r="631" spans="1:21" x14ac:dyDescent="0.25">
      <c r="A631" t="s">
        <v>2258</v>
      </c>
      <c r="B631" t="s">
        <v>2259</v>
      </c>
      <c r="C631" t="s">
        <v>10</v>
      </c>
      <c r="D631">
        <v>175</v>
      </c>
      <c r="E631">
        <v>175.5</v>
      </c>
      <c r="F631">
        <v>171.65</v>
      </c>
      <c r="G631" s="3">
        <v>171.8</v>
      </c>
      <c r="H631">
        <v>171.65</v>
      </c>
      <c r="I631">
        <v>180.65</v>
      </c>
      <c r="J631">
        <v>25234</v>
      </c>
      <c r="K631">
        <v>4342477.6500000004</v>
      </c>
      <c r="L631" s="1">
        <v>45240</v>
      </c>
      <c r="M631">
        <v>264</v>
      </c>
      <c r="N631" t="s">
        <v>2260</v>
      </c>
      <c r="O631" s="5">
        <v>45240</v>
      </c>
      <c r="P631" s="5">
        <v>43777</v>
      </c>
      <c r="Q631" s="3">
        <v>66</v>
      </c>
      <c r="S631">
        <f t="shared" si="27"/>
        <v>1464</v>
      </c>
      <c r="T631">
        <f t="shared" si="28"/>
        <v>16.043835616438358</v>
      </c>
      <c r="U631" s="6">
        <f t="shared" si="29"/>
        <v>0.24577028789110322</v>
      </c>
    </row>
    <row r="632" spans="1:21" x14ac:dyDescent="0.25">
      <c r="A632" t="s">
        <v>2264</v>
      </c>
      <c r="B632" t="s">
        <v>2265</v>
      </c>
      <c r="C632" t="s">
        <v>786</v>
      </c>
      <c r="D632">
        <v>25.3</v>
      </c>
      <c r="E632">
        <v>25.3</v>
      </c>
      <c r="F632">
        <v>25</v>
      </c>
      <c r="G632" s="3">
        <v>25</v>
      </c>
      <c r="H632">
        <v>25</v>
      </c>
      <c r="I632">
        <v>24.85</v>
      </c>
      <c r="J632">
        <v>58592</v>
      </c>
      <c r="K632">
        <v>1477161.7</v>
      </c>
      <c r="L632" s="1">
        <v>45240</v>
      </c>
      <c r="M632">
        <v>53</v>
      </c>
      <c r="N632" t="s">
        <v>2266</v>
      </c>
      <c r="O632" s="5">
        <v>45240</v>
      </c>
      <c r="P632" s="5">
        <v>43777</v>
      </c>
      <c r="Q632" s="3">
        <v>2.5</v>
      </c>
      <c r="S632">
        <f t="shared" si="27"/>
        <v>1464</v>
      </c>
      <c r="T632">
        <f t="shared" si="28"/>
        <v>16.043835616438358</v>
      </c>
      <c r="U632" s="6">
        <f t="shared" si="29"/>
        <v>0.61731205003203726</v>
      </c>
    </row>
    <row r="633" spans="1:21" x14ac:dyDescent="0.25">
      <c r="A633" t="s">
        <v>2267</v>
      </c>
      <c r="B633" t="s">
        <v>2268</v>
      </c>
      <c r="C633" t="s">
        <v>786</v>
      </c>
      <c r="D633">
        <v>5.6</v>
      </c>
      <c r="E633">
        <v>5.6</v>
      </c>
      <c r="F633">
        <v>5.6</v>
      </c>
      <c r="G633" s="3">
        <v>5.6</v>
      </c>
      <c r="H633">
        <v>5.6</v>
      </c>
      <c r="I633">
        <v>5.7</v>
      </c>
      <c r="J633">
        <v>10453</v>
      </c>
      <c r="K633">
        <v>58536.800000000003</v>
      </c>
      <c r="L633" s="1">
        <v>45240</v>
      </c>
      <c r="M633">
        <v>29</v>
      </c>
      <c r="N633" t="s">
        <v>2269</v>
      </c>
      <c r="O633" s="5">
        <v>45240</v>
      </c>
      <c r="P633" s="5">
        <v>43777</v>
      </c>
      <c r="Q633" s="3">
        <v>2.4500000000000002</v>
      </c>
      <c r="S633">
        <f t="shared" si="27"/>
        <v>1464</v>
      </c>
      <c r="T633">
        <f t="shared" si="28"/>
        <v>16.043835616438358</v>
      </c>
      <c r="U633" s="6">
        <f t="shared" si="29"/>
        <v>0.21150726645046358</v>
      </c>
    </row>
    <row r="634" spans="1:21" x14ac:dyDescent="0.25">
      <c r="A634" t="s">
        <v>2273</v>
      </c>
      <c r="B634" t="s">
        <v>2274</v>
      </c>
      <c r="C634" t="s">
        <v>14</v>
      </c>
      <c r="D634">
        <v>434</v>
      </c>
      <c r="E634">
        <v>459</v>
      </c>
      <c r="F634">
        <v>431.1</v>
      </c>
      <c r="G634" s="3">
        <v>442</v>
      </c>
      <c r="H634">
        <v>440.15</v>
      </c>
      <c r="I634">
        <v>437.75</v>
      </c>
      <c r="J634">
        <v>428259</v>
      </c>
      <c r="K634">
        <v>191704422.5</v>
      </c>
      <c r="L634" s="1">
        <v>45240</v>
      </c>
      <c r="M634">
        <v>13907</v>
      </c>
      <c r="N634" t="s">
        <v>2275</v>
      </c>
      <c r="O634" s="5">
        <v>45240</v>
      </c>
      <c r="P634" s="5">
        <v>43777</v>
      </c>
      <c r="Q634" s="3">
        <v>196.85</v>
      </c>
      <c r="S634">
        <f t="shared" si="27"/>
        <v>1464</v>
      </c>
      <c r="T634">
        <f t="shared" si="28"/>
        <v>16.043835616438358</v>
      </c>
      <c r="U634" s="6">
        <f t="shared" si="29"/>
        <v>0.2068345491437098</v>
      </c>
    </row>
    <row r="635" spans="1:21" x14ac:dyDescent="0.25">
      <c r="A635" t="s">
        <v>2276</v>
      </c>
      <c r="B635" t="s">
        <v>2277</v>
      </c>
      <c r="C635" t="s">
        <v>14</v>
      </c>
      <c r="D635">
        <v>840</v>
      </c>
      <c r="E635">
        <v>867.3</v>
      </c>
      <c r="F635">
        <v>815</v>
      </c>
      <c r="G635" s="3">
        <v>840.75</v>
      </c>
      <c r="H635">
        <v>838</v>
      </c>
      <c r="I635">
        <v>833.8</v>
      </c>
      <c r="J635">
        <v>10023</v>
      </c>
      <c r="K635">
        <v>8435895.1999999993</v>
      </c>
      <c r="L635" s="1">
        <v>45240</v>
      </c>
      <c r="M635">
        <v>1302</v>
      </c>
      <c r="N635" t="s">
        <v>2278</v>
      </c>
      <c r="O635" s="5">
        <v>45240</v>
      </c>
      <c r="P635" s="5">
        <v>43777</v>
      </c>
      <c r="Q635" s="3">
        <v>633.25</v>
      </c>
      <c r="S635">
        <f t="shared" si="27"/>
        <v>1464</v>
      </c>
      <c r="T635">
        <f t="shared" si="28"/>
        <v>16.043835616438358</v>
      </c>
      <c r="U635" s="6">
        <f t="shared" si="29"/>
        <v>7.1291527363928076E-2</v>
      </c>
    </row>
    <row r="636" spans="1:21" x14ac:dyDescent="0.25">
      <c r="A636" t="s">
        <v>2279</v>
      </c>
      <c r="B636" t="s">
        <v>2280</v>
      </c>
      <c r="C636" t="s">
        <v>10</v>
      </c>
      <c r="D636">
        <v>3.4</v>
      </c>
      <c r="E636">
        <v>3.4</v>
      </c>
      <c r="F636">
        <v>3.4</v>
      </c>
      <c r="G636" s="3">
        <v>3.4</v>
      </c>
      <c r="H636">
        <v>3.4</v>
      </c>
      <c r="I636">
        <v>3.45</v>
      </c>
      <c r="J636">
        <v>52080</v>
      </c>
      <c r="K636">
        <v>177072</v>
      </c>
      <c r="L636" s="1">
        <v>45240</v>
      </c>
      <c r="M636">
        <v>16</v>
      </c>
      <c r="N636" t="s">
        <v>2281</v>
      </c>
      <c r="O636" s="5">
        <v>45240</v>
      </c>
      <c r="P636" s="5">
        <v>43777</v>
      </c>
      <c r="Q636" s="3">
        <v>0.35</v>
      </c>
      <c r="S636">
        <f t="shared" si="27"/>
        <v>1464</v>
      </c>
      <c r="T636">
        <f t="shared" si="28"/>
        <v>16.043835616438358</v>
      </c>
      <c r="U636" s="6">
        <f t="shared" si="29"/>
        <v>0.60897715642510075</v>
      </c>
    </row>
    <row r="637" spans="1:21" x14ac:dyDescent="0.25">
      <c r="A637" t="s">
        <v>2285</v>
      </c>
      <c r="B637" t="s">
        <v>2286</v>
      </c>
      <c r="C637" t="s">
        <v>10</v>
      </c>
      <c r="D637">
        <v>33.9</v>
      </c>
      <c r="E637">
        <v>34</v>
      </c>
      <c r="F637">
        <v>32.799999999999997</v>
      </c>
      <c r="G637" s="3">
        <v>33.200000000000003</v>
      </c>
      <c r="H637">
        <v>33</v>
      </c>
      <c r="I637">
        <v>32.799999999999997</v>
      </c>
      <c r="J637">
        <v>30426</v>
      </c>
      <c r="K637">
        <v>1015340.15</v>
      </c>
      <c r="L637" s="1">
        <v>45240</v>
      </c>
      <c r="M637">
        <v>212</v>
      </c>
      <c r="N637" t="s">
        <v>2287</v>
      </c>
      <c r="O637" s="5">
        <v>45240</v>
      </c>
      <c r="P637" s="5">
        <v>43777</v>
      </c>
      <c r="Q637" s="3">
        <v>7.75</v>
      </c>
      <c r="S637">
        <f t="shared" si="27"/>
        <v>1464</v>
      </c>
      <c r="T637">
        <f t="shared" si="28"/>
        <v>16.043835616438358</v>
      </c>
      <c r="U637" s="6">
        <f t="shared" si="29"/>
        <v>0.3796748521058726</v>
      </c>
    </row>
    <row r="638" spans="1:21" x14ac:dyDescent="0.25">
      <c r="A638" t="s">
        <v>2288</v>
      </c>
      <c r="B638" t="s">
        <v>2289</v>
      </c>
      <c r="C638" t="s">
        <v>14</v>
      </c>
      <c r="D638">
        <v>405</v>
      </c>
      <c r="E638">
        <v>410.1</v>
      </c>
      <c r="F638">
        <v>403.2</v>
      </c>
      <c r="G638" s="3">
        <v>409.45</v>
      </c>
      <c r="H638">
        <v>408.5</v>
      </c>
      <c r="I638">
        <v>405.45</v>
      </c>
      <c r="J638">
        <v>1856115</v>
      </c>
      <c r="K638">
        <v>757002563.89999998</v>
      </c>
      <c r="L638" s="1">
        <v>45240</v>
      </c>
      <c r="M638">
        <v>35167</v>
      </c>
      <c r="N638" t="s">
        <v>2290</v>
      </c>
      <c r="O638" s="5">
        <v>45240</v>
      </c>
      <c r="P638" s="5">
        <v>43777</v>
      </c>
      <c r="Q638" s="3">
        <v>149.35</v>
      </c>
      <c r="S638">
        <f t="shared" si="27"/>
        <v>1464</v>
      </c>
      <c r="T638">
        <f t="shared" si="28"/>
        <v>16.043835616438358</v>
      </c>
      <c r="U638" s="6">
        <f t="shared" si="29"/>
        <v>0.25951277417555474</v>
      </c>
    </row>
    <row r="639" spans="1:21" x14ac:dyDescent="0.25">
      <c r="A639" t="s">
        <v>2291</v>
      </c>
      <c r="B639" t="s">
        <v>2292</v>
      </c>
      <c r="C639" t="s">
        <v>14</v>
      </c>
      <c r="D639">
        <v>212.5</v>
      </c>
      <c r="E639">
        <v>214.4</v>
      </c>
      <c r="F639">
        <v>210</v>
      </c>
      <c r="G639" s="3">
        <v>212.55</v>
      </c>
      <c r="H639">
        <v>212.6</v>
      </c>
      <c r="I639">
        <v>212.55</v>
      </c>
      <c r="J639">
        <v>1187840</v>
      </c>
      <c r="K639">
        <v>252159043.84999999</v>
      </c>
      <c r="L639" s="1">
        <v>45240</v>
      </c>
      <c r="M639">
        <v>11168</v>
      </c>
      <c r="N639" t="s">
        <v>2293</v>
      </c>
      <c r="O639" s="5">
        <v>45240</v>
      </c>
      <c r="P639" s="5">
        <v>43777</v>
      </c>
      <c r="Q639" s="3">
        <v>85.3</v>
      </c>
      <c r="S639">
        <f t="shared" si="27"/>
        <v>1464</v>
      </c>
      <c r="T639">
        <f t="shared" si="28"/>
        <v>16.043835616438358</v>
      </c>
      <c r="U639" s="6">
        <f t="shared" si="29"/>
        <v>0.2342284494238962</v>
      </c>
    </row>
    <row r="640" spans="1:21" x14ac:dyDescent="0.25">
      <c r="A640" t="s">
        <v>2294</v>
      </c>
      <c r="B640" t="s">
        <v>2295</v>
      </c>
      <c r="C640" t="s">
        <v>14</v>
      </c>
      <c r="D640">
        <v>705</v>
      </c>
      <c r="E640">
        <v>708.25</v>
      </c>
      <c r="F640">
        <v>698.35</v>
      </c>
      <c r="G640" s="3">
        <v>705.1</v>
      </c>
      <c r="H640">
        <v>704.35</v>
      </c>
      <c r="I640">
        <v>705.55</v>
      </c>
      <c r="J640">
        <v>39787</v>
      </c>
      <c r="K640">
        <v>27947343.100000001</v>
      </c>
      <c r="L640" s="1">
        <v>45240</v>
      </c>
      <c r="M640">
        <v>3089</v>
      </c>
      <c r="N640" t="s">
        <v>2296</v>
      </c>
      <c r="O640" s="5">
        <v>45240</v>
      </c>
      <c r="P640" s="5">
        <v>43777</v>
      </c>
      <c r="Q640" s="3">
        <v>230.25</v>
      </c>
      <c r="S640">
        <f t="shared" si="27"/>
        <v>1464</v>
      </c>
      <c r="T640">
        <f t="shared" si="28"/>
        <v>16.043835616438358</v>
      </c>
      <c r="U640" s="6">
        <f t="shared" si="29"/>
        <v>0.28899147524511193</v>
      </c>
    </row>
    <row r="641" spans="1:21" x14ac:dyDescent="0.25">
      <c r="A641" t="s">
        <v>2297</v>
      </c>
      <c r="B641" t="s">
        <v>2298</v>
      </c>
      <c r="C641" t="s">
        <v>14</v>
      </c>
      <c r="D641">
        <v>2626.45</v>
      </c>
      <c r="E641">
        <v>2628.2</v>
      </c>
      <c r="F641">
        <v>2590.8000000000002</v>
      </c>
      <c r="G641" s="3">
        <v>2601.75</v>
      </c>
      <c r="H641">
        <v>2609.9499999999998</v>
      </c>
      <c r="I641">
        <v>2621.5</v>
      </c>
      <c r="J641">
        <v>84558</v>
      </c>
      <c r="K641">
        <v>220465898.40000001</v>
      </c>
      <c r="L641" s="1">
        <v>45240</v>
      </c>
      <c r="M641">
        <v>10168</v>
      </c>
      <c r="N641" t="s">
        <v>2299</v>
      </c>
      <c r="O641" s="5">
        <v>45240</v>
      </c>
      <c r="P641" s="5">
        <v>43777</v>
      </c>
      <c r="Q641" s="3">
        <v>1750.5</v>
      </c>
      <c r="S641">
        <f t="shared" si="27"/>
        <v>1464</v>
      </c>
      <c r="T641">
        <f t="shared" si="28"/>
        <v>16.043835616438358</v>
      </c>
      <c r="U641" s="6">
        <f t="shared" si="29"/>
        <v>0.10003031261472906</v>
      </c>
    </row>
    <row r="642" spans="1:21" x14ac:dyDescent="0.25">
      <c r="A642" t="s">
        <v>2300</v>
      </c>
      <c r="B642" t="s">
        <v>2301</v>
      </c>
      <c r="C642" t="s">
        <v>14</v>
      </c>
      <c r="D642">
        <v>417</v>
      </c>
      <c r="E642">
        <v>422.6</v>
      </c>
      <c r="F642">
        <v>414.7</v>
      </c>
      <c r="G642" s="3">
        <v>416.05</v>
      </c>
      <c r="H642">
        <v>417.5</v>
      </c>
      <c r="I642">
        <v>418.8</v>
      </c>
      <c r="J642">
        <v>627616</v>
      </c>
      <c r="K642">
        <v>262376137.15000001</v>
      </c>
      <c r="L642" s="1">
        <v>45240</v>
      </c>
      <c r="M642">
        <v>11580</v>
      </c>
      <c r="N642" t="s">
        <v>2302</v>
      </c>
      <c r="O642" s="5">
        <v>45240</v>
      </c>
      <c r="P642" s="5">
        <v>43777</v>
      </c>
      <c r="Q642" s="3">
        <v>123.5</v>
      </c>
      <c r="S642">
        <f t="shared" si="27"/>
        <v>1464</v>
      </c>
      <c r="T642">
        <f t="shared" si="28"/>
        <v>16.043835616438358</v>
      </c>
      <c r="U642" s="6">
        <f t="shared" si="29"/>
        <v>0.31456808822057791</v>
      </c>
    </row>
    <row r="643" spans="1:21" x14ac:dyDescent="0.25">
      <c r="A643" t="s">
        <v>2303</v>
      </c>
      <c r="B643" t="s">
        <v>2304</v>
      </c>
      <c r="C643" t="s">
        <v>14</v>
      </c>
      <c r="D643">
        <v>239.9</v>
      </c>
      <c r="E643">
        <v>239.9</v>
      </c>
      <c r="F643">
        <v>231.3</v>
      </c>
      <c r="G643" s="3">
        <v>235.1</v>
      </c>
      <c r="H643">
        <v>233.95</v>
      </c>
      <c r="I643">
        <v>237.9</v>
      </c>
      <c r="J643">
        <v>3526</v>
      </c>
      <c r="K643">
        <v>826874.6</v>
      </c>
      <c r="L643" s="1">
        <v>45240</v>
      </c>
      <c r="M643">
        <v>210</v>
      </c>
      <c r="N643" t="s">
        <v>2305</v>
      </c>
      <c r="O643" s="5">
        <v>45240</v>
      </c>
      <c r="P643" s="5">
        <v>43777</v>
      </c>
      <c r="Q643" s="3">
        <v>101.4</v>
      </c>
      <c r="S643">
        <f t="shared" ref="S643:S706" si="30">O643-P643+1</f>
        <v>1464</v>
      </c>
      <c r="T643">
        <f t="shared" ref="T643:T706" si="31">(S643/365)*4</f>
        <v>16.043835616438358</v>
      </c>
      <c r="U643" s="6">
        <f t="shared" ref="U643:U706" si="32">(((G643/Q643)^(1/T643))-1)*4</f>
        <v>0.2152519946182343</v>
      </c>
    </row>
    <row r="644" spans="1:21" x14ac:dyDescent="0.25">
      <c r="A644" t="s">
        <v>2306</v>
      </c>
      <c r="B644" t="s">
        <v>2307</v>
      </c>
      <c r="C644" t="s">
        <v>14</v>
      </c>
      <c r="D644">
        <v>233.9</v>
      </c>
      <c r="E644">
        <v>236.7</v>
      </c>
      <c r="F644">
        <v>231.5</v>
      </c>
      <c r="G644" s="3">
        <v>232.35</v>
      </c>
      <c r="H644">
        <v>231.75</v>
      </c>
      <c r="I644">
        <v>229.6</v>
      </c>
      <c r="J644">
        <v>19054</v>
      </c>
      <c r="K644">
        <v>4441591.8</v>
      </c>
      <c r="L644" s="1">
        <v>45240</v>
      </c>
      <c r="M644">
        <v>795</v>
      </c>
      <c r="N644" t="s">
        <v>2308</v>
      </c>
      <c r="O644" s="5">
        <v>45240</v>
      </c>
      <c r="P644" s="5">
        <v>43777</v>
      </c>
      <c r="Q644" s="3">
        <v>250.05</v>
      </c>
      <c r="S644">
        <f t="shared" si="30"/>
        <v>1464</v>
      </c>
      <c r="T644">
        <f t="shared" si="31"/>
        <v>16.043835616438358</v>
      </c>
      <c r="U644" s="6">
        <f t="shared" si="32"/>
        <v>-1.8262047894261002E-2</v>
      </c>
    </row>
    <row r="645" spans="1:21" x14ac:dyDescent="0.25">
      <c r="A645" t="s">
        <v>2309</v>
      </c>
      <c r="B645" t="s">
        <v>2310</v>
      </c>
      <c r="C645" t="s">
        <v>14</v>
      </c>
      <c r="D645">
        <v>2572</v>
      </c>
      <c r="E645">
        <v>2573.75</v>
      </c>
      <c r="F645">
        <v>2493</v>
      </c>
      <c r="G645" s="3">
        <v>2501.75</v>
      </c>
      <c r="H645">
        <v>2504</v>
      </c>
      <c r="I645">
        <v>2580.4</v>
      </c>
      <c r="J645">
        <v>1354595</v>
      </c>
      <c r="K645">
        <v>3404292471.3499999</v>
      </c>
      <c r="L645" s="1">
        <v>45240</v>
      </c>
      <c r="M645">
        <v>42811</v>
      </c>
      <c r="N645" t="s">
        <v>2311</v>
      </c>
      <c r="O645" s="5">
        <v>45240</v>
      </c>
      <c r="P645" s="5">
        <v>43777</v>
      </c>
      <c r="Q645" s="3">
        <v>1530</v>
      </c>
      <c r="S645">
        <f t="shared" si="30"/>
        <v>1464</v>
      </c>
      <c r="T645">
        <f t="shared" si="31"/>
        <v>16.043835616438358</v>
      </c>
      <c r="U645" s="6">
        <f t="shared" si="32"/>
        <v>0.12449283874467021</v>
      </c>
    </row>
    <row r="646" spans="1:21" x14ac:dyDescent="0.25">
      <c r="A646" t="s">
        <v>6488</v>
      </c>
      <c r="B646" t="s">
        <v>7798</v>
      </c>
      <c r="C646" t="s">
        <v>6171</v>
      </c>
      <c r="D646">
        <v>134.29</v>
      </c>
      <c r="E646">
        <v>134.29</v>
      </c>
      <c r="F646">
        <v>132.5</v>
      </c>
      <c r="G646" s="3">
        <v>132.6</v>
      </c>
      <c r="H646">
        <v>132.9</v>
      </c>
      <c r="I646">
        <v>132.87</v>
      </c>
      <c r="J646">
        <v>277067</v>
      </c>
      <c r="K646">
        <v>36842476.520000003</v>
      </c>
      <c r="L646" s="1">
        <v>45240</v>
      </c>
      <c r="M646">
        <v>1586</v>
      </c>
      <c r="N646" t="s">
        <v>6490</v>
      </c>
      <c r="O646" s="5">
        <v>45240</v>
      </c>
      <c r="P646" s="5">
        <v>43777</v>
      </c>
      <c r="Q646" s="3">
        <v>94.26</v>
      </c>
      <c r="S646">
        <f t="shared" si="30"/>
        <v>1464</v>
      </c>
      <c r="T646">
        <f t="shared" si="31"/>
        <v>16.043835616438358</v>
      </c>
      <c r="U646" s="6">
        <f t="shared" si="32"/>
        <v>8.5998348338061525E-2</v>
      </c>
    </row>
    <row r="647" spans="1:21" x14ac:dyDescent="0.25">
      <c r="A647" t="s">
        <v>6488</v>
      </c>
      <c r="B647" t="s">
        <v>7798</v>
      </c>
      <c r="C647" t="s">
        <v>5872</v>
      </c>
      <c r="D647">
        <v>1004</v>
      </c>
      <c r="E647">
        <v>1004</v>
      </c>
      <c r="F647">
        <v>1004</v>
      </c>
      <c r="G647" s="3">
        <v>1004</v>
      </c>
      <c r="H647">
        <v>1004</v>
      </c>
      <c r="I647">
        <v>1004</v>
      </c>
      <c r="J647">
        <v>20</v>
      </c>
      <c r="K647">
        <v>20080</v>
      </c>
      <c r="L647" s="1">
        <v>45240</v>
      </c>
      <c r="M647">
        <v>1</v>
      </c>
      <c r="N647" t="s">
        <v>6489</v>
      </c>
      <c r="O647" s="5">
        <v>45240</v>
      </c>
      <c r="P647" s="5">
        <v>43777</v>
      </c>
      <c r="Q647" s="3">
        <v>94.26</v>
      </c>
      <c r="S647">
        <f t="shared" si="30"/>
        <v>1464</v>
      </c>
      <c r="T647">
        <f t="shared" si="31"/>
        <v>16.043835616438358</v>
      </c>
      <c r="U647" s="6">
        <f t="shared" si="32"/>
        <v>0.63550910665767102</v>
      </c>
    </row>
    <row r="648" spans="1:21" x14ac:dyDescent="0.25">
      <c r="A648" t="s">
        <v>6488</v>
      </c>
      <c r="B648" t="s">
        <v>7798</v>
      </c>
      <c r="C648" t="s">
        <v>5868</v>
      </c>
      <c r="D648">
        <v>991.99</v>
      </c>
      <c r="E648">
        <v>991.99</v>
      </c>
      <c r="F648">
        <v>991.99</v>
      </c>
      <c r="G648" s="3">
        <v>991.99</v>
      </c>
      <c r="H648">
        <v>991.99</v>
      </c>
      <c r="I648">
        <v>988</v>
      </c>
      <c r="J648">
        <v>30</v>
      </c>
      <c r="K648">
        <v>29759.7</v>
      </c>
      <c r="L648" s="1">
        <v>45240</v>
      </c>
      <c r="M648">
        <v>3</v>
      </c>
      <c r="N648" t="s">
        <v>6487</v>
      </c>
      <c r="O648" s="5">
        <v>45240</v>
      </c>
      <c r="P648" s="5">
        <v>43777</v>
      </c>
      <c r="Q648" s="3">
        <v>94.26</v>
      </c>
      <c r="S648">
        <f t="shared" si="30"/>
        <v>1464</v>
      </c>
      <c r="T648">
        <f t="shared" si="31"/>
        <v>16.043835616438358</v>
      </c>
      <c r="U648" s="6">
        <f t="shared" si="32"/>
        <v>0.63203337492362799</v>
      </c>
    </row>
    <row r="649" spans="1:21" x14ac:dyDescent="0.25">
      <c r="A649" t="s">
        <v>2315</v>
      </c>
      <c r="B649" t="s">
        <v>2316</v>
      </c>
      <c r="C649" t="s">
        <v>786</v>
      </c>
      <c r="D649">
        <v>4.75</v>
      </c>
      <c r="E649">
        <v>4.75</v>
      </c>
      <c r="F649">
        <v>4.75</v>
      </c>
      <c r="G649" s="3">
        <v>4.75</v>
      </c>
      <c r="H649">
        <v>4.75</v>
      </c>
      <c r="I649">
        <v>4.75</v>
      </c>
      <c r="J649">
        <v>4240</v>
      </c>
      <c r="K649">
        <v>20140</v>
      </c>
      <c r="L649" s="1">
        <v>45240</v>
      </c>
      <c r="M649">
        <v>5</v>
      </c>
      <c r="N649" t="s">
        <v>2317</v>
      </c>
      <c r="O649" s="5">
        <v>45240</v>
      </c>
      <c r="P649" s="5">
        <v>43777</v>
      </c>
      <c r="Q649" s="3">
        <v>22.35</v>
      </c>
      <c r="S649">
        <f t="shared" si="30"/>
        <v>1464</v>
      </c>
      <c r="T649">
        <f t="shared" si="31"/>
        <v>16.043835616438358</v>
      </c>
      <c r="U649" s="6">
        <f t="shared" si="32"/>
        <v>-0.36806263469512146</v>
      </c>
    </row>
    <row r="650" spans="1:21" x14ac:dyDescent="0.25">
      <c r="A650" t="s">
        <v>2318</v>
      </c>
      <c r="B650" t="s">
        <v>2319</v>
      </c>
      <c r="C650" t="s">
        <v>14</v>
      </c>
      <c r="D650">
        <v>510.4</v>
      </c>
      <c r="E650">
        <v>511</v>
      </c>
      <c r="F650">
        <v>489</v>
      </c>
      <c r="G650" s="3">
        <v>493.05</v>
      </c>
      <c r="H650">
        <v>493.8</v>
      </c>
      <c r="I650">
        <v>504.7</v>
      </c>
      <c r="J650">
        <v>52253</v>
      </c>
      <c r="K650">
        <v>26037731.100000001</v>
      </c>
      <c r="L650" s="1">
        <v>45240</v>
      </c>
      <c r="M650">
        <v>3406</v>
      </c>
      <c r="N650" t="s">
        <v>2320</v>
      </c>
      <c r="O650" s="5">
        <v>45240</v>
      </c>
      <c r="P650" s="5">
        <v>43777</v>
      </c>
      <c r="Q650" s="3">
        <v>337.9</v>
      </c>
      <c r="S650">
        <f t="shared" si="30"/>
        <v>1464</v>
      </c>
      <c r="T650">
        <f t="shared" si="31"/>
        <v>16.043835616438358</v>
      </c>
      <c r="U650" s="6">
        <f t="shared" si="32"/>
        <v>9.5325178969907221E-2</v>
      </c>
    </row>
    <row r="651" spans="1:21" x14ac:dyDescent="0.25">
      <c r="A651" t="s">
        <v>2327</v>
      </c>
      <c r="B651" t="s">
        <v>2328</v>
      </c>
      <c r="C651" t="s">
        <v>14</v>
      </c>
      <c r="D651">
        <v>328.3</v>
      </c>
      <c r="E651">
        <v>336</v>
      </c>
      <c r="F651">
        <v>325.45</v>
      </c>
      <c r="G651" s="3">
        <v>332</v>
      </c>
      <c r="H651">
        <v>330.25</v>
      </c>
      <c r="I651">
        <v>327.95</v>
      </c>
      <c r="J651">
        <v>83003</v>
      </c>
      <c r="K651">
        <v>27391293.850000001</v>
      </c>
      <c r="L651" s="1">
        <v>45240</v>
      </c>
      <c r="M651">
        <v>3570</v>
      </c>
      <c r="N651" t="s">
        <v>2329</v>
      </c>
      <c r="O651" s="5">
        <v>45240</v>
      </c>
      <c r="P651" s="5">
        <v>43777</v>
      </c>
      <c r="Q651" s="3">
        <v>149.69999999999999</v>
      </c>
      <c r="S651">
        <f t="shared" si="30"/>
        <v>1464</v>
      </c>
      <c r="T651">
        <f t="shared" si="31"/>
        <v>16.043835616438358</v>
      </c>
      <c r="U651" s="6">
        <f t="shared" si="32"/>
        <v>0.20359327560334606</v>
      </c>
    </row>
    <row r="652" spans="1:21" x14ac:dyDescent="0.25">
      <c r="A652" t="s">
        <v>2330</v>
      </c>
      <c r="B652" t="s">
        <v>2331</v>
      </c>
      <c r="C652" t="s">
        <v>14</v>
      </c>
      <c r="D652">
        <v>51.8</v>
      </c>
      <c r="E652">
        <v>52.4</v>
      </c>
      <c r="F652">
        <v>50.9</v>
      </c>
      <c r="G652" s="3">
        <v>51.4</v>
      </c>
      <c r="H652">
        <v>51.4</v>
      </c>
      <c r="I652">
        <v>51.25</v>
      </c>
      <c r="J652">
        <v>207140</v>
      </c>
      <c r="K652">
        <v>10687182.050000001</v>
      </c>
      <c r="L652" s="1">
        <v>45240</v>
      </c>
      <c r="M652">
        <v>1341</v>
      </c>
      <c r="N652" t="s">
        <v>2332</v>
      </c>
      <c r="O652" s="5">
        <v>45240</v>
      </c>
      <c r="P652" s="5">
        <v>43777</v>
      </c>
      <c r="Q652" s="3">
        <v>26.6</v>
      </c>
      <c r="S652">
        <f t="shared" si="30"/>
        <v>1464</v>
      </c>
      <c r="T652">
        <f t="shared" si="31"/>
        <v>16.043835616438358</v>
      </c>
      <c r="U652" s="6">
        <f t="shared" si="32"/>
        <v>0.16764991910050231</v>
      </c>
    </row>
    <row r="653" spans="1:21" x14ac:dyDescent="0.25">
      <c r="A653" t="s">
        <v>2333</v>
      </c>
      <c r="B653" t="s">
        <v>2334</v>
      </c>
      <c r="C653" t="s">
        <v>10</v>
      </c>
      <c r="D653">
        <v>177.55</v>
      </c>
      <c r="E653">
        <v>177.55</v>
      </c>
      <c r="F653">
        <v>172</v>
      </c>
      <c r="G653" s="3">
        <v>172.75</v>
      </c>
      <c r="H653">
        <v>172.9</v>
      </c>
      <c r="I653">
        <v>176.25</v>
      </c>
      <c r="J653">
        <v>23090</v>
      </c>
      <c r="K653">
        <v>3993150.7</v>
      </c>
      <c r="L653" s="1">
        <v>45240</v>
      </c>
      <c r="M653">
        <v>155</v>
      </c>
      <c r="N653" t="s">
        <v>2335</v>
      </c>
      <c r="O653" s="5">
        <v>45240</v>
      </c>
      <c r="P653" s="5">
        <v>43777</v>
      </c>
      <c r="Q653" s="3">
        <v>195.25</v>
      </c>
      <c r="S653">
        <f t="shared" si="30"/>
        <v>1464</v>
      </c>
      <c r="T653">
        <f t="shared" si="31"/>
        <v>16.043835616438358</v>
      </c>
      <c r="U653" s="6">
        <f t="shared" si="32"/>
        <v>-3.04090230620635E-2</v>
      </c>
    </row>
    <row r="654" spans="1:21" x14ac:dyDescent="0.25">
      <c r="A654" t="s">
        <v>2336</v>
      </c>
      <c r="B654" t="s">
        <v>2337</v>
      </c>
      <c r="C654" t="s">
        <v>10</v>
      </c>
      <c r="D654">
        <v>568.5</v>
      </c>
      <c r="E654">
        <v>568.5</v>
      </c>
      <c r="F654">
        <v>568.5</v>
      </c>
      <c r="G654" s="3">
        <v>568.5</v>
      </c>
      <c r="H654">
        <v>568.5</v>
      </c>
      <c r="I654">
        <v>557.4</v>
      </c>
      <c r="J654">
        <v>11384</v>
      </c>
      <c r="K654">
        <v>6471804</v>
      </c>
      <c r="L654" s="1">
        <v>45240</v>
      </c>
      <c r="M654">
        <v>68</v>
      </c>
      <c r="N654" t="s">
        <v>2338</v>
      </c>
      <c r="O654" s="5">
        <v>45240</v>
      </c>
      <c r="P654" s="5">
        <v>43777</v>
      </c>
      <c r="Q654" s="3">
        <v>91.75</v>
      </c>
      <c r="S654">
        <f t="shared" si="30"/>
        <v>1464</v>
      </c>
      <c r="T654">
        <f t="shared" si="31"/>
        <v>16.043835616438358</v>
      </c>
      <c r="U654" s="6">
        <f t="shared" si="32"/>
        <v>0.48159388543238979</v>
      </c>
    </row>
    <row r="655" spans="1:21" x14ac:dyDescent="0.25">
      <c r="A655" t="s">
        <v>2339</v>
      </c>
      <c r="B655" t="s">
        <v>2340</v>
      </c>
      <c r="C655" t="s">
        <v>14</v>
      </c>
      <c r="D655">
        <v>218.6</v>
      </c>
      <c r="E655">
        <v>233.9</v>
      </c>
      <c r="F655">
        <v>213.95</v>
      </c>
      <c r="G655" s="3">
        <v>226.45</v>
      </c>
      <c r="H655">
        <v>222.6</v>
      </c>
      <c r="I655">
        <v>221</v>
      </c>
      <c r="J655">
        <v>2332</v>
      </c>
      <c r="K655">
        <v>518303.6</v>
      </c>
      <c r="L655" s="1">
        <v>45240</v>
      </c>
      <c r="M655">
        <v>166</v>
      </c>
      <c r="N655" t="s">
        <v>2341</v>
      </c>
      <c r="O655" s="5">
        <v>45240</v>
      </c>
      <c r="P655" s="5">
        <v>43777</v>
      </c>
      <c r="Q655" s="3">
        <v>23.5</v>
      </c>
      <c r="S655">
        <f t="shared" si="30"/>
        <v>1464</v>
      </c>
      <c r="T655">
        <f t="shared" si="31"/>
        <v>16.043835616438358</v>
      </c>
      <c r="U655" s="6">
        <f t="shared" si="32"/>
        <v>0.60665834485458969</v>
      </c>
    </row>
    <row r="656" spans="1:21" x14ac:dyDescent="0.25">
      <c r="A656" t="s">
        <v>2342</v>
      </c>
      <c r="B656" t="s">
        <v>2343</v>
      </c>
      <c r="C656" t="s">
        <v>10</v>
      </c>
      <c r="D656">
        <v>15.85</v>
      </c>
      <c r="E656">
        <v>16.100000000000001</v>
      </c>
      <c r="F656">
        <v>15.85</v>
      </c>
      <c r="G656" s="3">
        <v>15.85</v>
      </c>
      <c r="H656">
        <v>15.85</v>
      </c>
      <c r="I656">
        <v>16.149999999999999</v>
      </c>
      <c r="J656">
        <v>236399</v>
      </c>
      <c r="K656">
        <v>3754742.4</v>
      </c>
      <c r="L656" s="1">
        <v>45240</v>
      </c>
      <c r="M656">
        <v>172</v>
      </c>
      <c r="N656" t="s">
        <v>2344</v>
      </c>
      <c r="O656" s="5">
        <v>45240</v>
      </c>
      <c r="P656" s="5">
        <v>43777</v>
      </c>
      <c r="Q656" s="3">
        <v>3.2</v>
      </c>
      <c r="S656">
        <f t="shared" si="30"/>
        <v>1464</v>
      </c>
      <c r="T656">
        <f t="shared" si="31"/>
        <v>16.043835616438358</v>
      </c>
      <c r="U656" s="6">
        <f t="shared" si="32"/>
        <v>0.41948114876448361</v>
      </c>
    </row>
    <row r="657" spans="1:21" x14ac:dyDescent="0.25">
      <c r="A657" t="s">
        <v>2345</v>
      </c>
      <c r="B657" t="s">
        <v>2346</v>
      </c>
      <c r="C657" t="s">
        <v>10</v>
      </c>
      <c r="D657">
        <v>192.25</v>
      </c>
      <c r="E657">
        <v>195.5</v>
      </c>
      <c r="F657">
        <v>188</v>
      </c>
      <c r="G657" s="3">
        <v>193.85</v>
      </c>
      <c r="H657">
        <v>192.5</v>
      </c>
      <c r="I657">
        <v>192.25</v>
      </c>
      <c r="J657">
        <v>97518</v>
      </c>
      <c r="K657">
        <v>18697455.5</v>
      </c>
      <c r="L657" s="1">
        <v>45240</v>
      </c>
      <c r="M657">
        <v>939</v>
      </c>
      <c r="N657" t="s">
        <v>2347</v>
      </c>
      <c r="O657" s="5">
        <v>45240</v>
      </c>
      <c r="P657" s="5">
        <v>43777</v>
      </c>
      <c r="Q657" s="3">
        <v>40.549999999999997</v>
      </c>
      <c r="S657">
        <f t="shared" si="30"/>
        <v>1464</v>
      </c>
      <c r="T657">
        <f t="shared" si="31"/>
        <v>16.043835616438358</v>
      </c>
      <c r="U657" s="6">
        <f t="shared" si="32"/>
        <v>0.40972132613400092</v>
      </c>
    </row>
    <row r="658" spans="1:21" x14ac:dyDescent="0.25">
      <c r="A658" t="s">
        <v>2348</v>
      </c>
      <c r="B658" t="s">
        <v>2349</v>
      </c>
      <c r="C658" t="s">
        <v>14</v>
      </c>
      <c r="D658">
        <v>94.1</v>
      </c>
      <c r="E658">
        <v>96</v>
      </c>
      <c r="F658">
        <v>93.7</v>
      </c>
      <c r="G658" s="3">
        <v>94.05</v>
      </c>
      <c r="H658">
        <v>94.3</v>
      </c>
      <c r="I658">
        <v>94.65</v>
      </c>
      <c r="J658">
        <v>113959</v>
      </c>
      <c r="K658">
        <v>10783194.949999999</v>
      </c>
      <c r="L658" s="1">
        <v>45240</v>
      </c>
      <c r="M658">
        <v>1683</v>
      </c>
      <c r="N658" t="s">
        <v>2350</v>
      </c>
      <c r="O658" s="5">
        <v>45240</v>
      </c>
      <c r="P658" s="5">
        <v>43777</v>
      </c>
      <c r="Q658" s="3">
        <v>29.65</v>
      </c>
      <c r="S658">
        <f t="shared" si="30"/>
        <v>1464</v>
      </c>
      <c r="T658">
        <f t="shared" si="31"/>
        <v>16.043835616438358</v>
      </c>
      <c r="U658" s="6">
        <f t="shared" si="32"/>
        <v>0.29840925234988003</v>
      </c>
    </row>
    <row r="659" spans="1:21" x14ac:dyDescent="0.25">
      <c r="A659" t="s">
        <v>2351</v>
      </c>
      <c r="B659" t="s">
        <v>2352</v>
      </c>
      <c r="C659" t="s">
        <v>10</v>
      </c>
      <c r="D659">
        <v>16.2</v>
      </c>
      <c r="E659">
        <v>16.7</v>
      </c>
      <c r="F659">
        <v>15.55</v>
      </c>
      <c r="G659" s="3">
        <v>16.3</v>
      </c>
      <c r="H659">
        <v>16.3</v>
      </c>
      <c r="I659">
        <v>16.3</v>
      </c>
      <c r="J659">
        <v>37818</v>
      </c>
      <c r="K659">
        <v>602139.94999999995</v>
      </c>
      <c r="L659" s="1">
        <v>45240</v>
      </c>
      <c r="M659">
        <v>106</v>
      </c>
      <c r="N659" t="s">
        <v>2353</v>
      </c>
      <c r="O659" s="5">
        <v>45240</v>
      </c>
      <c r="P659" s="5">
        <v>43777</v>
      </c>
      <c r="Q659" s="3">
        <v>3.85</v>
      </c>
      <c r="S659">
        <f t="shared" si="30"/>
        <v>1464</v>
      </c>
      <c r="T659">
        <f t="shared" si="31"/>
        <v>16.043835616438358</v>
      </c>
      <c r="U659" s="6">
        <f t="shared" si="32"/>
        <v>0.37646437876637417</v>
      </c>
    </row>
    <row r="660" spans="1:21" x14ac:dyDescent="0.25">
      <c r="A660" t="s">
        <v>2354</v>
      </c>
      <c r="B660" t="s">
        <v>2355</v>
      </c>
      <c r="C660" t="s">
        <v>14</v>
      </c>
      <c r="D660">
        <v>55.9</v>
      </c>
      <c r="E660">
        <v>59</v>
      </c>
      <c r="F660">
        <v>55.25</v>
      </c>
      <c r="G660" s="3">
        <v>58.2</v>
      </c>
      <c r="H660">
        <v>57.55</v>
      </c>
      <c r="I660">
        <v>55.5</v>
      </c>
      <c r="J660">
        <v>247413</v>
      </c>
      <c r="K660">
        <v>14211083.5</v>
      </c>
      <c r="L660" s="1">
        <v>45240</v>
      </c>
      <c r="M660">
        <v>1750</v>
      </c>
      <c r="N660" t="s">
        <v>2356</v>
      </c>
      <c r="O660" s="5">
        <v>45240</v>
      </c>
      <c r="P660" s="5">
        <v>43777</v>
      </c>
      <c r="Q660" s="3">
        <v>74.650000000000006</v>
      </c>
      <c r="S660">
        <f t="shared" si="30"/>
        <v>1464</v>
      </c>
      <c r="T660">
        <f t="shared" si="31"/>
        <v>16.043835616438358</v>
      </c>
      <c r="U660" s="6">
        <f t="shared" si="32"/>
        <v>-6.1582291758354391E-2</v>
      </c>
    </row>
    <row r="661" spans="1:21" x14ac:dyDescent="0.25">
      <c r="A661" t="s">
        <v>2357</v>
      </c>
      <c r="B661" t="s">
        <v>2358</v>
      </c>
      <c r="C661" t="s">
        <v>14</v>
      </c>
      <c r="D661">
        <v>1499.95</v>
      </c>
      <c r="E661">
        <v>1509.45</v>
      </c>
      <c r="F661">
        <v>1493.15</v>
      </c>
      <c r="G661" s="3">
        <v>1498.8</v>
      </c>
      <c r="H661">
        <v>1499.85</v>
      </c>
      <c r="I661">
        <v>1507.35</v>
      </c>
      <c r="J661">
        <v>2247500</v>
      </c>
      <c r="K661">
        <v>3374228359.75</v>
      </c>
      <c r="L661" s="1">
        <v>45240</v>
      </c>
      <c r="M661">
        <v>81391</v>
      </c>
      <c r="N661" t="s">
        <v>2359</v>
      </c>
      <c r="O661" s="5">
        <v>45240</v>
      </c>
      <c r="P661" s="5">
        <v>43777</v>
      </c>
      <c r="Q661" s="3">
        <v>1422.8</v>
      </c>
      <c r="S661">
        <f t="shared" si="30"/>
        <v>1464</v>
      </c>
      <c r="T661">
        <f t="shared" si="31"/>
        <v>16.043835616438358</v>
      </c>
      <c r="U661" s="6">
        <f t="shared" si="32"/>
        <v>1.2995024837623603E-2</v>
      </c>
    </row>
    <row r="662" spans="1:21" x14ac:dyDescent="0.25">
      <c r="A662" t="s">
        <v>2363</v>
      </c>
      <c r="B662" t="s">
        <v>2364</v>
      </c>
      <c r="C662" t="s">
        <v>14</v>
      </c>
      <c r="D662">
        <v>19.95</v>
      </c>
      <c r="E662">
        <v>20.149999999999999</v>
      </c>
      <c r="F662">
        <v>19.75</v>
      </c>
      <c r="G662" s="3">
        <v>20</v>
      </c>
      <c r="H662">
        <v>20.100000000000001</v>
      </c>
      <c r="I662">
        <v>20.05</v>
      </c>
      <c r="J662">
        <v>15837013</v>
      </c>
      <c r="K662">
        <v>316110875.69999999</v>
      </c>
      <c r="L662" s="1">
        <v>45240</v>
      </c>
      <c r="M662">
        <v>12521</v>
      </c>
      <c r="N662" t="s">
        <v>2365</v>
      </c>
      <c r="O662" s="5">
        <v>45240</v>
      </c>
      <c r="P662" s="5">
        <v>43777</v>
      </c>
      <c r="Q662" s="3">
        <v>46.6</v>
      </c>
      <c r="S662">
        <f t="shared" si="30"/>
        <v>1464</v>
      </c>
      <c r="T662">
        <f t="shared" si="31"/>
        <v>16.043835616438358</v>
      </c>
      <c r="U662" s="6">
        <f t="shared" si="32"/>
        <v>-0.20542642676894696</v>
      </c>
    </row>
    <row r="663" spans="1:21" x14ac:dyDescent="0.25">
      <c r="A663" t="s">
        <v>2366</v>
      </c>
      <c r="B663" t="s">
        <v>2367</v>
      </c>
      <c r="C663" t="s">
        <v>14</v>
      </c>
      <c r="D663">
        <v>405.1</v>
      </c>
      <c r="E663">
        <v>416.5</v>
      </c>
      <c r="F663">
        <v>404</v>
      </c>
      <c r="G663" s="3">
        <v>406.55</v>
      </c>
      <c r="H663">
        <v>406.05</v>
      </c>
      <c r="I663">
        <v>407.15</v>
      </c>
      <c r="J663">
        <v>14986</v>
      </c>
      <c r="K663">
        <v>6100189.5999999996</v>
      </c>
      <c r="L663" s="1">
        <v>45240</v>
      </c>
      <c r="M663">
        <v>1690</v>
      </c>
      <c r="N663" t="s">
        <v>2368</v>
      </c>
      <c r="O663" s="5">
        <v>45240</v>
      </c>
      <c r="P663" s="5">
        <v>43777</v>
      </c>
      <c r="Q663" s="3">
        <v>67.05</v>
      </c>
      <c r="S663">
        <f t="shared" si="30"/>
        <v>1464</v>
      </c>
      <c r="T663">
        <f t="shared" si="31"/>
        <v>16.043835616438358</v>
      </c>
      <c r="U663" s="6">
        <f t="shared" si="32"/>
        <v>0.47554604843807891</v>
      </c>
    </row>
    <row r="664" spans="1:21" x14ac:dyDescent="0.25">
      <c r="A664" t="s">
        <v>6482</v>
      </c>
      <c r="B664" t="s">
        <v>7798</v>
      </c>
      <c r="C664" t="s">
        <v>14</v>
      </c>
      <c r="D664">
        <v>652.05999999999995</v>
      </c>
      <c r="E664">
        <v>654</v>
      </c>
      <c r="F664">
        <v>650.01</v>
      </c>
      <c r="G664" s="3">
        <v>653.75</v>
      </c>
      <c r="H664">
        <v>654</v>
      </c>
      <c r="I664">
        <v>652.05999999999995</v>
      </c>
      <c r="J664">
        <v>2390</v>
      </c>
      <c r="K664">
        <v>1558534.47</v>
      </c>
      <c r="L664" s="1">
        <v>45240</v>
      </c>
      <c r="M664">
        <v>209</v>
      </c>
      <c r="N664" t="s">
        <v>6481</v>
      </c>
      <c r="O664" s="5">
        <v>45240</v>
      </c>
      <c r="P664" s="5">
        <v>43777</v>
      </c>
      <c r="Q664" s="3">
        <v>334.65</v>
      </c>
      <c r="S664">
        <f t="shared" si="30"/>
        <v>1464</v>
      </c>
      <c r="T664">
        <f t="shared" si="31"/>
        <v>16.043835616438358</v>
      </c>
      <c r="U664" s="6">
        <f t="shared" si="32"/>
        <v>0.17048567529609837</v>
      </c>
    </row>
    <row r="665" spans="1:21" x14ac:dyDescent="0.25">
      <c r="A665" t="s">
        <v>2372</v>
      </c>
      <c r="B665" t="s">
        <v>2373</v>
      </c>
      <c r="C665" t="s">
        <v>14</v>
      </c>
      <c r="D665">
        <v>1369.95</v>
      </c>
      <c r="E665">
        <v>1373.15</v>
      </c>
      <c r="F665">
        <v>1361</v>
      </c>
      <c r="G665" s="3">
        <v>1368.85</v>
      </c>
      <c r="H665">
        <v>1370.4</v>
      </c>
      <c r="I665">
        <v>1374.8</v>
      </c>
      <c r="J665">
        <v>2943649</v>
      </c>
      <c r="K665">
        <v>4021487680.4499998</v>
      </c>
      <c r="L665" s="1">
        <v>45240</v>
      </c>
      <c r="M665">
        <v>126698</v>
      </c>
      <c r="N665" t="s">
        <v>2374</v>
      </c>
      <c r="O665" s="5">
        <v>45240</v>
      </c>
      <c r="P665" s="5">
        <v>43777</v>
      </c>
      <c r="Q665" s="3">
        <v>708.15</v>
      </c>
      <c r="S665">
        <f t="shared" si="30"/>
        <v>1464</v>
      </c>
      <c r="T665">
        <f t="shared" si="31"/>
        <v>16.043835616438358</v>
      </c>
      <c r="U665" s="6">
        <f t="shared" si="32"/>
        <v>0.1677391129171637</v>
      </c>
    </row>
    <row r="666" spans="1:21" x14ac:dyDescent="0.25">
      <c r="A666" t="s">
        <v>2375</v>
      </c>
      <c r="B666" t="s">
        <v>2376</v>
      </c>
      <c r="C666" t="s">
        <v>14</v>
      </c>
      <c r="D666">
        <v>2995</v>
      </c>
      <c r="E666">
        <v>2998</v>
      </c>
      <c r="F666">
        <v>2869.95</v>
      </c>
      <c r="G666" s="3">
        <v>2892.35</v>
      </c>
      <c r="H666">
        <v>2909</v>
      </c>
      <c r="I666">
        <v>2975.95</v>
      </c>
      <c r="J666">
        <v>34566</v>
      </c>
      <c r="K666">
        <v>101286967.15000001</v>
      </c>
      <c r="L666" s="1">
        <v>45240</v>
      </c>
      <c r="M666">
        <v>8026</v>
      </c>
      <c r="N666" t="s">
        <v>2377</v>
      </c>
      <c r="O666" s="5">
        <v>45240</v>
      </c>
      <c r="P666" s="5">
        <v>43777</v>
      </c>
      <c r="Q666" s="3">
        <v>609.6</v>
      </c>
      <c r="S666">
        <f t="shared" si="30"/>
        <v>1464</v>
      </c>
      <c r="T666">
        <f t="shared" si="31"/>
        <v>16.043835616438358</v>
      </c>
      <c r="U666" s="6">
        <f t="shared" si="32"/>
        <v>0.40765290186085501</v>
      </c>
    </row>
    <row r="667" spans="1:21" x14ac:dyDescent="0.25">
      <c r="A667" t="s">
        <v>6480</v>
      </c>
      <c r="B667" t="s">
        <v>7798</v>
      </c>
      <c r="C667" t="s">
        <v>5788</v>
      </c>
      <c r="D667">
        <v>620</v>
      </c>
      <c r="E667">
        <v>620</v>
      </c>
      <c r="F667">
        <v>576</v>
      </c>
      <c r="G667" s="3">
        <v>596.95000000000005</v>
      </c>
      <c r="H667">
        <v>576</v>
      </c>
      <c r="I667">
        <v>605.79999999999995</v>
      </c>
      <c r="J667">
        <v>4400</v>
      </c>
      <c r="K667">
        <v>2632520</v>
      </c>
      <c r="L667" s="1">
        <v>45240</v>
      </c>
      <c r="M667">
        <v>17</v>
      </c>
      <c r="N667" t="s">
        <v>6479</v>
      </c>
      <c r="O667" s="5">
        <v>45240</v>
      </c>
      <c r="P667" s="5">
        <v>43777</v>
      </c>
      <c r="Q667" s="3">
        <v>283</v>
      </c>
      <c r="S667">
        <f t="shared" si="30"/>
        <v>1464</v>
      </c>
      <c r="T667">
        <f t="shared" si="31"/>
        <v>16.043835616438358</v>
      </c>
      <c r="U667" s="6">
        <f t="shared" si="32"/>
        <v>0.19048323643303799</v>
      </c>
    </row>
    <row r="668" spans="1:21" x14ac:dyDescent="0.25">
      <c r="A668" t="s">
        <v>2381</v>
      </c>
      <c r="B668" t="s">
        <v>2382</v>
      </c>
      <c r="C668" t="s">
        <v>14</v>
      </c>
      <c r="D668">
        <v>239</v>
      </c>
      <c r="E668">
        <v>242</v>
      </c>
      <c r="F668">
        <v>233.95</v>
      </c>
      <c r="G668" s="3">
        <v>237.75</v>
      </c>
      <c r="H668">
        <v>237.25</v>
      </c>
      <c r="I668">
        <v>239</v>
      </c>
      <c r="J668">
        <v>1616672</v>
      </c>
      <c r="K668">
        <v>385259284.55000001</v>
      </c>
      <c r="L668" s="1">
        <v>45240</v>
      </c>
      <c r="M668">
        <v>13767</v>
      </c>
      <c r="N668" t="s">
        <v>2383</v>
      </c>
      <c r="O668" s="5">
        <v>45240</v>
      </c>
      <c r="P668" s="5">
        <v>43777</v>
      </c>
      <c r="Q668" s="3">
        <v>33.5</v>
      </c>
      <c r="S668">
        <f t="shared" si="30"/>
        <v>1464</v>
      </c>
      <c r="T668">
        <f t="shared" si="31"/>
        <v>16.043835616438358</v>
      </c>
      <c r="U668" s="6">
        <f t="shared" si="32"/>
        <v>0.51967170108544014</v>
      </c>
    </row>
    <row r="669" spans="1:21" x14ac:dyDescent="0.25">
      <c r="A669" t="s">
        <v>2384</v>
      </c>
      <c r="B669" t="s">
        <v>2385</v>
      </c>
      <c r="C669" t="s">
        <v>14</v>
      </c>
      <c r="D669">
        <v>516.85</v>
      </c>
      <c r="E669">
        <v>517</v>
      </c>
      <c r="F669">
        <v>509.15</v>
      </c>
      <c r="G669" s="3">
        <v>512.25</v>
      </c>
      <c r="H669">
        <v>513</v>
      </c>
      <c r="I669">
        <v>514.25</v>
      </c>
      <c r="J669">
        <v>48947</v>
      </c>
      <c r="K669">
        <v>25170933</v>
      </c>
      <c r="L669" s="1">
        <v>45240</v>
      </c>
      <c r="M669">
        <v>2369</v>
      </c>
      <c r="N669" t="s">
        <v>2386</v>
      </c>
      <c r="O669" s="5">
        <v>45240</v>
      </c>
      <c r="P669" s="5">
        <v>43777</v>
      </c>
      <c r="Q669" s="3">
        <v>550.70000000000005</v>
      </c>
      <c r="S669">
        <f t="shared" si="30"/>
        <v>1464</v>
      </c>
      <c r="T669">
        <f t="shared" si="31"/>
        <v>16.043835616438358</v>
      </c>
      <c r="U669" s="6">
        <f t="shared" si="32"/>
        <v>-1.8004272937369503E-2</v>
      </c>
    </row>
    <row r="670" spans="1:21" x14ac:dyDescent="0.25">
      <c r="A670" t="s">
        <v>2387</v>
      </c>
      <c r="B670" t="s">
        <v>2388</v>
      </c>
      <c r="C670" t="s">
        <v>14</v>
      </c>
      <c r="D670">
        <v>77.05</v>
      </c>
      <c r="E670">
        <v>77.05</v>
      </c>
      <c r="F670">
        <v>73.95</v>
      </c>
      <c r="G670" s="3">
        <v>77.05</v>
      </c>
      <c r="H670">
        <v>77.05</v>
      </c>
      <c r="I670">
        <v>73.400000000000006</v>
      </c>
      <c r="J670">
        <v>211089</v>
      </c>
      <c r="K670">
        <v>16228636.75</v>
      </c>
      <c r="L670" s="1">
        <v>45240</v>
      </c>
      <c r="M670">
        <v>449</v>
      </c>
      <c r="N670" t="s">
        <v>2389</v>
      </c>
      <c r="O670" s="5">
        <v>45240</v>
      </c>
      <c r="P670" s="5">
        <v>43777</v>
      </c>
      <c r="Q670" s="3">
        <v>42.85</v>
      </c>
      <c r="S670">
        <f t="shared" si="30"/>
        <v>1464</v>
      </c>
      <c r="T670">
        <f t="shared" si="31"/>
        <v>16.043835616438358</v>
      </c>
      <c r="U670" s="6">
        <f t="shared" si="32"/>
        <v>0.14899431948148667</v>
      </c>
    </row>
    <row r="671" spans="1:21" x14ac:dyDescent="0.25">
      <c r="A671" t="s">
        <v>2390</v>
      </c>
      <c r="B671" t="s">
        <v>2391</v>
      </c>
      <c r="C671" t="s">
        <v>14</v>
      </c>
      <c r="D671">
        <v>658.2</v>
      </c>
      <c r="E671">
        <v>670</v>
      </c>
      <c r="F671">
        <v>658.2</v>
      </c>
      <c r="G671" s="3">
        <v>661.25</v>
      </c>
      <c r="H671">
        <v>660.6</v>
      </c>
      <c r="I671">
        <v>665.3</v>
      </c>
      <c r="J671">
        <v>114297</v>
      </c>
      <c r="K671">
        <v>75848473.799999997</v>
      </c>
      <c r="L671" s="1">
        <v>45240</v>
      </c>
      <c r="M671">
        <v>6809</v>
      </c>
      <c r="N671" t="s">
        <v>2392</v>
      </c>
      <c r="O671" s="5">
        <v>45240</v>
      </c>
      <c r="P671" s="5">
        <v>43777</v>
      </c>
      <c r="Q671" s="3">
        <v>148.19999999999999</v>
      </c>
      <c r="S671">
        <f t="shared" si="30"/>
        <v>1464</v>
      </c>
      <c r="T671">
        <f t="shared" si="31"/>
        <v>16.043835616438358</v>
      </c>
      <c r="U671" s="6">
        <f t="shared" si="32"/>
        <v>0.39080266414490694</v>
      </c>
    </row>
    <row r="672" spans="1:21" x14ac:dyDescent="0.25">
      <c r="A672" t="s">
        <v>2393</v>
      </c>
      <c r="B672" t="s">
        <v>2394</v>
      </c>
      <c r="C672" t="s">
        <v>14</v>
      </c>
      <c r="D672">
        <v>100.05</v>
      </c>
      <c r="E672">
        <v>102.95</v>
      </c>
      <c r="F672">
        <v>99.75</v>
      </c>
      <c r="G672" s="3">
        <v>100.2</v>
      </c>
      <c r="H672">
        <v>100.15</v>
      </c>
      <c r="I672">
        <v>101.3</v>
      </c>
      <c r="J672">
        <v>238837</v>
      </c>
      <c r="K672">
        <v>24145399.600000001</v>
      </c>
      <c r="L672" s="1">
        <v>45240</v>
      </c>
      <c r="M672">
        <v>2737</v>
      </c>
      <c r="N672" t="s">
        <v>2395</v>
      </c>
      <c r="O672" s="5">
        <v>45240</v>
      </c>
      <c r="P672" s="5">
        <v>43777</v>
      </c>
      <c r="Q672" s="3">
        <v>31.1</v>
      </c>
      <c r="S672">
        <f t="shared" si="30"/>
        <v>1464</v>
      </c>
      <c r="T672">
        <f t="shared" si="31"/>
        <v>16.043835616438358</v>
      </c>
      <c r="U672" s="6">
        <f t="shared" si="32"/>
        <v>0.30258969426383686</v>
      </c>
    </row>
    <row r="673" spans="1:21" x14ac:dyDescent="0.25">
      <c r="A673" t="s">
        <v>2399</v>
      </c>
      <c r="B673" t="s">
        <v>2400</v>
      </c>
      <c r="C673" t="s">
        <v>14</v>
      </c>
      <c r="D673">
        <v>2.15</v>
      </c>
      <c r="E673">
        <v>2.2000000000000002</v>
      </c>
      <c r="F673">
        <v>2.1</v>
      </c>
      <c r="G673" s="3">
        <v>2.15</v>
      </c>
      <c r="H673">
        <v>2.2000000000000002</v>
      </c>
      <c r="I673">
        <v>2.2000000000000002</v>
      </c>
      <c r="J673">
        <v>1826743</v>
      </c>
      <c r="K673">
        <v>3941051.85</v>
      </c>
      <c r="L673" s="1">
        <v>45240</v>
      </c>
      <c r="M673">
        <v>1020</v>
      </c>
      <c r="N673" t="s">
        <v>2401</v>
      </c>
      <c r="O673" s="5">
        <v>45240</v>
      </c>
      <c r="P673" s="5">
        <v>43777</v>
      </c>
      <c r="Q673" s="3">
        <v>13.8</v>
      </c>
      <c r="S673">
        <f t="shared" si="30"/>
        <v>1464</v>
      </c>
      <c r="T673">
        <f t="shared" si="31"/>
        <v>16.043835616438358</v>
      </c>
      <c r="U673" s="6">
        <f t="shared" si="32"/>
        <v>-0.43768077406423078</v>
      </c>
    </row>
    <row r="674" spans="1:21" x14ac:dyDescent="0.25">
      <c r="A674" t="s">
        <v>2402</v>
      </c>
      <c r="B674" t="s">
        <v>2403</v>
      </c>
      <c r="C674" t="s">
        <v>14</v>
      </c>
      <c r="D674">
        <v>39.25</v>
      </c>
      <c r="E674">
        <v>39.5</v>
      </c>
      <c r="F674">
        <v>39</v>
      </c>
      <c r="G674" s="3">
        <v>39.35</v>
      </c>
      <c r="H674">
        <v>39.5</v>
      </c>
      <c r="I674">
        <v>39.65</v>
      </c>
      <c r="J674">
        <v>11093277</v>
      </c>
      <c r="K674">
        <v>435413295.94999999</v>
      </c>
      <c r="L674" s="1">
        <v>45240</v>
      </c>
      <c r="M674">
        <v>16066</v>
      </c>
      <c r="N674" t="s">
        <v>2404</v>
      </c>
      <c r="O674" s="5">
        <v>45240</v>
      </c>
      <c r="P674" s="5">
        <v>43777</v>
      </c>
      <c r="Q674" s="3">
        <v>10.199999999999999</v>
      </c>
      <c r="S674">
        <f t="shared" si="30"/>
        <v>1464</v>
      </c>
      <c r="T674">
        <f t="shared" si="31"/>
        <v>16.043835616438358</v>
      </c>
      <c r="U674" s="6">
        <f t="shared" si="32"/>
        <v>0.35117348661410919</v>
      </c>
    </row>
    <row r="675" spans="1:21" x14ac:dyDescent="0.25">
      <c r="A675" t="s">
        <v>2405</v>
      </c>
      <c r="B675" t="s">
        <v>2406</v>
      </c>
      <c r="C675" t="s">
        <v>14</v>
      </c>
      <c r="D675">
        <v>97.85</v>
      </c>
      <c r="E675">
        <v>98.85</v>
      </c>
      <c r="F675">
        <v>97.4</v>
      </c>
      <c r="G675" s="3">
        <v>98.05</v>
      </c>
      <c r="H675">
        <v>98.25</v>
      </c>
      <c r="I675">
        <v>102.95</v>
      </c>
      <c r="J675">
        <v>28403392</v>
      </c>
      <c r="K675">
        <v>2785711488.6999998</v>
      </c>
      <c r="L675" s="1">
        <v>45240</v>
      </c>
      <c r="M675">
        <v>91406</v>
      </c>
      <c r="N675" t="s">
        <v>2407</v>
      </c>
      <c r="O675" s="5">
        <v>45240</v>
      </c>
      <c r="P675" s="5">
        <v>43777</v>
      </c>
      <c r="Q675" s="3">
        <v>134.05000000000001</v>
      </c>
      <c r="S675">
        <f t="shared" si="30"/>
        <v>1464</v>
      </c>
      <c r="T675">
        <f t="shared" si="31"/>
        <v>16.043835616438358</v>
      </c>
      <c r="U675" s="6">
        <f t="shared" si="32"/>
        <v>-7.7215205388663666E-2</v>
      </c>
    </row>
    <row r="676" spans="1:21" x14ac:dyDescent="0.25">
      <c r="A676" t="s">
        <v>2408</v>
      </c>
      <c r="B676" t="s">
        <v>2409</v>
      </c>
      <c r="C676" t="s">
        <v>14</v>
      </c>
      <c r="D676">
        <v>432</v>
      </c>
      <c r="E676">
        <v>435.9</v>
      </c>
      <c r="F676">
        <v>427.05</v>
      </c>
      <c r="G676" s="3">
        <v>429.75</v>
      </c>
      <c r="H676">
        <v>429</v>
      </c>
      <c r="I676">
        <v>428.65</v>
      </c>
      <c r="J676">
        <v>197105</v>
      </c>
      <c r="K676">
        <v>84938950.450000003</v>
      </c>
      <c r="L676" s="1">
        <v>45240</v>
      </c>
      <c r="M676">
        <v>8350</v>
      </c>
      <c r="N676" t="s">
        <v>2410</v>
      </c>
      <c r="O676" s="5">
        <v>45240</v>
      </c>
      <c r="P676" s="5">
        <v>43777</v>
      </c>
      <c r="Q676" s="3">
        <v>200.4</v>
      </c>
      <c r="S676">
        <f t="shared" si="30"/>
        <v>1464</v>
      </c>
      <c r="T676">
        <f t="shared" si="31"/>
        <v>16.043835616438358</v>
      </c>
      <c r="U676" s="6">
        <f t="shared" si="32"/>
        <v>0.19479555643145918</v>
      </c>
    </row>
    <row r="677" spans="1:21" x14ac:dyDescent="0.25">
      <c r="A677" t="s">
        <v>2414</v>
      </c>
      <c r="B677" t="s">
        <v>2415</v>
      </c>
      <c r="C677" t="s">
        <v>14</v>
      </c>
      <c r="D677">
        <v>1045.2</v>
      </c>
      <c r="E677">
        <v>1058</v>
      </c>
      <c r="F677">
        <v>1031</v>
      </c>
      <c r="G677" s="3">
        <v>1050.75</v>
      </c>
      <c r="H677">
        <v>1052.1500000000001</v>
      </c>
      <c r="I677">
        <v>1046.4000000000001</v>
      </c>
      <c r="J677">
        <v>1089417</v>
      </c>
      <c r="K677">
        <v>1142061827.9000001</v>
      </c>
      <c r="L677" s="1">
        <v>45240</v>
      </c>
      <c r="M677">
        <v>47579</v>
      </c>
      <c r="N677" t="s">
        <v>2416</v>
      </c>
      <c r="O677" s="5">
        <v>45240</v>
      </c>
      <c r="P677" s="5">
        <v>43777</v>
      </c>
      <c r="Q677" s="3">
        <v>1069.95</v>
      </c>
      <c r="S677">
        <f t="shared" si="30"/>
        <v>1464</v>
      </c>
      <c r="T677">
        <f t="shared" si="31"/>
        <v>16.043835616438358</v>
      </c>
      <c r="U677" s="6">
        <f t="shared" si="32"/>
        <v>-4.5120155123314909E-3</v>
      </c>
    </row>
    <row r="678" spans="1:21" x14ac:dyDescent="0.25">
      <c r="A678" t="s">
        <v>2420</v>
      </c>
      <c r="B678" t="s">
        <v>2421</v>
      </c>
      <c r="C678" t="s">
        <v>14</v>
      </c>
      <c r="D678">
        <v>35.25</v>
      </c>
      <c r="E678">
        <v>35.299999999999997</v>
      </c>
      <c r="F678">
        <v>34.700000000000003</v>
      </c>
      <c r="G678" s="3">
        <v>34.9</v>
      </c>
      <c r="H678">
        <v>34.9</v>
      </c>
      <c r="I678">
        <v>35.4</v>
      </c>
      <c r="J678">
        <v>13714863</v>
      </c>
      <c r="K678">
        <v>479076500.05000001</v>
      </c>
      <c r="L678" s="1">
        <v>45240</v>
      </c>
      <c r="M678">
        <v>14862</v>
      </c>
      <c r="N678" t="s">
        <v>2422</v>
      </c>
      <c r="O678" s="5">
        <v>45240</v>
      </c>
      <c r="P678" s="5">
        <v>43777</v>
      </c>
      <c r="Q678" s="3">
        <v>71.650000000000006</v>
      </c>
      <c r="S678">
        <f t="shared" si="30"/>
        <v>1464</v>
      </c>
      <c r="T678">
        <f t="shared" si="31"/>
        <v>16.043835616438358</v>
      </c>
      <c r="U678" s="6">
        <f t="shared" si="32"/>
        <v>-0.17537452226270966</v>
      </c>
    </row>
    <row r="679" spans="1:21" x14ac:dyDescent="0.25">
      <c r="A679" t="s">
        <v>6472</v>
      </c>
      <c r="B679" t="s">
        <v>7798</v>
      </c>
      <c r="C679" t="s">
        <v>6171</v>
      </c>
      <c r="D679">
        <v>69.31</v>
      </c>
      <c r="E679">
        <v>70.25</v>
      </c>
      <c r="F679">
        <v>69.31</v>
      </c>
      <c r="G679" s="3">
        <v>70.099999999999994</v>
      </c>
      <c r="H679">
        <v>70.25</v>
      </c>
      <c r="I679">
        <v>69.8</v>
      </c>
      <c r="J679">
        <v>277272</v>
      </c>
      <c r="K679">
        <v>19413666.390000001</v>
      </c>
      <c r="L679" s="1">
        <v>45240</v>
      </c>
      <c r="M679">
        <v>1318</v>
      </c>
      <c r="N679" t="s">
        <v>6471</v>
      </c>
      <c r="O679" s="5">
        <v>45240</v>
      </c>
      <c r="P679" s="5">
        <v>43777</v>
      </c>
      <c r="Q679" s="3">
        <v>51.84</v>
      </c>
      <c r="S679">
        <f t="shared" si="30"/>
        <v>1464</v>
      </c>
      <c r="T679">
        <f t="shared" si="31"/>
        <v>16.043835616438358</v>
      </c>
      <c r="U679" s="6">
        <f t="shared" si="32"/>
        <v>7.5946042076938447E-2</v>
      </c>
    </row>
    <row r="680" spans="1:21" x14ac:dyDescent="0.25">
      <c r="A680" t="s">
        <v>2423</v>
      </c>
      <c r="B680" t="s">
        <v>2424</v>
      </c>
      <c r="C680" t="s">
        <v>14</v>
      </c>
      <c r="D680">
        <v>154.5</v>
      </c>
      <c r="E680">
        <v>156.65</v>
      </c>
      <c r="F680">
        <v>151.69999999999999</v>
      </c>
      <c r="G680" s="3">
        <v>153.5</v>
      </c>
      <c r="H680">
        <v>153.1</v>
      </c>
      <c r="I680">
        <v>153.35</v>
      </c>
      <c r="J680">
        <v>8664493</v>
      </c>
      <c r="K680">
        <v>1332807688.1500001</v>
      </c>
      <c r="L680" s="1">
        <v>45240</v>
      </c>
      <c r="M680">
        <v>38690</v>
      </c>
      <c r="N680" t="s">
        <v>2425</v>
      </c>
      <c r="O680" s="5">
        <v>45240</v>
      </c>
      <c r="P680" s="5">
        <v>43777</v>
      </c>
      <c r="Q680" s="3">
        <v>434.7</v>
      </c>
      <c r="S680">
        <f t="shared" si="30"/>
        <v>1464</v>
      </c>
      <c r="T680">
        <f t="shared" si="31"/>
        <v>16.043835616438358</v>
      </c>
      <c r="U680" s="6">
        <f t="shared" si="32"/>
        <v>-0.25128769101812765</v>
      </c>
    </row>
    <row r="681" spans="1:21" x14ac:dyDescent="0.25">
      <c r="A681" t="s">
        <v>2426</v>
      </c>
      <c r="B681" t="s">
        <v>2427</v>
      </c>
      <c r="C681" t="s">
        <v>14</v>
      </c>
      <c r="D681">
        <v>669.9</v>
      </c>
      <c r="E681">
        <v>676.1</v>
      </c>
      <c r="F681">
        <v>665.8</v>
      </c>
      <c r="G681" s="3">
        <v>672.45</v>
      </c>
      <c r="H681">
        <v>674</v>
      </c>
      <c r="I681">
        <v>670.55</v>
      </c>
      <c r="J681">
        <v>711757</v>
      </c>
      <c r="K681">
        <v>478619207.35000002</v>
      </c>
      <c r="L681" s="1">
        <v>45240</v>
      </c>
      <c r="M681">
        <v>21887</v>
      </c>
      <c r="N681" t="s">
        <v>2428</v>
      </c>
      <c r="O681" s="5">
        <v>45240</v>
      </c>
      <c r="P681" s="5">
        <v>43777</v>
      </c>
      <c r="Q681" s="3">
        <v>876.9</v>
      </c>
      <c r="S681">
        <f t="shared" si="30"/>
        <v>1464</v>
      </c>
      <c r="T681">
        <f t="shared" si="31"/>
        <v>16.043835616438358</v>
      </c>
      <c r="U681" s="6">
        <f t="shared" si="32"/>
        <v>-6.5640422928405773E-2</v>
      </c>
    </row>
    <row r="682" spans="1:21" x14ac:dyDescent="0.25">
      <c r="A682" t="s">
        <v>6470</v>
      </c>
      <c r="B682" t="s">
        <v>7798</v>
      </c>
      <c r="C682" t="s">
        <v>6174</v>
      </c>
      <c r="D682">
        <v>1190.1300000000001</v>
      </c>
      <c r="E682">
        <v>1190.1300000000001</v>
      </c>
      <c r="F682">
        <v>1190.1300000000001</v>
      </c>
      <c r="G682" s="3">
        <v>1190.1300000000001</v>
      </c>
      <c r="H682">
        <v>1190.1300000000001</v>
      </c>
      <c r="I682">
        <v>1200.83</v>
      </c>
      <c r="J682">
        <v>1</v>
      </c>
      <c r="K682">
        <v>1190.1300000000001</v>
      </c>
      <c r="L682" s="1">
        <v>45240</v>
      </c>
      <c r="M682">
        <v>1</v>
      </c>
      <c r="N682" t="s">
        <v>6469</v>
      </c>
      <c r="O682" s="5">
        <v>45240</v>
      </c>
      <c r="P682" s="5">
        <v>43777</v>
      </c>
      <c r="Q682" s="3">
        <v>1300</v>
      </c>
      <c r="S682">
        <f t="shared" si="30"/>
        <v>1464</v>
      </c>
      <c r="T682">
        <f t="shared" si="31"/>
        <v>16.043835616438358</v>
      </c>
      <c r="U682" s="6">
        <f t="shared" si="32"/>
        <v>-2.1954642355305864E-2</v>
      </c>
    </row>
    <row r="683" spans="1:21" x14ac:dyDescent="0.25">
      <c r="A683" t="s">
        <v>2429</v>
      </c>
      <c r="B683" t="s">
        <v>2430</v>
      </c>
      <c r="C683" t="s">
        <v>14</v>
      </c>
      <c r="D683">
        <v>74.400000000000006</v>
      </c>
      <c r="E683">
        <v>74.400000000000006</v>
      </c>
      <c r="F683">
        <v>73.25</v>
      </c>
      <c r="G683" s="3">
        <v>74.099999999999994</v>
      </c>
      <c r="H683">
        <v>74.05</v>
      </c>
      <c r="I683">
        <v>74.599999999999994</v>
      </c>
      <c r="J683">
        <v>20115569</v>
      </c>
      <c r="K683">
        <v>1486413210.2</v>
      </c>
      <c r="L683" s="1">
        <v>45240</v>
      </c>
      <c r="M683">
        <v>54178</v>
      </c>
      <c r="N683" t="s">
        <v>2431</v>
      </c>
      <c r="O683" s="5">
        <v>45240</v>
      </c>
      <c r="P683" s="5">
        <v>43777</v>
      </c>
      <c r="Q683" s="3">
        <v>1057</v>
      </c>
      <c r="S683">
        <f t="shared" si="30"/>
        <v>1464</v>
      </c>
      <c r="T683">
        <f t="shared" si="31"/>
        <v>16.043835616438358</v>
      </c>
      <c r="U683" s="6">
        <f t="shared" si="32"/>
        <v>-0.61065288059303002</v>
      </c>
    </row>
    <row r="684" spans="1:21" x14ac:dyDescent="0.25">
      <c r="A684" t="s">
        <v>2429</v>
      </c>
      <c r="B684" t="s">
        <v>2430</v>
      </c>
      <c r="C684" t="s">
        <v>5843</v>
      </c>
      <c r="D684">
        <v>1100</v>
      </c>
      <c r="E684">
        <v>1133</v>
      </c>
      <c r="F684">
        <v>1100</v>
      </c>
      <c r="G684" s="3">
        <v>1133</v>
      </c>
      <c r="H684">
        <v>1133</v>
      </c>
      <c r="I684">
        <v>1133.0999999999999</v>
      </c>
      <c r="J684">
        <v>60</v>
      </c>
      <c r="K684">
        <v>67551</v>
      </c>
      <c r="L684" s="1">
        <v>45240</v>
      </c>
      <c r="M684">
        <v>2</v>
      </c>
      <c r="N684" t="s">
        <v>6468</v>
      </c>
      <c r="O684" s="5">
        <v>45240</v>
      </c>
      <c r="P684" s="5">
        <v>43777</v>
      </c>
      <c r="Q684" s="3">
        <v>1057</v>
      </c>
      <c r="S684">
        <f t="shared" si="30"/>
        <v>1464</v>
      </c>
      <c r="T684">
        <f t="shared" si="31"/>
        <v>16.043835616438358</v>
      </c>
      <c r="U684" s="6">
        <f t="shared" si="32"/>
        <v>1.7348654553567044E-2</v>
      </c>
    </row>
    <row r="685" spans="1:21" x14ac:dyDescent="0.25">
      <c r="A685" t="s">
        <v>2429</v>
      </c>
      <c r="B685" t="s">
        <v>2430</v>
      </c>
      <c r="C685" t="s">
        <v>6207</v>
      </c>
      <c r="D685">
        <v>1072</v>
      </c>
      <c r="E685">
        <v>1072</v>
      </c>
      <c r="F685">
        <v>1072</v>
      </c>
      <c r="G685" s="3">
        <v>1072</v>
      </c>
      <c r="H685">
        <v>1072</v>
      </c>
      <c r="I685">
        <v>1072</v>
      </c>
      <c r="J685">
        <v>5</v>
      </c>
      <c r="K685">
        <v>5360</v>
      </c>
      <c r="L685" s="1">
        <v>45240</v>
      </c>
      <c r="M685">
        <v>1</v>
      </c>
      <c r="N685" t="s">
        <v>6467</v>
      </c>
      <c r="O685" s="5">
        <v>45240</v>
      </c>
      <c r="P685" s="5">
        <v>43777</v>
      </c>
      <c r="Q685" s="3">
        <v>1057</v>
      </c>
      <c r="S685">
        <f t="shared" si="30"/>
        <v>1464</v>
      </c>
      <c r="T685">
        <f t="shared" si="31"/>
        <v>16.043835616438358</v>
      </c>
      <c r="U685" s="6">
        <f t="shared" si="32"/>
        <v>3.5147569827227443E-3</v>
      </c>
    </row>
    <row r="686" spans="1:21" x14ac:dyDescent="0.25">
      <c r="A686" t="s">
        <v>2429</v>
      </c>
      <c r="B686" t="s">
        <v>2430</v>
      </c>
      <c r="C686" t="s">
        <v>6130</v>
      </c>
      <c r="D686">
        <v>1060</v>
      </c>
      <c r="E686">
        <v>1060</v>
      </c>
      <c r="F686">
        <v>1054</v>
      </c>
      <c r="G686" s="3">
        <v>1054</v>
      </c>
      <c r="H686">
        <v>1054</v>
      </c>
      <c r="I686">
        <v>1058</v>
      </c>
      <c r="J686">
        <v>1350</v>
      </c>
      <c r="K686">
        <v>1427884.25</v>
      </c>
      <c r="L686" s="1">
        <v>45240</v>
      </c>
      <c r="M686">
        <v>9</v>
      </c>
      <c r="N686" t="s">
        <v>6466</v>
      </c>
      <c r="O686" s="5">
        <v>45240</v>
      </c>
      <c r="P686" s="5">
        <v>43777</v>
      </c>
      <c r="Q686" s="3">
        <v>1057</v>
      </c>
      <c r="S686">
        <f t="shared" si="30"/>
        <v>1464</v>
      </c>
      <c r="T686">
        <f t="shared" si="31"/>
        <v>16.043835616438358</v>
      </c>
      <c r="U686" s="6">
        <f t="shared" si="32"/>
        <v>-7.0855999544283677E-4</v>
      </c>
    </row>
    <row r="687" spans="1:21" x14ac:dyDescent="0.25">
      <c r="A687" t="s">
        <v>2429</v>
      </c>
      <c r="B687" t="s">
        <v>2430</v>
      </c>
      <c r="C687" t="s">
        <v>6247</v>
      </c>
      <c r="D687">
        <v>1202.92</v>
      </c>
      <c r="E687">
        <v>1202.92</v>
      </c>
      <c r="F687">
        <v>1187.0999999999999</v>
      </c>
      <c r="G687" s="3">
        <v>1187.1199999999999</v>
      </c>
      <c r="H687">
        <v>1187.0999999999999</v>
      </c>
      <c r="I687">
        <v>1195</v>
      </c>
      <c r="J687">
        <v>161</v>
      </c>
      <c r="K687">
        <v>192721.77</v>
      </c>
      <c r="L687" s="1">
        <v>45240</v>
      </c>
      <c r="M687">
        <v>5</v>
      </c>
      <c r="N687" t="s">
        <v>6465</v>
      </c>
      <c r="O687" s="5">
        <v>45240</v>
      </c>
      <c r="P687" s="5">
        <v>43777</v>
      </c>
      <c r="Q687" s="3">
        <v>1057</v>
      </c>
      <c r="S687">
        <f t="shared" si="30"/>
        <v>1464</v>
      </c>
      <c r="T687">
        <f t="shared" si="31"/>
        <v>16.043835616438358</v>
      </c>
      <c r="U687" s="6">
        <f t="shared" si="32"/>
        <v>2.9049551107769744E-2</v>
      </c>
    </row>
    <row r="688" spans="1:21" x14ac:dyDescent="0.25">
      <c r="A688" t="s">
        <v>2429</v>
      </c>
      <c r="B688" t="s">
        <v>2430</v>
      </c>
      <c r="C688" t="s">
        <v>6240</v>
      </c>
      <c r="D688">
        <v>1209</v>
      </c>
      <c r="E688">
        <v>1211</v>
      </c>
      <c r="F688">
        <v>1209</v>
      </c>
      <c r="G688" s="3">
        <v>1211</v>
      </c>
      <c r="H688">
        <v>1211</v>
      </c>
      <c r="I688">
        <v>1230</v>
      </c>
      <c r="J688">
        <v>164</v>
      </c>
      <c r="K688">
        <v>198476</v>
      </c>
      <c r="L688" s="1">
        <v>45240</v>
      </c>
      <c r="M688">
        <v>4</v>
      </c>
      <c r="N688" t="s">
        <v>6464</v>
      </c>
      <c r="O688" s="5">
        <v>45240</v>
      </c>
      <c r="P688" s="5">
        <v>43777</v>
      </c>
      <c r="Q688" s="3">
        <v>1057</v>
      </c>
      <c r="S688">
        <f t="shared" si="30"/>
        <v>1464</v>
      </c>
      <c r="T688">
        <f t="shared" si="31"/>
        <v>16.043835616438358</v>
      </c>
      <c r="U688" s="6">
        <f t="shared" si="32"/>
        <v>3.4054178563259541E-2</v>
      </c>
    </row>
    <row r="689" spans="1:21" x14ac:dyDescent="0.25">
      <c r="A689" t="s">
        <v>2429</v>
      </c>
      <c r="B689" t="s">
        <v>2430</v>
      </c>
      <c r="C689" t="s">
        <v>5872</v>
      </c>
      <c r="D689">
        <v>1220</v>
      </c>
      <c r="E689">
        <v>1220</v>
      </c>
      <c r="F689">
        <v>1220</v>
      </c>
      <c r="G689" s="3">
        <v>1220</v>
      </c>
      <c r="H689">
        <v>1220</v>
      </c>
      <c r="I689">
        <v>1220</v>
      </c>
      <c r="J689">
        <v>3</v>
      </c>
      <c r="K689">
        <v>3660</v>
      </c>
      <c r="L689" s="1">
        <v>45240</v>
      </c>
      <c r="M689">
        <v>1</v>
      </c>
      <c r="N689" t="s">
        <v>6463</v>
      </c>
      <c r="O689" s="5">
        <v>45240</v>
      </c>
      <c r="P689" s="5">
        <v>43777</v>
      </c>
      <c r="Q689" s="3">
        <v>1057</v>
      </c>
      <c r="S689">
        <f t="shared" si="30"/>
        <v>1464</v>
      </c>
      <c r="T689">
        <f t="shared" si="31"/>
        <v>16.043835616438358</v>
      </c>
      <c r="U689" s="6">
        <f t="shared" si="32"/>
        <v>3.5916365488206203E-2</v>
      </c>
    </row>
    <row r="690" spans="1:21" x14ac:dyDescent="0.25">
      <c r="A690" t="s">
        <v>2429</v>
      </c>
      <c r="B690" t="s">
        <v>2430</v>
      </c>
      <c r="C690" t="s">
        <v>5870</v>
      </c>
      <c r="D690">
        <v>1126</v>
      </c>
      <c r="E690">
        <v>1126</v>
      </c>
      <c r="F690">
        <v>1126</v>
      </c>
      <c r="G690" s="3">
        <v>1126</v>
      </c>
      <c r="H690">
        <v>1126</v>
      </c>
      <c r="I690">
        <v>1119.1400000000001</v>
      </c>
      <c r="J690">
        <v>1</v>
      </c>
      <c r="K690">
        <v>1126</v>
      </c>
      <c r="L690" s="1">
        <v>45240</v>
      </c>
      <c r="M690">
        <v>1</v>
      </c>
      <c r="N690" t="s">
        <v>6462</v>
      </c>
      <c r="O690" s="5">
        <v>45240</v>
      </c>
      <c r="P690" s="5">
        <v>43777</v>
      </c>
      <c r="Q690" s="3">
        <v>1057</v>
      </c>
      <c r="S690">
        <f t="shared" si="30"/>
        <v>1464</v>
      </c>
      <c r="T690">
        <f t="shared" si="31"/>
        <v>16.043835616438358</v>
      </c>
      <c r="U690" s="6">
        <f t="shared" si="32"/>
        <v>1.5797122906963779E-2</v>
      </c>
    </row>
    <row r="691" spans="1:21" x14ac:dyDescent="0.25">
      <c r="A691" t="s">
        <v>2429</v>
      </c>
      <c r="B691" t="s">
        <v>2430</v>
      </c>
      <c r="C691" t="s">
        <v>6461</v>
      </c>
      <c r="D691">
        <v>1185</v>
      </c>
      <c r="E691">
        <v>1185</v>
      </c>
      <c r="F691">
        <v>1185</v>
      </c>
      <c r="G691" s="3">
        <v>1185</v>
      </c>
      <c r="H691">
        <v>1185</v>
      </c>
      <c r="I691">
        <v>1180.1099999999999</v>
      </c>
      <c r="J691">
        <v>10</v>
      </c>
      <c r="K691">
        <v>11850</v>
      </c>
      <c r="L691" s="1">
        <v>45240</v>
      </c>
      <c r="M691">
        <v>1</v>
      </c>
      <c r="N691" t="s">
        <v>6460</v>
      </c>
      <c r="O691" s="5">
        <v>45240</v>
      </c>
      <c r="P691" s="5">
        <v>43777</v>
      </c>
      <c r="Q691" s="3">
        <v>1057</v>
      </c>
      <c r="S691">
        <f t="shared" si="30"/>
        <v>1464</v>
      </c>
      <c r="T691">
        <f t="shared" si="31"/>
        <v>16.043835616438358</v>
      </c>
      <c r="U691" s="6">
        <f t="shared" si="32"/>
        <v>2.8600702864212124E-2</v>
      </c>
    </row>
    <row r="692" spans="1:21" x14ac:dyDescent="0.25">
      <c r="A692" t="s">
        <v>2429</v>
      </c>
      <c r="B692" t="s">
        <v>2430</v>
      </c>
      <c r="C692" t="s">
        <v>6459</v>
      </c>
      <c r="D692">
        <v>1139.99</v>
      </c>
      <c r="E692">
        <v>1144.99</v>
      </c>
      <c r="F692">
        <v>1135.01</v>
      </c>
      <c r="G692" s="3">
        <v>1136.48</v>
      </c>
      <c r="H692">
        <v>1136.2</v>
      </c>
      <c r="I692">
        <v>1139.99</v>
      </c>
      <c r="J692">
        <v>2160</v>
      </c>
      <c r="K692">
        <v>2457424.7799999998</v>
      </c>
      <c r="L692" s="1">
        <v>45240</v>
      </c>
      <c r="M692">
        <v>20</v>
      </c>
      <c r="N692" t="s">
        <v>6458</v>
      </c>
      <c r="O692" s="5">
        <v>45240</v>
      </c>
      <c r="P692" s="5">
        <v>43777</v>
      </c>
      <c r="Q692" s="3">
        <v>1057</v>
      </c>
      <c r="S692">
        <f t="shared" si="30"/>
        <v>1464</v>
      </c>
      <c r="T692">
        <f t="shared" si="31"/>
        <v>16.043835616438358</v>
      </c>
      <c r="U692" s="6">
        <f t="shared" si="32"/>
        <v>1.8116645410254151E-2</v>
      </c>
    </row>
    <row r="693" spans="1:21" x14ac:dyDescent="0.25">
      <c r="A693" t="s">
        <v>2441</v>
      </c>
      <c r="B693" t="s">
        <v>2442</v>
      </c>
      <c r="C693" t="s">
        <v>14</v>
      </c>
      <c r="D693">
        <v>663.35</v>
      </c>
      <c r="E693">
        <v>663.35</v>
      </c>
      <c r="F693">
        <v>650.35</v>
      </c>
      <c r="G693" s="3">
        <v>656.35</v>
      </c>
      <c r="H693">
        <v>655</v>
      </c>
      <c r="I693">
        <v>660</v>
      </c>
      <c r="J693">
        <v>120230</v>
      </c>
      <c r="K693">
        <v>78752223.5</v>
      </c>
      <c r="L693" s="1">
        <v>45240</v>
      </c>
      <c r="M693">
        <v>5889</v>
      </c>
      <c r="N693" t="s">
        <v>2443</v>
      </c>
      <c r="O693" s="5">
        <v>45240</v>
      </c>
      <c r="P693" s="5">
        <v>43777</v>
      </c>
      <c r="Q693" s="3">
        <v>293.35000000000002</v>
      </c>
      <c r="S693">
        <f t="shared" si="30"/>
        <v>1464</v>
      </c>
      <c r="T693">
        <f t="shared" si="31"/>
        <v>16.043835616438358</v>
      </c>
      <c r="U693" s="6">
        <f t="shared" si="32"/>
        <v>0.20590640183986952</v>
      </c>
    </row>
    <row r="694" spans="1:21" x14ac:dyDescent="0.25">
      <c r="A694" t="s">
        <v>2444</v>
      </c>
      <c r="B694" t="s">
        <v>2445</v>
      </c>
      <c r="C694" t="s">
        <v>14</v>
      </c>
      <c r="D694">
        <v>123.15</v>
      </c>
      <c r="E694">
        <v>126.45</v>
      </c>
      <c r="F694">
        <v>123.15</v>
      </c>
      <c r="G694" s="3">
        <v>123.8</v>
      </c>
      <c r="H694">
        <v>123.55</v>
      </c>
      <c r="I694">
        <v>126.55</v>
      </c>
      <c r="J694">
        <v>9822</v>
      </c>
      <c r="K694">
        <v>1224313.3500000001</v>
      </c>
      <c r="L694" s="1">
        <v>45240</v>
      </c>
      <c r="M694">
        <v>318</v>
      </c>
      <c r="N694" t="s">
        <v>2446</v>
      </c>
      <c r="O694" s="5">
        <v>45240</v>
      </c>
      <c r="P694" s="5">
        <v>43777</v>
      </c>
      <c r="Q694" s="3">
        <v>93.85</v>
      </c>
      <c r="S694">
        <f t="shared" si="30"/>
        <v>1464</v>
      </c>
      <c r="T694">
        <f t="shared" si="31"/>
        <v>16.043835616438358</v>
      </c>
      <c r="U694" s="6">
        <f t="shared" si="32"/>
        <v>6.9652700435298698E-2</v>
      </c>
    </row>
    <row r="695" spans="1:21" x14ac:dyDescent="0.25">
      <c r="A695" t="s">
        <v>2450</v>
      </c>
      <c r="B695" t="s">
        <v>2451</v>
      </c>
      <c r="C695" t="s">
        <v>14</v>
      </c>
      <c r="D695">
        <v>86.35</v>
      </c>
      <c r="E695">
        <v>87.2</v>
      </c>
      <c r="F695">
        <v>84.4</v>
      </c>
      <c r="G695" s="3">
        <v>85.45</v>
      </c>
      <c r="H695">
        <v>85.55</v>
      </c>
      <c r="I695">
        <v>86.95</v>
      </c>
      <c r="J695">
        <v>509448</v>
      </c>
      <c r="K695">
        <v>43548281.799999997</v>
      </c>
      <c r="L695" s="1">
        <v>45240</v>
      </c>
      <c r="M695">
        <v>3825</v>
      </c>
      <c r="N695" t="s">
        <v>2452</v>
      </c>
      <c r="O695" s="5">
        <v>45240</v>
      </c>
      <c r="P695" s="5">
        <v>43777</v>
      </c>
      <c r="Q695" s="3">
        <v>4.05</v>
      </c>
      <c r="S695">
        <f t="shared" si="30"/>
        <v>1464</v>
      </c>
      <c r="T695">
        <f t="shared" si="31"/>
        <v>16.043835616438358</v>
      </c>
      <c r="U695" s="6">
        <f t="shared" si="32"/>
        <v>0.83726544300054151</v>
      </c>
    </row>
    <row r="696" spans="1:21" x14ac:dyDescent="0.25">
      <c r="A696" t="s">
        <v>2453</v>
      </c>
      <c r="B696" t="s">
        <v>2454</v>
      </c>
      <c r="C696" t="s">
        <v>14</v>
      </c>
      <c r="D696">
        <v>434.4</v>
      </c>
      <c r="E696">
        <v>438</v>
      </c>
      <c r="F696">
        <v>432.5</v>
      </c>
      <c r="G696" s="3">
        <v>436.55</v>
      </c>
      <c r="H696">
        <v>437.95</v>
      </c>
      <c r="I696">
        <v>434.4</v>
      </c>
      <c r="J696">
        <v>4079205</v>
      </c>
      <c r="K696">
        <v>1775212626.75</v>
      </c>
      <c r="L696" s="1">
        <v>45240</v>
      </c>
      <c r="M696">
        <v>99710</v>
      </c>
      <c r="N696" t="s">
        <v>2455</v>
      </c>
      <c r="O696" s="5">
        <v>45240</v>
      </c>
      <c r="P696" s="5">
        <v>43777</v>
      </c>
      <c r="Q696" s="3">
        <v>260.5</v>
      </c>
      <c r="S696">
        <f t="shared" si="30"/>
        <v>1464</v>
      </c>
      <c r="T696">
        <f t="shared" si="31"/>
        <v>16.043835616438358</v>
      </c>
      <c r="U696" s="6">
        <f t="shared" si="32"/>
        <v>0.13081592737615466</v>
      </c>
    </row>
    <row r="697" spans="1:21" x14ac:dyDescent="0.25">
      <c r="A697" t="s">
        <v>2456</v>
      </c>
      <c r="B697" t="s">
        <v>2457</v>
      </c>
      <c r="C697" t="s">
        <v>14</v>
      </c>
      <c r="D697">
        <v>424.7</v>
      </c>
      <c r="E697">
        <v>424.7</v>
      </c>
      <c r="F697">
        <v>418.05</v>
      </c>
      <c r="G697" s="3">
        <v>421.4</v>
      </c>
      <c r="H697">
        <v>422.1</v>
      </c>
      <c r="I697">
        <v>424.9</v>
      </c>
      <c r="J697">
        <v>38367</v>
      </c>
      <c r="K697">
        <v>16166938.800000001</v>
      </c>
      <c r="L697" s="1">
        <v>45240</v>
      </c>
      <c r="M697">
        <v>2612</v>
      </c>
      <c r="N697" t="s">
        <v>2458</v>
      </c>
      <c r="O697" s="5">
        <v>45240</v>
      </c>
      <c r="P697" s="5">
        <v>43777</v>
      </c>
      <c r="Q697" s="3">
        <v>376.8</v>
      </c>
      <c r="S697">
        <f t="shared" si="30"/>
        <v>1464</v>
      </c>
      <c r="T697">
        <f t="shared" si="31"/>
        <v>16.043835616438358</v>
      </c>
      <c r="U697" s="6">
        <f t="shared" si="32"/>
        <v>2.7988039054222646E-2</v>
      </c>
    </row>
    <row r="698" spans="1:21" x14ac:dyDescent="0.25">
      <c r="A698" t="s">
        <v>2459</v>
      </c>
      <c r="B698" t="s">
        <v>2460</v>
      </c>
      <c r="C698" t="s">
        <v>14</v>
      </c>
      <c r="D698">
        <v>220</v>
      </c>
      <c r="E698">
        <v>232.65</v>
      </c>
      <c r="F698">
        <v>218.3</v>
      </c>
      <c r="G698" s="3">
        <v>229.5</v>
      </c>
      <c r="H698">
        <v>229.5</v>
      </c>
      <c r="I698">
        <v>220.1</v>
      </c>
      <c r="J698">
        <v>3078095</v>
      </c>
      <c r="K698">
        <v>703619721.35000002</v>
      </c>
      <c r="L698" s="1">
        <v>45240</v>
      </c>
      <c r="M698">
        <v>32164</v>
      </c>
      <c r="N698" t="s">
        <v>2461</v>
      </c>
      <c r="O698" s="5">
        <v>45240</v>
      </c>
      <c r="P698" s="5">
        <v>43777</v>
      </c>
      <c r="Q698" s="3">
        <v>58.9</v>
      </c>
      <c r="S698">
        <f t="shared" si="30"/>
        <v>1464</v>
      </c>
      <c r="T698">
        <f t="shared" si="31"/>
        <v>16.043835616438358</v>
      </c>
      <c r="U698" s="6">
        <f t="shared" si="32"/>
        <v>0.35387381625158731</v>
      </c>
    </row>
    <row r="699" spans="1:21" x14ac:dyDescent="0.25">
      <c r="A699" t="s">
        <v>2462</v>
      </c>
      <c r="B699" t="s">
        <v>2463</v>
      </c>
      <c r="C699" t="s">
        <v>14</v>
      </c>
      <c r="D699">
        <v>261.95</v>
      </c>
      <c r="E699">
        <v>266.5</v>
      </c>
      <c r="F699">
        <v>257.05</v>
      </c>
      <c r="G699" s="3">
        <v>258.89999999999998</v>
      </c>
      <c r="H699">
        <v>258.14999999999998</v>
      </c>
      <c r="I699">
        <v>261.7</v>
      </c>
      <c r="J699">
        <v>1050549</v>
      </c>
      <c r="K699">
        <v>274596431.25</v>
      </c>
      <c r="L699" s="1">
        <v>45240</v>
      </c>
      <c r="M699">
        <v>12374</v>
      </c>
      <c r="N699" t="s">
        <v>2464</v>
      </c>
      <c r="O699" s="5">
        <v>45240</v>
      </c>
      <c r="P699" s="5">
        <v>43777</v>
      </c>
      <c r="Q699" s="3">
        <v>85.8</v>
      </c>
      <c r="S699">
        <f t="shared" si="30"/>
        <v>1464</v>
      </c>
      <c r="T699">
        <f t="shared" si="31"/>
        <v>16.043835616438358</v>
      </c>
      <c r="U699" s="6">
        <f t="shared" si="32"/>
        <v>0.28504988747433035</v>
      </c>
    </row>
    <row r="700" spans="1:21" x14ac:dyDescent="0.25">
      <c r="A700" t="s">
        <v>2465</v>
      </c>
      <c r="B700" t="s">
        <v>2466</v>
      </c>
      <c r="C700" t="s">
        <v>14</v>
      </c>
      <c r="D700">
        <v>9.15</v>
      </c>
      <c r="E700">
        <v>9.4</v>
      </c>
      <c r="F700">
        <v>8.6999999999999993</v>
      </c>
      <c r="G700" s="3">
        <v>8.75</v>
      </c>
      <c r="H700">
        <v>8.75</v>
      </c>
      <c r="I700">
        <v>9.3000000000000007</v>
      </c>
      <c r="J700">
        <v>1237319</v>
      </c>
      <c r="K700">
        <v>11080892.050000001</v>
      </c>
      <c r="L700" s="1">
        <v>45240</v>
      </c>
      <c r="M700">
        <v>2045</v>
      </c>
      <c r="N700" t="s">
        <v>2467</v>
      </c>
      <c r="O700" s="5">
        <v>45240</v>
      </c>
      <c r="P700" s="5">
        <v>43777</v>
      </c>
      <c r="Q700" s="3">
        <v>3.85</v>
      </c>
      <c r="S700">
        <f t="shared" si="30"/>
        <v>1464</v>
      </c>
      <c r="T700">
        <f t="shared" si="31"/>
        <v>16.043835616438358</v>
      </c>
      <c r="U700" s="6">
        <f t="shared" si="32"/>
        <v>0.21001180133512598</v>
      </c>
    </row>
    <row r="701" spans="1:21" x14ac:dyDescent="0.25">
      <c r="A701" t="s">
        <v>2468</v>
      </c>
      <c r="B701" t="s">
        <v>2469</v>
      </c>
      <c r="C701" t="s">
        <v>14</v>
      </c>
      <c r="D701">
        <v>182.2</v>
      </c>
      <c r="E701">
        <v>189</v>
      </c>
      <c r="F701">
        <v>180.8</v>
      </c>
      <c r="G701" s="3">
        <v>184.7</v>
      </c>
      <c r="H701">
        <v>182.5</v>
      </c>
      <c r="I701">
        <v>182.35</v>
      </c>
      <c r="J701">
        <v>45349</v>
      </c>
      <c r="K701">
        <v>8416955.5999999996</v>
      </c>
      <c r="L701" s="1">
        <v>45240</v>
      </c>
      <c r="M701">
        <v>985</v>
      </c>
      <c r="N701" t="s">
        <v>2470</v>
      </c>
      <c r="O701" s="5">
        <v>45240</v>
      </c>
      <c r="P701" s="5">
        <v>43777</v>
      </c>
      <c r="Q701" s="3">
        <v>62.1</v>
      </c>
      <c r="S701">
        <f t="shared" si="30"/>
        <v>1464</v>
      </c>
      <c r="T701">
        <f t="shared" si="31"/>
        <v>16.043835616438358</v>
      </c>
      <c r="U701" s="6">
        <f t="shared" si="32"/>
        <v>0.28119600346293705</v>
      </c>
    </row>
    <row r="702" spans="1:21" x14ac:dyDescent="0.25">
      <c r="A702" t="s">
        <v>6451</v>
      </c>
      <c r="B702" t="s">
        <v>7798</v>
      </c>
      <c r="C702" t="s">
        <v>14</v>
      </c>
      <c r="D702">
        <v>5360.05</v>
      </c>
      <c r="E702">
        <v>5368</v>
      </c>
      <c r="F702">
        <v>5360</v>
      </c>
      <c r="G702" s="3">
        <v>5367.95</v>
      </c>
      <c r="H702">
        <v>5368</v>
      </c>
      <c r="I702">
        <v>5325.05</v>
      </c>
      <c r="J702">
        <v>69</v>
      </c>
      <c r="K702">
        <v>370220.65</v>
      </c>
      <c r="L702" s="1">
        <v>45240</v>
      </c>
      <c r="M702">
        <v>36</v>
      </c>
      <c r="N702" t="s">
        <v>6450</v>
      </c>
      <c r="O702" s="5">
        <v>45240</v>
      </c>
      <c r="P702" s="5">
        <v>43777</v>
      </c>
      <c r="Q702" s="3">
        <v>3445.15</v>
      </c>
      <c r="S702">
        <f t="shared" si="30"/>
        <v>1464</v>
      </c>
      <c r="T702">
        <f t="shared" si="31"/>
        <v>16.043835616438358</v>
      </c>
      <c r="U702" s="6">
        <f t="shared" si="32"/>
        <v>0.11210904075972383</v>
      </c>
    </row>
    <row r="703" spans="1:21" x14ac:dyDescent="0.25">
      <c r="A703" t="s">
        <v>6449</v>
      </c>
      <c r="B703" t="s">
        <v>7798</v>
      </c>
      <c r="C703" t="s">
        <v>14</v>
      </c>
      <c r="D703">
        <v>2156.02</v>
      </c>
      <c r="E703">
        <v>2156.02</v>
      </c>
      <c r="F703">
        <v>2156.02</v>
      </c>
      <c r="G703" s="3">
        <v>2156.02</v>
      </c>
      <c r="H703">
        <v>2156.02</v>
      </c>
      <c r="I703">
        <v>2156.02</v>
      </c>
      <c r="J703">
        <v>3</v>
      </c>
      <c r="K703">
        <v>6468.06</v>
      </c>
      <c r="L703" s="1">
        <v>45240</v>
      </c>
      <c r="M703">
        <v>1</v>
      </c>
      <c r="N703" t="s">
        <v>6448</v>
      </c>
      <c r="O703" s="5">
        <v>45240</v>
      </c>
      <c r="P703" s="5">
        <v>43777</v>
      </c>
      <c r="Q703" s="3">
        <v>1290.7</v>
      </c>
      <c r="S703">
        <f t="shared" si="30"/>
        <v>1464</v>
      </c>
      <c r="T703">
        <f t="shared" si="31"/>
        <v>16.043835616438358</v>
      </c>
      <c r="U703" s="6">
        <f t="shared" si="32"/>
        <v>0.12998674094908758</v>
      </c>
    </row>
    <row r="704" spans="1:21" x14ac:dyDescent="0.25">
      <c r="A704" t="s">
        <v>2474</v>
      </c>
      <c r="B704" t="s">
        <v>2475</v>
      </c>
      <c r="C704" t="s">
        <v>10</v>
      </c>
      <c r="D704">
        <v>236</v>
      </c>
      <c r="E704">
        <v>240</v>
      </c>
      <c r="F704">
        <v>225</v>
      </c>
      <c r="G704" s="3">
        <v>235.2</v>
      </c>
      <c r="H704">
        <v>238.7</v>
      </c>
      <c r="I704">
        <v>230.45</v>
      </c>
      <c r="J704">
        <v>97478</v>
      </c>
      <c r="K704">
        <v>22813104.300000001</v>
      </c>
      <c r="L704" s="1">
        <v>45240</v>
      </c>
      <c r="M704">
        <v>589</v>
      </c>
      <c r="N704" t="s">
        <v>2476</v>
      </c>
      <c r="O704" s="5">
        <v>45240</v>
      </c>
      <c r="P704" s="5">
        <v>43777</v>
      </c>
      <c r="Q704" s="3">
        <v>33.1</v>
      </c>
      <c r="S704">
        <f t="shared" si="30"/>
        <v>1464</v>
      </c>
      <c r="T704">
        <f t="shared" si="31"/>
        <v>16.043835616438358</v>
      </c>
      <c r="U704" s="6">
        <f t="shared" si="32"/>
        <v>0.52001784040877208</v>
      </c>
    </row>
    <row r="705" spans="1:21" x14ac:dyDescent="0.25">
      <c r="A705" t="s">
        <v>2477</v>
      </c>
      <c r="B705" t="s">
        <v>2478</v>
      </c>
      <c r="C705" t="s">
        <v>14</v>
      </c>
      <c r="D705">
        <v>107.25</v>
      </c>
      <c r="E705">
        <v>108.8</v>
      </c>
      <c r="F705">
        <v>105.8</v>
      </c>
      <c r="G705" s="3">
        <v>108.45</v>
      </c>
      <c r="H705">
        <v>108.55</v>
      </c>
      <c r="I705">
        <v>107.35</v>
      </c>
      <c r="J705">
        <v>2187692</v>
      </c>
      <c r="K705">
        <v>234548976.30000001</v>
      </c>
      <c r="L705" s="1">
        <v>45240</v>
      </c>
      <c r="M705">
        <v>8481</v>
      </c>
      <c r="N705" t="s">
        <v>2479</v>
      </c>
      <c r="O705" s="5">
        <v>45240</v>
      </c>
      <c r="P705" s="5">
        <v>43777</v>
      </c>
      <c r="Q705" s="3">
        <v>31.3</v>
      </c>
      <c r="S705">
        <f t="shared" si="30"/>
        <v>1464</v>
      </c>
      <c r="T705">
        <f t="shared" si="31"/>
        <v>16.043835616438358</v>
      </c>
      <c r="U705" s="6">
        <f t="shared" si="32"/>
        <v>0.3221333119719576</v>
      </c>
    </row>
    <row r="706" spans="1:21" x14ac:dyDescent="0.25">
      <c r="A706" t="s">
        <v>2480</v>
      </c>
      <c r="B706" t="s">
        <v>2481</v>
      </c>
      <c r="C706" t="s">
        <v>14</v>
      </c>
      <c r="D706">
        <v>98.25</v>
      </c>
      <c r="E706">
        <v>98.25</v>
      </c>
      <c r="F706">
        <v>95.25</v>
      </c>
      <c r="G706" s="3">
        <v>96.8</v>
      </c>
      <c r="H706">
        <v>96.8</v>
      </c>
      <c r="I706">
        <v>97.8</v>
      </c>
      <c r="J706">
        <v>210161</v>
      </c>
      <c r="K706">
        <v>20335254.699999999</v>
      </c>
      <c r="L706" s="1">
        <v>45240</v>
      </c>
      <c r="M706">
        <v>3269</v>
      </c>
      <c r="N706" t="s">
        <v>2482</v>
      </c>
      <c r="O706" s="5">
        <v>45240</v>
      </c>
      <c r="P706" s="5">
        <v>43777</v>
      </c>
      <c r="Q706" s="3">
        <v>54.75</v>
      </c>
      <c r="S706">
        <f t="shared" si="30"/>
        <v>1464</v>
      </c>
      <c r="T706">
        <f t="shared" si="31"/>
        <v>16.043835616438358</v>
      </c>
      <c r="U706" s="6">
        <f t="shared" si="32"/>
        <v>0.14463156869117455</v>
      </c>
    </row>
    <row r="707" spans="1:21" x14ac:dyDescent="0.25">
      <c r="A707" t="s">
        <v>2483</v>
      </c>
      <c r="B707" t="s">
        <v>2484</v>
      </c>
      <c r="C707" t="s">
        <v>14</v>
      </c>
      <c r="D707">
        <v>393.65</v>
      </c>
      <c r="E707">
        <v>404</v>
      </c>
      <c r="F707">
        <v>392.55</v>
      </c>
      <c r="G707" s="3">
        <v>400.2</v>
      </c>
      <c r="H707">
        <v>400</v>
      </c>
      <c r="I707">
        <v>393.25</v>
      </c>
      <c r="J707">
        <v>17824</v>
      </c>
      <c r="K707">
        <v>7110127.3499999996</v>
      </c>
      <c r="L707" s="1">
        <v>45240</v>
      </c>
      <c r="M707">
        <v>1289</v>
      </c>
      <c r="N707" t="s">
        <v>2485</v>
      </c>
      <c r="O707" s="5">
        <v>45240</v>
      </c>
      <c r="P707" s="5">
        <v>43777</v>
      </c>
      <c r="Q707" s="3">
        <v>27.45</v>
      </c>
      <c r="S707">
        <f t="shared" ref="S707:S770" si="33">O707-P707+1</f>
        <v>1464</v>
      </c>
      <c r="T707">
        <f t="shared" ref="T707:T770" si="34">(S707/365)*4</f>
        <v>16.043835616438358</v>
      </c>
      <c r="U707" s="6">
        <f t="shared" ref="U707:U770" si="35">(((G707/Q707)^(1/T707))-1)*4</f>
        <v>0.72709888291057201</v>
      </c>
    </row>
    <row r="708" spans="1:21" x14ac:dyDescent="0.25">
      <c r="A708" t="s">
        <v>2486</v>
      </c>
      <c r="B708" t="s">
        <v>2487</v>
      </c>
      <c r="C708" t="s">
        <v>10</v>
      </c>
      <c r="D708">
        <v>600</v>
      </c>
      <c r="E708">
        <v>609.79999999999995</v>
      </c>
      <c r="F708">
        <v>573.65</v>
      </c>
      <c r="G708" s="3">
        <v>573.65</v>
      </c>
      <c r="H708">
        <v>573.65</v>
      </c>
      <c r="I708">
        <v>603.79999999999995</v>
      </c>
      <c r="J708">
        <v>298105</v>
      </c>
      <c r="K708">
        <v>173582450.84999999</v>
      </c>
      <c r="L708" s="1">
        <v>45240</v>
      </c>
      <c r="M708">
        <v>2397</v>
      </c>
      <c r="N708" t="s">
        <v>2488</v>
      </c>
      <c r="O708" s="5">
        <v>45240</v>
      </c>
      <c r="P708" s="5">
        <v>43777</v>
      </c>
      <c r="Q708" s="3">
        <v>19.95</v>
      </c>
      <c r="S708">
        <f t="shared" si="33"/>
        <v>1464</v>
      </c>
      <c r="T708">
        <f t="shared" si="34"/>
        <v>16.043835616438358</v>
      </c>
      <c r="U708" s="6">
        <f t="shared" si="35"/>
        <v>0.93150981478263972</v>
      </c>
    </row>
    <row r="709" spans="1:21" x14ac:dyDescent="0.25">
      <c r="A709" t="s">
        <v>2489</v>
      </c>
      <c r="B709" t="s">
        <v>2490</v>
      </c>
      <c r="C709" t="s">
        <v>14</v>
      </c>
      <c r="D709">
        <v>293.35000000000002</v>
      </c>
      <c r="E709">
        <v>297.39999999999998</v>
      </c>
      <c r="F709">
        <v>287.05</v>
      </c>
      <c r="G709" s="3">
        <v>289.14999999999998</v>
      </c>
      <c r="H709">
        <v>288.3</v>
      </c>
      <c r="I709">
        <v>294.05</v>
      </c>
      <c r="J709">
        <v>663059</v>
      </c>
      <c r="K709">
        <v>193709542.09999999</v>
      </c>
      <c r="L709" s="1">
        <v>45240</v>
      </c>
      <c r="M709">
        <v>8202</v>
      </c>
      <c r="N709" t="s">
        <v>2491</v>
      </c>
      <c r="O709" s="5">
        <v>45240</v>
      </c>
      <c r="P709" s="5">
        <v>43777</v>
      </c>
      <c r="Q709" s="3">
        <v>101.15</v>
      </c>
      <c r="S709">
        <f t="shared" si="33"/>
        <v>1464</v>
      </c>
      <c r="T709">
        <f t="shared" si="34"/>
        <v>16.043835616438358</v>
      </c>
      <c r="U709" s="6">
        <f t="shared" si="35"/>
        <v>0.27062981242372164</v>
      </c>
    </row>
    <row r="710" spans="1:21" x14ac:dyDescent="0.25">
      <c r="A710" t="s">
        <v>6445</v>
      </c>
      <c r="B710" t="s">
        <v>7798</v>
      </c>
      <c r="C710" t="s">
        <v>5788</v>
      </c>
      <c r="D710">
        <v>4.7</v>
      </c>
      <c r="E710">
        <v>4.7</v>
      </c>
      <c r="F710">
        <v>4.7</v>
      </c>
      <c r="G710" s="3">
        <v>4.7</v>
      </c>
      <c r="H710">
        <v>4.7</v>
      </c>
      <c r="I710">
        <v>4.7</v>
      </c>
      <c r="J710">
        <v>3000</v>
      </c>
      <c r="K710">
        <v>14100</v>
      </c>
      <c r="L710" s="1">
        <v>45240</v>
      </c>
      <c r="M710">
        <v>1</v>
      </c>
      <c r="N710" t="s">
        <v>6444</v>
      </c>
      <c r="O710" s="5">
        <v>45240</v>
      </c>
      <c r="P710" s="5">
        <v>43777</v>
      </c>
      <c r="Q710" s="3">
        <v>3.25</v>
      </c>
      <c r="S710">
        <f t="shared" si="33"/>
        <v>1464</v>
      </c>
      <c r="T710">
        <f t="shared" si="34"/>
        <v>16.043835616438358</v>
      </c>
      <c r="U710" s="6">
        <f t="shared" si="35"/>
        <v>9.3040466183144765E-2</v>
      </c>
    </row>
    <row r="711" spans="1:21" x14ac:dyDescent="0.25">
      <c r="A711" t="s">
        <v>2495</v>
      </c>
      <c r="B711" t="s">
        <v>2496</v>
      </c>
      <c r="C711" t="s">
        <v>14</v>
      </c>
      <c r="D711">
        <v>111.85</v>
      </c>
      <c r="E711">
        <v>112.7</v>
      </c>
      <c r="F711">
        <v>110.9</v>
      </c>
      <c r="G711" s="3">
        <v>111.6</v>
      </c>
      <c r="H711">
        <v>111.6</v>
      </c>
      <c r="I711">
        <v>112.2</v>
      </c>
      <c r="J711">
        <v>884413</v>
      </c>
      <c r="K711">
        <v>98641751</v>
      </c>
      <c r="L711" s="1">
        <v>45240</v>
      </c>
      <c r="M711">
        <v>6920</v>
      </c>
      <c r="N711" t="s">
        <v>2497</v>
      </c>
      <c r="O711" s="5">
        <v>45240</v>
      </c>
      <c r="P711" s="5">
        <v>43777</v>
      </c>
      <c r="Q711" s="3">
        <v>44.25</v>
      </c>
      <c r="S711">
        <f t="shared" si="33"/>
        <v>1464</v>
      </c>
      <c r="T711">
        <f t="shared" si="34"/>
        <v>16.043835616438358</v>
      </c>
      <c r="U711" s="6">
        <f t="shared" si="35"/>
        <v>0.23741323575908613</v>
      </c>
    </row>
    <row r="712" spans="1:21" x14ac:dyDescent="0.25">
      <c r="A712" t="s">
        <v>2498</v>
      </c>
      <c r="B712" t="s">
        <v>2499</v>
      </c>
      <c r="C712" t="s">
        <v>14</v>
      </c>
      <c r="D712">
        <v>1374</v>
      </c>
      <c r="E712">
        <v>1387.95</v>
      </c>
      <c r="F712">
        <v>1345.05</v>
      </c>
      <c r="G712" s="3">
        <v>1352.1</v>
      </c>
      <c r="H712">
        <v>1347</v>
      </c>
      <c r="I712">
        <v>1377.75</v>
      </c>
      <c r="J712">
        <v>3861</v>
      </c>
      <c r="K712">
        <v>5268393.05</v>
      </c>
      <c r="L712" s="1">
        <v>45240</v>
      </c>
      <c r="M712">
        <v>516</v>
      </c>
      <c r="N712" t="s">
        <v>2500</v>
      </c>
      <c r="O712" s="5">
        <v>45240</v>
      </c>
      <c r="P712" s="5">
        <v>43777</v>
      </c>
      <c r="Q712" s="3">
        <v>125.9</v>
      </c>
      <c r="S712">
        <f t="shared" si="33"/>
        <v>1464</v>
      </c>
      <c r="T712">
        <f t="shared" si="34"/>
        <v>16.043835616438358</v>
      </c>
      <c r="U712" s="6">
        <f t="shared" si="35"/>
        <v>0.63788929705267972</v>
      </c>
    </row>
    <row r="713" spans="1:21" x14ac:dyDescent="0.25">
      <c r="A713" t="s">
        <v>2501</v>
      </c>
      <c r="B713" t="s">
        <v>2502</v>
      </c>
      <c r="C713" t="s">
        <v>14</v>
      </c>
      <c r="D713">
        <v>207.05</v>
      </c>
      <c r="E713">
        <v>211.45</v>
      </c>
      <c r="F713">
        <v>204.3</v>
      </c>
      <c r="G713" s="3">
        <v>205.85</v>
      </c>
      <c r="H713">
        <v>205.5</v>
      </c>
      <c r="I713">
        <v>208.4</v>
      </c>
      <c r="J713">
        <v>27776</v>
      </c>
      <c r="K713">
        <v>5767996.6500000004</v>
      </c>
      <c r="L713" s="1">
        <v>45240</v>
      </c>
      <c r="M713">
        <v>846</v>
      </c>
      <c r="N713" t="s">
        <v>2503</v>
      </c>
      <c r="O713" s="5">
        <v>45240</v>
      </c>
      <c r="P713" s="5">
        <v>43777</v>
      </c>
      <c r="Q713" s="3">
        <v>133.15</v>
      </c>
      <c r="S713">
        <f t="shared" si="33"/>
        <v>1464</v>
      </c>
      <c r="T713">
        <f t="shared" si="34"/>
        <v>16.043835616438358</v>
      </c>
      <c r="U713" s="6">
        <f t="shared" si="35"/>
        <v>0.11010850508015668</v>
      </c>
    </row>
    <row r="714" spans="1:21" x14ac:dyDescent="0.25">
      <c r="A714" t="s">
        <v>2504</v>
      </c>
      <c r="B714" t="s">
        <v>2505</v>
      </c>
      <c r="C714" t="s">
        <v>14</v>
      </c>
      <c r="D714">
        <v>105.5</v>
      </c>
      <c r="E714">
        <v>106.5</v>
      </c>
      <c r="F714">
        <v>104</v>
      </c>
      <c r="G714" s="3">
        <v>105.3</v>
      </c>
      <c r="H714">
        <v>105.5</v>
      </c>
      <c r="I714">
        <v>105.55</v>
      </c>
      <c r="J714">
        <v>29198</v>
      </c>
      <c r="K714">
        <v>3062058.45</v>
      </c>
      <c r="L714" s="1">
        <v>45240</v>
      </c>
      <c r="M714">
        <v>840</v>
      </c>
      <c r="N714" t="s">
        <v>2506</v>
      </c>
      <c r="O714" s="5">
        <v>45240</v>
      </c>
      <c r="P714" s="5">
        <v>43777</v>
      </c>
      <c r="Q714" s="3">
        <v>212.05</v>
      </c>
      <c r="S714">
        <f t="shared" si="33"/>
        <v>1464</v>
      </c>
      <c r="T714">
        <f t="shared" si="34"/>
        <v>16.043835616438358</v>
      </c>
      <c r="U714" s="6">
        <f t="shared" si="35"/>
        <v>-0.17077146572206958</v>
      </c>
    </row>
    <row r="715" spans="1:21" x14ac:dyDescent="0.25">
      <c r="A715" t="s">
        <v>2507</v>
      </c>
      <c r="B715" t="s">
        <v>2508</v>
      </c>
      <c r="C715" t="s">
        <v>14</v>
      </c>
      <c r="D715">
        <v>37.700000000000003</v>
      </c>
      <c r="E715">
        <v>37.9</v>
      </c>
      <c r="F715">
        <v>37.200000000000003</v>
      </c>
      <c r="G715" s="3">
        <v>37.5</v>
      </c>
      <c r="H715">
        <v>37.549999999999997</v>
      </c>
      <c r="I715">
        <v>37.549999999999997</v>
      </c>
      <c r="J715">
        <v>56886</v>
      </c>
      <c r="K715">
        <v>2144655.6</v>
      </c>
      <c r="L715" s="1">
        <v>45240</v>
      </c>
      <c r="M715">
        <v>493</v>
      </c>
      <c r="N715" t="s">
        <v>2509</v>
      </c>
      <c r="O715" s="5">
        <v>45240</v>
      </c>
      <c r="P715" s="5">
        <v>43777</v>
      </c>
      <c r="Q715" s="3">
        <v>4.05</v>
      </c>
      <c r="S715">
        <f t="shared" si="33"/>
        <v>1464</v>
      </c>
      <c r="T715">
        <f t="shared" si="34"/>
        <v>16.043835616438358</v>
      </c>
      <c r="U715" s="6">
        <f t="shared" si="35"/>
        <v>0.59521619892315325</v>
      </c>
    </row>
    <row r="716" spans="1:21" x14ac:dyDescent="0.25">
      <c r="A716" t="s">
        <v>2510</v>
      </c>
      <c r="B716" t="s">
        <v>2511</v>
      </c>
      <c r="C716" t="s">
        <v>14</v>
      </c>
      <c r="D716">
        <v>97.8</v>
      </c>
      <c r="E716">
        <v>98.3</v>
      </c>
      <c r="F716">
        <v>95.55</v>
      </c>
      <c r="G716" s="3">
        <v>96.55</v>
      </c>
      <c r="H716">
        <v>97</v>
      </c>
      <c r="I716">
        <v>97.75</v>
      </c>
      <c r="J716">
        <v>37537</v>
      </c>
      <c r="K716">
        <v>3640630.85</v>
      </c>
      <c r="L716" s="1">
        <v>45240</v>
      </c>
      <c r="M716">
        <v>705</v>
      </c>
      <c r="N716" t="s">
        <v>2512</v>
      </c>
      <c r="O716" s="5">
        <v>45240</v>
      </c>
      <c r="P716" s="5">
        <v>43777</v>
      </c>
      <c r="Q716" s="3">
        <v>49.5</v>
      </c>
      <c r="S716">
        <f t="shared" si="33"/>
        <v>1464</v>
      </c>
      <c r="T716">
        <f t="shared" si="34"/>
        <v>16.043835616438358</v>
      </c>
      <c r="U716" s="6">
        <f t="shared" si="35"/>
        <v>0.17008240164840061</v>
      </c>
    </row>
    <row r="717" spans="1:21" x14ac:dyDescent="0.25">
      <c r="A717" t="s">
        <v>2513</v>
      </c>
      <c r="B717" t="s">
        <v>2514</v>
      </c>
      <c r="C717" t="s">
        <v>14</v>
      </c>
      <c r="D717">
        <v>1502</v>
      </c>
      <c r="E717">
        <v>1510</v>
      </c>
      <c r="F717">
        <v>1486</v>
      </c>
      <c r="G717" s="3">
        <v>1502.45</v>
      </c>
      <c r="H717">
        <v>1505</v>
      </c>
      <c r="I717">
        <v>1503.3</v>
      </c>
      <c r="J717">
        <v>70067</v>
      </c>
      <c r="K717">
        <v>105297630</v>
      </c>
      <c r="L717" s="1">
        <v>45240</v>
      </c>
      <c r="M717">
        <v>9106</v>
      </c>
      <c r="N717" t="s">
        <v>2515</v>
      </c>
      <c r="O717" s="5">
        <v>45240</v>
      </c>
      <c r="P717" s="5">
        <v>43777</v>
      </c>
      <c r="Q717" s="3">
        <v>385.35</v>
      </c>
      <c r="S717">
        <f t="shared" si="33"/>
        <v>1464</v>
      </c>
      <c r="T717">
        <f t="shared" si="34"/>
        <v>16.043835616438358</v>
      </c>
      <c r="U717" s="6">
        <f t="shared" si="35"/>
        <v>0.35404707463914242</v>
      </c>
    </row>
    <row r="718" spans="1:21" x14ac:dyDescent="0.25">
      <c r="A718" t="s">
        <v>2516</v>
      </c>
      <c r="B718" t="s">
        <v>2517</v>
      </c>
      <c r="C718" t="s">
        <v>10</v>
      </c>
      <c r="D718">
        <v>1216.8</v>
      </c>
      <c r="E718">
        <v>1216.8</v>
      </c>
      <c r="F718">
        <v>1178</v>
      </c>
      <c r="G718" s="3">
        <v>1193.0999999999999</v>
      </c>
      <c r="H718">
        <v>1197.9000000000001</v>
      </c>
      <c r="I718">
        <v>1207.05</v>
      </c>
      <c r="J718">
        <v>26290</v>
      </c>
      <c r="K718">
        <v>31325245</v>
      </c>
      <c r="L718" s="1">
        <v>45240</v>
      </c>
      <c r="M718">
        <v>2122</v>
      </c>
      <c r="N718" t="s">
        <v>2518</v>
      </c>
      <c r="O718" s="5">
        <v>45240</v>
      </c>
      <c r="P718" s="5">
        <v>43777</v>
      </c>
      <c r="Q718" s="3">
        <v>224.05</v>
      </c>
      <c r="S718">
        <f t="shared" si="33"/>
        <v>1464</v>
      </c>
      <c r="T718">
        <f t="shared" si="34"/>
        <v>16.043835616438358</v>
      </c>
      <c r="U718" s="6">
        <f t="shared" si="35"/>
        <v>0.43947590101544343</v>
      </c>
    </row>
    <row r="719" spans="1:21" x14ac:dyDescent="0.25">
      <c r="A719" t="s">
        <v>2519</v>
      </c>
      <c r="B719" t="s">
        <v>2520</v>
      </c>
      <c r="C719" t="s">
        <v>14</v>
      </c>
      <c r="D719">
        <v>1079.9000000000001</v>
      </c>
      <c r="E719">
        <v>1218.8</v>
      </c>
      <c r="F719">
        <v>1075.05</v>
      </c>
      <c r="G719" s="3">
        <v>1194.95</v>
      </c>
      <c r="H719">
        <v>1197.25</v>
      </c>
      <c r="I719">
        <v>1078.5999999999999</v>
      </c>
      <c r="J719">
        <v>235280</v>
      </c>
      <c r="K719">
        <v>275436539.35000002</v>
      </c>
      <c r="L719" s="1">
        <v>45240</v>
      </c>
      <c r="M719">
        <v>24822</v>
      </c>
      <c r="N719" t="s">
        <v>2521</v>
      </c>
      <c r="O719" s="5">
        <v>45240</v>
      </c>
      <c r="P719" s="5">
        <v>43777</v>
      </c>
      <c r="Q719" s="3">
        <v>1989.7</v>
      </c>
      <c r="S719">
        <f t="shared" si="33"/>
        <v>1464</v>
      </c>
      <c r="T719">
        <f t="shared" si="34"/>
        <v>16.043835616438358</v>
      </c>
      <c r="U719" s="6">
        <f t="shared" si="35"/>
        <v>-0.12512284611102897</v>
      </c>
    </row>
    <row r="720" spans="1:21" x14ac:dyDescent="0.25">
      <c r="A720" t="s">
        <v>2522</v>
      </c>
      <c r="B720" t="s">
        <v>2523</v>
      </c>
      <c r="C720" t="s">
        <v>786</v>
      </c>
      <c r="D720">
        <v>54.6</v>
      </c>
      <c r="E720">
        <v>55.65</v>
      </c>
      <c r="F720">
        <v>54.6</v>
      </c>
      <c r="G720" s="3">
        <v>55.65</v>
      </c>
      <c r="H720">
        <v>55.65</v>
      </c>
      <c r="I720">
        <v>54.6</v>
      </c>
      <c r="J720">
        <v>4256</v>
      </c>
      <c r="K720">
        <v>234539.2</v>
      </c>
      <c r="L720" s="1">
        <v>45240</v>
      </c>
      <c r="M720">
        <v>58</v>
      </c>
      <c r="N720" t="s">
        <v>2524</v>
      </c>
      <c r="O720" s="5">
        <v>45240</v>
      </c>
      <c r="P720" s="5">
        <v>43777</v>
      </c>
      <c r="Q720" s="3">
        <v>23.1</v>
      </c>
      <c r="S720">
        <f t="shared" si="33"/>
        <v>1464</v>
      </c>
      <c r="T720">
        <f t="shared" si="34"/>
        <v>16.043835616438358</v>
      </c>
      <c r="U720" s="6">
        <f t="shared" si="35"/>
        <v>0.22532975939303501</v>
      </c>
    </row>
    <row r="721" spans="1:21" x14ac:dyDescent="0.25">
      <c r="A721" t="s">
        <v>2528</v>
      </c>
      <c r="B721" t="s">
        <v>2529</v>
      </c>
      <c r="C721" t="s">
        <v>14</v>
      </c>
      <c r="D721">
        <v>22.2</v>
      </c>
      <c r="E721">
        <v>23.3</v>
      </c>
      <c r="F721">
        <v>21.5</v>
      </c>
      <c r="G721" s="3">
        <v>23.3</v>
      </c>
      <c r="H721">
        <v>23.3</v>
      </c>
      <c r="I721">
        <v>22.2</v>
      </c>
      <c r="J721">
        <v>366873</v>
      </c>
      <c r="K721">
        <v>8471509.3000000007</v>
      </c>
      <c r="L721" s="1">
        <v>45240</v>
      </c>
      <c r="M721">
        <v>557</v>
      </c>
      <c r="N721" t="s">
        <v>2530</v>
      </c>
      <c r="O721" s="5">
        <v>45240</v>
      </c>
      <c r="P721" s="5">
        <v>43777</v>
      </c>
      <c r="Q721" s="3">
        <v>18</v>
      </c>
      <c r="S721">
        <f t="shared" si="33"/>
        <v>1464</v>
      </c>
      <c r="T721">
        <f t="shared" si="34"/>
        <v>16.043835616438358</v>
      </c>
      <c r="U721" s="6">
        <f t="shared" si="35"/>
        <v>6.4864422215988427E-2</v>
      </c>
    </row>
    <row r="722" spans="1:21" x14ac:dyDescent="0.25">
      <c r="A722" t="s">
        <v>2531</v>
      </c>
      <c r="B722" t="s">
        <v>2532</v>
      </c>
      <c r="C722" t="s">
        <v>14</v>
      </c>
      <c r="D722">
        <v>645</v>
      </c>
      <c r="E722">
        <v>683.75</v>
      </c>
      <c r="F722">
        <v>621.54999999999995</v>
      </c>
      <c r="G722" s="3">
        <v>683.75</v>
      </c>
      <c r="H722">
        <v>683.75</v>
      </c>
      <c r="I722">
        <v>621.6</v>
      </c>
      <c r="J722">
        <v>74714</v>
      </c>
      <c r="K722">
        <v>50051913.850000001</v>
      </c>
      <c r="L722" s="1">
        <v>45240</v>
      </c>
      <c r="M722">
        <v>2980</v>
      </c>
      <c r="N722" t="s">
        <v>2533</v>
      </c>
      <c r="O722" s="5">
        <v>45240</v>
      </c>
      <c r="P722" s="5">
        <v>43777</v>
      </c>
      <c r="Q722" s="3">
        <v>13.95</v>
      </c>
      <c r="S722">
        <f t="shared" si="33"/>
        <v>1464</v>
      </c>
      <c r="T722">
        <f t="shared" si="34"/>
        <v>16.043835616438358</v>
      </c>
      <c r="U722" s="6">
        <f t="shared" si="35"/>
        <v>1.0981961302121448</v>
      </c>
    </row>
    <row r="723" spans="1:21" x14ac:dyDescent="0.25">
      <c r="A723" t="s">
        <v>2534</v>
      </c>
      <c r="B723" t="s">
        <v>2535</v>
      </c>
      <c r="C723" t="s">
        <v>14</v>
      </c>
      <c r="D723">
        <v>638.5</v>
      </c>
      <c r="E723">
        <v>647</v>
      </c>
      <c r="F723">
        <v>635.15</v>
      </c>
      <c r="G723" s="3">
        <v>641.9</v>
      </c>
      <c r="H723">
        <v>640</v>
      </c>
      <c r="I723">
        <v>639.20000000000005</v>
      </c>
      <c r="J723">
        <v>21326</v>
      </c>
      <c r="K723">
        <v>13695701.199999999</v>
      </c>
      <c r="L723" s="1">
        <v>45240</v>
      </c>
      <c r="M723">
        <v>2096</v>
      </c>
      <c r="N723" t="s">
        <v>2536</v>
      </c>
      <c r="O723" s="5">
        <v>45240</v>
      </c>
      <c r="P723" s="5">
        <v>43777</v>
      </c>
      <c r="Q723" s="3">
        <v>223.9</v>
      </c>
      <c r="S723">
        <f t="shared" si="33"/>
        <v>1464</v>
      </c>
      <c r="T723">
        <f t="shared" si="34"/>
        <v>16.043835616438358</v>
      </c>
      <c r="U723" s="6">
        <f t="shared" si="35"/>
        <v>0.27139968475310372</v>
      </c>
    </row>
    <row r="724" spans="1:21" x14ac:dyDescent="0.25">
      <c r="A724" t="s">
        <v>2537</v>
      </c>
      <c r="B724" t="s">
        <v>2538</v>
      </c>
      <c r="C724" t="s">
        <v>14</v>
      </c>
      <c r="D724">
        <v>470.6</v>
      </c>
      <c r="E724">
        <v>496</v>
      </c>
      <c r="F724">
        <v>470</v>
      </c>
      <c r="G724" s="3">
        <v>487.75</v>
      </c>
      <c r="H724">
        <v>489.9</v>
      </c>
      <c r="I724">
        <v>468.65</v>
      </c>
      <c r="J724">
        <v>1537458</v>
      </c>
      <c r="K724">
        <v>748000994.20000005</v>
      </c>
      <c r="L724" s="1">
        <v>45240</v>
      </c>
      <c r="M724">
        <v>36175</v>
      </c>
      <c r="N724" t="s">
        <v>2539</v>
      </c>
      <c r="O724" s="5">
        <v>45240</v>
      </c>
      <c r="P724" s="5">
        <v>43777</v>
      </c>
      <c r="Q724" s="3">
        <v>85.75</v>
      </c>
      <c r="S724">
        <f t="shared" si="33"/>
        <v>1464</v>
      </c>
      <c r="T724">
        <f t="shared" si="34"/>
        <v>16.043835616438358</v>
      </c>
      <c r="U724" s="6">
        <f t="shared" si="35"/>
        <v>0.4577557293664869</v>
      </c>
    </row>
    <row r="725" spans="1:21" x14ac:dyDescent="0.25">
      <c r="A725" t="s">
        <v>2540</v>
      </c>
      <c r="B725" t="s">
        <v>2541</v>
      </c>
      <c r="C725" t="s">
        <v>14</v>
      </c>
      <c r="D725">
        <v>623.54999999999995</v>
      </c>
      <c r="E725">
        <v>637.85</v>
      </c>
      <c r="F725">
        <v>621.6</v>
      </c>
      <c r="G725" s="3">
        <v>636.9</v>
      </c>
      <c r="H725">
        <v>635.9</v>
      </c>
      <c r="I725">
        <v>624.70000000000005</v>
      </c>
      <c r="J725">
        <v>1839288</v>
      </c>
      <c r="K725">
        <v>1161837938.3</v>
      </c>
      <c r="L725" s="1">
        <v>45240</v>
      </c>
      <c r="M725">
        <v>32074</v>
      </c>
      <c r="N725" t="s">
        <v>2542</v>
      </c>
      <c r="O725" s="5">
        <v>45240</v>
      </c>
      <c r="P725" s="5">
        <v>43777</v>
      </c>
      <c r="Q725" s="3">
        <v>144.55000000000001</v>
      </c>
      <c r="S725">
        <f t="shared" si="33"/>
        <v>1464</v>
      </c>
      <c r="T725">
        <f t="shared" si="34"/>
        <v>16.043835616438358</v>
      </c>
      <c r="U725" s="6">
        <f t="shared" si="35"/>
        <v>0.38736060821214391</v>
      </c>
    </row>
    <row r="726" spans="1:21" x14ac:dyDescent="0.25">
      <c r="A726" t="s">
        <v>2543</v>
      </c>
      <c r="B726" t="s">
        <v>2544</v>
      </c>
      <c r="C726" t="s">
        <v>14</v>
      </c>
      <c r="D726">
        <v>673.9</v>
      </c>
      <c r="E726">
        <v>689</v>
      </c>
      <c r="F726">
        <v>650</v>
      </c>
      <c r="G726" s="3">
        <v>682.75</v>
      </c>
      <c r="H726">
        <v>685.7</v>
      </c>
      <c r="I726">
        <v>677.3</v>
      </c>
      <c r="J726">
        <v>65505</v>
      </c>
      <c r="K726">
        <v>44452479.100000001</v>
      </c>
      <c r="L726" s="1">
        <v>45240</v>
      </c>
      <c r="M726">
        <v>6375</v>
      </c>
      <c r="N726" t="s">
        <v>2545</v>
      </c>
      <c r="O726" s="5">
        <v>45240</v>
      </c>
      <c r="P726" s="5">
        <v>43777</v>
      </c>
      <c r="Q726" s="3">
        <v>81.5</v>
      </c>
      <c r="S726">
        <f t="shared" si="33"/>
        <v>1464</v>
      </c>
      <c r="T726">
        <f t="shared" si="34"/>
        <v>16.043835616438358</v>
      </c>
      <c r="U726" s="6">
        <f t="shared" si="35"/>
        <v>0.5666356602447582</v>
      </c>
    </row>
    <row r="727" spans="1:21" x14ac:dyDescent="0.25">
      <c r="A727" t="s">
        <v>2546</v>
      </c>
      <c r="B727" t="s">
        <v>2547</v>
      </c>
      <c r="C727" t="s">
        <v>14</v>
      </c>
      <c r="D727">
        <v>334.9</v>
      </c>
      <c r="E727">
        <v>341.65</v>
      </c>
      <c r="F727">
        <v>334</v>
      </c>
      <c r="G727" s="3">
        <v>337.8</v>
      </c>
      <c r="H727">
        <v>336.15</v>
      </c>
      <c r="I727">
        <v>334.45</v>
      </c>
      <c r="J727">
        <v>35984</v>
      </c>
      <c r="K727">
        <v>12155062.15</v>
      </c>
      <c r="L727" s="1">
        <v>45240</v>
      </c>
      <c r="M727">
        <v>3041</v>
      </c>
      <c r="N727" t="s">
        <v>2548</v>
      </c>
      <c r="O727" s="5">
        <v>45240</v>
      </c>
      <c r="P727" s="5">
        <v>43777</v>
      </c>
      <c r="Q727" s="3">
        <v>58.4</v>
      </c>
      <c r="S727">
        <f t="shared" si="33"/>
        <v>1464</v>
      </c>
      <c r="T727">
        <f t="shared" si="34"/>
        <v>16.043835616438358</v>
      </c>
      <c r="U727" s="6">
        <f t="shared" si="35"/>
        <v>0.46241802447073077</v>
      </c>
    </row>
    <row r="728" spans="1:21" x14ac:dyDescent="0.25">
      <c r="A728" t="s">
        <v>2552</v>
      </c>
      <c r="B728" t="s">
        <v>2553</v>
      </c>
      <c r="C728" t="s">
        <v>10</v>
      </c>
      <c r="D728">
        <v>30.4</v>
      </c>
      <c r="E728">
        <v>31.95</v>
      </c>
      <c r="F728">
        <v>29.5</v>
      </c>
      <c r="G728" s="3">
        <v>31.95</v>
      </c>
      <c r="H728">
        <v>31.95</v>
      </c>
      <c r="I728">
        <v>30.45</v>
      </c>
      <c r="J728">
        <v>29102</v>
      </c>
      <c r="K728">
        <v>879793.75</v>
      </c>
      <c r="L728" s="1">
        <v>45240</v>
      </c>
      <c r="M728">
        <v>96</v>
      </c>
      <c r="N728" t="s">
        <v>2554</v>
      </c>
      <c r="O728" s="5">
        <v>45240</v>
      </c>
      <c r="P728" s="5">
        <v>43777</v>
      </c>
      <c r="Q728" s="3">
        <v>11.15</v>
      </c>
      <c r="S728">
        <f t="shared" si="33"/>
        <v>1464</v>
      </c>
      <c r="T728">
        <f t="shared" si="34"/>
        <v>16.043835616438358</v>
      </c>
      <c r="U728" s="6">
        <f t="shared" si="35"/>
        <v>0.27126648462007541</v>
      </c>
    </row>
    <row r="729" spans="1:21" x14ac:dyDescent="0.25">
      <c r="A729" t="s">
        <v>2555</v>
      </c>
      <c r="B729" t="s">
        <v>2553</v>
      </c>
      <c r="C729" t="s">
        <v>14</v>
      </c>
      <c r="D729">
        <v>56.05</v>
      </c>
      <c r="E729">
        <v>61.75</v>
      </c>
      <c r="F729">
        <v>55.05</v>
      </c>
      <c r="G729" s="3">
        <v>60.55</v>
      </c>
      <c r="H729">
        <v>60.5</v>
      </c>
      <c r="I729">
        <v>57.3</v>
      </c>
      <c r="J729">
        <v>9550081</v>
      </c>
      <c r="K729">
        <v>562163878.75</v>
      </c>
      <c r="L729" s="1">
        <v>45240</v>
      </c>
      <c r="M729">
        <v>25409</v>
      </c>
      <c r="N729" t="s">
        <v>2556</v>
      </c>
      <c r="O729" s="5">
        <v>45240</v>
      </c>
      <c r="P729" s="5">
        <v>43777</v>
      </c>
      <c r="Q729" s="3">
        <v>15</v>
      </c>
      <c r="S729">
        <f t="shared" si="33"/>
        <v>1464</v>
      </c>
      <c r="T729">
        <f t="shared" si="34"/>
        <v>16.043835616438358</v>
      </c>
      <c r="U729" s="6">
        <f t="shared" si="35"/>
        <v>0.36347944357870521</v>
      </c>
    </row>
    <row r="730" spans="1:21" x14ac:dyDescent="0.25">
      <c r="A730" t="s">
        <v>2557</v>
      </c>
      <c r="B730" t="s">
        <v>2558</v>
      </c>
      <c r="C730" t="s">
        <v>10</v>
      </c>
      <c r="D730">
        <v>533.5</v>
      </c>
      <c r="E730">
        <v>533.5</v>
      </c>
      <c r="F730">
        <v>533.5</v>
      </c>
      <c r="G730" s="3">
        <v>533.5</v>
      </c>
      <c r="H730">
        <v>533.5</v>
      </c>
      <c r="I730">
        <v>508.1</v>
      </c>
      <c r="J730">
        <v>16371</v>
      </c>
      <c r="K730">
        <v>8733928.5</v>
      </c>
      <c r="L730" s="1">
        <v>45240</v>
      </c>
      <c r="M730">
        <v>168</v>
      </c>
      <c r="N730" t="s">
        <v>2559</v>
      </c>
      <c r="O730" s="5">
        <v>45240</v>
      </c>
      <c r="P730" s="5">
        <v>43777</v>
      </c>
      <c r="Q730" s="3">
        <v>6.6</v>
      </c>
      <c r="S730">
        <f t="shared" si="33"/>
        <v>1464</v>
      </c>
      <c r="T730">
        <f t="shared" si="34"/>
        <v>16.043835616438358</v>
      </c>
      <c r="U730" s="6">
        <f t="shared" si="35"/>
        <v>1.2596718216248313</v>
      </c>
    </row>
    <row r="731" spans="1:21" x14ac:dyDescent="0.25">
      <c r="A731" t="s">
        <v>2560</v>
      </c>
      <c r="B731" t="s">
        <v>2561</v>
      </c>
      <c r="C731" t="s">
        <v>14</v>
      </c>
      <c r="D731">
        <v>3390.4</v>
      </c>
      <c r="E731">
        <v>3471</v>
      </c>
      <c r="F731">
        <v>3369.1</v>
      </c>
      <c r="G731" s="3">
        <v>3463.5</v>
      </c>
      <c r="H731">
        <v>3461.45</v>
      </c>
      <c r="I731">
        <v>3390.4</v>
      </c>
      <c r="J731">
        <v>133511</v>
      </c>
      <c r="K731">
        <v>458575291.39999998</v>
      </c>
      <c r="L731" s="1">
        <v>45240</v>
      </c>
      <c r="M731">
        <v>14791</v>
      </c>
      <c r="N731" t="s">
        <v>2562</v>
      </c>
      <c r="O731" s="5">
        <v>45240</v>
      </c>
      <c r="P731" s="5">
        <v>43777</v>
      </c>
      <c r="Q731" s="3">
        <v>1182.75</v>
      </c>
      <c r="S731">
        <f t="shared" si="33"/>
        <v>1464</v>
      </c>
      <c r="T731">
        <f t="shared" si="34"/>
        <v>16.043835616438358</v>
      </c>
      <c r="U731" s="6">
        <f t="shared" si="35"/>
        <v>0.27704872910994194</v>
      </c>
    </row>
    <row r="732" spans="1:21" x14ac:dyDescent="0.25">
      <c r="A732" t="s">
        <v>2563</v>
      </c>
      <c r="B732" t="s">
        <v>2564</v>
      </c>
      <c r="C732" t="s">
        <v>14</v>
      </c>
      <c r="D732">
        <v>432</v>
      </c>
      <c r="E732">
        <v>436.95</v>
      </c>
      <c r="F732">
        <v>425.15</v>
      </c>
      <c r="G732" s="3">
        <v>428.1</v>
      </c>
      <c r="H732">
        <v>427.25</v>
      </c>
      <c r="I732">
        <v>433.1</v>
      </c>
      <c r="J732">
        <v>125927</v>
      </c>
      <c r="K732">
        <v>54227871.549999997</v>
      </c>
      <c r="L732" s="1">
        <v>45240</v>
      </c>
      <c r="M732">
        <v>9318</v>
      </c>
      <c r="N732" t="s">
        <v>2565</v>
      </c>
      <c r="O732" s="5">
        <v>45240</v>
      </c>
      <c r="P732" s="5">
        <v>43777</v>
      </c>
      <c r="Q732" s="3">
        <v>158.19999999999999</v>
      </c>
      <c r="S732">
        <f t="shared" si="33"/>
        <v>1464</v>
      </c>
      <c r="T732">
        <f t="shared" si="34"/>
        <v>16.043835616438358</v>
      </c>
      <c r="U732" s="6">
        <f t="shared" si="35"/>
        <v>0.25605601108664722</v>
      </c>
    </row>
    <row r="733" spans="1:21" x14ac:dyDescent="0.25">
      <c r="A733" t="s">
        <v>2566</v>
      </c>
      <c r="B733" t="s">
        <v>2567</v>
      </c>
      <c r="C733" t="s">
        <v>14</v>
      </c>
      <c r="D733">
        <v>781.05</v>
      </c>
      <c r="E733">
        <v>796.95</v>
      </c>
      <c r="F733">
        <v>761.1</v>
      </c>
      <c r="G733" s="3">
        <v>777.35</v>
      </c>
      <c r="H733">
        <v>773.25</v>
      </c>
      <c r="I733">
        <v>780.3</v>
      </c>
      <c r="J733">
        <v>291419</v>
      </c>
      <c r="K733">
        <v>229081139.80000001</v>
      </c>
      <c r="L733" s="1">
        <v>45240</v>
      </c>
      <c r="M733">
        <v>14148</v>
      </c>
      <c r="N733" t="s">
        <v>2568</v>
      </c>
      <c r="O733" s="5">
        <v>45240</v>
      </c>
      <c r="P733" s="5">
        <v>43777</v>
      </c>
      <c r="Q733" s="3">
        <v>305.89999999999998</v>
      </c>
      <c r="S733">
        <f t="shared" si="33"/>
        <v>1464</v>
      </c>
      <c r="T733">
        <f t="shared" si="34"/>
        <v>16.043835616438358</v>
      </c>
      <c r="U733" s="6">
        <f t="shared" si="35"/>
        <v>0.23941220242170402</v>
      </c>
    </row>
    <row r="734" spans="1:21" x14ac:dyDescent="0.25">
      <c r="A734" t="s">
        <v>2569</v>
      </c>
      <c r="B734" t="s">
        <v>2570</v>
      </c>
      <c r="C734" t="s">
        <v>14</v>
      </c>
      <c r="D734">
        <v>372.65</v>
      </c>
      <c r="E734">
        <v>381.9</v>
      </c>
      <c r="F734">
        <v>371</v>
      </c>
      <c r="G734" s="3">
        <v>377.4</v>
      </c>
      <c r="H734">
        <v>376.75</v>
      </c>
      <c r="I734">
        <v>372.65</v>
      </c>
      <c r="J734">
        <v>592247</v>
      </c>
      <c r="K734">
        <v>223436721</v>
      </c>
      <c r="L734" s="1">
        <v>45240</v>
      </c>
      <c r="M734">
        <v>12070</v>
      </c>
      <c r="N734" t="s">
        <v>2571</v>
      </c>
      <c r="O734" s="5">
        <v>45240</v>
      </c>
      <c r="P734" s="5">
        <v>43777</v>
      </c>
      <c r="Q734" s="3">
        <v>117.1</v>
      </c>
      <c r="S734">
        <f t="shared" si="33"/>
        <v>1464</v>
      </c>
      <c r="T734">
        <f t="shared" si="34"/>
        <v>16.043835616438358</v>
      </c>
      <c r="U734" s="6">
        <f t="shared" si="35"/>
        <v>0.3026747053385872</v>
      </c>
    </row>
    <row r="735" spans="1:21" x14ac:dyDescent="0.25">
      <c r="A735" t="s">
        <v>2572</v>
      </c>
      <c r="B735" t="s">
        <v>2573</v>
      </c>
      <c r="C735" t="s">
        <v>14</v>
      </c>
      <c r="D735">
        <v>351</v>
      </c>
      <c r="E735">
        <v>362.95</v>
      </c>
      <c r="F735">
        <v>350.2</v>
      </c>
      <c r="G735" s="3">
        <v>357.4</v>
      </c>
      <c r="H735">
        <v>356.7</v>
      </c>
      <c r="I735">
        <v>350.3</v>
      </c>
      <c r="J735">
        <v>3283392</v>
      </c>
      <c r="K735">
        <v>1175953069.2</v>
      </c>
      <c r="L735" s="1">
        <v>45240</v>
      </c>
      <c r="M735">
        <v>33842</v>
      </c>
      <c r="N735" t="s">
        <v>2574</v>
      </c>
      <c r="O735" s="5">
        <v>45240</v>
      </c>
      <c r="P735" s="5">
        <v>43777</v>
      </c>
      <c r="Q735" s="3">
        <v>70.55</v>
      </c>
      <c r="S735">
        <f t="shared" si="33"/>
        <v>1464</v>
      </c>
      <c r="T735">
        <f t="shared" si="34"/>
        <v>16.043835616438358</v>
      </c>
      <c r="U735" s="6">
        <f t="shared" si="35"/>
        <v>0.42568761384336806</v>
      </c>
    </row>
    <row r="736" spans="1:21" x14ac:dyDescent="0.25">
      <c r="A736" t="s">
        <v>2578</v>
      </c>
      <c r="B736" t="s">
        <v>2579</v>
      </c>
      <c r="C736" t="s">
        <v>14</v>
      </c>
      <c r="D736">
        <v>80.8</v>
      </c>
      <c r="E736">
        <v>80.8</v>
      </c>
      <c r="F736">
        <v>78.150000000000006</v>
      </c>
      <c r="G736" s="3">
        <v>79.8</v>
      </c>
      <c r="H736">
        <v>80.099999999999994</v>
      </c>
      <c r="I736">
        <v>79.349999999999994</v>
      </c>
      <c r="J736">
        <v>44929</v>
      </c>
      <c r="K736">
        <v>3566213.45</v>
      </c>
      <c r="L736" s="1">
        <v>45240</v>
      </c>
      <c r="M736">
        <v>858</v>
      </c>
      <c r="N736" t="s">
        <v>2580</v>
      </c>
      <c r="O736" s="5">
        <v>45240</v>
      </c>
      <c r="P736" s="5">
        <v>43777</v>
      </c>
      <c r="Q736" s="3">
        <v>23.85</v>
      </c>
      <c r="S736">
        <f t="shared" si="33"/>
        <v>1464</v>
      </c>
      <c r="T736">
        <f t="shared" si="34"/>
        <v>16.043835616438358</v>
      </c>
      <c r="U736" s="6">
        <f t="shared" si="35"/>
        <v>0.31273307352840174</v>
      </c>
    </row>
    <row r="737" spans="1:21" x14ac:dyDescent="0.25">
      <c r="A737" t="s">
        <v>2581</v>
      </c>
      <c r="B737" t="s">
        <v>2582</v>
      </c>
      <c r="C737" t="s">
        <v>14</v>
      </c>
      <c r="D737">
        <v>81.7</v>
      </c>
      <c r="E737">
        <v>82.5</v>
      </c>
      <c r="F737">
        <v>80.150000000000006</v>
      </c>
      <c r="G737" s="3">
        <v>81.05</v>
      </c>
      <c r="H737">
        <v>81.5</v>
      </c>
      <c r="I737">
        <v>81.7</v>
      </c>
      <c r="J737">
        <v>2082280</v>
      </c>
      <c r="K737">
        <v>169948121.40000001</v>
      </c>
      <c r="L737" s="1">
        <v>45240</v>
      </c>
      <c r="M737">
        <v>9045</v>
      </c>
      <c r="N737" t="s">
        <v>2583</v>
      </c>
      <c r="O737" s="5">
        <v>45240</v>
      </c>
      <c r="P737" s="5">
        <v>43777</v>
      </c>
      <c r="Q737" s="3">
        <v>87.7</v>
      </c>
      <c r="S737">
        <f t="shared" si="33"/>
        <v>1464</v>
      </c>
      <c r="T737">
        <f t="shared" si="34"/>
        <v>16.043835616438358</v>
      </c>
      <c r="U737" s="6">
        <f t="shared" si="35"/>
        <v>-1.9611814013968054E-2</v>
      </c>
    </row>
    <row r="738" spans="1:21" x14ac:dyDescent="0.25">
      <c r="A738" t="s">
        <v>2584</v>
      </c>
      <c r="B738" t="s">
        <v>2585</v>
      </c>
      <c r="C738" t="s">
        <v>14</v>
      </c>
      <c r="D738">
        <v>200.5</v>
      </c>
      <c r="E738">
        <v>208</v>
      </c>
      <c r="F738">
        <v>197.35</v>
      </c>
      <c r="G738" s="3">
        <v>203.7</v>
      </c>
      <c r="H738">
        <v>204.5</v>
      </c>
      <c r="I738">
        <v>196.5</v>
      </c>
      <c r="J738">
        <v>28148</v>
      </c>
      <c r="K738">
        <v>5742781.25</v>
      </c>
      <c r="L738" s="1">
        <v>45240</v>
      </c>
      <c r="M738">
        <v>830</v>
      </c>
      <c r="N738" t="s">
        <v>2586</v>
      </c>
      <c r="O738" s="5">
        <v>45240</v>
      </c>
      <c r="P738" s="5">
        <v>43777</v>
      </c>
      <c r="Q738" s="3">
        <v>104.35</v>
      </c>
      <c r="S738">
        <f t="shared" si="33"/>
        <v>1464</v>
      </c>
      <c r="T738">
        <f t="shared" si="34"/>
        <v>16.043835616438358</v>
      </c>
      <c r="U738" s="6">
        <f t="shared" si="35"/>
        <v>0.17029277173144486</v>
      </c>
    </row>
    <row r="739" spans="1:21" x14ac:dyDescent="0.25">
      <c r="A739" t="s">
        <v>2587</v>
      </c>
      <c r="B739" t="s">
        <v>2588</v>
      </c>
      <c r="C739" t="s">
        <v>14</v>
      </c>
      <c r="D739">
        <v>18.5</v>
      </c>
      <c r="E739">
        <v>19.350000000000001</v>
      </c>
      <c r="F739">
        <v>17.75</v>
      </c>
      <c r="G739" s="3">
        <v>18.399999999999999</v>
      </c>
      <c r="H739">
        <v>18.45</v>
      </c>
      <c r="I739">
        <v>18.5</v>
      </c>
      <c r="J739">
        <v>47079349</v>
      </c>
      <c r="K739">
        <v>877447890.39999998</v>
      </c>
      <c r="L739" s="1">
        <v>45240</v>
      </c>
      <c r="M739">
        <v>24929</v>
      </c>
      <c r="N739" t="s">
        <v>2589</v>
      </c>
      <c r="O739" s="5">
        <v>45240</v>
      </c>
      <c r="P739" s="5">
        <v>43777</v>
      </c>
      <c r="Q739" s="3">
        <v>2.15</v>
      </c>
      <c r="S739">
        <f t="shared" si="33"/>
        <v>1464</v>
      </c>
      <c r="T739">
        <f t="shared" si="34"/>
        <v>16.043835616438358</v>
      </c>
      <c r="U739" s="6">
        <f t="shared" si="35"/>
        <v>0.57271867927044173</v>
      </c>
    </row>
    <row r="740" spans="1:21" x14ac:dyDescent="0.25">
      <c r="A740" t="s">
        <v>2590</v>
      </c>
      <c r="B740" t="s">
        <v>2591</v>
      </c>
      <c r="C740" t="s">
        <v>14</v>
      </c>
      <c r="D740">
        <v>650</v>
      </c>
      <c r="E740">
        <v>725.35</v>
      </c>
      <c r="F740">
        <v>650</v>
      </c>
      <c r="G740" s="3">
        <v>699.45</v>
      </c>
      <c r="H740">
        <v>699.7</v>
      </c>
      <c r="I740">
        <v>649.20000000000005</v>
      </c>
      <c r="J740">
        <v>101298</v>
      </c>
      <c r="K740">
        <v>71184716.349999994</v>
      </c>
      <c r="L740" s="1">
        <v>45240</v>
      </c>
      <c r="M740">
        <v>8781</v>
      </c>
      <c r="N740" t="s">
        <v>2592</v>
      </c>
      <c r="O740" s="5">
        <v>45240</v>
      </c>
      <c r="P740" s="5">
        <v>43777</v>
      </c>
      <c r="Q740" s="3">
        <v>11.15</v>
      </c>
      <c r="S740">
        <f t="shared" si="33"/>
        <v>1464</v>
      </c>
      <c r="T740">
        <f t="shared" si="34"/>
        <v>16.043835616438358</v>
      </c>
      <c r="U740" s="6">
        <f t="shared" si="35"/>
        <v>1.1772085204065101</v>
      </c>
    </row>
    <row r="741" spans="1:21" x14ac:dyDescent="0.25">
      <c r="A741" t="s">
        <v>2593</v>
      </c>
      <c r="B741" t="s">
        <v>2594</v>
      </c>
      <c r="C741" t="s">
        <v>14</v>
      </c>
      <c r="D741">
        <v>14.5</v>
      </c>
      <c r="E741">
        <v>15.15</v>
      </c>
      <c r="F741">
        <v>13.9</v>
      </c>
      <c r="G741" s="3">
        <v>14.2</v>
      </c>
      <c r="H741">
        <v>14.25</v>
      </c>
      <c r="I741">
        <v>14.4</v>
      </c>
      <c r="J741">
        <v>193032675</v>
      </c>
      <c r="K741">
        <v>2808490691.0999999</v>
      </c>
      <c r="L741" s="1">
        <v>45240</v>
      </c>
      <c r="M741">
        <v>113008</v>
      </c>
      <c r="N741" t="s">
        <v>2595</v>
      </c>
      <c r="O741" s="5">
        <v>45240</v>
      </c>
      <c r="P741" s="5">
        <v>43777</v>
      </c>
      <c r="Q741" s="3">
        <v>1.1000000000000001</v>
      </c>
      <c r="S741">
        <f t="shared" si="33"/>
        <v>1464</v>
      </c>
      <c r="T741">
        <f t="shared" si="34"/>
        <v>16.043835616438358</v>
      </c>
      <c r="U741" s="6">
        <f t="shared" si="35"/>
        <v>0.6913870846056076</v>
      </c>
    </row>
    <row r="742" spans="1:21" x14ac:dyDescent="0.25">
      <c r="A742" t="s">
        <v>2596</v>
      </c>
      <c r="B742" t="s">
        <v>2597</v>
      </c>
      <c r="C742" t="s">
        <v>14</v>
      </c>
      <c r="D742">
        <v>460</v>
      </c>
      <c r="E742">
        <v>484.35</v>
      </c>
      <c r="F742">
        <v>457.4</v>
      </c>
      <c r="G742" s="3">
        <v>474.6</v>
      </c>
      <c r="H742">
        <v>474</v>
      </c>
      <c r="I742">
        <v>460.2</v>
      </c>
      <c r="J742">
        <v>1252337</v>
      </c>
      <c r="K742">
        <v>584945753</v>
      </c>
      <c r="L742" s="1">
        <v>45240</v>
      </c>
      <c r="M742">
        <v>45087</v>
      </c>
      <c r="N742" t="s">
        <v>2598</v>
      </c>
      <c r="O742" s="5">
        <v>45240</v>
      </c>
      <c r="P742" s="5">
        <v>43777</v>
      </c>
      <c r="Q742" s="3">
        <v>35.25</v>
      </c>
      <c r="S742">
        <f t="shared" si="33"/>
        <v>1464</v>
      </c>
      <c r="T742">
        <f t="shared" si="34"/>
        <v>16.043835616438358</v>
      </c>
      <c r="U742" s="6">
        <f t="shared" si="35"/>
        <v>0.7037064146950831</v>
      </c>
    </row>
    <row r="743" spans="1:21" x14ac:dyDescent="0.25">
      <c r="A743" t="s">
        <v>2599</v>
      </c>
      <c r="B743" t="s">
        <v>2600</v>
      </c>
      <c r="C743" t="s">
        <v>14</v>
      </c>
      <c r="D743">
        <v>383.3</v>
      </c>
      <c r="E743">
        <v>387.4</v>
      </c>
      <c r="F743">
        <v>378.5</v>
      </c>
      <c r="G743" s="3">
        <v>382.7</v>
      </c>
      <c r="H743">
        <v>381.75</v>
      </c>
      <c r="I743">
        <v>384.7</v>
      </c>
      <c r="J743">
        <v>1890134</v>
      </c>
      <c r="K743">
        <v>722019639.35000002</v>
      </c>
      <c r="L743" s="1">
        <v>45240</v>
      </c>
      <c r="M743">
        <v>22228</v>
      </c>
      <c r="N743" t="s">
        <v>2601</v>
      </c>
      <c r="O743" s="5">
        <v>45240</v>
      </c>
      <c r="P743" s="5">
        <v>43777</v>
      </c>
      <c r="Q743" s="3">
        <v>76.55</v>
      </c>
      <c r="S743">
        <f t="shared" si="33"/>
        <v>1464</v>
      </c>
      <c r="T743">
        <f t="shared" si="34"/>
        <v>16.043835616438358</v>
      </c>
      <c r="U743" s="6">
        <f t="shared" si="35"/>
        <v>0.4220405485115144</v>
      </c>
    </row>
    <row r="744" spans="1:21" x14ac:dyDescent="0.25">
      <c r="A744" t="s">
        <v>2602</v>
      </c>
      <c r="B744" t="s">
        <v>2603</v>
      </c>
      <c r="C744" t="s">
        <v>14</v>
      </c>
      <c r="D744">
        <v>4545.6499999999996</v>
      </c>
      <c r="E744">
        <v>4699.8999999999996</v>
      </c>
      <c r="F744">
        <v>4534.75</v>
      </c>
      <c r="G744" s="3">
        <v>4638.1499999999996</v>
      </c>
      <c r="H744">
        <v>4690</v>
      </c>
      <c r="I744">
        <v>4527.55</v>
      </c>
      <c r="J744">
        <v>3176</v>
      </c>
      <c r="K744">
        <v>14652067.75</v>
      </c>
      <c r="L744" s="1">
        <v>45240</v>
      </c>
      <c r="M744">
        <v>781</v>
      </c>
      <c r="N744" t="s">
        <v>2604</v>
      </c>
      <c r="O744" s="5">
        <v>45240</v>
      </c>
      <c r="P744" s="5">
        <v>43777</v>
      </c>
      <c r="Q744" s="3">
        <v>2577.65</v>
      </c>
      <c r="S744">
        <f t="shared" si="33"/>
        <v>1464</v>
      </c>
      <c r="T744">
        <f t="shared" si="34"/>
        <v>16.043835616438358</v>
      </c>
      <c r="U744" s="6">
        <f t="shared" si="35"/>
        <v>0.14917238017789458</v>
      </c>
    </row>
    <row r="745" spans="1:21" x14ac:dyDescent="0.25">
      <c r="A745" t="s">
        <v>2608</v>
      </c>
      <c r="B745" t="s">
        <v>2609</v>
      </c>
      <c r="C745" t="s">
        <v>14</v>
      </c>
      <c r="D745">
        <v>751.9</v>
      </c>
      <c r="E745">
        <v>759</v>
      </c>
      <c r="F745">
        <v>745.05</v>
      </c>
      <c r="G745" s="3">
        <v>754.75</v>
      </c>
      <c r="H745">
        <v>753.15</v>
      </c>
      <c r="I745">
        <v>750.85</v>
      </c>
      <c r="J745">
        <v>1108868</v>
      </c>
      <c r="K745">
        <v>836349953</v>
      </c>
      <c r="L745" s="1">
        <v>45240</v>
      </c>
      <c r="M745">
        <v>44976</v>
      </c>
      <c r="N745" t="s">
        <v>2610</v>
      </c>
      <c r="O745" s="5">
        <v>45240</v>
      </c>
      <c r="P745" s="5">
        <v>43777</v>
      </c>
      <c r="Q745" s="3">
        <v>250</v>
      </c>
      <c r="S745">
        <f t="shared" si="33"/>
        <v>1464</v>
      </c>
      <c r="T745">
        <f t="shared" si="34"/>
        <v>16.043835616438358</v>
      </c>
      <c r="U745" s="6">
        <f t="shared" si="35"/>
        <v>0.28518417146453157</v>
      </c>
    </row>
    <row r="746" spans="1:21" x14ac:dyDescent="0.25">
      <c r="A746" t="s">
        <v>2611</v>
      </c>
      <c r="B746" t="s">
        <v>2612</v>
      </c>
      <c r="C746" t="s">
        <v>14</v>
      </c>
      <c r="D746">
        <v>141</v>
      </c>
      <c r="E746">
        <v>141.69999999999999</v>
      </c>
      <c r="F746">
        <v>136.4</v>
      </c>
      <c r="G746" s="3">
        <v>137.05000000000001</v>
      </c>
      <c r="H746">
        <v>137.1</v>
      </c>
      <c r="I746">
        <v>140.44999999999999</v>
      </c>
      <c r="J746">
        <v>138874</v>
      </c>
      <c r="K746">
        <v>19248686.449999999</v>
      </c>
      <c r="L746" s="1">
        <v>45240</v>
      </c>
      <c r="M746">
        <v>3455</v>
      </c>
      <c r="N746" t="s">
        <v>2613</v>
      </c>
      <c r="O746" s="5">
        <v>45240</v>
      </c>
      <c r="P746" s="5">
        <v>43777</v>
      </c>
      <c r="Q746" s="3">
        <v>86.25</v>
      </c>
      <c r="S746">
        <f t="shared" si="33"/>
        <v>1464</v>
      </c>
      <c r="T746">
        <f t="shared" si="34"/>
        <v>16.043835616438358</v>
      </c>
      <c r="U746" s="6">
        <f t="shared" si="35"/>
        <v>0.1171400758898038</v>
      </c>
    </row>
    <row r="747" spans="1:21" x14ac:dyDescent="0.25">
      <c r="A747" t="s">
        <v>2617</v>
      </c>
      <c r="B747" t="s">
        <v>2618</v>
      </c>
      <c r="C747" t="s">
        <v>14</v>
      </c>
      <c r="D747">
        <v>505.5</v>
      </c>
      <c r="E747">
        <v>509.4</v>
      </c>
      <c r="F747">
        <v>504.8</v>
      </c>
      <c r="G747" s="3">
        <v>507.6</v>
      </c>
      <c r="H747">
        <v>507.5</v>
      </c>
      <c r="I747">
        <v>505.75</v>
      </c>
      <c r="J747">
        <v>469008</v>
      </c>
      <c r="K747">
        <v>237880281.34999999</v>
      </c>
      <c r="L747" s="1">
        <v>45240</v>
      </c>
      <c r="M747">
        <v>14049</v>
      </c>
      <c r="N747" t="s">
        <v>2619</v>
      </c>
      <c r="O747" s="5">
        <v>45240</v>
      </c>
      <c r="P747" s="5">
        <v>43777</v>
      </c>
      <c r="Q747" s="3">
        <v>1614.2</v>
      </c>
      <c r="S747">
        <f t="shared" si="33"/>
        <v>1464</v>
      </c>
      <c r="T747">
        <f t="shared" si="34"/>
        <v>16.043835616438358</v>
      </c>
      <c r="U747" s="6">
        <f t="shared" si="35"/>
        <v>-0.27828119645719207</v>
      </c>
    </row>
    <row r="748" spans="1:21" x14ac:dyDescent="0.25">
      <c r="A748" t="s">
        <v>2620</v>
      </c>
      <c r="B748" t="s">
        <v>2621</v>
      </c>
      <c r="C748" t="s">
        <v>14</v>
      </c>
      <c r="D748">
        <v>575.45000000000005</v>
      </c>
      <c r="E748">
        <v>629.75</v>
      </c>
      <c r="F748">
        <v>575.45000000000005</v>
      </c>
      <c r="G748" s="3">
        <v>624.5</v>
      </c>
      <c r="H748">
        <v>620</v>
      </c>
      <c r="I748">
        <v>579.85</v>
      </c>
      <c r="J748">
        <v>133268</v>
      </c>
      <c r="K748">
        <v>82083135.5</v>
      </c>
      <c r="L748" s="1">
        <v>45240</v>
      </c>
      <c r="M748">
        <v>12211</v>
      </c>
      <c r="N748" t="s">
        <v>2622</v>
      </c>
      <c r="O748" s="5">
        <v>45240</v>
      </c>
      <c r="P748" s="5">
        <v>43777</v>
      </c>
      <c r="Q748" s="3">
        <v>106.65</v>
      </c>
      <c r="S748">
        <f t="shared" si="33"/>
        <v>1464</v>
      </c>
      <c r="T748">
        <f t="shared" si="34"/>
        <v>16.043835616438358</v>
      </c>
      <c r="U748" s="6">
        <f t="shared" si="35"/>
        <v>0.46582952743041872</v>
      </c>
    </row>
    <row r="749" spans="1:21" x14ac:dyDescent="0.25">
      <c r="A749" t="s">
        <v>6437</v>
      </c>
      <c r="B749" t="s">
        <v>7798</v>
      </c>
      <c r="C749" t="s">
        <v>14</v>
      </c>
      <c r="D749">
        <v>498.7</v>
      </c>
      <c r="E749">
        <v>498.7</v>
      </c>
      <c r="F749">
        <v>479.3</v>
      </c>
      <c r="G749" s="3">
        <v>485.39</v>
      </c>
      <c r="H749">
        <v>487</v>
      </c>
      <c r="I749">
        <v>484.16</v>
      </c>
      <c r="J749">
        <v>92841</v>
      </c>
      <c r="K749">
        <v>44933448.32</v>
      </c>
      <c r="L749" s="1">
        <v>45240</v>
      </c>
      <c r="M749">
        <v>5350</v>
      </c>
      <c r="N749" t="s">
        <v>6436</v>
      </c>
      <c r="O749" s="5">
        <v>45240</v>
      </c>
      <c r="P749" s="5">
        <v>43777</v>
      </c>
      <c r="Q749" s="3">
        <v>294.33999999999997</v>
      </c>
      <c r="S749">
        <f t="shared" si="33"/>
        <v>1464</v>
      </c>
      <c r="T749">
        <f t="shared" si="34"/>
        <v>16.043835616438358</v>
      </c>
      <c r="U749" s="6">
        <f t="shared" si="35"/>
        <v>0.12667712179987145</v>
      </c>
    </row>
    <row r="750" spans="1:21" x14ac:dyDescent="0.25">
      <c r="A750" t="s">
        <v>2629</v>
      </c>
      <c r="B750" t="s">
        <v>2630</v>
      </c>
      <c r="C750" t="s">
        <v>14</v>
      </c>
      <c r="D750">
        <v>707.6</v>
      </c>
      <c r="E750">
        <v>714.4</v>
      </c>
      <c r="F750">
        <v>701.6</v>
      </c>
      <c r="G750" s="3">
        <v>706.45</v>
      </c>
      <c r="H750">
        <v>703</v>
      </c>
      <c r="I750">
        <v>707.6</v>
      </c>
      <c r="J750">
        <v>79562</v>
      </c>
      <c r="K750">
        <v>56427650.899999999</v>
      </c>
      <c r="L750" s="1">
        <v>45240</v>
      </c>
      <c r="M750">
        <v>4485</v>
      </c>
      <c r="N750" t="s">
        <v>2631</v>
      </c>
      <c r="O750" s="5">
        <v>45240</v>
      </c>
      <c r="P750" s="5">
        <v>43777</v>
      </c>
      <c r="Q750" s="3">
        <v>554.1</v>
      </c>
      <c r="S750">
        <f t="shared" si="33"/>
        <v>1464</v>
      </c>
      <c r="T750">
        <f t="shared" si="34"/>
        <v>16.043835616438358</v>
      </c>
      <c r="U750" s="6">
        <f t="shared" si="35"/>
        <v>6.1021668024046072E-2</v>
      </c>
    </row>
    <row r="751" spans="1:21" x14ac:dyDescent="0.25">
      <c r="A751" t="s">
        <v>2635</v>
      </c>
      <c r="B751" t="s">
        <v>2636</v>
      </c>
      <c r="C751" t="s">
        <v>14</v>
      </c>
      <c r="D751">
        <v>414.1</v>
      </c>
      <c r="E751">
        <v>419.8</v>
      </c>
      <c r="F751">
        <v>412</v>
      </c>
      <c r="G751" s="3">
        <v>414.05</v>
      </c>
      <c r="H751">
        <v>412</v>
      </c>
      <c r="I751">
        <v>416.55</v>
      </c>
      <c r="J751">
        <v>786779</v>
      </c>
      <c r="K751">
        <v>327054395.14999998</v>
      </c>
      <c r="L751" s="1">
        <v>45240</v>
      </c>
      <c r="M751">
        <v>35678</v>
      </c>
      <c r="N751" t="s">
        <v>2637</v>
      </c>
      <c r="O751" s="5">
        <v>45240</v>
      </c>
      <c r="P751" s="5">
        <v>43777</v>
      </c>
      <c r="Q751" s="3">
        <v>170.05</v>
      </c>
      <c r="S751">
        <f t="shared" si="33"/>
        <v>1464</v>
      </c>
      <c r="T751">
        <f t="shared" si="34"/>
        <v>16.043835616438358</v>
      </c>
      <c r="U751" s="6">
        <f t="shared" si="35"/>
        <v>0.22813411239027026</v>
      </c>
    </row>
    <row r="752" spans="1:21" x14ac:dyDescent="0.25">
      <c r="A752" t="s">
        <v>2641</v>
      </c>
      <c r="B752" t="s">
        <v>2642</v>
      </c>
      <c r="C752" t="s">
        <v>14</v>
      </c>
      <c r="D752">
        <v>423.95</v>
      </c>
      <c r="E752">
        <v>434.45</v>
      </c>
      <c r="F752">
        <v>420.05</v>
      </c>
      <c r="G752" s="3">
        <v>426.05</v>
      </c>
      <c r="H752">
        <v>426.6</v>
      </c>
      <c r="I752">
        <v>423</v>
      </c>
      <c r="J752">
        <v>29299</v>
      </c>
      <c r="K752">
        <v>12477175.050000001</v>
      </c>
      <c r="L752" s="1">
        <v>45240</v>
      </c>
      <c r="M752">
        <v>2975</v>
      </c>
      <c r="N752" t="s">
        <v>2643</v>
      </c>
      <c r="O752" s="5">
        <v>45240</v>
      </c>
      <c r="P752" s="5">
        <v>43777</v>
      </c>
      <c r="Q752" s="3">
        <v>69.7</v>
      </c>
      <c r="S752">
        <f t="shared" si="33"/>
        <v>1464</v>
      </c>
      <c r="T752">
        <f t="shared" si="34"/>
        <v>16.043835616438358</v>
      </c>
      <c r="U752" s="6">
        <f t="shared" si="35"/>
        <v>0.47780284658098893</v>
      </c>
    </row>
    <row r="753" spans="1:21" x14ac:dyDescent="0.25">
      <c r="A753" t="s">
        <v>2644</v>
      </c>
      <c r="B753" t="s">
        <v>2645</v>
      </c>
      <c r="C753" t="s">
        <v>14</v>
      </c>
      <c r="D753">
        <v>1288</v>
      </c>
      <c r="E753">
        <v>1290.6500000000001</v>
      </c>
      <c r="F753">
        <v>1266.95</v>
      </c>
      <c r="G753" s="3">
        <v>1275.75</v>
      </c>
      <c r="H753">
        <v>1277</v>
      </c>
      <c r="I753">
        <v>1283.9000000000001</v>
      </c>
      <c r="J753">
        <v>41871</v>
      </c>
      <c r="K753">
        <v>53348655.100000001</v>
      </c>
      <c r="L753" s="1">
        <v>45240</v>
      </c>
      <c r="M753">
        <v>5181</v>
      </c>
      <c r="N753" t="s">
        <v>2646</v>
      </c>
      <c r="O753" s="5">
        <v>45240</v>
      </c>
      <c r="P753" s="5">
        <v>43777</v>
      </c>
      <c r="Q753" s="3">
        <v>532</v>
      </c>
      <c r="S753">
        <f t="shared" si="33"/>
        <v>1464</v>
      </c>
      <c r="T753">
        <f t="shared" si="34"/>
        <v>16.043835616438358</v>
      </c>
      <c r="U753" s="6">
        <f t="shared" si="35"/>
        <v>0.22411756685642992</v>
      </c>
    </row>
    <row r="754" spans="1:21" x14ac:dyDescent="0.25">
      <c r="A754" t="s">
        <v>2647</v>
      </c>
      <c r="B754" t="s">
        <v>2648</v>
      </c>
      <c r="C754" t="s">
        <v>14</v>
      </c>
      <c r="D754">
        <v>215.55</v>
      </c>
      <c r="E754">
        <v>220.7</v>
      </c>
      <c r="F754">
        <v>214.05</v>
      </c>
      <c r="G754" s="3">
        <v>217.2</v>
      </c>
      <c r="H754">
        <v>217</v>
      </c>
      <c r="I754">
        <v>216.75</v>
      </c>
      <c r="J754">
        <v>5808</v>
      </c>
      <c r="K754">
        <v>1256694.3</v>
      </c>
      <c r="L754" s="1">
        <v>45240</v>
      </c>
      <c r="M754">
        <v>389</v>
      </c>
      <c r="N754" t="s">
        <v>2649</v>
      </c>
      <c r="O754" s="5">
        <v>45240</v>
      </c>
      <c r="P754" s="5">
        <v>43777</v>
      </c>
      <c r="Q754" s="3">
        <v>156.80000000000001</v>
      </c>
      <c r="S754">
        <f t="shared" si="33"/>
        <v>1464</v>
      </c>
      <c r="T754">
        <f t="shared" si="34"/>
        <v>16.043835616438358</v>
      </c>
      <c r="U754" s="6">
        <f t="shared" si="35"/>
        <v>8.2069888060454232E-2</v>
      </c>
    </row>
    <row r="755" spans="1:21" x14ac:dyDescent="0.25">
      <c r="A755" t="s">
        <v>2656</v>
      </c>
      <c r="B755" t="s">
        <v>2657</v>
      </c>
      <c r="C755" t="s">
        <v>10</v>
      </c>
      <c r="D755">
        <v>399.55</v>
      </c>
      <c r="E755">
        <v>401.8</v>
      </c>
      <c r="F755">
        <v>399.55</v>
      </c>
      <c r="G755" s="3">
        <v>401.8</v>
      </c>
      <c r="H755">
        <v>401.8</v>
      </c>
      <c r="I755">
        <v>382.7</v>
      </c>
      <c r="J755">
        <v>1289</v>
      </c>
      <c r="K755">
        <v>517364.8</v>
      </c>
      <c r="L755" s="1">
        <v>45240</v>
      </c>
      <c r="M755">
        <v>22</v>
      </c>
      <c r="N755" t="s">
        <v>2658</v>
      </c>
      <c r="O755" s="5">
        <v>45240</v>
      </c>
      <c r="P755" s="5">
        <v>43777</v>
      </c>
      <c r="Q755" s="3">
        <v>165</v>
      </c>
      <c r="S755">
        <f t="shared" si="33"/>
        <v>1464</v>
      </c>
      <c r="T755">
        <f t="shared" si="34"/>
        <v>16.043835616438358</v>
      </c>
      <c r="U755" s="6">
        <f t="shared" si="35"/>
        <v>0.22816435341583308</v>
      </c>
    </row>
    <row r="756" spans="1:21" x14ac:dyDescent="0.25">
      <c r="A756" t="s">
        <v>2662</v>
      </c>
      <c r="B756" t="s">
        <v>2663</v>
      </c>
      <c r="C756" t="s">
        <v>14</v>
      </c>
      <c r="D756">
        <v>200</v>
      </c>
      <c r="E756">
        <v>200.45</v>
      </c>
      <c r="F756">
        <v>197</v>
      </c>
      <c r="G756" s="3">
        <v>198.35</v>
      </c>
      <c r="H756">
        <v>198.5</v>
      </c>
      <c r="I756">
        <v>200</v>
      </c>
      <c r="J756">
        <v>16065</v>
      </c>
      <c r="K756">
        <v>3194621.75</v>
      </c>
      <c r="L756" s="1">
        <v>45240</v>
      </c>
      <c r="M756">
        <v>234</v>
      </c>
      <c r="N756" t="s">
        <v>2664</v>
      </c>
      <c r="O756" s="5">
        <v>45240</v>
      </c>
      <c r="P756" s="5">
        <v>43777</v>
      </c>
      <c r="Q756" s="3">
        <v>37.049999999999997</v>
      </c>
      <c r="S756">
        <f t="shared" si="33"/>
        <v>1464</v>
      </c>
      <c r="T756">
        <f t="shared" si="34"/>
        <v>16.043835616438358</v>
      </c>
      <c r="U756" s="6">
        <f t="shared" si="35"/>
        <v>0.44094928833276459</v>
      </c>
    </row>
    <row r="757" spans="1:21" x14ac:dyDescent="0.25">
      <c r="A757" t="s">
        <v>2665</v>
      </c>
      <c r="B757" t="s">
        <v>2666</v>
      </c>
      <c r="C757" t="s">
        <v>14</v>
      </c>
      <c r="D757">
        <v>291.39999999999998</v>
      </c>
      <c r="E757">
        <v>299.89999999999998</v>
      </c>
      <c r="F757">
        <v>290.5</v>
      </c>
      <c r="G757" s="3">
        <v>297.14999999999998</v>
      </c>
      <c r="H757">
        <v>297.2</v>
      </c>
      <c r="I757">
        <v>290.8</v>
      </c>
      <c r="J757">
        <v>126073</v>
      </c>
      <c r="K757">
        <v>37176695.299999997</v>
      </c>
      <c r="L757" s="1">
        <v>45240</v>
      </c>
      <c r="M757">
        <v>4523</v>
      </c>
      <c r="N757" t="s">
        <v>2667</v>
      </c>
      <c r="O757" s="5">
        <v>45240</v>
      </c>
      <c r="P757" s="5">
        <v>43777</v>
      </c>
      <c r="Q757" s="3">
        <v>107.75</v>
      </c>
      <c r="S757">
        <f t="shared" si="33"/>
        <v>1464</v>
      </c>
      <c r="T757">
        <f t="shared" si="34"/>
        <v>16.043835616438358</v>
      </c>
      <c r="U757" s="6">
        <f t="shared" si="35"/>
        <v>0.2610797533540179</v>
      </c>
    </row>
    <row r="758" spans="1:21" x14ac:dyDescent="0.25">
      <c r="A758" t="s">
        <v>2671</v>
      </c>
      <c r="B758" t="s">
        <v>2672</v>
      </c>
      <c r="C758" t="s">
        <v>14</v>
      </c>
      <c r="D758">
        <v>7.5</v>
      </c>
      <c r="E758">
        <v>7.5</v>
      </c>
      <c r="F758">
        <v>7.35</v>
      </c>
      <c r="G758" s="3">
        <v>7.35</v>
      </c>
      <c r="H758">
        <v>7.4</v>
      </c>
      <c r="I758">
        <v>7.35</v>
      </c>
      <c r="J758">
        <v>177116</v>
      </c>
      <c r="K758">
        <v>1312235.1000000001</v>
      </c>
      <c r="L758" s="1">
        <v>45240</v>
      </c>
      <c r="M758">
        <v>787</v>
      </c>
      <c r="N758" t="s">
        <v>2673</v>
      </c>
      <c r="O758" s="5">
        <v>45240</v>
      </c>
      <c r="P758" s="5">
        <v>43777</v>
      </c>
      <c r="Q758" s="3">
        <v>2.75</v>
      </c>
      <c r="S758">
        <f t="shared" si="33"/>
        <v>1464</v>
      </c>
      <c r="T758">
        <f t="shared" si="34"/>
        <v>16.043835616438358</v>
      </c>
      <c r="U758" s="6">
        <f t="shared" si="35"/>
        <v>0.25276855144099653</v>
      </c>
    </row>
    <row r="759" spans="1:21" x14ac:dyDescent="0.25">
      <c r="A759" t="s">
        <v>2674</v>
      </c>
      <c r="B759" t="s">
        <v>2675</v>
      </c>
      <c r="C759" t="s">
        <v>14</v>
      </c>
      <c r="D759">
        <v>124</v>
      </c>
      <c r="E759">
        <v>124</v>
      </c>
      <c r="F759">
        <v>120.15</v>
      </c>
      <c r="G759" s="3">
        <v>120.7</v>
      </c>
      <c r="H759">
        <v>121</v>
      </c>
      <c r="I759">
        <v>123.3</v>
      </c>
      <c r="J759">
        <v>75193</v>
      </c>
      <c r="K759">
        <v>9094715.1500000004</v>
      </c>
      <c r="L759" s="1">
        <v>45240</v>
      </c>
      <c r="M759">
        <v>1001</v>
      </c>
      <c r="N759" t="s">
        <v>2676</v>
      </c>
      <c r="O759" s="5">
        <v>45240</v>
      </c>
      <c r="P759" s="5">
        <v>43777</v>
      </c>
      <c r="Q759" s="3">
        <v>44.3</v>
      </c>
      <c r="S759">
        <f t="shared" si="33"/>
        <v>1464</v>
      </c>
      <c r="T759">
        <f t="shared" si="34"/>
        <v>16.043835616438358</v>
      </c>
      <c r="U759" s="6">
        <f t="shared" si="35"/>
        <v>0.25786735918283021</v>
      </c>
    </row>
    <row r="760" spans="1:21" x14ac:dyDescent="0.25">
      <c r="A760" t="s">
        <v>2680</v>
      </c>
      <c r="B760" t="s">
        <v>2681</v>
      </c>
      <c r="C760" t="s">
        <v>14</v>
      </c>
      <c r="D760">
        <v>304.95</v>
      </c>
      <c r="E760">
        <v>305.89999999999998</v>
      </c>
      <c r="F760">
        <v>301</v>
      </c>
      <c r="G760" s="3">
        <v>304.39999999999998</v>
      </c>
      <c r="H760">
        <v>304.95</v>
      </c>
      <c r="I760">
        <v>304.60000000000002</v>
      </c>
      <c r="J760">
        <v>111829</v>
      </c>
      <c r="K760">
        <v>33922487.799999997</v>
      </c>
      <c r="L760" s="1">
        <v>45240</v>
      </c>
      <c r="M760">
        <v>5764</v>
      </c>
      <c r="N760" t="s">
        <v>2682</v>
      </c>
      <c r="O760" s="5">
        <v>45240</v>
      </c>
      <c r="P760" s="5">
        <v>43777</v>
      </c>
      <c r="Q760" s="3">
        <v>528.5</v>
      </c>
      <c r="S760">
        <f t="shared" si="33"/>
        <v>1464</v>
      </c>
      <c r="T760">
        <f t="shared" si="34"/>
        <v>16.043835616438358</v>
      </c>
      <c r="U760" s="6">
        <f t="shared" si="35"/>
        <v>-0.13521013832193418</v>
      </c>
    </row>
    <row r="761" spans="1:21" x14ac:dyDescent="0.25">
      <c r="A761" t="s">
        <v>2683</v>
      </c>
      <c r="B761" t="s">
        <v>2684</v>
      </c>
      <c r="C761" t="s">
        <v>10</v>
      </c>
      <c r="D761">
        <v>237.5</v>
      </c>
      <c r="E761">
        <v>239.8</v>
      </c>
      <c r="F761">
        <v>225</v>
      </c>
      <c r="G761" s="3">
        <v>232.55</v>
      </c>
      <c r="H761">
        <v>231</v>
      </c>
      <c r="I761">
        <v>233.05</v>
      </c>
      <c r="J761">
        <v>6382</v>
      </c>
      <c r="K761">
        <v>1478450.45</v>
      </c>
      <c r="L761" s="1">
        <v>45240</v>
      </c>
      <c r="M761">
        <v>170</v>
      </c>
      <c r="N761" t="s">
        <v>2685</v>
      </c>
      <c r="O761" s="5">
        <v>45240</v>
      </c>
      <c r="P761" s="5">
        <v>43777</v>
      </c>
      <c r="Q761" s="3">
        <v>96</v>
      </c>
      <c r="S761">
        <f t="shared" si="33"/>
        <v>1464</v>
      </c>
      <c r="T761">
        <f t="shared" si="34"/>
        <v>16.043835616438358</v>
      </c>
      <c r="U761" s="6">
        <f t="shared" si="35"/>
        <v>0.22678049963365865</v>
      </c>
    </row>
    <row r="762" spans="1:21" x14ac:dyDescent="0.25">
      <c r="A762" t="s">
        <v>2686</v>
      </c>
      <c r="B762" t="s">
        <v>2687</v>
      </c>
      <c r="C762" t="s">
        <v>14</v>
      </c>
      <c r="D762">
        <v>50</v>
      </c>
      <c r="E762">
        <v>50.4</v>
      </c>
      <c r="F762">
        <v>50</v>
      </c>
      <c r="G762" s="3">
        <v>50.4</v>
      </c>
      <c r="H762">
        <v>50.4</v>
      </c>
      <c r="I762">
        <v>48</v>
      </c>
      <c r="J762">
        <v>28616</v>
      </c>
      <c r="K762">
        <v>1442197.2</v>
      </c>
      <c r="L762" s="1">
        <v>45240</v>
      </c>
      <c r="M762">
        <v>97</v>
      </c>
      <c r="N762" t="s">
        <v>2688</v>
      </c>
      <c r="O762" s="5">
        <v>45240</v>
      </c>
      <c r="P762" s="5">
        <v>43777</v>
      </c>
      <c r="Q762" s="3">
        <v>8.9499999999999993</v>
      </c>
      <c r="S762">
        <f t="shared" si="33"/>
        <v>1464</v>
      </c>
      <c r="T762">
        <f t="shared" si="34"/>
        <v>16.043835616438358</v>
      </c>
      <c r="U762" s="6">
        <f t="shared" si="35"/>
        <v>0.45496998786529463</v>
      </c>
    </row>
    <row r="763" spans="1:21" x14ac:dyDescent="0.25">
      <c r="A763" t="s">
        <v>2689</v>
      </c>
      <c r="B763" t="s">
        <v>2690</v>
      </c>
      <c r="C763" t="s">
        <v>14</v>
      </c>
      <c r="D763">
        <v>151.55000000000001</v>
      </c>
      <c r="E763">
        <v>156</v>
      </c>
      <c r="F763">
        <v>149.25</v>
      </c>
      <c r="G763" s="3">
        <v>155.55000000000001</v>
      </c>
      <c r="H763">
        <v>156</v>
      </c>
      <c r="I763">
        <v>151.75</v>
      </c>
      <c r="J763">
        <v>4787028</v>
      </c>
      <c r="K763">
        <v>735741173.95000005</v>
      </c>
      <c r="L763" s="1">
        <v>45240</v>
      </c>
      <c r="M763">
        <v>25151</v>
      </c>
      <c r="N763" t="s">
        <v>2691</v>
      </c>
      <c r="O763" s="5">
        <v>45240</v>
      </c>
      <c r="P763" s="5">
        <v>43777</v>
      </c>
      <c r="Q763" s="3">
        <v>60.6</v>
      </c>
      <c r="S763">
        <f t="shared" si="33"/>
        <v>1464</v>
      </c>
      <c r="T763">
        <f t="shared" si="34"/>
        <v>16.043835616438358</v>
      </c>
      <c r="U763" s="6">
        <f t="shared" si="35"/>
        <v>0.24206596426164406</v>
      </c>
    </row>
    <row r="764" spans="1:21" x14ac:dyDescent="0.25">
      <c r="A764" t="s">
        <v>2692</v>
      </c>
      <c r="B764" t="s">
        <v>2693</v>
      </c>
      <c r="C764" t="s">
        <v>10</v>
      </c>
      <c r="D764">
        <v>7.65</v>
      </c>
      <c r="E764">
        <v>7.65</v>
      </c>
      <c r="F764">
        <v>7.65</v>
      </c>
      <c r="G764" s="3">
        <v>7.65</v>
      </c>
      <c r="H764">
        <v>7.65</v>
      </c>
      <c r="I764">
        <v>7.8</v>
      </c>
      <c r="J764">
        <v>2413</v>
      </c>
      <c r="K764">
        <v>18459.45</v>
      </c>
      <c r="L764" s="1">
        <v>45240</v>
      </c>
      <c r="M764">
        <v>20</v>
      </c>
      <c r="N764" t="s">
        <v>2694</v>
      </c>
      <c r="O764" s="5">
        <v>45240</v>
      </c>
      <c r="P764" s="5">
        <v>43777</v>
      </c>
      <c r="Q764" s="3">
        <v>0.55000000000000004</v>
      </c>
      <c r="S764">
        <f t="shared" si="33"/>
        <v>1464</v>
      </c>
      <c r="T764">
        <f t="shared" si="34"/>
        <v>16.043835616438358</v>
      </c>
      <c r="U764" s="6">
        <f t="shared" si="35"/>
        <v>0.71325489770628892</v>
      </c>
    </row>
    <row r="765" spans="1:21" x14ac:dyDescent="0.25">
      <c r="A765" t="s">
        <v>2695</v>
      </c>
      <c r="B765" t="s">
        <v>2696</v>
      </c>
      <c r="C765" t="s">
        <v>14</v>
      </c>
      <c r="D765">
        <v>11.3</v>
      </c>
      <c r="E765">
        <v>11.3</v>
      </c>
      <c r="F765">
        <v>10.6</v>
      </c>
      <c r="G765" s="3">
        <v>11.3</v>
      </c>
      <c r="H765">
        <v>11.3</v>
      </c>
      <c r="I765">
        <v>10.8</v>
      </c>
      <c r="J765">
        <v>363980</v>
      </c>
      <c r="K765">
        <v>4075147.7</v>
      </c>
      <c r="L765" s="1">
        <v>45240</v>
      </c>
      <c r="M765">
        <v>343</v>
      </c>
      <c r="N765" t="s">
        <v>2697</v>
      </c>
      <c r="O765" s="5">
        <v>45240</v>
      </c>
      <c r="P765" s="5">
        <v>43777</v>
      </c>
      <c r="Q765" s="3">
        <v>2.5499999999999998</v>
      </c>
      <c r="S765">
        <f t="shared" si="33"/>
        <v>1464</v>
      </c>
      <c r="T765">
        <f t="shared" si="34"/>
        <v>16.043835616438358</v>
      </c>
      <c r="U765" s="6">
        <f t="shared" si="35"/>
        <v>0.38892567874017114</v>
      </c>
    </row>
    <row r="766" spans="1:21" x14ac:dyDescent="0.25">
      <c r="A766" t="s">
        <v>2698</v>
      </c>
      <c r="B766" t="s">
        <v>2699</v>
      </c>
      <c r="C766" t="s">
        <v>14</v>
      </c>
      <c r="D766">
        <v>362.55</v>
      </c>
      <c r="E766">
        <v>362.55</v>
      </c>
      <c r="F766">
        <v>341</v>
      </c>
      <c r="G766" s="3">
        <v>346.15</v>
      </c>
      <c r="H766">
        <v>345.9</v>
      </c>
      <c r="I766">
        <v>357.2</v>
      </c>
      <c r="J766">
        <v>17462</v>
      </c>
      <c r="K766">
        <v>6111202.3499999996</v>
      </c>
      <c r="L766" s="1">
        <v>45240</v>
      </c>
      <c r="M766">
        <v>1536</v>
      </c>
      <c r="N766" t="s">
        <v>2700</v>
      </c>
      <c r="O766" s="5">
        <v>45240</v>
      </c>
      <c r="P766" s="5">
        <v>43777</v>
      </c>
      <c r="Q766" s="3">
        <v>404.6</v>
      </c>
      <c r="S766">
        <f t="shared" si="33"/>
        <v>1464</v>
      </c>
      <c r="T766">
        <f t="shared" si="34"/>
        <v>16.043835616438358</v>
      </c>
      <c r="U766" s="6">
        <f t="shared" si="35"/>
        <v>-3.8711563198731369E-2</v>
      </c>
    </row>
    <row r="767" spans="1:21" x14ac:dyDescent="0.25">
      <c r="A767" t="s">
        <v>2707</v>
      </c>
      <c r="B767" t="s">
        <v>2708</v>
      </c>
      <c r="C767" t="s">
        <v>14</v>
      </c>
      <c r="D767">
        <v>139.69999999999999</v>
      </c>
      <c r="E767">
        <v>148.35</v>
      </c>
      <c r="F767">
        <v>138.6</v>
      </c>
      <c r="G767" s="3">
        <v>146.19999999999999</v>
      </c>
      <c r="H767">
        <v>146.5</v>
      </c>
      <c r="I767">
        <v>140.15</v>
      </c>
      <c r="J767">
        <v>2487058</v>
      </c>
      <c r="K767">
        <v>360506921.94999999</v>
      </c>
      <c r="L767" s="1">
        <v>45240</v>
      </c>
      <c r="M767">
        <v>18982</v>
      </c>
      <c r="N767" t="s">
        <v>2709</v>
      </c>
      <c r="O767" s="5">
        <v>45240</v>
      </c>
      <c r="P767" s="5">
        <v>43777</v>
      </c>
      <c r="Q767" s="3">
        <v>64.599999999999994</v>
      </c>
      <c r="S767">
        <f t="shared" si="33"/>
        <v>1464</v>
      </c>
      <c r="T767">
        <f t="shared" si="34"/>
        <v>16.043835616438358</v>
      </c>
      <c r="U767" s="6">
        <f t="shared" si="35"/>
        <v>0.20890474352280997</v>
      </c>
    </row>
    <row r="768" spans="1:21" x14ac:dyDescent="0.25">
      <c r="A768" t="s">
        <v>2710</v>
      </c>
      <c r="B768" t="s">
        <v>2711</v>
      </c>
      <c r="C768" t="s">
        <v>10</v>
      </c>
      <c r="D768">
        <v>37.65</v>
      </c>
      <c r="E768">
        <v>37.65</v>
      </c>
      <c r="F768">
        <v>37.65</v>
      </c>
      <c r="G768" s="3">
        <v>37.65</v>
      </c>
      <c r="H768">
        <v>37.65</v>
      </c>
      <c r="I768">
        <v>38.4</v>
      </c>
      <c r="J768">
        <v>41740</v>
      </c>
      <c r="K768">
        <v>1571511</v>
      </c>
      <c r="L768" s="1">
        <v>45240</v>
      </c>
      <c r="M768">
        <v>150</v>
      </c>
      <c r="N768" t="s">
        <v>2712</v>
      </c>
      <c r="O768" s="5">
        <v>45240</v>
      </c>
      <c r="P768" s="5">
        <v>43777</v>
      </c>
      <c r="Q768" s="3">
        <v>13.95</v>
      </c>
      <c r="S768">
        <f t="shared" si="33"/>
        <v>1464</v>
      </c>
      <c r="T768">
        <f t="shared" si="34"/>
        <v>16.043835616438358</v>
      </c>
      <c r="U768" s="6">
        <f t="shared" si="35"/>
        <v>0.25535485976576133</v>
      </c>
    </row>
    <row r="769" spans="1:21" x14ac:dyDescent="0.25">
      <c r="A769" t="s">
        <v>2713</v>
      </c>
      <c r="B769" t="s">
        <v>2714</v>
      </c>
      <c r="C769" t="s">
        <v>14</v>
      </c>
      <c r="D769">
        <v>2406.0500000000002</v>
      </c>
      <c r="E769">
        <v>2555</v>
      </c>
      <c r="F769">
        <v>2406.0500000000002</v>
      </c>
      <c r="G769" s="3">
        <v>2535</v>
      </c>
      <c r="H769">
        <v>2520</v>
      </c>
      <c r="I769">
        <v>2433.25</v>
      </c>
      <c r="J769">
        <v>21727</v>
      </c>
      <c r="K769">
        <v>54252500.450000003</v>
      </c>
      <c r="L769" s="1">
        <v>45240</v>
      </c>
      <c r="M769">
        <v>4990</v>
      </c>
      <c r="N769" t="s">
        <v>2715</v>
      </c>
      <c r="O769" s="5">
        <v>45240</v>
      </c>
      <c r="P769" s="5">
        <v>43777</v>
      </c>
      <c r="Q769" s="3">
        <v>344.25</v>
      </c>
      <c r="S769">
        <f t="shared" si="33"/>
        <v>1464</v>
      </c>
      <c r="T769">
        <f t="shared" si="34"/>
        <v>16.043835616438358</v>
      </c>
      <c r="U769" s="6">
        <f t="shared" si="35"/>
        <v>0.53008051741031625</v>
      </c>
    </row>
    <row r="770" spans="1:21" x14ac:dyDescent="0.25">
      <c r="A770" t="s">
        <v>2716</v>
      </c>
      <c r="B770" t="s">
        <v>2717</v>
      </c>
      <c r="C770" t="s">
        <v>14</v>
      </c>
      <c r="D770">
        <v>574</v>
      </c>
      <c r="E770">
        <v>582</v>
      </c>
      <c r="F770">
        <v>571.20000000000005</v>
      </c>
      <c r="G770" s="3">
        <v>576.75</v>
      </c>
      <c r="H770">
        <v>576</v>
      </c>
      <c r="I770">
        <v>576</v>
      </c>
      <c r="J770">
        <v>208328</v>
      </c>
      <c r="K770">
        <v>120201444.2</v>
      </c>
      <c r="L770" s="1">
        <v>45240</v>
      </c>
      <c r="M770">
        <v>9398</v>
      </c>
      <c r="N770" t="s">
        <v>2718</v>
      </c>
      <c r="O770" s="5">
        <v>45240</v>
      </c>
      <c r="P770" s="5">
        <v>43777</v>
      </c>
      <c r="Q770" s="3">
        <v>265.35000000000002</v>
      </c>
      <c r="S770">
        <f t="shared" si="33"/>
        <v>1464</v>
      </c>
      <c r="T770">
        <f t="shared" si="34"/>
        <v>16.043835616438358</v>
      </c>
      <c r="U770" s="6">
        <f t="shared" si="35"/>
        <v>0.19831911873175656</v>
      </c>
    </row>
    <row r="771" spans="1:21" x14ac:dyDescent="0.25">
      <c r="A771" t="s">
        <v>2719</v>
      </c>
      <c r="B771" t="s">
        <v>2720</v>
      </c>
      <c r="C771" t="s">
        <v>14</v>
      </c>
      <c r="D771">
        <v>125</v>
      </c>
      <c r="E771">
        <v>129.25</v>
      </c>
      <c r="F771">
        <v>119.05</v>
      </c>
      <c r="G771" s="3">
        <v>121.25</v>
      </c>
      <c r="H771">
        <v>120.85</v>
      </c>
      <c r="I771">
        <v>122.6</v>
      </c>
      <c r="J771">
        <v>1362098</v>
      </c>
      <c r="K771">
        <v>169460460.25</v>
      </c>
      <c r="L771" s="1">
        <v>45240</v>
      </c>
      <c r="M771">
        <v>15552</v>
      </c>
      <c r="N771" t="s">
        <v>2721</v>
      </c>
      <c r="O771" s="5">
        <v>45240</v>
      </c>
      <c r="P771" s="5">
        <v>43777</v>
      </c>
      <c r="Q771" s="3">
        <v>12.2</v>
      </c>
      <c r="S771">
        <f t="shared" ref="S771:S834" si="36">O771-P771+1</f>
        <v>1464</v>
      </c>
      <c r="T771">
        <f t="shared" ref="T771:T834" si="37">(S771/365)*4</f>
        <v>16.043835616438358</v>
      </c>
      <c r="U771" s="6">
        <f t="shared" ref="U771:U834" si="38">(((G771/Q771)^(1/T771))-1)*4</f>
        <v>0.61553770796050955</v>
      </c>
    </row>
    <row r="772" spans="1:21" x14ac:dyDescent="0.25">
      <c r="A772" t="s">
        <v>2725</v>
      </c>
      <c r="B772" t="s">
        <v>2726</v>
      </c>
      <c r="C772" t="s">
        <v>14</v>
      </c>
      <c r="D772">
        <v>2507</v>
      </c>
      <c r="E772">
        <v>2598</v>
      </c>
      <c r="F772">
        <v>2485</v>
      </c>
      <c r="G772" s="3">
        <v>2575.4499999999998</v>
      </c>
      <c r="H772">
        <v>2579</v>
      </c>
      <c r="I772">
        <v>2528.5</v>
      </c>
      <c r="J772">
        <v>242057</v>
      </c>
      <c r="K772">
        <v>615314815.5</v>
      </c>
      <c r="L772" s="1">
        <v>45240</v>
      </c>
      <c r="M772">
        <v>29401</v>
      </c>
      <c r="N772" t="s">
        <v>2727</v>
      </c>
      <c r="O772" s="5">
        <v>45240</v>
      </c>
      <c r="P772" s="5">
        <v>43777</v>
      </c>
      <c r="Q772" s="3">
        <v>570.75</v>
      </c>
      <c r="S772">
        <f t="shared" si="36"/>
        <v>1464</v>
      </c>
      <c r="T772">
        <f t="shared" si="37"/>
        <v>16.043835616438358</v>
      </c>
      <c r="U772" s="6">
        <f t="shared" si="38"/>
        <v>0.39388505641065308</v>
      </c>
    </row>
    <row r="773" spans="1:21" x14ac:dyDescent="0.25">
      <c r="A773" t="s">
        <v>2728</v>
      </c>
      <c r="B773" t="s">
        <v>2729</v>
      </c>
      <c r="C773" t="s">
        <v>14</v>
      </c>
      <c r="D773">
        <v>84.55</v>
      </c>
      <c r="E773">
        <v>86</v>
      </c>
      <c r="F773">
        <v>84</v>
      </c>
      <c r="G773" s="3">
        <v>84.9</v>
      </c>
      <c r="H773">
        <v>84.95</v>
      </c>
      <c r="I773">
        <v>84.3</v>
      </c>
      <c r="J773">
        <v>479577</v>
      </c>
      <c r="K773">
        <v>40701110.899999999</v>
      </c>
      <c r="L773" s="1">
        <v>45240</v>
      </c>
      <c r="M773">
        <v>4578</v>
      </c>
      <c r="N773" t="s">
        <v>2730</v>
      </c>
      <c r="O773" s="5">
        <v>45240</v>
      </c>
      <c r="P773" s="5">
        <v>43777</v>
      </c>
      <c r="Q773" s="3">
        <v>17.399999999999999</v>
      </c>
      <c r="S773">
        <f t="shared" si="36"/>
        <v>1464</v>
      </c>
      <c r="T773">
        <f t="shared" si="37"/>
        <v>16.043835616438358</v>
      </c>
      <c r="U773" s="6">
        <f t="shared" si="38"/>
        <v>0.41534706255408871</v>
      </c>
    </row>
    <row r="774" spans="1:21" x14ac:dyDescent="0.25">
      <c r="A774" t="s">
        <v>2731</v>
      </c>
      <c r="B774" t="s">
        <v>2732</v>
      </c>
      <c r="C774" t="s">
        <v>10</v>
      </c>
      <c r="D774">
        <v>654.75</v>
      </c>
      <c r="E774">
        <v>674</v>
      </c>
      <c r="F774">
        <v>639</v>
      </c>
      <c r="G774" s="3">
        <v>661.95</v>
      </c>
      <c r="H774">
        <v>662</v>
      </c>
      <c r="I774">
        <v>654.54999999999995</v>
      </c>
      <c r="J774">
        <v>13473</v>
      </c>
      <c r="K774">
        <v>8908312.8000000007</v>
      </c>
      <c r="L774" s="1">
        <v>45240</v>
      </c>
      <c r="M774">
        <v>286</v>
      </c>
      <c r="N774" t="s">
        <v>2733</v>
      </c>
      <c r="O774" s="5">
        <v>45240</v>
      </c>
      <c r="P774" s="5">
        <v>43777</v>
      </c>
      <c r="Q774" s="3">
        <v>22.2</v>
      </c>
      <c r="S774">
        <f t="shared" si="36"/>
        <v>1464</v>
      </c>
      <c r="T774">
        <f t="shared" si="37"/>
        <v>16.043835616438358</v>
      </c>
      <c r="U774" s="6">
        <f t="shared" si="38"/>
        <v>0.94268252776400718</v>
      </c>
    </row>
    <row r="775" spans="1:21" x14ac:dyDescent="0.25">
      <c r="A775" t="s">
        <v>2734</v>
      </c>
      <c r="B775" t="s">
        <v>2735</v>
      </c>
      <c r="C775" t="s">
        <v>14</v>
      </c>
      <c r="D775">
        <v>100</v>
      </c>
      <c r="E775">
        <v>103.7</v>
      </c>
      <c r="F775">
        <v>99.25</v>
      </c>
      <c r="G775" s="3">
        <v>101.4</v>
      </c>
      <c r="H775">
        <v>102.1</v>
      </c>
      <c r="I775">
        <v>102.95</v>
      </c>
      <c r="J775">
        <v>2423768</v>
      </c>
      <c r="K775">
        <v>248735702.59999999</v>
      </c>
      <c r="L775" s="1">
        <v>45240</v>
      </c>
      <c r="M775">
        <v>4372</v>
      </c>
      <c r="N775" t="s">
        <v>2736</v>
      </c>
      <c r="O775" s="5">
        <v>45240</v>
      </c>
      <c r="P775" s="5">
        <v>43777</v>
      </c>
      <c r="Q775" s="3">
        <v>61.65</v>
      </c>
      <c r="S775">
        <f t="shared" si="36"/>
        <v>1464</v>
      </c>
      <c r="T775">
        <f t="shared" si="37"/>
        <v>16.043835616438358</v>
      </c>
      <c r="U775" s="6">
        <f t="shared" si="38"/>
        <v>0.12600398226672294</v>
      </c>
    </row>
    <row r="776" spans="1:21" x14ac:dyDescent="0.25">
      <c r="A776" t="s">
        <v>2743</v>
      </c>
      <c r="B776" t="s">
        <v>2744</v>
      </c>
      <c r="C776" t="s">
        <v>10</v>
      </c>
      <c r="D776">
        <v>392.15</v>
      </c>
      <c r="E776">
        <v>399</v>
      </c>
      <c r="F776">
        <v>377.2</v>
      </c>
      <c r="G776" s="3">
        <v>377.2</v>
      </c>
      <c r="H776">
        <v>377.2</v>
      </c>
      <c r="I776">
        <v>397.05</v>
      </c>
      <c r="J776">
        <v>38265</v>
      </c>
      <c r="K776">
        <v>14610954.699999999</v>
      </c>
      <c r="L776" s="1">
        <v>45240</v>
      </c>
      <c r="M776">
        <v>747</v>
      </c>
      <c r="N776" t="s">
        <v>2745</v>
      </c>
      <c r="O776" s="5">
        <v>45240</v>
      </c>
      <c r="P776" s="5">
        <v>43777</v>
      </c>
      <c r="Q776" s="3">
        <v>240.1</v>
      </c>
      <c r="S776">
        <f t="shared" si="36"/>
        <v>1464</v>
      </c>
      <c r="T776">
        <f t="shared" si="37"/>
        <v>16.043835616438358</v>
      </c>
      <c r="U776" s="6">
        <f t="shared" si="38"/>
        <v>0.11422189405394167</v>
      </c>
    </row>
    <row r="777" spans="1:21" x14ac:dyDescent="0.25">
      <c r="A777" t="s">
        <v>2749</v>
      </c>
      <c r="B777" t="s">
        <v>2750</v>
      </c>
      <c r="C777" t="s">
        <v>14</v>
      </c>
      <c r="D777">
        <v>55.9</v>
      </c>
      <c r="E777">
        <v>59.8</v>
      </c>
      <c r="F777">
        <v>55.9</v>
      </c>
      <c r="G777" s="3">
        <v>58.1</v>
      </c>
      <c r="H777">
        <v>59.8</v>
      </c>
      <c r="I777">
        <v>58.8</v>
      </c>
      <c r="J777">
        <v>3834</v>
      </c>
      <c r="K777">
        <v>218586.4</v>
      </c>
      <c r="L777" s="1">
        <v>45240</v>
      </c>
      <c r="M777">
        <v>70</v>
      </c>
      <c r="N777" t="s">
        <v>2751</v>
      </c>
      <c r="O777" s="5">
        <v>45240</v>
      </c>
      <c r="P777" s="5">
        <v>43777</v>
      </c>
      <c r="Q777" s="3">
        <v>18.899999999999999</v>
      </c>
      <c r="S777">
        <f t="shared" si="36"/>
        <v>1464</v>
      </c>
      <c r="T777">
        <f t="shared" si="37"/>
        <v>16.043835616438358</v>
      </c>
      <c r="U777" s="6">
        <f t="shared" si="38"/>
        <v>0.29001541089743199</v>
      </c>
    </row>
    <row r="778" spans="1:21" x14ac:dyDescent="0.25">
      <c r="A778" t="s">
        <v>6429</v>
      </c>
      <c r="B778" t="s">
        <v>7798</v>
      </c>
      <c r="C778" t="s">
        <v>5788</v>
      </c>
      <c r="D778">
        <v>44.55</v>
      </c>
      <c r="E778">
        <v>48.8</v>
      </c>
      <c r="F778">
        <v>44.55</v>
      </c>
      <c r="G778" s="3">
        <v>48.8</v>
      </c>
      <c r="H778">
        <v>48.8</v>
      </c>
      <c r="I778">
        <v>48.6</v>
      </c>
      <c r="J778">
        <v>6200</v>
      </c>
      <c r="K778">
        <v>289385</v>
      </c>
      <c r="L778" s="1">
        <v>45240</v>
      </c>
      <c r="M778">
        <v>2</v>
      </c>
      <c r="N778" t="s">
        <v>6428</v>
      </c>
      <c r="O778" s="5">
        <v>45240</v>
      </c>
      <c r="P778" s="5">
        <v>43777</v>
      </c>
      <c r="Q778" s="3">
        <v>25.2</v>
      </c>
      <c r="S778">
        <f t="shared" si="36"/>
        <v>1464</v>
      </c>
      <c r="T778">
        <f t="shared" si="37"/>
        <v>16.043835616438358</v>
      </c>
      <c r="U778" s="6">
        <f t="shared" si="38"/>
        <v>0.16821088652433946</v>
      </c>
    </row>
    <row r="779" spans="1:21" x14ac:dyDescent="0.25">
      <c r="A779" t="s">
        <v>2755</v>
      </c>
      <c r="B779" t="s">
        <v>2756</v>
      </c>
      <c r="C779" t="s">
        <v>14</v>
      </c>
      <c r="D779">
        <v>2712.1</v>
      </c>
      <c r="E779">
        <v>2744.25</v>
      </c>
      <c r="F779">
        <v>2694.75</v>
      </c>
      <c r="G779" s="3">
        <v>2712.05</v>
      </c>
      <c r="H779">
        <v>2715</v>
      </c>
      <c r="I779">
        <v>2758.7</v>
      </c>
      <c r="J779">
        <v>2105</v>
      </c>
      <c r="K779">
        <v>5725105.3499999996</v>
      </c>
      <c r="L779" s="1">
        <v>45240</v>
      </c>
      <c r="M779">
        <v>573</v>
      </c>
      <c r="N779" t="s">
        <v>2757</v>
      </c>
      <c r="O779" s="5">
        <v>45240</v>
      </c>
      <c r="P779" s="5">
        <v>43777</v>
      </c>
      <c r="Q779" s="3">
        <v>1594.15</v>
      </c>
      <c r="S779">
        <f t="shared" si="36"/>
        <v>1464</v>
      </c>
      <c r="T779">
        <f t="shared" si="37"/>
        <v>16.043835616438358</v>
      </c>
      <c r="U779" s="6">
        <f t="shared" si="38"/>
        <v>0.13469630455461079</v>
      </c>
    </row>
    <row r="780" spans="1:21" x14ac:dyDescent="0.25">
      <c r="A780" t="s">
        <v>2758</v>
      </c>
      <c r="B780" t="s">
        <v>2759</v>
      </c>
      <c r="C780" t="s">
        <v>10</v>
      </c>
      <c r="D780">
        <v>323.85000000000002</v>
      </c>
      <c r="E780">
        <v>323.85000000000002</v>
      </c>
      <c r="F780">
        <v>323.8</v>
      </c>
      <c r="G780" s="3">
        <v>323.85000000000002</v>
      </c>
      <c r="H780">
        <v>323.85000000000002</v>
      </c>
      <c r="I780">
        <v>317.5</v>
      </c>
      <c r="J780">
        <v>13989</v>
      </c>
      <c r="K780">
        <v>4530157</v>
      </c>
      <c r="L780" s="1">
        <v>45240</v>
      </c>
      <c r="M780">
        <v>72</v>
      </c>
      <c r="N780" t="s">
        <v>2760</v>
      </c>
      <c r="O780" s="5">
        <v>45240</v>
      </c>
      <c r="P780" s="5">
        <v>43777</v>
      </c>
      <c r="Q780" s="3">
        <v>132.25</v>
      </c>
      <c r="S780">
        <f t="shared" si="36"/>
        <v>1464</v>
      </c>
      <c r="T780">
        <f t="shared" si="37"/>
        <v>16.043835616438358</v>
      </c>
      <c r="U780" s="6">
        <f t="shared" si="38"/>
        <v>0.22963446621890693</v>
      </c>
    </row>
    <row r="781" spans="1:21" x14ac:dyDescent="0.25">
      <c r="A781" t="s">
        <v>2764</v>
      </c>
      <c r="B781" t="s">
        <v>2765</v>
      </c>
      <c r="C781" t="s">
        <v>14</v>
      </c>
      <c r="D781">
        <v>2205</v>
      </c>
      <c r="E781">
        <v>2258.35</v>
      </c>
      <c r="F781">
        <v>2170</v>
      </c>
      <c r="G781" s="3">
        <v>2225.4499999999998</v>
      </c>
      <c r="H781">
        <v>2232</v>
      </c>
      <c r="I781">
        <v>2197.1999999999998</v>
      </c>
      <c r="J781">
        <v>6826</v>
      </c>
      <c r="K781">
        <v>15168192.9</v>
      </c>
      <c r="L781" s="1">
        <v>45240</v>
      </c>
      <c r="M781">
        <v>1601</v>
      </c>
      <c r="N781" t="s">
        <v>2766</v>
      </c>
      <c r="O781" s="5">
        <v>45240</v>
      </c>
      <c r="P781" s="5">
        <v>43777</v>
      </c>
      <c r="Q781" s="3">
        <v>666.4</v>
      </c>
      <c r="S781">
        <f t="shared" si="36"/>
        <v>1464</v>
      </c>
      <c r="T781">
        <f t="shared" si="37"/>
        <v>16.043835616438358</v>
      </c>
      <c r="U781" s="6">
        <f t="shared" si="38"/>
        <v>0.31221834599391851</v>
      </c>
    </row>
    <row r="782" spans="1:21" x14ac:dyDescent="0.25">
      <c r="A782" t="s">
        <v>2767</v>
      </c>
      <c r="B782" t="s">
        <v>2768</v>
      </c>
      <c r="C782" t="s">
        <v>14</v>
      </c>
      <c r="D782">
        <v>306.5</v>
      </c>
      <c r="E782">
        <v>318.95</v>
      </c>
      <c r="F782">
        <v>305.10000000000002</v>
      </c>
      <c r="G782" s="3">
        <v>313.64999999999998</v>
      </c>
      <c r="H782">
        <v>313.5</v>
      </c>
      <c r="I782">
        <v>307.14999999999998</v>
      </c>
      <c r="J782">
        <v>217044</v>
      </c>
      <c r="K782">
        <v>67665172.25</v>
      </c>
      <c r="L782" s="1">
        <v>45240</v>
      </c>
      <c r="M782">
        <v>5025</v>
      </c>
      <c r="N782" t="s">
        <v>2769</v>
      </c>
      <c r="O782" s="5">
        <v>45240</v>
      </c>
      <c r="P782" s="5">
        <v>43777</v>
      </c>
      <c r="Q782" s="3">
        <v>132</v>
      </c>
      <c r="S782">
        <f t="shared" si="36"/>
        <v>1464</v>
      </c>
      <c r="T782">
        <f t="shared" si="37"/>
        <v>16.043835616438358</v>
      </c>
      <c r="U782" s="6">
        <f t="shared" si="38"/>
        <v>0.22170386112546847</v>
      </c>
    </row>
    <row r="783" spans="1:21" x14ac:dyDescent="0.25">
      <c r="A783" t="s">
        <v>2770</v>
      </c>
      <c r="B783" t="s">
        <v>2771</v>
      </c>
      <c r="C783" t="s">
        <v>14</v>
      </c>
      <c r="D783">
        <v>274</v>
      </c>
      <c r="E783">
        <v>275.60000000000002</v>
      </c>
      <c r="F783">
        <v>270.55</v>
      </c>
      <c r="G783" s="3">
        <v>273.35000000000002</v>
      </c>
      <c r="H783">
        <v>273.5</v>
      </c>
      <c r="I783">
        <v>272.64999999999998</v>
      </c>
      <c r="J783">
        <v>78949</v>
      </c>
      <c r="K783">
        <v>21528026.050000001</v>
      </c>
      <c r="L783" s="1">
        <v>45240</v>
      </c>
      <c r="M783">
        <v>2197</v>
      </c>
      <c r="N783" t="s">
        <v>2772</v>
      </c>
      <c r="O783" s="5">
        <v>45240</v>
      </c>
      <c r="P783" s="5">
        <v>43777</v>
      </c>
      <c r="Q783" s="3">
        <v>400.4</v>
      </c>
      <c r="S783">
        <f t="shared" si="36"/>
        <v>1464</v>
      </c>
      <c r="T783">
        <f t="shared" si="37"/>
        <v>16.043835616438358</v>
      </c>
      <c r="U783" s="6">
        <f t="shared" si="38"/>
        <v>-9.4043853676410993E-2</v>
      </c>
    </row>
    <row r="784" spans="1:21" x14ac:dyDescent="0.25">
      <c r="A784" t="s">
        <v>2773</v>
      </c>
      <c r="B784" t="s">
        <v>2774</v>
      </c>
      <c r="C784" t="s">
        <v>14</v>
      </c>
      <c r="D784">
        <v>830.7</v>
      </c>
      <c r="E784">
        <v>868.95</v>
      </c>
      <c r="F784">
        <v>830.7</v>
      </c>
      <c r="G784" s="3">
        <v>857.5</v>
      </c>
      <c r="H784">
        <v>853.4</v>
      </c>
      <c r="I784">
        <v>830.7</v>
      </c>
      <c r="J784">
        <v>88848</v>
      </c>
      <c r="K784">
        <v>75963936.5</v>
      </c>
      <c r="L784" s="1">
        <v>45240</v>
      </c>
      <c r="M784">
        <v>7413</v>
      </c>
      <c r="N784" t="s">
        <v>2775</v>
      </c>
      <c r="O784" s="5">
        <v>45240</v>
      </c>
      <c r="P784" s="5">
        <v>43777</v>
      </c>
      <c r="Q784" s="3">
        <v>148.4</v>
      </c>
      <c r="S784">
        <f t="shared" si="36"/>
        <v>1464</v>
      </c>
      <c r="T784">
        <f t="shared" si="37"/>
        <v>16.043835616438358</v>
      </c>
      <c r="U784" s="6">
        <f t="shared" si="38"/>
        <v>0.46213203258942581</v>
      </c>
    </row>
    <row r="785" spans="1:21" x14ac:dyDescent="0.25">
      <c r="A785" t="s">
        <v>2776</v>
      </c>
      <c r="B785" t="s">
        <v>2777</v>
      </c>
      <c r="C785" t="s">
        <v>14</v>
      </c>
      <c r="D785">
        <v>548.9</v>
      </c>
      <c r="E785">
        <v>555</v>
      </c>
      <c r="F785">
        <v>540.6</v>
      </c>
      <c r="G785" s="3">
        <v>546.65</v>
      </c>
      <c r="H785">
        <v>548</v>
      </c>
      <c r="I785">
        <v>547.35</v>
      </c>
      <c r="J785">
        <v>182775</v>
      </c>
      <c r="K785">
        <v>100087635.34999999</v>
      </c>
      <c r="L785" s="1">
        <v>45240</v>
      </c>
      <c r="M785">
        <v>11383</v>
      </c>
      <c r="N785" t="s">
        <v>2778</v>
      </c>
      <c r="O785" s="5">
        <v>45240</v>
      </c>
      <c r="P785" s="5">
        <v>43777</v>
      </c>
      <c r="Q785" s="3">
        <v>169.4</v>
      </c>
      <c r="S785">
        <f t="shared" si="36"/>
        <v>1464</v>
      </c>
      <c r="T785">
        <f t="shared" si="37"/>
        <v>16.043835616438358</v>
      </c>
      <c r="U785" s="6">
        <f t="shared" si="38"/>
        <v>0.30301493483177655</v>
      </c>
    </row>
    <row r="786" spans="1:21" x14ac:dyDescent="0.25">
      <c r="A786" t="s">
        <v>2779</v>
      </c>
      <c r="B786" t="s">
        <v>2780</v>
      </c>
      <c r="C786" t="s">
        <v>14</v>
      </c>
      <c r="D786">
        <v>3312</v>
      </c>
      <c r="E786">
        <v>3359</v>
      </c>
      <c r="F786">
        <v>3252.05</v>
      </c>
      <c r="G786" s="3">
        <v>3273.75</v>
      </c>
      <c r="H786">
        <v>3256</v>
      </c>
      <c r="I786">
        <v>3306</v>
      </c>
      <c r="J786">
        <v>1931</v>
      </c>
      <c r="K786">
        <v>6358867.8499999996</v>
      </c>
      <c r="L786" s="1">
        <v>45240</v>
      </c>
      <c r="M786">
        <v>571</v>
      </c>
      <c r="N786" t="s">
        <v>2781</v>
      </c>
      <c r="O786" s="5">
        <v>45240</v>
      </c>
      <c r="P786" s="5">
        <v>43777</v>
      </c>
      <c r="Q786" s="3">
        <v>633.1</v>
      </c>
      <c r="S786">
        <f t="shared" si="36"/>
        <v>1464</v>
      </c>
      <c r="T786">
        <f t="shared" si="37"/>
        <v>16.043835616438358</v>
      </c>
      <c r="U786" s="6">
        <f t="shared" si="38"/>
        <v>0.43135418052844354</v>
      </c>
    </row>
    <row r="787" spans="1:21" x14ac:dyDescent="0.25">
      <c r="A787" t="s">
        <v>2785</v>
      </c>
      <c r="B787" t="s">
        <v>2786</v>
      </c>
      <c r="C787" t="s">
        <v>14</v>
      </c>
      <c r="D787">
        <v>205.7</v>
      </c>
      <c r="E787">
        <v>207.3</v>
      </c>
      <c r="F787">
        <v>202.1</v>
      </c>
      <c r="G787" s="3">
        <v>203.75</v>
      </c>
      <c r="H787">
        <v>204</v>
      </c>
      <c r="I787">
        <v>205.7</v>
      </c>
      <c r="J787">
        <v>117750</v>
      </c>
      <c r="K787">
        <v>23986475</v>
      </c>
      <c r="L787" s="1">
        <v>45240</v>
      </c>
      <c r="M787">
        <v>3004</v>
      </c>
      <c r="N787" t="s">
        <v>2787</v>
      </c>
      <c r="O787" s="5">
        <v>45240</v>
      </c>
      <c r="P787" s="5">
        <v>43777</v>
      </c>
      <c r="Q787" s="3">
        <v>91.55</v>
      </c>
      <c r="S787">
        <f t="shared" si="36"/>
        <v>1464</v>
      </c>
      <c r="T787">
        <f t="shared" si="37"/>
        <v>16.043835616438358</v>
      </c>
      <c r="U787" s="6">
        <f t="shared" si="38"/>
        <v>0.20451218222629119</v>
      </c>
    </row>
    <row r="788" spans="1:21" x14ac:dyDescent="0.25">
      <c r="A788" t="s">
        <v>2788</v>
      </c>
      <c r="B788" t="s">
        <v>2789</v>
      </c>
      <c r="C788" t="s">
        <v>14</v>
      </c>
      <c r="D788">
        <v>760</v>
      </c>
      <c r="E788">
        <v>775.4</v>
      </c>
      <c r="F788">
        <v>758.05</v>
      </c>
      <c r="G788" s="3">
        <v>763.8</v>
      </c>
      <c r="H788">
        <v>767</v>
      </c>
      <c r="I788">
        <v>766.8</v>
      </c>
      <c r="J788">
        <v>16464</v>
      </c>
      <c r="K788">
        <v>12622173.5</v>
      </c>
      <c r="L788" s="1">
        <v>45240</v>
      </c>
      <c r="M788">
        <v>2666</v>
      </c>
      <c r="N788" t="s">
        <v>2790</v>
      </c>
      <c r="O788" s="5">
        <v>45240</v>
      </c>
      <c r="P788" s="5">
        <v>43777</v>
      </c>
      <c r="Q788" s="3">
        <v>992</v>
      </c>
      <c r="S788">
        <f t="shared" si="36"/>
        <v>1464</v>
      </c>
      <c r="T788">
        <f t="shared" si="37"/>
        <v>16.043835616438358</v>
      </c>
      <c r="U788" s="6">
        <f t="shared" si="38"/>
        <v>-6.4647607437420262E-2</v>
      </c>
    </row>
    <row r="789" spans="1:21" x14ac:dyDescent="0.25">
      <c r="A789" t="s">
        <v>2791</v>
      </c>
      <c r="B789" t="s">
        <v>2792</v>
      </c>
      <c r="C789" t="s">
        <v>14</v>
      </c>
      <c r="D789">
        <v>32.299999999999997</v>
      </c>
      <c r="E789">
        <v>32.85</v>
      </c>
      <c r="F789">
        <v>32.1</v>
      </c>
      <c r="G789" s="3">
        <v>32.549999999999997</v>
      </c>
      <c r="H789">
        <v>32.700000000000003</v>
      </c>
      <c r="I789">
        <v>32.15</v>
      </c>
      <c r="J789">
        <v>494376</v>
      </c>
      <c r="K789">
        <v>16057569.85</v>
      </c>
      <c r="L789" s="1">
        <v>45240</v>
      </c>
      <c r="M789">
        <v>2717</v>
      </c>
      <c r="N789" t="s">
        <v>2793</v>
      </c>
      <c r="O789" s="5">
        <v>45240</v>
      </c>
      <c r="P789" s="5">
        <v>43777</v>
      </c>
      <c r="Q789" s="3">
        <v>6.7</v>
      </c>
      <c r="S789">
        <f t="shared" si="36"/>
        <v>1464</v>
      </c>
      <c r="T789">
        <f t="shared" si="37"/>
        <v>16.043835616438358</v>
      </c>
      <c r="U789" s="6">
        <f t="shared" si="38"/>
        <v>0.41415447194670119</v>
      </c>
    </row>
    <row r="790" spans="1:21" x14ac:dyDescent="0.25">
      <c r="A790" t="s">
        <v>2794</v>
      </c>
      <c r="B790" t="s">
        <v>2795</v>
      </c>
      <c r="C790" t="s">
        <v>14</v>
      </c>
      <c r="D790">
        <v>262.35000000000002</v>
      </c>
      <c r="E790">
        <v>266.5</v>
      </c>
      <c r="F790">
        <v>260.2</v>
      </c>
      <c r="G790" s="3">
        <v>264.64999999999998</v>
      </c>
      <c r="H790">
        <v>266</v>
      </c>
      <c r="I790">
        <v>263.10000000000002</v>
      </c>
      <c r="J790">
        <v>655601</v>
      </c>
      <c r="K790">
        <v>172962128.09999999</v>
      </c>
      <c r="L790" s="1">
        <v>45240</v>
      </c>
      <c r="M790">
        <v>12494</v>
      </c>
      <c r="N790" t="s">
        <v>2796</v>
      </c>
      <c r="O790" s="5">
        <v>45240</v>
      </c>
      <c r="P790" s="5">
        <v>43777</v>
      </c>
      <c r="Q790" s="3">
        <v>239.05</v>
      </c>
      <c r="S790">
        <f t="shared" si="36"/>
        <v>1464</v>
      </c>
      <c r="T790">
        <f t="shared" si="37"/>
        <v>16.043835616438358</v>
      </c>
      <c r="U790" s="6">
        <f t="shared" si="38"/>
        <v>2.5444963558385325E-2</v>
      </c>
    </row>
    <row r="791" spans="1:21" x14ac:dyDescent="0.25">
      <c r="A791" t="s">
        <v>2797</v>
      </c>
      <c r="B791" t="s">
        <v>2798</v>
      </c>
      <c r="C791" t="s">
        <v>14</v>
      </c>
      <c r="D791">
        <v>39</v>
      </c>
      <c r="E791">
        <v>39.5</v>
      </c>
      <c r="F791">
        <v>38.200000000000003</v>
      </c>
      <c r="G791" s="3">
        <v>39</v>
      </c>
      <c r="H791">
        <v>38.85</v>
      </c>
      <c r="I791">
        <v>38.75</v>
      </c>
      <c r="J791">
        <v>183744</v>
      </c>
      <c r="K791">
        <v>7138776.4500000002</v>
      </c>
      <c r="L791" s="1">
        <v>45240</v>
      </c>
      <c r="M791">
        <v>1588</v>
      </c>
      <c r="N791" t="s">
        <v>2799</v>
      </c>
      <c r="O791" s="5">
        <v>45240</v>
      </c>
      <c r="P791" s="5">
        <v>43777</v>
      </c>
      <c r="Q791" s="3">
        <v>11.4</v>
      </c>
      <c r="S791">
        <f t="shared" si="36"/>
        <v>1464</v>
      </c>
      <c r="T791">
        <f t="shared" si="37"/>
        <v>16.043835616438358</v>
      </c>
      <c r="U791" s="6">
        <f t="shared" si="38"/>
        <v>0.31870719536698555</v>
      </c>
    </row>
    <row r="792" spans="1:21" x14ac:dyDescent="0.25">
      <c r="A792" t="s">
        <v>2800</v>
      </c>
      <c r="B792" t="s">
        <v>2801</v>
      </c>
      <c r="C792" t="s">
        <v>14</v>
      </c>
      <c r="D792">
        <v>128.69999999999999</v>
      </c>
      <c r="E792">
        <v>131.44999999999999</v>
      </c>
      <c r="F792">
        <v>126.35</v>
      </c>
      <c r="G792" s="3">
        <v>131.1</v>
      </c>
      <c r="H792">
        <v>131.44999999999999</v>
      </c>
      <c r="I792">
        <v>126.8</v>
      </c>
      <c r="J792">
        <v>98400</v>
      </c>
      <c r="K792">
        <v>12660929.35</v>
      </c>
      <c r="L792" s="1">
        <v>45240</v>
      </c>
      <c r="M792">
        <v>1071</v>
      </c>
      <c r="N792" t="s">
        <v>2802</v>
      </c>
      <c r="O792" s="5">
        <v>45240</v>
      </c>
      <c r="P792" s="5">
        <v>43777</v>
      </c>
      <c r="Q792" s="3">
        <v>75.45</v>
      </c>
      <c r="S792">
        <f t="shared" si="36"/>
        <v>1464</v>
      </c>
      <c r="T792">
        <f t="shared" si="37"/>
        <v>16.043835616438358</v>
      </c>
      <c r="U792" s="6">
        <f t="shared" si="38"/>
        <v>0.14014434413318444</v>
      </c>
    </row>
    <row r="793" spans="1:21" x14ac:dyDescent="0.25">
      <c r="A793" t="s">
        <v>2803</v>
      </c>
      <c r="B793" t="s">
        <v>2804</v>
      </c>
      <c r="C793" t="s">
        <v>14</v>
      </c>
      <c r="D793">
        <v>493.7</v>
      </c>
      <c r="E793">
        <v>495.95</v>
      </c>
      <c r="F793">
        <v>480.5</v>
      </c>
      <c r="G793" s="3">
        <v>483</v>
      </c>
      <c r="H793">
        <v>483.7</v>
      </c>
      <c r="I793">
        <v>492.85</v>
      </c>
      <c r="J793">
        <v>94713</v>
      </c>
      <c r="K793">
        <v>46135029.700000003</v>
      </c>
      <c r="L793" s="1">
        <v>45240</v>
      </c>
      <c r="M793">
        <v>6042</v>
      </c>
      <c r="N793" t="s">
        <v>2805</v>
      </c>
      <c r="O793" s="5">
        <v>45240</v>
      </c>
      <c r="P793" s="5">
        <v>43777</v>
      </c>
      <c r="Q793" s="3">
        <v>270.10000000000002</v>
      </c>
      <c r="S793">
        <f t="shared" si="36"/>
        <v>1464</v>
      </c>
      <c r="T793">
        <f t="shared" si="37"/>
        <v>16.043835616438358</v>
      </c>
      <c r="U793" s="6">
        <f t="shared" si="38"/>
        <v>0.14756590343374576</v>
      </c>
    </row>
    <row r="794" spans="1:21" x14ac:dyDescent="0.25">
      <c r="A794" t="s">
        <v>2806</v>
      </c>
      <c r="B794" t="s">
        <v>2807</v>
      </c>
      <c r="C794" t="s">
        <v>14</v>
      </c>
      <c r="D794">
        <v>228.25</v>
      </c>
      <c r="E794">
        <v>235.7</v>
      </c>
      <c r="F794">
        <v>227.35</v>
      </c>
      <c r="G794" s="3">
        <v>231</v>
      </c>
      <c r="H794">
        <v>231.8</v>
      </c>
      <c r="I794">
        <v>228.65</v>
      </c>
      <c r="J794">
        <v>251344</v>
      </c>
      <c r="K794">
        <v>58365912.799999997</v>
      </c>
      <c r="L794" s="1">
        <v>45240</v>
      </c>
      <c r="M794">
        <v>6890</v>
      </c>
      <c r="N794" t="s">
        <v>2808</v>
      </c>
      <c r="O794" s="5">
        <v>45240</v>
      </c>
      <c r="P794" s="5">
        <v>43777</v>
      </c>
      <c r="Q794" s="3">
        <v>28.95</v>
      </c>
      <c r="S794">
        <f t="shared" si="36"/>
        <v>1464</v>
      </c>
      <c r="T794">
        <f t="shared" si="37"/>
        <v>16.043835616438358</v>
      </c>
      <c r="U794" s="6">
        <f t="shared" si="38"/>
        <v>0.55280113386744834</v>
      </c>
    </row>
    <row r="795" spans="1:21" x14ac:dyDescent="0.25">
      <c r="A795" t="s">
        <v>2809</v>
      </c>
      <c r="B795" t="s">
        <v>2810</v>
      </c>
      <c r="C795" t="s">
        <v>14</v>
      </c>
      <c r="D795">
        <v>1734.6</v>
      </c>
      <c r="E795">
        <v>1749.25</v>
      </c>
      <c r="F795">
        <v>1734.6</v>
      </c>
      <c r="G795" s="3">
        <v>1745.45</v>
      </c>
      <c r="H795">
        <v>1746.2</v>
      </c>
      <c r="I795">
        <v>1744.95</v>
      </c>
      <c r="J795">
        <v>1634799</v>
      </c>
      <c r="K795">
        <v>2845015619.1500001</v>
      </c>
      <c r="L795" s="1">
        <v>45240</v>
      </c>
      <c r="M795">
        <v>87989</v>
      </c>
      <c r="N795" t="s">
        <v>2811</v>
      </c>
      <c r="O795" s="5">
        <v>45240</v>
      </c>
      <c r="P795" s="5">
        <v>43777</v>
      </c>
      <c r="Q795" s="3">
        <v>1600.25</v>
      </c>
      <c r="S795">
        <f t="shared" si="36"/>
        <v>1464</v>
      </c>
      <c r="T795">
        <f t="shared" si="37"/>
        <v>16.043835616438358</v>
      </c>
      <c r="U795" s="6">
        <f t="shared" si="38"/>
        <v>2.1712525086526213E-2</v>
      </c>
    </row>
    <row r="796" spans="1:21" x14ac:dyDescent="0.25">
      <c r="A796" t="s">
        <v>6417</v>
      </c>
      <c r="B796" t="s">
        <v>7798</v>
      </c>
      <c r="C796" t="s">
        <v>14</v>
      </c>
      <c r="D796">
        <v>444.71</v>
      </c>
      <c r="E796">
        <v>447.67</v>
      </c>
      <c r="F796">
        <v>443.84</v>
      </c>
      <c r="G796" s="3">
        <v>446.5</v>
      </c>
      <c r="H796">
        <v>447.67</v>
      </c>
      <c r="I796">
        <v>445.71</v>
      </c>
      <c r="J796">
        <v>10129</v>
      </c>
      <c r="K796">
        <v>4509007.3499999996</v>
      </c>
      <c r="L796" s="1">
        <v>45240</v>
      </c>
      <c r="M796">
        <v>222</v>
      </c>
      <c r="N796" t="s">
        <v>6416</v>
      </c>
      <c r="O796" s="5">
        <v>45240</v>
      </c>
      <c r="P796" s="5">
        <v>43777</v>
      </c>
      <c r="Q796" s="3">
        <v>313.77</v>
      </c>
      <c r="S796">
        <f t="shared" si="36"/>
        <v>1464</v>
      </c>
      <c r="T796">
        <f t="shared" si="37"/>
        <v>16.043835616438358</v>
      </c>
      <c r="U796" s="6">
        <f t="shared" si="38"/>
        <v>8.8927933332687559E-2</v>
      </c>
    </row>
    <row r="797" spans="1:21" x14ac:dyDescent="0.25">
      <c r="A797" t="s">
        <v>6413</v>
      </c>
      <c r="B797" t="s">
        <v>7798</v>
      </c>
      <c r="C797" t="s">
        <v>14</v>
      </c>
      <c r="D797">
        <v>51.63</v>
      </c>
      <c r="E797">
        <v>52.1</v>
      </c>
      <c r="F797">
        <v>51.46</v>
      </c>
      <c r="G797" s="3">
        <v>51.58</v>
      </c>
      <c r="H797">
        <v>51.58</v>
      </c>
      <c r="I797">
        <v>51.33</v>
      </c>
      <c r="J797">
        <v>476484</v>
      </c>
      <c r="K797">
        <v>24580434.309999999</v>
      </c>
      <c r="L797" s="1">
        <v>45240</v>
      </c>
      <c r="M797">
        <v>2111</v>
      </c>
      <c r="N797" t="s">
        <v>6412</v>
      </c>
      <c r="O797" s="5">
        <v>45240</v>
      </c>
      <c r="P797" s="5">
        <v>43777</v>
      </c>
      <c r="Q797" s="3">
        <v>335.9</v>
      </c>
      <c r="S797">
        <f t="shared" si="36"/>
        <v>1464</v>
      </c>
      <c r="T797">
        <f t="shared" si="37"/>
        <v>16.043835616438358</v>
      </c>
      <c r="U797" s="6">
        <f t="shared" si="38"/>
        <v>-0.44089413592827853</v>
      </c>
    </row>
    <row r="798" spans="1:21" x14ac:dyDescent="0.25">
      <c r="A798" t="s">
        <v>6401</v>
      </c>
      <c r="B798" t="s">
        <v>7798</v>
      </c>
      <c r="C798" t="s">
        <v>14</v>
      </c>
      <c r="D798">
        <v>208.96</v>
      </c>
      <c r="E798">
        <v>209.54</v>
      </c>
      <c r="F798">
        <v>207.56</v>
      </c>
      <c r="G798" s="3">
        <v>209.27</v>
      </c>
      <c r="H798">
        <v>209.54</v>
      </c>
      <c r="I798">
        <v>208.81</v>
      </c>
      <c r="J798">
        <v>8403</v>
      </c>
      <c r="K798">
        <v>1753365.41</v>
      </c>
      <c r="L798" s="1">
        <v>45240</v>
      </c>
      <c r="M798">
        <v>328</v>
      </c>
      <c r="N798" t="s">
        <v>6400</v>
      </c>
      <c r="O798" s="5">
        <v>45240</v>
      </c>
      <c r="P798" s="5">
        <v>43777</v>
      </c>
      <c r="Q798" s="3">
        <v>123.27</v>
      </c>
      <c r="S798">
        <f t="shared" si="36"/>
        <v>1464</v>
      </c>
      <c r="T798">
        <f t="shared" si="37"/>
        <v>16.043835616438358</v>
      </c>
      <c r="U798" s="6">
        <f t="shared" si="38"/>
        <v>0.1341510428638788</v>
      </c>
    </row>
    <row r="799" spans="1:21" x14ac:dyDescent="0.25">
      <c r="A799" t="s">
        <v>6399</v>
      </c>
      <c r="B799" t="s">
        <v>7798</v>
      </c>
      <c r="C799" t="s">
        <v>14</v>
      </c>
      <c r="D799">
        <v>117.4</v>
      </c>
      <c r="E799">
        <v>118</v>
      </c>
      <c r="F799">
        <v>114.42</v>
      </c>
      <c r="G799" s="3">
        <v>115.4</v>
      </c>
      <c r="H799">
        <v>116</v>
      </c>
      <c r="I799">
        <v>115.22</v>
      </c>
      <c r="J799">
        <v>10739</v>
      </c>
      <c r="K799">
        <v>1235856.24</v>
      </c>
      <c r="L799" s="1">
        <v>45240</v>
      </c>
      <c r="M799">
        <v>258</v>
      </c>
      <c r="N799" t="s">
        <v>6398</v>
      </c>
      <c r="O799" s="5">
        <v>45240</v>
      </c>
      <c r="P799" s="5">
        <v>43777</v>
      </c>
      <c r="Q799" s="3">
        <v>58.62</v>
      </c>
      <c r="S799">
        <f t="shared" si="36"/>
        <v>1464</v>
      </c>
      <c r="T799">
        <f t="shared" si="37"/>
        <v>16.043835616438358</v>
      </c>
      <c r="U799" s="6">
        <f t="shared" si="38"/>
        <v>0.17248475677775232</v>
      </c>
    </row>
    <row r="800" spans="1:21" x14ac:dyDescent="0.25">
      <c r="A800" t="s">
        <v>6397</v>
      </c>
      <c r="B800" t="s">
        <v>7798</v>
      </c>
      <c r="C800" t="s">
        <v>14</v>
      </c>
      <c r="D800">
        <v>499.93</v>
      </c>
      <c r="E800">
        <v>500.66</v>
      </c>
      <c r="F800">
        <v>496.17</v>
      </c>
      <c r="G800" s="3">
        <v>499.63</v>
      </c>
      <c r="H800">
        <v>500</v>
      </c>
      <c r="I800">
        <v>499.92</v>
      </c>
      <c r="J800">
        <v>2046</v>
      </c>
      <c r="K800">
        <v>1020865.62</v>
      </c>
      <c r="L800" s="1">
        <v>45240</v>
      </c>
      <c r="M800">
        <v>185</v>
      </c>
      <c r="N800" t="s">
        <v>6396</v>
      </c>
      <c r="O800" s="5">
        <v>45240</v>
      </c>
      <c r="P800" s="5">
        <v>43777</v>
      </c>
      <c r="Q800" s="3">
        <v>239.94</v>
      </c>
      <c r="S800">
        <f t="shared" si="36"/>
        <v>1464</v>
      </c>
      <c r="T800">
        <f t="shared" si="37"/>
        <v>16.043835616438358</v>
      </c>
      <c r="U800" s="6">
        <f t="shared" si="38"/>
        <v>0.18711328001334326</v>
      </c>
    </row>
    <row r="801" spans="1:21" x14ac:dyDescent="0.25">
      <c r="A801" t="s">
        <v>2812</v>
      </c>
      <c r="B801" t="s">
        <v>2813</v>
      </c>
      <c r="C801" t="s">
        <v>10</v>
      </c>
      <c r="D801">
        <v>52.7</v>
      </c>
      <c r="E801">
        <v>53.05</v>
      </c>
      <c r="F801">
        <v>51.2</v>
      </c>
      <c r="G801" s="3">
        <v>52.65</v>
      </c>
      <c r="H801">
        <v>53</v>
      </c>
      <c r="I801">
        <v>52.7</v>
      </c>
      <c r="J801">
        <v>57682</v>
      </c>
      <c r="K801">
        <v>3011220.9</v>
      </c>
      <c r="L801" s="1">
        <v>45240</v>
      </c>
      <c r="M801">
        <v>596</v>
      </c>
      <c r="N801" t="s">
        <v>2814</v>
      </c>
      <c r="O801" s="5">
        <v>45240</v>
      </c>
      <c r="P801" s="5">
        <v>43777</v>
      </c>
      <c r="Q801" s="3">
        <v>10.199999999999999</v>
      </c>
      <c r="S801">
        <f t="shared" si="36"/>
        <v>1464</v>
      </c>
      <c r="T801">
        <f t="shared" si="37"/>
        <v>16.043835616438358</v>
      </c>
      <c r="U801" s="6">
        <f t="shared" si="38"/>
        <v>0.43086132660144916</v>
      </c>
    </row>
    <row r="802" spans="1:21" x14ac:dyDescent="0.25">
      <c r="A802" t="s">
        <v>2815</v>
      </c>
      <c r="B802" t="s">
        <v>2816</v>
      </c>
      <c r="C802" t="s">
        <v>14</v>
      </c>
      <c r="D802">
        <v>139.85</v>
      </c>
      <c r="E802">
        <v>154.65</v>
      </c>
      <c r="F802">
        <v>136.19999999999999</v>
      </c>
      <c r="G802" s="3">
        <v>152.19999999999999</v>
      </c>
      <c r="H802">
        <v>152.25</v>
      </c>
      <c r="I802">
        <v>131.44999999999999</v>
      </c>
      <c r="J802">
        <v>3196881</v>
      </c>
      <c r="K802">
        <v>478099223.85000002</v>
      </c>
      <c r="L802" s="1">
        <v>45240</v>
      </c>
      <c r="M802">
        <v>33464</v>
      </c>
      <c r="N802" t="s">
        <v>2817</v>
      </c>
      <c r="O802" s="5">
        <v>45240</v>
      </c>
      <c r="P802" s="5">
        <v>43777</v>
      </c>
      <c r="Q802" s="3">
        <v>16.7</v>
      </c>
      <c r="S802">
        <f t="shared" si="36"/>
        <v>1464</v>
      </c>
      <c r="T802">
        <f t="shared" si="37"/>
        <v>16.043835616438358</v>
      </c>
      <c r="U802" s="6">
        <f t="shared" si="38"/>
        <v>0.59068236859319079</v>
      </c>
    </row>
    <row r="803" spans="1:21" x14ac:dyDescent="0.25">
      <c r="A803" t="s">
        <v>2818</v>
      </c>
      <c r="B803" t="s">
        <v>2819</v>
      </c>
      <c r="C803" t="s">
        <v>14</v>
      </c>
      <c r="D803">
        <v>121.65</v>
      </c>
      <c r="E803">
        <v>123.85</v>
      </c>
      <c r="F803">
        <v>118.5</v>
      </c>
      <c r="G803" s="3">
        <v>122.2</v>
      </c>
      <c r="H803">
        <v>123</v>
      </c>
      <c r="I803">
        <v>120.95</v>
      </c>
      <c r="J803">
        <v>6792</v>
      </c>
      <c r="K803">
        <v>826623.55</v>
      </c>
      <c r="L803" s="1">
        <v>45240</v>
      </c>
      <c r="M803">
        <v>246</v>
      </c>
      <c r="N803" t="s">
        <v>2820</v>
      </c>
      <c r="O803" s="5">
        <v>45240</v>
      </c>
      <c r="P803" s="5">
        <v>43777</v>
      </c>
      <c r="Q803" s="3">
        <v>62.15</v>
      </c>
      <c r="S803">
        <f t="shared" si="36"/>
        <v>1464</v>
      </c>
      <c r="T803">
        <f t="shared" si="37"/>
        <v>16.043835616438358</v>
      </c>
      <c r="U803" s="6">
        <f t="shared" si="38"/>
        <v>0.17216743673390678</v>
      </c>
    </row>
    <row r="804" spans="1:21" x14ac:dyDescent="0.25">
      <c r="A804" t="s">
        <v>2827</v>
      </c>
      <c r="B804" t="s">
        <v>2828</v>
      </c>
      <c r="C804" t="s">
        <v>14</v>
      </c>
      <c r="D804">
        <v>1314.55</v>
      </c>
      <c r="E804">
        <v>1377.35</v>
      </c>
      <c r="F804">
        <v>1310</v>
      </c>
      <c r="G804" s="3">
        <v>1369.2</v>
      </c>
      <c r="H804">
        <v>1362</v>
      </c>
      <c r="I804">
        <v>1314.7</v>
      </c>
      <c r="J804">
        <v>1439812</v>
      </c>
      <c r="K804">
        <v>1947812589.8</v>
      </c>
      <c r="L804" s="1">
        <v>45240</v>
      </c>
      <c r="M804">
        <v>62031</v>
      </c>
      <c r="N804" t="s">
        <v>2829</v>
      </c>
      <c r="O804" s="5">
        <v>45240</v>
      </c>
      <c r="P804" s="5">
        <v>43777</v>
      </c>
      <c r="Q804" s="3">
        <v>90</v>
      </c>
      <c r="S804">
        <f t="shared" si="36"/>
        <v>1464</v>
      </c>
      <c r="T804">
        <f t="shared" si="37"/>
        <v>16.043835616438358</v>
      </c>
      <c r="U804" s="6">
        <f t="shared" si="38"/>
        <v>0.73965938809796938</v>
      </c>
    </row>
    <row r="805" spans="1:21" x14ac:dyDescent="0.25">
      <c r="A805" t="s">
        <v>2830</v>
      </c>
      <c r="B805" t="s">
        <v>2831</v>
      </c>
      <c r="C805" t="s">
        <v>14</v>
      </c>
      <c r="D805">
        <v>786</v>
      </c>
      <c r="E805">
        <v>787.95</v>
      </c>
      <c r="F805">
        <v>768.1</v>
      </c>
      <c r="G805" s="3">
        <v>771.3</v>
      </c>
      <c r="H805">
        <v>772</v>
      </c>
      <c r="I805">
        <v>784.65</v>
      </c>
      <c r="J805">
        <v>95015</v>
      </c>
      <c r="K805">
        <v>73890945.799999997</v>
      </c>
      <c r="L805" s="1">
        <v>45240</v>
      </c>
      <c r="M805">
        <v>6601</v>
      </c>
      <c r="N805" t="s">
        <v>2832</v>
      </c>
      <c r="O805" s="5">
        <v>45240</v>
      </c>
      <c r="P805" s="5">
        <v>43777</v>
      </c>
      <c r="Q805" s="3">
        <v>653.20000000000005</v>
      </c>
      <c r="S805">
        <f t="shared" si="36"/>
        <v>1464</v>
      </c>
      <c r="T805">
        <f t="shared" si="37"/>
        <v>16.043835616438358</v>
      </c>
      <c r="U805" s="6">
        <f t="shared" si="38"/>
        <v>4.1650340183381651E-2</v>
      </c>
    </row>
    <row r="806" spans="1:21" x14ac:dyDescent="0.25">
      <c r="A806" t="s">
        <v>2833</v>
      </c>
      <c r="B806" t="s">
        <v>2834</v>
      </c>
      <c r="C806" t="s">
        <v>14</v>
      </c>
      <c r="D806">
        <v>353.9</v>
      </c>
      <c r="E806">
        <v>359.05</v>
      </c>
      <c r="F806">
        <v>350</v>
      </c>
      <c r="G806" s="3">
        <v>355.3</v>
      </c>
      <c r="H806">
        <v>355</v>
      </c>
      <c r="I806">
        <v>353.9</v>
      </c>
      <c r="J806">
        <v>829465</v>
      </c>
      <c r="K806">
        <v>293997457</v>
      </c>
      <c r="L806" s="1">
        <v>45240</v>
      </c>
      <c r="M806">
        <v>17038</v>
      </c>
      <c r="N806" t="s">
        <v>2835</v>
      </c>
      <c r="O806" s="5">
        <v>45240</v>
      </c>
      <c r="P806" s="5">
        <v>43777</v>
      </c>
      <c r="Q806" s="3">
        <v>207.8</v>
      </c>
      <c r="S806">
        <f t="shared" si="36"/>
        <v>1464</v>
      </c>
      <c r="T806">
        <f t="shared" si="37"/>
        <v>16.043835616438358</v>
      </c>
      <c r="U806" s="6">
        <f t="shared" si="38"/>
        <v>0.13599081558364468</v>
      </c>
    </row>
    <row r="807" spans="1:21" x14ac:dyDescent="0.25">
      <c r="A807" t="s">
        <v>2836</v>
      </c>
      <c r="B807" t="s">
        <v>2837</v>
      </c>
      <c r="C807" t="s">
        <v>14</v>
      </c>
      <c r="D807">
        <v>84.2</v>
      </c>
      <c r="E807">
        <v>85.4</v>
      </c>
      <c r="F807">
        <v>81.650000000000006</v>
      </c>
      <c r="G807" s="3">
        <v>81.8</v>
      </c>
      <c r="H807">
        <v>81.900000000000006</v>
      </c>
      <c r="I807">
        <v>85.95</v>
      </c>
      <c r="J807">
        <v>22883</v>
      </c>
      <c r="K807">
        <v>1908684.75</v>
      </c>
      <c r="L807" s="1">
        <v>45240</v>
      </c>
      <c r="M807">
        <v>534</v>
      </c>
      <c r="N807" t="s">
        <v>2838</v>
      </c>
      <c r="O807" s="5">
        <v>45240</v>
      </c>
      <c r="P807" s="5">
        <v>43777</v>
      </c>
      <c r="Q807" s="3">
        <v>89.35</v>
      </c>
      <c r="S807">
        <f t="shared" si="36"/>
        <v>1464</v>
      </c>
      <c r="T807">
        <f t="shared" si="37"/>
        <v>16.043835616438358</v>
      </c>
      <c r="U807" s="6">
        <f t="shared" si="38"/>
        <v>-2.1950248304228648E-2</v>
      </c>
    </row>
    <row r="808" spans="1:21" x14ac:dyDescent="0.25">
      <c r="A808" t="s">
        <v>2839</v>
      </c>
      <c r="B808" t="s">
        <v>2840</v>
      </c>
      <c r="C808" t="s">
        <v>10</v>
      </c>
      <c r="D808">
        <v>2.85</v>
      </c>
      <c r="E808">
        <v>2.85</v>
      </c>
      <c r="F808">
        <v>2.85</v>
      </c>
      <c r="G808" s="3">
        <v>2.85</v>
      </c>
      <c r="H808">
        <v>2.85</v>
      </c>
      <c r="I808">
        <v>2.75</v>
      </c>
      <c r="J808">
        <v>44562</v>
      </c>
      <c r="K808">
        <v>127001.7</v>
      </c>
      <c r="L808" s="1">
        <v>45240</v>
      </c>
      <c r="M808">
        <v>33</v>
      </c>
      <c r="N808" t="s">
        <v>2841</v>
      </c>
      <c r="O808" s="5">
        <v>45240</v>
      </c>
      <c r="P808" s="5">
        <v>43777</v>
      </c>
      <c r="Q808" s="3">
        <v>5.05</v>
      </c>
      <c r="S808">
        <f t="shared" si="36"/>
        <v>1464</v>
      </c>
      <c r="T808">
        <f t="shared" si="37"/>
        <v>16.043835616438358</v>
      </c>
      <c r="U808" s="6">
        <f t="shared" si="38"/>
        <v>-0.14011371778036086</v>
      </c>
    </row>
    <row r="809" spans="1:21" x14ac:dyDescent="0.25">
      <c r="A809" t="s">
        <v>2842</v>
      </c>
      <c r="B809" t="s">
        <v>2843</v>
      </c>
      <c r="C809" t="s">
        <v>14</v>
      </c>
      <c r="D809">
        <v>250.6</v>
      </c>
      <c r="E809">
        <v>262</v>
      </c>
      <c r="F809">
        <v>233.9</v>
      </c>
      <c r="G809" s="3">
        <v>238.25</v>
      </c>
      <c r="H809">
        <v>238.1</v>
      </c>
      <c r="I809">
        <v>251.05</v>
      </c>
      <c r="J809">
        <v>245916</v>
      </c>
      <c r="K809">
        <v>61065887.700000003</v>
      </c>
      <c r="L809" s="1">
        <v>45240</v>
      </c>
      <c r="M809">
        <v>6865</v>
      </c>
      <c r="N809" t="s">
        <v>2844</v>
      </c>
      <c r="O809" s="5">
        <v>45240</v>
      </c>
      <c r="P809" s="5">
        <v>43777</v>
      </c>
      <c r="Q809" s="3">
        <v>53.05</v>
      </c>
      <c r="S809">
        <f t="shared" si="36"/>
        <v>1464</v>
      </c>
      <c r="T809">
        <f t="shared" si="37"/>
        <v>16.043835616438358</v>
      </c>
      <c r="U809" s="6">
        <f t="shared" si="38"/>
        <v>0.39258640651312771</v>
      </c>
    </row>
    <row r="810" spans="1:21" x14ac:dyDescent="0.25">
      <c r="A810" t="s">
        <v>2848</v>
      </c>
      <c r="B810" t="s">
        <v>2849</v>
      </c>
      <c r="C810" t="s">
        <v>10</v>
      </c>
      <c r="D810">
        <v>22.1</v>
      </c>
      <c r="E810">
        <v>22.1</v>
      </c>
      <c r="F810">
        <v>22.1</v>
      </c>
      <c r="G810" s="3">
        <v>22.1</v>
      </c>
      <c r="H810">
        <v>22.1</v>
      </c>
      <c r="I810">
        <v>21.7</v>
      </c>
      <c r="J810">
        <v>89756</v>
      </c>
      <c r="K810">
        <v>1983607.6</v>
      </c>
      <c r="L810" s="1">
        <v>45240</v>
      </c>
      <c r="M810">
        <v>297</v>
      </c>
      <c r="N810" t="s">
        <v>2850</v>
      </c>
      <c r="O810" s="5">
        <v>45240</v>
      </c>
      <c r="P810" s="5">
        <v>43777</v>
      </c>
      <c r="Q810" s="3">
        <v>34.75</v>
      </c>
      <c r="S810">
        <f t="shared" si="36"/>
        <v>1464</v>
      </c>
      <c r="T810">
        <f t="shared" si="37"/>
        <v>16.043835616438358</v>
      </c>
      <c r="U810" s="6">
        <f t="shared" si="38"/>
        <v>-0.11126455261285351</v>
      </c>
    </row>
    <row r="811" spans="1:21" x14ac:dyDescent="0.25">
      <c r="A811" t="s">
        <v>2857</v>
      </c>
      <c r="B811" t="s">
        <v>2858</v>
      </c>
      <c r="C811" t="s">
        <v>14</v>
      </c>
      <c r="D811">
        <v>3070</v>
      </c>
      <c r="E811">
        <v>3127.9</v>
      </c>
      <c r="F811">
        <v>3011.2</v>
      </c>
      <c r="G811" s="3">
        <v>3041</v>
      </c>
      <c r="H811">
        <v>3038.95</v>
      </c>
      <c r="I811">
        <v>3092.1</v>
      </c>
      <c r="J811">
        <v>19646</v>
      </c>
      <c r="K811">
        <v>60313661.600000001</v>
      </c>
      <c r="L811" s="1">
        <v>45240</v>
      </c>
      <c r="M811">
        <v>5037</v>
      </c>
      <c r="N811" t="s">
        <v>2859</v>
      </c>
      <c r="O811" s="5">
        <v>45240</v>
      </c>
      <c r="P811" s="5">
        <v>43777</v>
      </c>
      <c r="Q811" s="3">
        <v>715.65</v>
      </c>
      <c r="S811">
        <f t="shared" si="36"/>
        <v>1464</v>
      </c>
      <c r="T811">
        <f t="shared" si="37"/>
        <v>16.043835616438358</v>
      </c>
      <c r="U811" s="6">
        <f t="shared" si="38"/>
        <v>0.37746246637905401</v>
      </c>
    </row>
    <row r="812" spans="1:21" x14ac:dyDescent="0.25">
      <c r="A812" t="s">
        <v>2860</v>
      </c>
      <c r="B812" t="s">
        <v>2861</v>
      </c>
      <c r="C812" t="s">
        <v>14</v>
      </c>
      <c r="D812">
        <v>609.20000000000005</v>
      </c>
      <c r="E812">
        <v>616.9</v>
      </c>
      <c r="F812">
        <v>597.29999999999995</v>
      </c>
      <c r="G812" s="3">
        <v>601.45000000000005</v>
      </c>
      <c r="H812">
        <v>603.79999999999995</v>
      </c>
      <c r="I812">
        <v>606.15</v>
      </c>
      <c r="J812">
        <v>78979</v>
      </c>
      <c r="K812">
        <v>47875388.899999999</v>
      </c>
      <c r="L812" s="1">
        <v>45240</v>
      </c>
      <c r="M812">
        <v>6457</v>
      </c>
      <c r="N812" t="s">
        <v>2862</v>
      </c>
      <c r="O812" s="5">
        <v>45240</v>
      </c>
      <c r="P812" s="5">
        <v>43777</v>
      </c>
      <c r="Q812" s="3">
        <v>536.04999999999995</v>
      </c>
      <c r="S812">
        <f t="shared" si="36"/>
        <v>1464</v>
      </c>
      <c r="T812">
        <f t="shared" si="37"/>
        <v>16.043835616438358</v>
      </c>
      <c r="U812" s="6">
        <f t="shared" si="38"/>
        <v>2.8803570946638324E-2</v>
      </c>
    </row>
    <row r="813" spans="1:21" x14ac:dyDescent="0.25">
      <c r="A813" t="s">
        <v>2866</v>
      </c>
      <c r="B813" t="s">
        <v>2867</v>
      </c>
      <c r="C813" t="s">
        <v>14</v>
      </c>
      <c r="D813">
        <v>457.15</v>
      </c>
      <c r="E813">
        <v>462.7</v>
      </c>
      <c r="F813">
        <v>450</v>
      </c>
      <c r="G813" s="3">
        <v>451.6</v>
      </c>
      <c r="H813">
        <v>453</v>
      </c>
      <c r="I813">
        <v>456.05</v>
      </c>
      <c r="J813">
        <v>43469</v>
      </c>
      <c r="K813">
        <v>19827065.100000001</v>
      </c>
      <c r="L813" s="1">
        <v>45240</v>
      </c>
      <c r="M813">
        <v>4495</v>
      </c>
      <c r="N813" t="s">
        <v>2868</v>
      </c>
      <c r="O813" s="5">
        <v>45240</v>
      </c>
      <c r="P813" s="5">
        <v>43777</v>
      </c>
      <c r="Q813" s="3">
        <v>223.15</v>
      </c>
      <c r="S813">
        <f t="shared" si="36"/>
        <v>1464</v>
      </c>
      <c r="T813">
        <f t="shared" si="37"/>
        <v>16.043835616438358</v>
      </c>
      <c r="U813" s="6">
        <f t="shared" si="38"/>
        <v>0.17967511544328385</v>
      </c>
    </row>
    <row r="814" spans="1:21" x14ac:dyDescent="0.25">
      <c r="A814" t="s">
        <v>2872</v>
      </c>
      <c r="B814" t="s">
        <v>2873</v>
      </c>
      <c r="C814" t="s">
        <v>14</v>
      </c>
      <c r="D814">
        <v>219.05</v>
      </c>
      <c r="E814">
        <v>219.35</v>
      </c>
      <c r="F814">
        <v>215</v>
      </c>
      <c r="G814" s="3">
        <v>216.9</v>
      </c>
      <c r="H814">
        <v>217.45</v>
      </c>
      <c r="I814">
        <v>219.35</v>
      </c>
      <c r="J814">
        <v>817314</v>
      </c>
      <c r="K814">
        <v>177876273.69999999</v>
      </c>
      <c r="L814" s="1">
        <v>45240</v>
      </c>
      <c r="M814">
        <v>12152</v>
      </c>
      <c r="N814" t="s">
        <v>2874</v>
      </c>
      <c r="O814" s="5">
        <v>45240</v>
      </c>
      <c r="P814" s="5">
        <v>43777</v>
      </c>
      <c r="Q814" s="3">
        <v>78.150000000000006</v>
      </c>
      <c r="S814">
        <f t="shared" si="36"/>
        <v>1464</v>
      </c>
      <c r="T814">
        <f t="shared" si="37"/>
        <v>16.043835616438358</v>
      </c>
      <c r="U814" s="6">
        <f t="shared" si="38"/>
        <v>0.26277535805824659</v>
      </c>
    </row>
    <row r="815" spans="1:21" x14ac:dyDescent="0.25">
      <c r="A815" t="s">
        <v>2875</v>
      </c>
      <c r="B815" t="s">
        <v>2876</v>
      </c>
      <c r="C815" t="s">
        <v>14</v>
      </c>
      <c r="D815">
        <v>172</v>
      </c>
      <c r="E815">
        <v>176.8</v>
      </c>
      <c r="F815">
        <v>170.1</v>
      </c>
      <c r="G815" s="3">
        <v>172.85</v>
      </c>
      <c r="H815">
        <v>171</v>
      </c>
      <c r="I815">
        <v>174</v>
      </c>
      <c r="J815">
        <v>114442</v>
      </c>
      <c r="K815">
        <v>19830040.350000001</v>
      </c>
      <c r="L815" s="1">
        <v>45240</v>
      </c>
      <c r="M815">
        <v>3184</v>
      </c>
      <c r="N815" t="s">
        <v>2877</v>
      </c>
      <c r="O815" s="5">
        <v>45240</v>
      </c>
      <c r="P815" s="5">
        <v>43777</v>
      </c>
      <c r="Q815" s="3">
        <v>449.85</v>
      </c>
      <c r="S815">
        <f t="shared" si="36"/>
        <v>1464</v>
      </c>
      <c r="T815">
        <f t="shared" si="37"/>
        <v>16.043835616438358</v>
      </c>
      <c r="U815" s="6">
        <f t="shared" si="38"/>
        <v>-0.23149990523837705</v>
      </c>
    </row>
    <row r="816" spans="1:21" x14ac:dyDescent="0.25">
      <c r="A816" t="s">
        <v>2878</v>
      </c>
      <c r="B816" t="s">
        <v>2879</v>
      </c>
      <c r="C816" t="s">
        <v>14</v>
      </c>
      <c r="D816">
        <v>140.94999999999999</v>
      </c>
      <c r="E816">
        <v>142.1</v>
      </c>
      <c r="F816">
        <v>138.5</v>
      </c>
      <c r="G816" s="3">
        <v>140.80000000000001</v>
      </c>
      <c r="H816">
        <v>141.35</v>
      </c>
      <c r="I816">
        <v>140.94999999999999</v>
      </c>
      <c r="J816">
        <v>7375541</v>
      </c>
      <c r="K816">
        <v>1037757185.65</v>
      </c>
      <c r="L816" s="1">
        <v>45240</v>
      </c>
      <c r="M816">
        <v>41171</v>
      </c>
      <c r="N816" t="s">
        <v>2880</v>
      </c>
      <c r="O816" s="5">
        <v>45240</v>
      </c>
      <c r="P816" s="5">
        <v>43777</v>
      </c>
      <c r="Q816" s="3">
        <v>99.55</v>
      </c>
      <c r="S816">
        <f t="shared" si="36"/>
        <v>1464</v>
      </c>
      <c r="T816">
        <f t="shared" si="37"/>
        <v>16.043835616438358</v>
      </c>
      <c r="U816" s="6">
        <f t="shared" si="38"/>
        <v>8.7373901883967875E-2</v>
      </c>
    </row>
    <row r="817" spans="1:21" x14ac:dyDescent="0.25">
      <c r="A817" t="s">
        <v>6375</v>
      </c>
      <c r="B817" t="s">
        <v>7798</v>
      </c>
      <c r="C817" t="s">
        <v>6385</v>
      </c>
      <c r="D817">
        <v>1105.0999999999999</v>
      </c>
      <c r="E817">
        <v>1105.0999999999999</v>
      </c>
      <c r="F817">
        <v>1105.0999999999999</v>
      </c>
      <c r="G817" s="3">
        <v>1105.0999999999999</v>
      </c>
      <c r="H817">
        <v>1105.0999999999999</v>
      </c>
      <c r="I817">
        <v>1107</v>
      </c>
      <c r="J817">
        <v>40</v>
      </c>
      <c r="K817">
        <v>44204</v>
      </c>
      <c r="L817" s="1">
        <v>45240</v>
      </c>
      <c r="M817">
        <v>2</v>
      </c>
      <c r="N817" t="s">
        <v>6384</v>
      </c>
      <c r="O817" s="5">
        <v>45240</v>
      </c>
      <c r="P817" s="5">
        <v>43777</v>
      </c>
      <c r="Q817" s="3">
        <v>1080</v>
      </c>
      <c r="S817">
        <f t="shared" si="36"/>
        <v>1464</v>
      </c>
      <c r="T817">
        <f t="shared" si="37"/>
        <v>16.043835616438358</v>
      </c>
      <c r="U817" s="6">
        <f t="shared" si="38"/>
        <v>5.7321069199502972E-3</v>
      </c>
    </row>
    <row r="818" spans="1:21" x14ac:dyDescent="0.25">
      <c r="A818" t="s">
        <v>6375</v>
      </c>
      <c r="B818" t="s">
        <v>7798</v>
      </c>
      <c r="C818" t="s">
        <v>6383</v>
      </c>
      <c r="D818">
        <v>1070</v>
      </c>
      <c r="E818">
        <v>1070</v>
      </c>
      <c r="F818">
        <v>1070</v>
      </c>
      <c r="G818" s="3">
        <v>1070</v>
      </c>
      <c r="H818">
        <v>1070</v>
      </c>
      <c r="I818">
        <v>1057</v>
      </c>
      <c r="J818">
        <v>10</v>
      </c>
      <c r="K818">
        <v>10700</v>
      </c>
      <c r="L818" s="1">
        <v>45240</v>
      </c>
      <c r="M818">
        <v>2</v>
      </c>
      <c r="N818" t="s">
        <v>6382</v>
      </c>
      <c r="O818" s="5">
        <v>45240</v>
      </c>
      <c r="P818" s="5">
        <v>43777</v>
      </c>
      <c r="Q818" s="3">
        <v>1080</v>
      </c>
      <c r="S818">
        <f t="shared" si="36"/>
        <v>1464</v>
      </c>
      <c r="T818">
        <f t="shared" si="37"/>
        <v>16.043835616438358</v>
      </c>
      <c r="U818" s="6">
        <f t="shared" si="38"/>
        <v>-2.3185718405254185E-3</v>
      </c>
    </row>
    <row r="819" spans="1:21" x14ac:dyDescent="0.25">
      <c r="A819" t="s">
        <v>6375</v>
      </c>
      <c r="B819" t="s">
        <v>7798</v>
      </c>
      <c r="C819" t="s">
        <v>6381</v>
      </c>
      <c r="D819">
        <v>1034.75</v>
      </c>
      <c r="E819">
        <v>1034.75</v>
      </c>
      <c r="F819">
        <v>1034.75</v>
      </c>
      <c r="G819" s="3">
        <v>1034.75</v>
      </c>
      <c r="H819">
        <v>1034.75</v>
      </c>
      <c r="I819">
        <v>1015</v>
      </c>
      <c r="J819">
        <v>3</v>
      </c>
      <c r="K819">
        <v>3104.25</v>
      </c>
      <c r="L819" s="1">
        <v>45240</v>
      </c>
      <c r="M819">
        <v>1</v>
      </c>
      <c r="N819" t="s">
        <v>6380</v>
      </c>
      <c r="O819" s="5">
        <v>45240</v>
      </c>
      <c r="P819" s="5">
        <v>43777</v>
      </c>
      <c r="Q819" s="3">
        <v>1080</v>
      </c>
      <c r="S819">
        <f t="shared" si="36"/>
        <v>1464</v>
      </c>
      <c r="T819">
        <f t="shared" si="37"/>
        <v>16.043835616438358</v>
      </c>
      <c r="U819" s="6">
        <f t="shared" si="38"/>
        <v>-1.0656840291931591E-2</v>
      </c>
    </row>
    <row r="820" spans="1:21" x14ac:dyDescent="0.25">
      <c r="A820" t="s">
        <v>6375</v>
      </c>
      <c r="B820" t="s">
        <v>7798</v>
      </c>
      <c r="C820" t="s">
        <v>6379</v>
      </c>
      <c r="D820">
        <v>1080</v>
      </c>
      <c r="E820">
        <v>1080</v>
      </c>
      <c r="F820">
        <v>1080</v>
      </c>
      <c r="G820" s="3">
        <v>1080</v>
      </c>
      <c r="H820">
        <v>1080</v>
      </c>
      <c r="I820">
        <v>1076.9000000000001</v>
      </c>
      <c r="J820">
        <v>30</v>
      </c>
      <c r="K820">
        <v>32400</v>
      </c>
      <c r="L820" s="1">
        <v>45240</v>
      </c>
      <c r="M820">
        <v>3</v>
      </c>
      <c r="N820" t="s">
        <v>6378</v>
      </c>
      <c r="O820" s="5">
        <v>45240</v>
      </c>
      <c r="P820" s="5">
        <v>43777</v>
      </c>
      <c r="Q820" s="3">
        <v>1080</v>
      </c>
      <c r="S820">
        <f t="shared" si="36"/>
        <v>1464</v>
      </c>
      <c r="T820">
        <f t="shared" si="37"/>
        <v>16.043835616438358</v>
      </c>
      <c r="U820" s="6">
        <f t="shared" si="38"/>
        <v>0</v>
      </c>
    </row>
    <row r="821" spans="1:21" x14ac:dyDescent="0.25">
      <c r="A821" t="s">
        <v>6375</v>
      </c>
      <c r="B821" t="s">
        <v>7798</v>
      </c>
      <c r="C821" t="s">
        <v>6377</v>
      </c>
      <c r="D821">
        <v>1010</v>
      </c>
      <c r="E821">
        <v>1010</v>
      </c>
      <c r="F821">
        <v>1002</v>
      </c>
      <c r="G821" s="3">
        <v>1005</v>
      </c>
      <c r="H821">
        <v>1005</v>
      </c>
      <c r="I821">
        <v>1002</v>
      </c>
      <c r="J821">
        <v>131</v>
      </c>
      <c r="K821">
        <v>131754.99</v>
      </c>
      <c r="L821" s="1">
        <v>45240</v>
      </c>
      <c r="M821">
        <v>8</v>
      </c>
      <c r="N821" t="s">
        <v>6376</v>
      </c>
      <c r="O821" s="5">
        <v>45240</v>
      </c>
      <c r="P821" s="5">
        <v>43777</v>
      </c>
      <c r="Q821" s="3">
        <v>1080</v>
      </c>
      <c r="S821">
        <f t="shared" si="36"/>
        <v>1464</v>
      </c>
      <c r="T821">
        <f t="shared" si="37"/>
        <v>16.043835616438358</v>
      </c>
      <c r="U821" s="6">
        <f t="shared" si="38"/>
        <v>-1.7904023453127582E-2</v>
      </c>
    </row>
    <row r="822" spans="1:21" x14ac:dyDescent="0.25">
      <c r="A822" t="s">
        <v>6375</v>
      </c>
      <c r="B822" t="s">
        <v>7798</v>
      </c>
      <c r="C822" t="s">
        <v>6374</v>
      </c>
      <c r="D822">
        <v>1086.5</v>
      </c>
      <c r="E822">
        <v>1090</v>
      </c>
      <c r="F822">
        <v>1084</v>
      </c>
      <c r="G822" s="3">
        <v>1088.4100000000001</v>
      </c>
      <c r="H822">
        <v>1088.05</v>
      </c>
      <c r="I822">
        <v>1086</v>
      </c>
      <c r="J822">
        <v>1719</v>
      </c>
      <c r="K822">
        <v>1867624.7</v>
      </c>
      <c r="L822" s="1">
        <v>45240</v>
      </c>
      <c r="M822">
        <v>18</v>
      </c>
      <c r="N822" t="s">
        <v>6373</v>
      </c>
      <c r="O822" s="5">
        <v>45240</v>
      </c>
      <c r="P822" s="5">
        <v>43777</v>
      </c>
      <c r="Q822" s="3">
        <v>1080</v>
      </c>
      <c r="S822">
        <f t="shared" si="36"/>
        <v>1464</v>
      </c>
      <c r="T822">
        <f t="shared" si="37"/>
        <v>16.043835616438358</v>
      </c>
      <c r="U822" s="6">
        <f t="shared" si="38"/>
        <v>1.9343878065116726E-3</v>
      </c>
    </row>
    <row r="823" spans="1:21" x14ac:dyDescent="0.25">
      <c r="A823" t="s">
        <v>2890</v>
      </c>
      <c r="B823" t="s">
        <v>2891</v>
      </c>
      <c r="C823" t="s">
        <v>14</v>
      </c>
      <c r="D823">
        <v>2724.95</v>
      </c>
      <c r="E823">
        <v>2729.25</v>
      </c>
      <c r="F823">
        <v>2667.1</v>
      </c>
      <c r="G823" s="3">
        <v>2676.9</v>
      </c>
      <c r="H823">
        <v>2678</v>
      </c>
      <c r="I823">
        <v>2732.55</v>
      </c>
      <c r="J823">
        <v>262993</v>
      </c>
      <c r="K823">
        <v>710399748.79999995</v>
      </c>
      <c r="L823" s="1">
        <v>45240</v>
      </c>
      <c r="M823">
        <v>34743</v>
      </c>
      <c r="N823" t="s">
        <v>2892</v>
      </c>
      <c r="O823" s="5">
        <v>45240</v>
      </c>
      <c r="P823" s="5">
        <v>43777</v>
      </c>
      <c r="Q823" s="3">
        <v>1452.9</v>
      </c>
      <c r="S823">
        <f t="shared" si="36"/>
        <v>1464</v>
      </c>
      <c r="T823">
        <f t="shared" si="37"/>
        <v>16.043835616438358</v>
      </c>
      <c r="U823" s="6">
        <f t="shared" si="38"/>
        <v>0.15529582270168429</v>
      </c>
    </row>
    <row r="824" spans="1:21" x14ac:dyDescent="0.25">
      <c r="A824" t="s">
        <v>2893</v>
      </c>
      <c r="B824" t="s">
        <v>2894</v>
      </c>
      <c r="C824" t="s">
        <v>14</v>
      </c>
      <c r="D824">
        <v>153.05000000000001</v>
      </c>
      <c r="E824">
        <v>155.75</v>
      </c>
      <c r="F824">
        <v>153</v>
      </c>
      <c r="G824" s="3">
        <v>154.44999999999999</v>
      </c>
      <c r="H824">
        <v>155</v>
      </c>
      <c r="I824">
        <v>152.75</v>
      </c>
      <c r="J824">
        <v>8856</v>
      </c>
      <c r="K824">
        <v>1369555.95</v>
      </c>
      <c r="L824" s="1">
        <v>45240</v>
      </c>
      <c r="M824">
        <v>345</v>
      </c>
      <c r="N824" t="s">
        <v>2895</v>
      </c>
      <c r="O824" s="5">
        <v>45240</v>
      </c>
      <c r="P824" s="5">
        <v>43777</v>
      </c>
      <c r="Q824" s="3">
        <v>30.95</v>
      </c>
      <c r="S824">
        <f t="shared" si="36"/>
        <v>1464</v>
      </c>
      <c r="T824">
        <f t="shared" si="37"/>
        <v>16.043835616438358</v>
      </c>
      <c r="U824" s="6">
        <f t="shared" si="38"/>
        <v>0.42154174141188427</v>
      </c>
    </row>
    <row r="825" spans="1:21" x14ac:dyDescent="0.25">
      <c r="A825" t="s">
        <v>2899</v>
      </c>
      <c r="B825" t="s">
        <v>2900</v>
      </c>
      <c r="C825" t="s">
        <v>14</v>
      </c>
      <c r="D825">
        <v>430.4</v>
      </c>
      <c r="E825">
        <v>442.9</v>
      </c>
      <c r="F825">
        <v>421.7</v>
      </c>
      <c r="G825" s="3">
        <v>424.55</v>
      </c>
      <c r="H825">
        <v>423.5</v>
      </c>
      <c r="I825">
        <v>429.75</v>
      </c>
      <c r="J825">
        <v>123662</v>
      </c>
      <c r="K825">
        <v>53373124.600000001</v>
      </c>
      <c r="L825" s="1">
        <v>45240</v>
      </c>
      <c r="M825">
        <v>11936</v>
      </c>
      <c r="N825" t="s">
        <v>2901</v>
      </c>
      <c r="O825" s="5">
        <v>45240</v>
      </c>
      <c r="P825" s="5">
        <v>43777</v>
      </c>
      <c r="Q825" s="3">
        <v>167.35</v>
      </c>
      <c r="S825">
        <f t="shared" si="36"/>
        <v>1464</v>
      </c>
      <c r="T825">
        <f t="shared" si="37"/>
        <v>16.043835616438358</v>
      </c>
      <c r="U825" s="6">
        <f t="shared" si="38"/>
        <v>0.23896563732862397</v>
      </c>
    </row>
    <row r="826" spans="1:21" x14ac:dyDescent="0.25">
      <c r="A826" t="s">
        <v>2902</v>
      </c>
      <c r="B826" t="s">
        <v>2903</v>
      </c>
      <c r="C826" t="s">
        <v>14</v>
      </c>
      <c r="D826">
        <v>25.8</v>
      </c>
      <c r="E826">
        <v>26.35</v>
      </c>
      <c r="F826">
        <v>25.25</v>
      </c>
      <c r="G826" s="3">
        <v>25.65</v>
      </c>
      <c r="H826">
        <v>25.6</v>
      </c>
      <c r="I826">
        <v>26.25</v>
      </c>
      <c r="J826">
        <v>20842</v>
      </c>
      <c r="K826">
        <v>537959.05000000005</v>
      </c>
      <c r="L826" s="1">
        <v>45240</v>
      </c>
      <c r="M826">
        <v>306</v>
      </c>
      <c r="N826" t="s">
        <v>2904</v>
      </c>
      <c r="O826" s="5">
        <v>45240</v>
      </c>
      <c r="P826" s="5">
        <v>43777</v>
      </c>
      <c r="Q826" s="3">
        <v>18.05</v>
      </c>
      <c r="S826">
        <f t="shared" si="36"/>
        <v>1464</v>
      </c>
      <c r="T826">
        <f t="shared" si="37"/>
        <v>16.043835616438358</v>
      </c>
      <c r="U826" s="6">
        <f t="shared" si="38"/>
        <v>8.8575915799514959E-2</v>
      </c>
    </row>
    <row r="827" spans="1:21" x14ac:dyDescent="0.25">
      <c r="A827" t="s">
        <v>2911</v>
      </c>
      <c r="B827" t="s">
        <v>2912</v>
      </c>
      <c r="C827" t="s">
        <v>14</v>
      </c>
      <c r="D827">
        <v>369.45</v>
      </c>
      <c r="E827">
        <v>370</v>
      </c>
      <c r="F827">
        <v>365.4</v>
      </c>
      <c r="G827" s="3">
        <v>368.95</v>
      </c>
      <c r="H827">
        <v>369.85</v>
      </c>
      <c r="I827">
        <v>369.7</v>
      </c>
      <c r="J827">
        <v>383187</v>
      </c>
      <c r="K827">
        <v>141142933.59999999</v>
      </c>
      <c r="L827" s="1">
        <v>45240</v>
      </c>
      <c r="M827">
        <v>8480</v>
      </c>
      <c r="N827" t="s">
        <v>2913</v>
      </c>
      <c r="O827" s="5">
        <v>45240</v>
      </c>
      <c r="P827" s="5">
        <v>43777</v>
      </c>
      <c r="Q827" s="3">
        <v>366.05</v>
      </c>
      <c r="S827">
        <f t="shared" si="36"/>
        <v>1464</v>
      </c>
      <c r="T827">
        <f t="shared" si="37"/>
        <v>16.043835616438358</v>
      </c>
      <c r="U827" s="6">
        <f t="shared" si="38"/>
        <v>1.9678931074649242E-3</v>
      </c>
    </row>
    <row r="828" spans="1:21" x14ac:dyDescent="0.25">
      <c r="A828" t="s">
        <v>2914</v>
      </c>
      <c r="B828" t="s">
        <v>2915</v>
      </c>
      <c r="C828" t="s">
        <v>14</v>
      </c>
      <c r="D828">
        <v>23.7</v>
      </c>
      <c r="E828">
        <v>23.7</v>
      </c>
      <c r="F828">
        <v>22.7</v>
      </c>
      <c r="G828" s="3">
        <v>22.95</v>
      </c>
      <c r="H828">
        <v>23</v>
      </c>
      <c r="I828">
        <v>23.1</v>
      </c>
      <c r="J828">
        <v>83404</v>
      </c>
      <c r="K828">
        <v>1924683.25</v>
      </c>
      <c r="L828" s="1">
        <v>45240</v>
      </c>
      <c r="M828">
        <v>1138</v>
      </c>
      <c r="N828" t="s">
        <v>2916</v>
      </c>
      <c r="O828" s="5">
        <v>45240</v>
      </c>
      <c r="P828" s="5">
        <v>43777</v>
      </c>
      <c r="Q828" s="3">
        <v>11</v>
      </c>
      <c r="S828">
        <f t="shared" si="36"/>
        <v>1464</v>
      </c>
      <c r="T828">
        <f t="shared" si="37"/>
        <v>16.043835616438358</v>
      </c>
      <c r="U828" s="6">
        <f t="shared" si="38"/>
        <v>0.18762058489909528</v>
      </c>
    </row>
    <row r="829" spans="1:21" x14ac:dyDescent="0.25">
      <c r="A829" t="s">
        <v>2917</v>
      </c>
      <c r="B829" t="s">
        <v>2918</v>
      </c>
      <c r="C829" t="s">
        <v>14</v>
      </c>
      <c r="D829">
        <v>12956.8</v>
      </c>
      <c r="E829">
        <v>12990</v>
      </c>
      <c r="F829">
        <v>12801</v>
      </c>
      <c r="G829" s="3">
        <v>12837.75</v>
      </c>
      <c r="H829">
        <v>12850</v>
      </c>
      <c r="I829">
        <v>12888.95</v>
      </c>
      <c r="J829">
        <v>1403</v>
      </c>
      <c r="K829">
        <v>18011986.949999999</v>
      </c>
      <c r="L829" s="1">
        <v>45240</v>
      </c>
      <c r="M829">
        <v>792</v>
      </c>
      <c r="N829" t="s">
        <v>2919</v>
      </c>
      <c r="O829" s="5">
        <v>45240</v>
      </c>
      <c r="P829" s="5">
        <v>43777</v>
      </c>
      <c r="Q829" s="3">
        <v>3436.6</v>
      </c>
      <c r="S829">
        <f t="shared" si="36"/>
        <v>1464</v>
      </c>
      <c r="T829">
        <f t="shared" si="37"/>
        <v>16.043835616438358</v>
      </c>
      <c r="U829" s="6">
        <f t="shared" si="38"/>
        <v>0.34244921218737723</v>
      </c>
    </row>
    <row r="830" spans="1:21" x14ac:dyDescent="0.25">
      <c r="A830" t="s">
        <v>2923</v>
      </c>
      <c r="B830" t="s">
        <v>2924</v>
      </c>
      <c r="C830" t="s">
        <v>14</v>
      </c>
      <c r="D830">
        <v>115.5</v>
      </c>
      <c r="E830">
        <v>115.5</v>
      </c>
      <c r="F830">
        <v>111.85</v>
      </c>
      <c r="G830" s="3">
        <v>113.1</v>
      </c>
      <c r="H830">
        <v>113.25</v>
      </c>
      <c r="I830">
        <v>116.5</v>
      </c>
      <c r="J830">
        <v>3780418</v>
      </c>
      <c r="K830">
        <v>427893154</v>
      </c>
      <c r="L830" s="1">
        <v>45240</v>
      </c>
      <c r="M830">
        <v>27024</v>
      </c>
      <c r="N830" t="s">
        <v>2925</v>
      </c>
      <c r="O830" s="5">
        <v>45240</v>
      </c>
      <c r="P830" s="5">
        <v>43777</v>
      </c>
      <c r="Q830" s="3">
        <v>58.85</v>
      </c>
      <c r="S830">
        <f t="shared" si="36"/>
        <v>1464</v>
      </c>
      <c r="T830">
        <f t="shared" si="37"/>
        <v>16.043835616438358</v>
      </c>
      <c r="U830" s="6">
        <f t="shared" si="38"/>
        <v>0.16623536543803663</v>
      </c>
    </row>
    <row r="831" spans="1:21" x14ac:dyDescent="0.25">
      <c r="A831" t="s">
        <v>2926</v>
      </c>
      <c r="B831" t="s">
        <v>2927</v>
      </c>
      <c r="C831" t="s">
        <v>10</v>
      </c>
      <c r="D831">
        <v>40.799999999999997</v>
      </c>
      <c r="E831">
        <v>41.5</v>
      </c>
      <c r="F831">
        <v>39.1</v>
      </c>
      <c r="G831" s="3">
        <v>41.35</v>
      </c>
      <c r="H831">
        <v>41.35</v>
      </c>
      <c r="I831">
        <v>40.25</v>
      </c>
      <c r="J831">
        <v>4002</v>
      </c>
      <c r="K831">
        <v>162494.39999999999</v>
      </c>
      <c r="L831" s="1">
        <v>45240</v>
      </c>
      <c r="M831">
        <v>26</v>
      </c>
      <c r="N831" t="s">
        <v>2928</v>
      </c>
      <c r="O831" s="5">
        <v>45240</v>
      </c>
      <c r="P831" s="5">
        <v>43777</v>
      </c>
      <c r="Q831" s="3">
        <v>9.5500000000000007</v>
      </c>
      <c r="S831">
        <f t="shared" si="36"/>
        <v>1464</v>
      </c>
      <c r="T831">
        <f t="shared" si="37"/>
        <v>16.043835616438358</v>
      </c>
      <c r="U831" s="6">
        <f t="shared" si="38"/>
        <v>0.38258969318849712</v>
      </c>
    </row>
    <row r="832" spans="1:21" x14ac:dyDescent="0.25">
      <c r="A832" t="s">
        <v>2932</v>
      </c>
      <c r="B832" t="s">
        <v>2933</v>
      </c>
      <c r="C832" t="s">
        <v>14</v>
      </c>
      <c r="D832">
        <v>1105</v>
      </c>
      <c r="E832">
        <v>1119.9000000000001</v>
      </c>
      <c r="F832">
        <v>1090</v>
      </c>
      <c r="G832" s="3">
        <v>1095.6500000000001</v>
      </c>
      <c r="H832">
        <v>1092</v>
      </c>
      <c r="I832">
        <v>1111.3499999999999</v>
      </c>
      <c r="J832">
        <v>33016</v>
      </c>
      <c r="K832">
        <v>36355522</v>
      </c>
      <c r="L832" s="1">
        <v>45240</v>
      </c>
      <c r="M832">
        <v>4103</v>
      </c>
      <c r="N832" t="s">
        <v>2934</v>
      </c>
      <c r="O832" s="5">
        <v>45240</v>
      </c>
      <c r="P832" s="5">
        <v>43777</v>
      </c>
      <c r="Q832" s="3">
        <v>295.39999999999998</v>
      </c>
      <c r="S832">
        <f t="shared" si="36"/>
        <v>1464</v>
      </c>
      <c r="T832">
        <f t="shared" si="37"/>
        <v>16.043835616438358</v>
      </c>
      <c r="U832" s="6">
        <f t="shared" si="38"/>
        <v>0.34051854305785767</v>
      </c>
    </row>
    <row r="833" spans="1:21" x14ac:dyDescent="0.25">
      <c r="A833" t="s">
        <v>2935</v>
      </c>
      <c r="B833" t="s">
        <v>2936</v>
      </c>
      <c r="C833" t="s">
        <v>14</v>
      </c>
      <c r="D833">
        <v>10.35</v>
      </c>
      <c r="E833">
        <v>10.35</v>
      </c>
      <c r="F833">
        <v>9.85</v>
      </c>
      <c r="G833" s="3">
        <v>9.9</v>
      </c>
      <c r="H833">
        <v>9.9499999999999993</v>
      </c>
      <c r="I833">
        <v>10.15</v>
      </c>
      <c r="J833">
        <v>228264</v>
      </c>
      <c r="K833">
        <v>2283220.2999999998</v>
      </c>
      <c r="L833" s="1">
        <v>45240</v>
      </c>
      <c r="M833">
        <v>479</v>
      </c>
      <c r="N833" t="s">
        <v>2937</v>
      </c>
      <c r="O833" s="5">
        <v>45240</v>
      </c>
      <c r="P833" s="5">
        <v>43777</v>
      </c>
      <c r="Q833" s="3">
        <v>2.4</v>
      </c>
      <c r="S833">
        <f t="shared" si="36"/>
        <v>1464</v>
      </c>
      <c r="T833">
        <f t="shared" si="37"/>
        <v>16.043835616438358</v>
      </c>
      <c r="U833" s="6">
        <f t="shared" si="38"/>
        <v>0.36937073442095958</v>
      </c>
    </row>
    <row r="834" spans="1:21" x14ac:dyDescent="0.25">
      <c r="A834" t="s">
        <v>2941</v>
      </c>
      <c r="B834" t="s">
        <v>2942</v>
      </c>
      <c r="C834" t="s">
        <v>14</v>
      </c>
      <c r="D834">
        <v>16.75</v>
      </c>
      <c r="E834">
        <v>17.100000000000001</v>
      </c>
      <c r="F834">
        <v>15.65</v>
      </c>
      <c r="G834" s="3">
        <v>16.05</v>
      </c>
      <c r="H834">
        <v>16.100000000000001</v>
      </c>
      <c r="I834">
        <v>16.75</v>
      </c>
      <c r="J834">
        <v>2036221</v>
      </c>
      <c r="K834">
        <v>34031869.450000003</v>
      </c>
      <c r="L834" s="1">
        <v>45240</v>
      </c>
      <c r="M834">
        <v>4179</v>
      </c>
      <c r="N834" t="s">
        <v>2943</v>
      </c>
      <c r="O834" s="5">
        <v>45240</v>
      </c>
      <c r="P834" s="5">
        <v>43777</v>
      </c>
      <c r="Q834" s="3">
        <v>51</v>
      </c>
      <c r="S834">
        <f t="shared" si="36"/>
        <v>1464</v>
      </c>
      <c r="T834">
        <f t="shared" si="37"/>
        <v>16.043835616438358</v>
      </c>
      <c r="U834" s="6">
        <f t="shared" si="38"/>
        <v>-0.27809927086589159</v>
      </c>
    </row>
    <row r="835" spans="1:21" x14ac:dyDescent="0.25">
      <c r="A835" t="s">
        <v>2944</v>
      </c>
      <c r="B835" t="s">
        <v>2945</v>
      </c>
      <c r="C835" t="s">
        <v>14</v>
      </c>
      <c r="D835">
        <v>289</v>
      </c>
      <c r="E835">
        <v>290.89999999999998</v>
      </c>
      <c r="F835">
        <v>285.5</v>
      </c>
      <c r="G835" s="3">
        <v>288</v>
      </c>
      <c r="H835">
        <v>287.45</v>
      </c>
      <c r="I835">
        <v>288.35000000000002</v>
      </c>
      <c r="J835">
        <v>124579</v>
      </c>
      <c r="K835">
        <v>35907098.149999999</v>
      </c>
      <c r="L835" s="1">
        <v>45240</v>
      </c>
      <c r="M835">
        <v>4427</v>
      </c>
      <c r="N835" t="s">
        <v>2946</v>
      </c>
      <c r="O835" s="5">
        <v>45240</v>
      </c>
      <c r="P835" s="5">
        <v>43777</v>
      </c>
      <c r="Q835" s="3">
        <v>129.69999999999999</v>
      </c>
      <c r="S835">
        <f t="shared" ref="S835:S898" si="39">O835-P835+1</f>
        <v>1464</v>
      </c>
      <c r="T835">
        <f t="shared" ref="T835:T898" si="40">(S835/365)*4</f>
        <v>16.043835616438358</v>
      </c>
      <c r="U835" s="6">
        <f t="shared" ref="U835:U898" si="41">(((G835/Q835)^(1/T835))-1)*4</f>
        <v>0.20391679075636837</v>
      </c>
    </row>
    <row r="836" spans="1:21" x14ac:dyDescent="0.25">
      <c r="A836" t="s">
        <v>2947</v>
      </c>
      <c r="B836" t="s">
        <v>2948</v>
      </c>
      <c r="C836" t="s">
        <v>14</v>
      </c>
      <c r="D836">
        <v>450</v>
      </c>
      <c r="E836">
        <v>453.1</v>
      </c>
      <c r="F836">
        <v>444</v>
      </c>
      <c r="G836" s="3">
        <v>451.95</v>
      </c>
      <c r="H836">
        <v>451.9</v>
      </c>
      <c r="I836">
        <v>449.55</v>
      </c>
      <c r="J836">
        <v>1203649</v>
      </c>
      <c r="K836">
        <v>541083940</v>
      </c>
      <c r="L836" s="1">
        <v>45240</v>
      </c>
      <c r="M836">
        <v>21096</v>
      </c>
      <c r="N836" t="s">
        <v>2949</v>
      </c>
      <c r="O836" s="5">
        <v>45240</v>
      </c>
      <c r="P836" s="5">
        <v>43777</v>
      </c>
      <c r="Q836" s="3">
        <v>439.55</v>
      </c>
      <c r="S836">
        <f t="shared" si="39"/>
        <v>1464</v>
      </c>
      <c r="T836">
        <f t="shared" si="40"/>
        <v>16.043835616438358</v>
      </c>
      <c r="U836" s="6">
        <f t="shared" si="41"/>
        <v>6.9420337196275383E-3</v>
      </c>
    </row>
    <row r="837" spans="1:21" x14ac:dyDescent="0.25">
      <c r="A837" t="s">
        <v>6368</v>
      </c>
      <c r="B837" t="s">
        <v>7798</v>
      </c>
      <c r="C837" t="s">
        <v>14</v>
      </c>
      <c r="D837">
        <v>24.58</v>
      </c>
      <c r="E837">
        <v>24.58</v>
      </c>
      <c r="F837">
        <v>23.8</v>
      </c>
      <c r="G837" s="3">
        <v>23.99</v>
      </c>
      <c r="H837">
        <v>24</v>
      </c>
      <c r="I837">
        <v>23.99</v>
      </c>
      <c r="J837">
        <v>5076</v>
      </c>
      <c r="K837">
        <v>121277.94</v>
      </c>
      <c r="L837" s="1">
        <v>45240</v>
      </c>
      <c r="M837">
        <v>52</v>
      </c>
      <c r="N837" t="s">
        <v>6367</v>
      </c>
      <c r="O837" s="5">
        <v>45240</v>
      </c>
      <c r="P837" s="5">
        <v>43777</v>
      </c>
      <c r="Q837" s="3">
        <v>21.13</v>
      </c>
      <c r="S837">
        <f t="shared" si="39"/>
        <v>1464</v>
      </c>
      <c r="T837">
        <f t="shared" si="40"/>
        <v>16.043835616438358</v>
      </c>
      <c r="U837" s="6">
        <f t="shared" si="41"/>
        <v>3.1774640523196673E-2</v>
      </c>
    </row>
    <row r="838" spans="1:21" x14ac:dyDescent="0.25">
      <c r="A838" t="s">
        <v>6366</v>
      </c>
      <c r="B838" t="s">
        <v>7798</v>
      </c>
      <c r="C838" t="s">
        <v>14</v>
      </c>
      <c r="D838">
        <v>210.35</v>
      </c>
      <c r="E838">
        <v>210.89</v>
      </c>
      <c r="F838">
        <v>209.12</v>
      </c>
      <c r="G838" s="3">
        <v>209.26</v>
      </c>
      <c r="H838">
        <v>209.35</v>
      </c>
      <c r="I838">
        <v>211.23</v>
      </c>
      <c r="J838">
        <v>217</v>
      </c>
      <c r="K838">
        <v>45603.22</v>
      </c>
      <c r="L838" s="1">
        <v>45240</v>
      </c>
      <c r="M838">
        <v>22</v>
      </c>
      <c r="N838" t="s">
        <v>6365</v>
      </c>
      <c r="O838" s="5">
        <v>45240</v>
      </c>
      <c r="P838" s="5">
        <v>43777</v>
      </c>
      <c r="Q838" s="3">
        <v>122</v>
      </c>
      <c r="S838">
        <f t="shared" si="39"/>
        <v>1464</v>
      </c>
      <c r="T838">
        <f t="shared" si="40"/>
        <v>16.043835616438358</v>
      </c>
      <c r="U838" s="6">
        <f t="shared" si="41"/>
        <v>0.13680810802742815</v>
      </c>
    </row>
    <row r="839" spans="1:21" x14ac:dyDescent="0.25">
      <c r="A839" t="s">
        <v>6364</v>
      </c>
      <c r="B839" t="s">
        <v>7798</v>
      </c>
      <c r="C839" t="s">
        <v>14</v>
      </c>
      <c r="D839">
        <v>715</v>
      </c>
      <c r="E839">
        <v>715</v>
      </c>
      <c r="F839">
        <v>710</v>
      </c>
      <c r="G839" s="3">
        <v>712.54</v>
      </c>
      <c r="H839">
        <v>715</v>
      </c>
      <c r="I839">
        <v>720.71</v>
      </c>
      <c r="J839">
        <v>19</v>
      </c>
      <c r="K839">
        <v>13540.51</v>
      </c>
      <c r="L839" s="1">
        <v>45240</v>
      </c>
      <c r="M839">
        <v>10</v>
      </c>
      <c r="N839" t="s">
        <v>6363</v>
      </c>
      <c r="O839" s="5">
        <v>45240</v>
      </c>
      <c r="P839" s="5">
        <v>43777</v>
      </c>
      <c r="Q839" s="3">
        <v>478.7</v>
      </c>
      <c r="S839">
        <f t="shared" si="39"/>
        <v>1464</v>
      </c>
      <c r="T839">
        <f t="shared" si="40"/>
        <v>16.043835616438358</v>
      </c>
      <c r="U839" s="6">
        <f t="shared" si="41"/>
        <v>0.10040832184902548</v>
      </c>
    </row>
    <row r="840" spans="1:21" x14ac:dyDescent="0.25">
      <c r="A840" t="s">
        <v>6362</v>
      </c>
      <c r="B840" t="s">
        <v>7798</v>
      </c>
      <c r="C840" t="s">
        <v>14</v>
      </c>
      <c r="D840">
        <v>208.9</v>
      </c>
      <c r="E840">
        <v>208.9</v>
      </c>
      <c r="F840">
        <v>207</v>
      </c>
      <c r="G840" s="3">
        <v>207.5</v>
      </c>
      <c r="H840">
        <v>207.5</v>
      </c>
      <c r="I840">
        <v>208.94</v>
      </c>
      <c r="J840">
        <v>255</v>
      </c>
      <c r="K840">
        <v>53063.53</v>
      </c>
      <c r="L840" s="1">
        <v>45240</v>
      </c>
      <c r="M840">
        <v>27</v>
      </c>
      <c r="N840" t="s">
        <v>6361</v>
      </c>
      <c r="O840" s="5">
        <v>45240</v>
      </c>
      <c r="P840" s="5">
        <v>43777</v>
      </c>
      <c r="Q840" s="3">
        <v>124.11</v>
      </c>
      <c r="S840">
        <f t="shared" si="39"/>
        <v>1464</v>
      </c>
      <c r="T840">
        <f t="shared" si="40"/>
        <v>16.043835616438358</v>
      </c>
      <c r="U840" s="6">
        <f t="shared" si="41"/>
        <v>0.1302142663947734</v>
      </c>
    </row>
    <row r="841" spans="1:21" x14ac:dyDescent="0.25">
      <c r="A841" t="s">
        <v>2959</v>
      </c>
      <c r="B841" t="s">
        <v>2960</v>
      </c>
      <c r="C841" t="s">
        <v>14</v>
      </c>
      <c r="D841">
        <v>556.95000000000005</v>
      </c>
      <c r="E841">
        <v>603</v>
      </c>
      <c r="F841">
        <v>556.15</v>
      </c>
      <c r="G841" s="3">
        <v>594.9</v>
      </c>
      <c r="H841">
        <v>603</v>
      </c>
      <c r="I841">
        <v>556.29999999999995</v>
      </c>
      <c r="J841">
        <v>555116</v>
      </c>
      <c r="K841">
        <v>326383252.19999999</v>
      </c>
      <c r="L841" s="1">
        <v>45240</v>
      </c>
      <c r="M841">
        <v>26224</v>
      </c>
      <c r="N841" t="s">
        <v>2961</v>
      </c>
      <c r="O841" s="5">
        <v>45240</v>
      </c>
      <c r="P841" s="5">
        <v>43777</v>
      </c>
      <c r="Q841" s="3">
        <v>161.69999999999999</v>
      </c>
      <c r="S841">
        <f t="shared" si="39"/>
        <v>1464</v>
      </c>
      <c r="T841">
        <f t="shared" si="40"/>
        <v>16.043835616438358</v>
      </c>
      <c r="U841" s="6">
        <f t="shared" si="41"/>
        <v>0.33832172411673689</v>
      </c>
    </row>
    <row r="842" spans="1:21" x14ac:dyDescent="0.25">
      <c r="A842" t="s">
        <v>2962</v>
      </c>
      <c r="B842" t="s">
        <v>2963</v>
      </c>
      <c r="C842" t="s">
        <v>14</v>
      </c>
      <c r="D842">
        <v>6077</v>
      </c>
      <c r="E842">
        <v>6093.95</v>
      </c>
      <c r="F842">
        <v>5986.15</v>
      </c>
      <c r="G842" s="3">
        <v>6043.15</v>
      </c>
      <c r="H842">
        <v>6038.95</v>
      </c>
      <c r="I842">
        <v>6098.25</v>
      </c>
      <c r="J842">
        <v>23691</v>
      </c>
      <c r="K842">
        <v>143207097.34999999</v>
      </c>
      <c r="L842" s="1">
        <v>45240</v>
      </c>
      <c r="M842">
        <v>7836</v>
      </c>
      <c r="N842" t="s">
        <v>2964</v>
      </c>
      <c r="O842" s="5">
        <v>45240</v>
      </c>
      <c r="P842" s="5">
        <v>43777</v>
      </c>
      <c r="Q842" s="3">
        <v>545.45000000000005</v>
      </c>
      <c r="S842">
        <f t="shared" si="39"/>
        <v>1464</v>
      </c>
      <c r="T842">
        <f t="shared" si="40"/>
        <v>16.043835616438358</v>
      </c>
      <c r="U842" s="6">
        <f t="shared" si="41"/>
        <v>0.6469008120488855</v>
      </c>
    </row>
    <row r="843" spans="1:21" x14ac:dyDescent="0.25">
      <c r="A843" t="s">
        <v>6358</v>
      </c>
      <c r="B843" t="s">
        <v>7798</v>
      </c>
      <c r="C843" t="s">
        <v>14</v>
      </c>
      <c r="D843">
        <v>1030</v>
      </c>
      <c r="E843">
        <v>1030</v>
      </c>
      <c r="F843">
        <v>999.99</v>
      </c>
      <c r="G843" s="3">
        <v>1000</v>
      </c>
      <c r="H843">
        <v>1000</v>
      </c>
      <c r="I843">
        <v>1000</v>
      </c>
      <c r="J843">
        <v>2985803</v>
      </c>
      <c r="K843">
        <v>2985818608.4000001</v>
      </c>
      <c r="L843" s="1">
        <v>45240</v>
      </c>
      <c r="M843">
        <v>9217</v>
      </c>
      <c r="N843" t="s">
        <v>6357</v>
      </c>
      <c r="O843" s="5">
        <v>45240</v>
      </c>
      <c r="P843" s="5">
        <v>43777</v>
      </c>
      <c r="Q843" s="3">
        <v>1000</v>
      </c>
      <c r="S843">
        <f t="shared" si="39"/>
        <v>1464</v>
      </c>
      <c r="T843">
        <f t="shared" si="40"/>
        <v>16.043835616438358</v>
      </c>
      <c r="U843" s="6">
        <f t="shared" si="41"/>
        <v>0</v>
      </c>
    </row>
    <row r="844" spans="1:21" x14ac:dyDescent="0.25">
      <c r="A844" t="s">
        <v>6356</v>
      </c>
      <c r="B844" t="s">
        <v>7798</v>
      </c>
      <c r="C844" t="s">
        <v>14</v>
      </c>
      <c r="D844">
        <v>1000</v>
      </c>
      <c r="E844">
        <v>1000.01</v>
      </c>
      <c r="F844">
        <v>999.99</v>
      </c>
      <c r="G844" s="3">
        <v>999.99</v>
      </c>
      <c r="H844">
        <v>1000.01</v>
      </c>
      <c r="I844">
        <v>999.99</v>
      </c>
      <c r="J844">
        <v>324264</v>
      </c>
      <c r="K844">
        <v>324263939.47000003</v>
      </c>
      <c r="L844" s="1">
        <v>45240</v>
      </c>
      <c r="M844">
        <v>215</v>
      </c>
      <c r="N844" t="s">
        <v>6355</v>
      </c>
      <c r="O844" s="5">
        <v>45240</v>
      </c>
      <c r="P844" s="5">
        <v>43777</v>
      </c>
      <c r="Q844" s="3">
        <v>999.99</v>
      </c>
      <c r="S844">
        <f t="shared" si="39"/>
        <v>1464</v>
      </c>
      <c r="T844">
        <f t="shared" si="40"/>
        <v>16.043835616438358</v>
      </c>
      <c r="U844" s="6">
        <f t="shared" si="41"/>
        <v>0</v>
      </c>
    </row>
    <row r="845" spans="1:21" x14ac:dyDescent="0.25">
      <c r="A845" t="s">
        <v>2974</v>
      </c>
      <c r="B845" t="s">
        <v>2975</v>
      </c>
      <c r="C845" t="s">
        <v>14</v>
      </c>
      <c r="D845">
        <v>253</v>
      </c>
      <c r="E845">
        <v>263.3</v>
      </c>
      <c r="F845">
        <v>248.1</v>
      </c>
      <c r="G845" s="3">
        <v>254.2</v>
      </c>
      <c r="H845">
        <v>253</v>
      </c>
      <c r="I845">
        <v>251.6</v>
      </c>
      <c r="J845">
        <v>90501</v>
      </c>
      <c r="K845">
        <v>23272056.100000001</v>
      </c>
      <c r="L845" s="1">
        <v>45240</v>
      </c>
      <c r="M845">
        <v>3361</v>
      </c>
      <c r="N845" t="s">
        <v>2976</v>
      </c>
      <c r="O845" s="5">
        <v>45240</v>
      </c>
      <c r="P845" s="5">
        <v>43777</v>
      </c>
      <c r="Q845" s="3">
        <v>35.700000000000003</v>
      </c>
      <c r="S845">
        <f t="shared" si="39"/>
        <v>1464</v>
      </c>
      <c r="T845">
        <f t="shared" si="40"/>
        <v>16.043835616438358</v>
      </c>
      <c r="U845" s="6">
        <f t="shared" si="41"/>
        <v>0.52060041976285998</v>
      </c>
    </row>
    <row r="846" spans="1:21" x14ac:dyDescent="0.25">
      <c r="A846" t="s">
        <v>2980</v>
      </c>
      <c r="B846" t="s">
        <v>2981</v>
      </c>
      <c r="C846" t="s">
        <v>14</v>
      </c>
      <c r="D846">
        <v>89</v>
      </c>
      <c r="E846">
        <v>89.9</v>
      </c>
      <c r="F846">
        <v>85.3</v>
      </c>
      <c r="G846" s="3">
        <v>86.9</v>
      </c>
      <c r="H846">
        <v>87.95</v>
      </c>
      <c r="I846">
        <v>87.9</v>
      </c>
      <c r="J846">
        <v>14812</v>
      </c>
      <c r="K846">
        <v>1304610</v>
      </c>
      <c r="L846" s="1">
        <v>45240</v>
      </c>
      <c r="M846">
        <v>803</v>
      </c>
      <c r="N846" t="s">
        <v>2982</v>
      </c>
      <c r="O846" s="5">
        <v>45240</v>
      </c>
      <c r="P846" s="5">
        <v>43777</v>
      </c>
      <c r="Q846" s="3">
        <v>20.05</v>
      </c>
      <c r="S846">
        <f t="shared" si="39"/>
        <v>1464</v>
      </c>
      <c r="T846">
        <f t="shared" si="40"/>
        <v>16.043835616438358</v>
      </c>
      <c r="U846" s="6">
        <f t="shared" si="41"/>
        <v>0.3828622126843273</v>
      </c>
    </row>
    <row r="847" spans="1:21" x14ac:dyDescent="0.25">
      <c r="A847" t="s">
        <v>2983</v>
      </c>
      <c r="B847" t="s">
        <v>2984</v>
      </c>
      <c r="C847" t="s">
        <v>14</v>
      </c>
      <c r="D847">
        <v>129.25</v>
      </c>
      <c r="E847">
        <v>133</v>
      </c>
      <c r="F847">
        <v>129.25</v>
      </c>
      <c r="G847" s="3">
        <v>132.75</v>
      </c>
      <c r="H847">
        <v>132.5</v>
      </c>
      <c r="I847">
        <v>131.25</v>
      </c>
      <c r="J847">
        <v>36254</v>
      </c>
      <c r="K847">
        <v>4780623.8</v>
      </c>
      <c r="L847" s="1">
        <v>45240</v>
      </c>
      <c r="M847">
        <v>497</v>
      </c>
      <c r="N847" t="s">
        <v>2985</v>
      </c>
      <c r="O847" s="5">
        <v>45240</v>
      </c>
      <c r="P847" s="5">
        <v>43777</v>
      </c>
      <c r="Q847" s="3">
        <v>67.599999999999994</v>
      </c>
      <c r="S847">
        <f t="shared" si="39"/>
        <v>1464</v>
      </c>
      <c r="T847">
        <f t="shared" si="40"/>
        <v>16.043835616438358</v>
      </c>
      <c r="U847" s="6">
        <f t="shared" si="41"/>
        <v>0.17184276598711534</v>
      </c>
    </row>
    <row r="848" spans="1:21" x14ac:dyDescent="0.25">
      <c r="A848" t="s">
        <v>2989</v>
      </c>
      <c r="B848" t="s">
        <v>2990</v>
      </c>
      <c r="C848" t="s">
        <v>10</v>
      </c>
      <c r="D848">
        <v>8.25</v>
      </c>
      <c r="E848">
        <v>8.4499999999999993</v>
      </c>
      <c r="F848">
        <v>8</v>
      </c>
      <c r="G848" s="3">
        <v>8.1999999999999993</v>
      </c>
      <c r="H848">
        <v>8.1999999999999993</v>
      </c>
      <c r="I848">
        <v>8.25</v>
      </c>
      <c r="J848">
        <v>24128</v>
      </c>
      <c r="K848">
        <v>197259.65</v>
      </c>
      <c r="L848" s="1">
        <v>45240</v>
      </c>
      <c r="M848">
        <v>133</v>
      </c>
      <c r="N848" t="s">
        <v>2991</v>
      </c>
      <c r="O848" s="5">
        <v>45240</v>
      </c>
      <c r="P848" s="5">
        <v>43777</v>
      </c>
      <c r="Q848" s="3">
        <v>1.75</v>
      </c>
      <c r="S848">
        <f t="shared" si="39"/>
        <v>1464</v>
      </c>
      <c r="T848">
        <f t="shared" si="40"/>
        <v>16.043835616438358</v>
      </c>
      <c r="U848" s="6">
        <f t="shared" si="41"/>
        <v>0.40421928253193595</v>
      </c>
    </row>
    <row r="849" spans="1:21" x14ac:dyDescent="0.25">
      <c r="A849" t="s">
        <v>2992</v>
      </c>
      <c r="B849" t="s">
        <v>2993</v>
      </c>
      <c r="C849" t="s">
        <v>14</v>
      </c>
      <c r="D849">
        <v>3021.05</v>
      </c>
      <c r="E849">
        <v>3044</v>
      </c>
      <c r="F849">
        <v>3005.25</v>
      </c>
      <c r="G849" s="3">
        <v>3033.25</v>
      </c>
      <c r="H849">
        <v>3030.55</v>
      </c>
      <c r="I849">
        <v>3024.85</v>
      </c>
      <c r="J849">
        <v>947753</v>
      </c>
      <c r="K849">
        <v>2870618749.6999998</v>
      </c>
      <c r="L849" s="1">
        <v>45240</v>
      </c>
      <c r="M849">
        <v>77016</v>
      </c>
      <c r="N849" t="s">
        <v>2994</v>
      </c>
      <c r="O849" s="5">
        <v>45240</v>
      </c>
      <c r="P849" s="5">
        <v>43777</v>
      </c>
      <c r="Q849" s="3">
        <v>1423</v>
      </c>
      <c r="S849">
        <f t="shared" si="39"/>
        <v>1464</v>
      </c>
      <c r="T849">
        <f t="shared" si="40"/>
        <v>16.043835616438358</v>
      </c>
      <c r="U849" s="6">
        <f t="shared" si="41"/>
        <v>0.19322162587872693</v>
      </c>
    </row>
    <row r="850" spans="1:21" x14ac:dyDescent="0.25">
      <c r="A850" t="s">
        <v>3001</v>
      </c>
      <c r="B850" t="s">
        <v>3002</v>
      </c>
      <c r="C850" t="s">
        <v>14</v>
      </c>
      <c r="D850">
        <v>4242</v>
      </c>
      <c r="E850">
        <v>4280</v>
      </c>
      <c r="F850">
        <v>4203</v>
      </c>
      <c r="G850" s="3">
        <v>4275.05</v>
      </c>
      <c r="H850">
        <v>4265</v>
      </c>
      <c r="I850">
        <v>4253</v>
      </c>
      <c r="J850">
        <v>52639</v>
      </c>
      <c r="K850">
        <v>224259051.90000001</v>
      </c>
      <c r="L850" s="1">
        <v>45240</v>
      </c>
      <c r="M850">
        <v>8085</v>
      </c>
      <c r="N850" t="s">
        <v>3003</v>
      </c>
      <c r="O850" s="5">
        <v>45240</v>
      </c>
      <c r="P850" s="5">
        <v>43777</v>
      </c>
      <c r="Q850" s="3">
        <v>1454.65</v>
      </c>
      <c r="S850">
        <f t="shared" si="39"/>
        <v>1464</v>
      </c>
      <c r="T850">
        <f t="shared" si="40"/>
        <v>16.043835616438358</v>
      </c>
      <c r="U850" s="6">
        <f t="shared" si="41"/>
        <v>0.27800669648244636</v>
      </c>
    </row>
    <row r="851" spans="1:21" x14ac:dyDescent="0.25">
      <c r="A851" t="s">
        <v>3004</v>
      </c>
      <c r="B851" t="s">
        <v>3005</v>
      </c>
      <c r="C851" t="s">
        <v>14</v>
      </c>
      <c r="D851">
        <v>2280.5</v>
      </c>
      <c r="E851">
        <v>2313.85</v>
      </c>
      <c r="F851">
        <v>2230.8000000000002</v>
      </c>
      <c r="G851" s="3">
        <v>2296.3000000000002</v>
      </c>
      <c r="H851">
        <v>2280.1</v>
      </c>
      <c r="I851">
        <v>2282.0500000000002</v>
      </c>
      <c r="J851">
        <v>14413</v>
      </c>
      <c r="K851">
        <v>32641789.350000001</v>
      </c>
      <c r="L851" s="1">
        <v>45240</v>
      </c>
      <c r="M851">
        <v>2114</v>
      </c>
      <c r="N851" t="s">
        <v>3006</v>
      </c>
      <c r="O851" s="5">
        <v>45240</v>
      </c>
      <c r="P851" s="5">
        <v>43777</v>
      </c>
      <c r="Q851" s="3">
        <v>1245.05</v>
      </c>
      <c r="S851">
        <f t="shared" si="39"/>
        <v>1464</v>
      </c>
      <c r="T851">
        <f t="shared" si="40"/>
        <v>16.043835616438358</v>
      </c>
      <c r="U851" s="6">
        <f t="shared" si="41"/>
        <v>0.15556145601712057</v>
      </c>
    </row>
    <row r="852" spans="1:21" x14ac:dyDescent="0.25">
      <c r="A852" t="s">
        <v>3007</v>
      </c>
      <c r="B852" t="s">
        <v>3008</v>
      </c>
      <c r="C852" t="s">
        <v>14</v>
      </c>
      <c r="D852">
        <v>364.9</v>
      </c>
      <c r="E852">
        <v>373.65</v>
      </c>
      <c r="F852">
        <v>362.5</v>
      </c>
      <c r="G852" s="3">
        <v>369.75</v>
      </c>
      <c r="H852">
        <v>368</v>
      </c>
      <c r="I852">
        <v>363.45</v>
      </c>
      <c r="J852">
        <v>84504</v>
      </c>
      <c r="K852">
        <v>31138758.449999999</v>
      </c>
      <c r="L852" s="1">
        <v>45240</v>
      </c>
      <c r="M852">
        <v>5227</v>
      </c>
      <c r="N852" t="s">
        <v>3009</v>
      </c>
      <c r="O852" s="5">
        <v>45240</v>
      </c>
      <c r="P852" s="5">
        <v>43777</v>
      </c>
      <c r="Q852" s="3">
        <v>100.6</v>
      </c>
      <c r="S852">
        <f t="shared" si="39"/>
        <v>1464</v>
      </c>
      <c r="T852">
        <f t="shared" si="40"/>
        <v>16.043835616438358</v>
      </c>
      <c r="U852" s="6">
        <f t="shared" si="41"/>
        <v>0.33805789498837235</v>
      </c>
    </row>
    <row r="853" spans="1:21" x14ac:dyDescent="0.25">
      <c r="A853" t="s">
        <v>3010</v>
      </c>
      <c r="B853" t="s">
        <v>3011</v>
      </c>
      <c r="C853" t="s">
        <v>14</v>
      </c>
      <c r="D853">
        <v>1206.55</v>
      </c>
      <c r="E853">
        <v>1212.7</v>
      </c>
      <c r="F853">
        <v>1173</v>
      </c>
      <c r="G853" s="3">
        <v>1180.1500000000001</v>
      </c>
      <c r="H853">
        <v>1177.5999999999999</v>
      </c>
      <c r="I853">
        <v>1204.55</v>
      </c>
      <c r="J853">
        <v>2115284</v>
      </c>
      <c r="K853">
        <v>2510068440.1999998</v>
      </c>
      <c r="L853" s="1">
        <v>45240</v>
      </c>
      <c r="M853">
        <v>77090</v>
      </c>
      <c r="N853" t="s">
        <v>3012</v>
      </c>
      <c r="O853" s="5">
        <v>45240</v>
      </c>
      <c r="P853" s="5">
        <v>43777</v>
      </c>
      <c r="Q853" s="3">
        <v>718.75</v>
      </c>
      <c r="S853">
        <f t="shared" si="39"/>
        <v>1464</v>
      </c>
      <c r="T853">
        <f t="shared" si="40"/>
        <v>16.043835616438358</v>
      </c>
      <c r="U853" s="6">
        <f t="shared" si="41"/>
        <v>0.12556254011619306</v>
      </c>
    </row>
    <row r="854" spans="1:21" x14ac:dyDescent="0.25">
      <c r="A854" t="s">
        <v>3013</v>
      </c>
      <c r="B854" t="s">
        <v>3014</v>
      </c>
      <c r="C854" t="s">
        <v>14</v>
      </c>
      <c r="D854">
        <v>1416</v>
      </c>
      <c r="E854">
        <v>1448.95</v>
      </c>
      <c r="F854">
        <v>1406.05</v>
      </c>
      <c r="G854" s="3">
        <v>1440.05</v>
      </c>
      <c r="H854">
        <v>1438</v>
      </c>
      <c r="I854">
        <v>1423.25</v>
      </c>
      <c r="J854">
        <v>67382</v>
      </c>
      <c r="K854">
        <v>96872313.950000003</v>
      </c>
      <c r="L854" s="1">
        <v>45240</v>
      </c>
      <c r="M854">
        <v>6814</v>
      </c>
      <c r="N854" t="s">
        <v>3015</v>
      </c>
      <c r="O854" s="5">
        <v>45240</v>
      </c>
      <c r="P854" s="5">
        <v>43777</v>
      </c>
      <c r="Q854" s="3">
        <v>1191.05</v>
      </c>
      <c r="S854">
        <f t="shared" si="39"/>
        <v>1464</v>
      </c>
      <c r="T854">
        <f t="shared" si="40"/>
        <v>16.043835616438358</v>
      </c>
      <c r="U854" s="6">
        <f t="shared" si="41"/>
        <v>4.7612102493736153E-2</v>
      </c>
    </row>
    <row r="855" spans="1:21" x14ac:dyDescent="0.25">
      <c r="A855" t="s">
        <v>3019</v>
      </c>
      <c r="B855" t="s">
        <v>3020</v>
      </c>
      <c r="C855" t="s">
        <v>14</v>
      </c>
      <c r="D855">
        <v>110.05</v>
      </c>
      <c r="E855">
        <v>110.05</v>
      </c>
      <c r="F855">
        <v>107.6</v>
      </c>
      <c r="G855" s="3">
        <v>109.25</v>
      </c>
      <c r="H855">
        <v>109</v>
      </c>
      <c r="I855">
        <v>108.4</v>
      </c>
      <c r="J855">
        <v>54421</v>
      </c>
      <c r="K855">
        <v>5910187.4500000002</v>
      </c>
      <c r="L855" s="1">
        <v>45240</v>
      </c>
      <c r="M855">
        <v>701</v>
      </c>
      <c r="N855" t="s">
        <v>3021</v>
      </c>
      <c r="O855" s="5">
        <v>45240</v>
      </c>
      <c r="P855" s="5">
        <v>43777</v>
      </c>
      <c r="Q855" s="3">
        <v>16</v>
      </c>
      <c r="S855">
        <f t="shared" si="39"/>
        <v>1464</v>
      </c>
      <c r="T855">
        <f t="shared" si="40"/>
        <v>16.043835616438358</v>
      </c>
      <c r="U855" s="6">
        <f t="shared" si="41"/>
        <v>0.50880406786979471</v>
      </c>
    </row>
    <row r="856" spans="1:21" x14ac:dyDescent="0.25">
      <c r="A856" t="s">
        <v>3022</v>
      </c>
      <c r="B856" t="s">
        <v>3023</v>
      </c>
      <c r="C856" t="s">
        <v>14</v>
      </c>
      <c r="D856">
        <v>5.3</v>
      </c>
      <c r="E856">
        <v>5.35</v>
      </c>
      <c r="F856">
        <v>5.3</v>
      </c>
      <c r="G856" s="3">
        <v>5.3</v>
      </c>
      <c r="H856">
        <v>5.3</v>
      </c>
      <c r="I856">
        <v>5.3</v>
      </c>
      <c r="J856">
        <v>13601</v>
      </c>
      <c r="K856">
        <v>72328.05</v>
      </c>
      <c r="L856" s="1">
        <v>45240</v>
      </c>
      <c r="M856">
        <v>50</v>
      </c>
      <c r="N856" t="s">
        <v>3024</v>
      </c>
      <c r="O856" s="5">
        <v>45240</v>
      </c>
      <c r="P856" s="5">
        <v>43777</v>
      </c>
      <c r="Q856" s="3">
        <v>4.45</v>
      </c>
      <c r="S856">
        <f t="shared" si="39"/>
        <v>1464</v>
      </c>
      <c r="T856">
        <f t="shared" si="40"/>
        <v>16.043835616438358</v>
      </c>
      <c r="U856" s="6">
        <f t="shared" si="41"/>
        <v>4.3819560921156686E-2</v>
      </c>
    </row>
    <row r="857" spans="1:21" x14ac:dyDescent="0.25">
      <c r="A857" t="s">
        <v>3025</v>
      </c>
      <c r="B857" t="s">
        <v>3026</v>
      </c>
      <c r="C857" t="s">
        <v>14</v>
      </c>
      <c r="D857">
        <v>1550</v>
      </c>
      <c r="E857">
        <v>1551</v>
      </c>
      <c r="F857">
        <v>1515.3</v>
      </c>
      <c r="G857" s="3">
        <v>1524.1</v>
      </c>
      <c r="H857">
        <v>1523.5</v>
      </c>
      <c r="I857">
        <v>1552.05</v>
      </c>
      <c r="J857">
        <v>4872228</v>
      </c>
      <c r="K857">
        <v>7446249607.25</v>
      </c>
      <c r="L857" s="1">
        <v>45240</v>
      </c>
      <c r="M857">
        <v>156757</v>
      </c>
      <c r="N857" t="s">
        <v>3027</v>
      </c>
      <c r="O857" s="5">
        <v>45240</v>
      </c>
      <c r="P857" s="5">
        <v>43777</v>
      </c>
      <c r="Q857" s="3">
        <v>580</v>
      </c>
      <c r="S857">
        <f t="shared" si="39"/>
        <v>1464</v>
      </c>
      <c r="T857">
        <f t="shared" si="40"/>
        <v>16.043835616438358</v>
      </c>
      <c r="U857" s="6">
        <f t="shared" si="41"/>
        <v>0.24827314970522885</v>
      </c>
    </row>
    <row r="858" spans="1:21" x14ac:dyDescent="0.25">
      <c r="A858" t="s">
        <v>3028</v>
      </c>
      <c r="B858" t="s">
        <v>3029</v>
      </c>
      <c r="C858" t="s">
        <v>14</v>
      </c>
      <c r="D858">
        <v>271.85000000000002</v>
      </c>
      <c r="E858">
        <v>272.3</v>
      </c>
      <c r="F858">
        <v>267.60000000000002</v>
      </c>
      <c r="G858" s="3">
        <v>271.55</v>
      </c>
      <c r="H858">
        <v>270.60000000000002</v>
      </c>
      <c r="I858">
        <v>271.89999999999998</v>
      </c>
      <c r="J858">
        <v>1966572</v>
      </c>
      <c r="K858">
        <v>532816842.35000002</v>
      </c>
      <c r="L858" s="1">
        <v>45240</v>
      </c>
      <c r="M858">
        <v>27092</v>
      </c>
      <c r="N858" t="s">
        <v>3030</v>
      </c>
      <c r="O858" s="5">
        <v>45240</v>
      </c>
      <c r="P858" s="5">
        <v>43777</v>
      </c>
      <c r="Q858" s="3">
        <v>329</v>
      </c>
      <c r="S858">
        <f t="shared" si="39"/>
        <v>1464</v>
      </c>
      <c r="T858">
        <f t="shared" si="40"/>
        <v>16.043835616438358</v>
      </c>
      <c r="U858" s="6">
        <f t="shared" si="41"/>
        <v>-4.7561752814746949E-2</v>
      </c>
    </row>
    <row r="859" spans="1:21" x14ac:dyDescent="0.25">
      <c r="A859" t="s">
        <v>3028</v>
      </c>
      <c r="B859" t="s">
        <v>3029</v>
      </c>
      <c r="C859" t="s">
        <v>6176</v>
      </c>
      <c r="D859">
        <v>1050</v>
      </c>
      <c r="E859">
        <v>1050</v>
      </c>
      <c r="F859">
        <v>1050</v>
      </c>
      <c r="G859" s="3">
        <v>1050</v>
      </c>
      <c r="H859">
        <v>1050</v>
      </c>
      <c r="I859">
        <v>1053.95</v>
      </c>
      <c r="J859">
        <v>92</v>
      </c>
      <c r="K859">
        <v>96600</v>
      </c>
      <c r="L859" s="1">
        <v>45240</v>
      </c>
      <c r="M859">
        <v>2</v>
      </c>
      <c r="N859" t="s">
        <v>6344</v>
      </c>
      <c r="O859" s="5">
        <v>45240</v>
      </c>
      <c r="P859" s="5">
        <v>43777</v>
      </c>
      <c r="Q859" s="3">
        <v>329</v>
      </c>
      <c r="S859">
        <f t="shared" si="39"/>
        <v>1464</v>
      </c>
      <c r="T859">
        <f t="shared" si="40"/>
        <v>16.043835616438358</v>
      </c>
      <c r="U859" s="6">
        <f t="shared" si="41"/>
        <v>0.30005008876438666</v>
      </c>
    </row>
    <row r="860" spans="1:21" x14ac:dyDescent="0.25">
      <c r="A860" t="s">
        <v>3031</v>
      </c>
      <c r="B860" t="s">
        <v>3032</v>
      </c>
      <c r="C860" t="s">
        <v>14</v>
      </c>
      <c r="D860">
        <v>134.69999999999999</v>
      </c>
      <c r="E860">
        <v>141.75</v>
      </c>
      <c r="F860">
        <v>134.69999999999999</v>
      </c>
      <c r="G860" s="3">
        <v>134.94999999999999</v>
      </c>
      <c r="H860">
        <v>135.6</v>
      </c>
      <c r="I860">
        <v>141.75</v>
      </c>
      <c r="J860">
        <v>336918</v>
      </c>
      <c r="K860">
        <v>45667986.950000003</v>
      </c>
      <c r="L860" s="1">
        <v>45240</v>
      </c>
      <c r="M860">
        <v>3622</v>
      </c>
      <c r="N860" t="s">
        <v>3033</v>
      </c>
      <c r="O860" s="5">
        <v>45240</v>
      </c>
      <c r="P860" s="5">
        <v>43777</v>
      </c>
      <c r="Q860" s="3">
        <v>62.55</v>
      </c>
      <c r="S860">
        <f t="shared" si="39"/>
        <v>1464</v>
      </c>
      <c r="T860">
        <f t="shared" si="40"/>
        <v>16.043835616438358</v>
      </c>
      <c r="U860" s="6">
        <f t="shared" si="41"/>
        <v>0.1963776329037108</v>
      </c>
    </row>
    <row r="861" spans="1:21" x14ac:dyDescent="0.25">
      <c r="A861" t="s">
        <v>3034</v>
      </c>
      <c r="B861" t="s">
        <v>3035</v>
      </c>
      <c r="C861" t="s">
        <v>10</v>
      </c>
      <c r="D861">
        <v>559.35</v>
      </c>
      <c r="E861">
        <v>559.35</v>
      </c>
      <c r="F861">
        <v>559.35</v>
      </c>
      <c r="G861" s="3">
        <v>559.35</v>
      </c>
      <c r="H861">
        <v>559.35</v>
      </c>
      <c r="I861">
        <v>570.75</v>
      </c>
      <c r="J861">
        <v>14784</v>
      </c>
      <c r="K861">
        <v>8269430.4000000004</v>
      </c>
      <c r="L861" s="1">
        <v>45240</v>
      </c>
      <c r="M861">
        <v>95</v>
      </c>
      <c r="N861" t="s">
        <v>3036</v>
      </c>
      <c r="O861" s="5">
        <v>45240</v>
      </c>
      <c r="P861" s="5">
        <v>43777</v>
      </c>
      <c r="Q861" s="3">
        <v>87.2</v>
      </c>
      <c r="S861">
        <f t="shared" si="39"/>
        <v>1464</v>
      </c>
      <c r="T861">
        <f t="shared" si="40"/>
        <v>16.043835616438358</v>
      </c>
      <c r="U861" s="6">
        <f t="shared" si="41"/>
        <v>0.49127970639048257</v>
      </c>
    </row>
    <row r="862" spans="1:21" x14ac:dyDescent="0.25">
      <c r="A862" t="s">
        <v>3037</v>
      </c>
      <c r="B862" t="s">
        <v>3038</v>
      </c>
      <c r="C862" t="s">
        <v>14</v>
      </c>
      <c r="D862">
        <v>49.95</v>
      </c>
      <c r="E862">
        <v>50.35</v>
      </c>
      <c r="F862">
        <v>48.65</v>
      </c>
      <c r="G862" s="3">
        <v>49</v>
      </c>
      <c r="H862">
        <v>49.05</v>
      </c>
      <c r="I862">
        <v>49.55</v>
      </c>
      <c r="J862">
        <v>18611</v>
      </c>
      <c r="K862">
        <v>918041</v>
      </c>
      <c r="L862" s="1">
        <v>45240</v>
      </c>
      <c r="M862">
        <v>412</v>
      </c>
      <c r="N862" t="s">
        <v>3039</v>
      </c>
      <c r="O862" s="5">
        <v>45240</v>
      </c>
      <c r="P862" s="5">
        <v>43777</v>
      </c>
      <c r="Q862" s="3">
        <v>23.4</v>
      </c>
      <c r="S862">
        <f t="shared" si="39"/>
        <v>1464</v>
      </c>
      <c r="T862">
        <f t="shared" si="40"/>
        <v>16.043835616438358</v>
      </c>
      <c r="U862" s="6">
        <f t="shared" si="41"/>
        <v>0.18857641567350214</v>
      </c>
    </row>
    <row r="863" spans="1:21" x14ac:dyDescent="0.25">
      <c r="A863" t="s">
        <v>3040</v>
      </c>
      <c r="B863" t="s">
        <v>3041</v>
      </c>
      <c r="C863" t="s">
        <v>14</v>
      </c>
      <c r="D863">
        <v>6.1</v>
      </c>
      <c r="E863">
        <v>6.15</v>
      </c>
      <c r="F863">
        <v>5.9</v>
      </c>
      <c r="G863" s="3">
        <v>6.05</v>
      </c>
      <c r="H863">
        <v>6.1</v>
      </c>
      <c r="I863">
        <v>5.95</v>
      </c>
      <c r="J863">
        <v>101480</v>
      </c>
      <c r="K863">
        <v>614326</v>
      </c>
      <c r="L863" s="1">
        <v>45240</v>
      </c>
      <c r="M863">
        <v>288</v>
      </c>
      <c r="N863" t="s">
        <v>3042</v>
      </c>
      <c r="O863" s="5">
        <v>45240</v>
      </c>
      <c r="P863" s="5">
        <v>43777</v>
      </c>
      <c r="Q863" s="3">
        <v>4.75</v>
      </c>
      <c r="S863">
        <f t="shared" si="39"/>
        <v>1464</v>
      </c>
      <c r="T863">
        <f t="shared" si="40"/>
        <v>16.043835616438358</v>
      </c>
      <c r="U863" s="6">
        <f t="shared" si="41"/>
        <v>6.0770175827821404E-2</v>
      </c>
    </row>
    <row r="864" spans="1:21" x14ac:dyDescent="0.25">
      <c r="A864" t="s">
        <v>3043</v>
      </c>
      <c r="B864" t="s">
        <v>3044</v>
      </c>
      <c r="C864" t="s">
        <v>14</v>
      </c>
      <c r="D864">
        <v>76.599999999999994</v>
      </c>
      <c r="E864">
        <v>77.75</v>
      </c>
      <c r="F864">
        <v>76.150000000000006</v>
      </c>
      <c r="G864" s="3">
        <v>76.8</v>
      </c>
      <c r="H864">
        <v>76.75</v>
      </c>
      <c r="I864">
        <v>77</v>
      </c>
      <c r="J864">
        <v>284170</v>
      </c>
      <c r="K864">
        <v>21807134.5</v>
      </c>
      <c r="L864" s="1">
        <v>45240</v>
      </c>
      <c r="M864">
        <v>2791</v>
      </c>
      <c r="N864" t="s">
        <v>3045</v>
      </c>
      <c r="O864" s="5">
        <v>45240</v>
      </c>
      <c r="P864" s="5">
        <v>43777</v>
      </c>
      <c r="Q864" s="3">
        <v>19.95</v>
      </c>
      <c r="S864">
        <f t="shared" si="39"/>
        <v>1464</v>
      </c>
      <c r="T864">
        <f t="shared" si="40"/>
        <v>16.043835616438358</v>
      </c>
      <c r="U864" s="6">
        <f t="shared" si="41"/>
        <v>0.35059510981954567</v>
      </c>
    </row>
    <row r="865" spans="1:21" x14ac:dyDescent="0.25">
      <c r="A865" t="s">
        <v>3046</v>
      </c>
      <c r="B865" t="s">
        <v>3047</v>
      </c>
      <c r="C865" t="s">
        <v>14</v>
      </c>
      <c r="D865">
        <v>715</v>
      </c>
      <c r="E865">
        <v>729.95</v>
      </c>
      <c r="F865">
        <v>708.8</v>
      </c>
      <c r="G865" s="3">
        <v>718.7</v>
      </c>
      <c r="H865">
        <v>714.5</v>
      </c>
      <c r="I865">
        <v>712.2</v>
      </c>
      <c r="J865">
        <v>26559</v>
      </c>
      <c r="K865">
        <v>19089197.800000001</v>
      </c>
      <c r="L865" s="1">
        <v>45240</v>
      </c>
      <c r="M865">
        <v>3414</v>
      </c>
      <c r="N865" t="s">
        <v>3048</v>
      </c>
      <c r="O865" s="5">
        <v>45240</v>
      </c>
      <c r="P865" s="5">
        <v>43777</v>
      </c>
      <c r="Q865" s="3">
        <v>108.35</v>
      </c>
      <c r="S865">
        <f t="shared" si="39"/>
        <v>1464</v>
      </c>
      <c r="T865">
        <f t="shared" si="40"/>
        <v>16.043835616438358</v>
      </c>
      <c r="U865" s="6">
        <f t="shared" si="41"/>
        <v>0.50066917609436601</v>
      </c>
    </row>
    <row r="866" spans="1:21" x14ac:dyDescent="0.25">
      <c r="A866" t="s">
        <v>3049</v>
      </c>
      <c r="B866" t="s">
        <v>3050</v>
      </c>
      <c r="C866" t="s">
        <v>10</v>
      </c>
      <c r="D866">
        <v>49.8</v>
      </c>
      <c r="E866">
        <v>52</v>
      </c>
      <c r="F866">
        <v>49.8</v>
      </c>
      <c r="G866" s="3">
        <v>51.3</v>
      </c>
      <c r="H866">
        <v>50.8</v>
      </c>
      <c r="I866">
        <v>49.85</v>
      </c>
      <c r="J866">
        <v>38498</v>
      </c>
      <c r="K866">
        <v>1966009.1</v>
      </c>
      <c r="L866" s="1">
        <v>45240</v>
      </c>
      <c r="M866">
        <v>207</v>
      </c>
      <c r="N866" t="s">
        <v>3051</v>
      </c>
      <c r="O866" s="5">
        <v>45240</v>
      </c>
      <c r="P866" s="5">
        <v>43777</v>
      </c>
      <c r="Q866" s="3">
        <v>3.75</v>
      </c>
      <c r="S866">
        <f t="shared" si="39"/>
        <v>1464</v>
      </c>
      <c r="T866">
        <f t="shared" si="40"/>
        <v>16.043835616438358</v>
      </c>
      <c r="U866" s="6">
        <f t="shared" si="41"/>
        <v>0.7083785079879954</v>
      </c>
    </row>
    <row r="867" spans="1:21" x14ac:dyDescent="0.25">
      <c r="A867" t="s">
        <v>3052</v>
      </c>
      <c r="B867" t="s">
        <v>3053</v>
      </c>
      <c r="C867" t="s">
        <v>14</v>
      </c>
      <c r="D867">
        <v>43.3</v>
      </c>
      <c r="E867">
        <v>43.35</v>
      </c>
      <c r="F867">
        <v>42.75</v>
      </c>
      <c r="G867" s="3">
        <v>43.15</v>
      </c>
      <c r="H867">
        <v>43.2</v>
      </c>
      <c r="I867">
        <v>43.35</v>
      </c>
      <c r="J867">
        <v>9751541</v>
      </c>
      <c r="K867">
        <v>419753813.60000002</v>
      </c>
      <c r="L867" s="1">
        <v>45240</v>
      </c>
      <c r="M867">
        <v>14093</v>
      </c>
      <c r="N867" t="s">
        <v>3054</v>
      </c>
      <c r="O867" s="5">
        <v>45240</v>
      </c>
      <c r="P867" s="5">
        <v>43777</v>
      </c>
      <c r="Q867" s="3">
        <v>11.8</v>
      </c>
      <c r="S867">
        <f t="shared" si="39"/>
        <v>1464</v>
      </c>
      <c r="T867">
        <f t="shared" si="40"/>
        <v>16.043835616438358</v>
      </c>
      <c r="U867" s="6">
        <f t="shared" si="41"/>
        <v>0.33668131001118162</v>
      </c>
    </row>
    <row r="868" spans="1:21" x14ac:dyDescent="0.25">
      <c r="A868" t="s">
        <v>3055</v>
      </c>
      <c r="B868" t="s">
        <v>3056</v>
      </c>
      <c r="C868" t="s">
        <v>14</v>
      </c>
      <c r="D868">
        <v>155.75</v>
      </c>
      <c r="E868">
        <v>155.75</v>
      </c>
      <c r="F868">
        <v>144.9</v>
      </c>
      <c r="G868" s="3">
        <v>146.65</v>
      </c>
      <c r="H868">
        <v>147.80000000000001</v>
      </c>
      <c r="I868">
        <v>155.75</v>
      </c>
      <c r="J868">
        <v>25885</v>
      </c>
      <c r="K868">
        <v>3858240.65</v>
      </c>
      <c r="L868" s="1">
        <v>45240</v>
      </c>
      <c r="M868">
        <v>1683</v>
      </c>
      <c r="N868" t="s">
        <v>3057</v>
      </c>
      <c r="O868" s="5">
        <v>45240</v>
      </c>
      <c r="P868" s="5">
        <v>43777</v>
      </c>
      <c r="Q868" s="3">
        <v>86.2</v>
      </c>
      <c r="S868">
        <f t="shared" si="39"/>
        <v>1464</v>
      </c>
      <c r="T868">
        <f t="shared" si="40"/>
        <v>16.043835616438358</v>
      </c>
      <c r="U868" s="6">
        <f t="shared" si="41"/>
        <v>0.13470003883400317</v>
      </c>
    </row>
    <row r="869" spans="1:21" x14ac:dyDescent="0.25">
      <c r="A869" t="s">
        <v>3058</v>
      </c>
      <c r="B869" t="s">
        <v>3059</v>
      </c>
      <c r="C869" t="s">
        <v>14</v>
      </c>
      <c r="D869">
        <v>79.349999999999994</v>
      </c>
      <c r="E869">
        <v>79.349999999999994</v>
      </c>
      <c r="F869">
        <v>75.599999999999994</v>
      </c>
      <c r="G869" s="3">
        <v>76.5</v>
      </c>
      <c r="H869">
        <v>76.650000000000006</v>
      </c>
      <c r="I869">
        <v>78.2</v>
      </c>
      <c r="J869">
        <v>35218</v>
      </c>
      <c r="K869">
        <v>2716667.9</v>
      </c>
      <c r="L869" s="1">
        <v>45240</v>
      </c>
      <c r="M869">
        <v>761</v>
      </c>
      <c r="N869" t="s">
        <v>3060</v>
      </c>
      <c r="O869" s="5">
        <v>45240</v>
      </c>
      <c r="P869" s="5">
        <v>43777</v>
      </c>
      <c r="Q869" s="3">
        <v>155.55000000000001</v>
      </c>
      <c r="S869">
        <f t="shared" si="39"/>
        <v>1464</v>
      </c>
      <c r="T869">
        <f t="shared" si="40"/>
        <v>16.043835616438358</v>
      </c>
      <c r="U869" s="6">
        <f t="shared" si="41"/>
        <v>-0.17307821373022314</v>
      </c>
    </row>
    <row r="870" spans="1:21" x14ac:dyDescent="0.25">
      <c r="A870" t="s">
        <v>3064</v>
      </c>
      <c r="B870" t="s">
        <v>3065</v>
      </c>
      <c r="C870" t="s">
        <v>14</v>
      </c>
      <c r="D870">
        <v>85.95</v>
      </c>
      <c r="E870">
        <v>88.2</v>
      </c>
      <c r="F870">
        <v>84.3</v>
      </c>
      <c r="G870" s="3">
        <v>85.15</v>
      </c>
      <c r="H870">
        <v>84.9</v>
      </c>
      <c r="I870">
        <v>85.15</v>
      </c>
      <c r="J870">
        <v>97739</v>
      </c>
      <c r="K870">
        <v>8389221.3499999996</v>
      </c>
      <c r="L870" s="1">
        <v>45240</v>
      </c>
      <c r="M870">
        <v>1747</v>
      </c>
      <c r="N870" t="s">
        <v>3066</v>
      </c>
      <c r="O870" s="5">
        <v>45240</v>
      </c>
      <c r="P870" s="5">
        <v>43777</v>
      </c>
      <c r="Q870" s="3">
        <v>239.6</v>
      </c>
      <c r="S870">
        <f t="shared" si="39"/>
        <v>1464</v>
      </c>
      <c r="T870">
        <f t="shared" si="40"/>
        <v>16.043835616438358</v>
      </c>
      <c r="U870" s="6">
        <f t="shared" si="41"/>
        <v>-0.24979221235422333</v>
      </c>
    </row>
    <row r="871" spans="1:21" x14ac:dyDescent="0.25">
      <c r="A871" t="s">
        <v>6335</v>
      </c>
      <c r="B871" t="s">
        <v>7798</v>
      </c>
      <c r="C871" t="s">
        <v>5788</v>
      </c>
      <c r="D871">
        <v>92</v>
      </c>
      <c r="E871">
        <v>93.95</v>
      </c>
      <c r="F871">
        <v>90</v>
      </c>
      <c r="G871" s="3">
        <v>93.25</v>
      </c>
      <c r="H871">
        <v>93.95</v>
      </c>
      <c r="I871">
        <v>93.85</v>
      </c>
      <c r="J871">
        <v>15000</v>
      </c>
      <c r="K871">
        <v>1385625</v>
      </c>
      <c r="L871" s="1">
        <v>45240</v>
      </c>
      <c r="M871">
        <v>10</v>
      </c>
      <c r="N871" t="s">
        <v>6334</v>
      </c>
      <c r="O871" s="5">
        <v>45240</v>
      </c>
      <c r="P871" s="5">
        <v>43777</v>
      </c>
      <c r="Q871" s="3">
        <v>86.35</v>
      </c>
      <c r="S871">
        <f t="shared" si="39"/>
        <v>1464</v>
      </c>
      <c r="T871">
        <f t="shared" si="40"/>
        <v>16.043835616438358</v>
      </c>
      <c r="U871" s="6">
        <f t="shared" si="41"/>
        <v>1.921229488852827E-2</v>
      </c>
    </row>
    <row r="872" spans="1:21" x14ac:dyDescent="0.25">
      <c r="A872" t="s">
        <v>3067</v>
      </c>
      <c r="B872" t="s">
        <v>3068</v>
      </c>
      <c r="C872" t="s">
        <v>14</v>
      </c>
      <c r="D872">
        <v>505</v>
      </c>
      <c r="E872">
        <v>511.25</v>
      </c>
      <c r="F872">
        <v>501</v>
      </c>
      <c r="G872" s="3">
        <v>506.7</v>
      </c>
      <c r="H872">
        <v>508.6</v>
      </c>
      <c r="I872">
        <v>508.85</v>
      </c>
      <c r="J872">
        <v>54372</v>
      </c>
      <c r="K872">
        <v>27541670.050000001</v>
      </c>
      <c r="L872" s="1">
        <v>45240</v>
      </c>
      <c r="M872">
        <v>3765</v>
      </c>
      <c r="N872" t="s">
        <v>3069</v>
      </c>
      <c r="O872" s="5">
        <v>45240</v>
      </c>
      <c r="P872" s="5">
        <v>43777</v>
      </c>
      <c r="Q872" s="3">
        <v>380.45</v>
      </c>
      <c r="S872">
        <f t="shared" si="39"/>
        <v>1464</v>
      </c>
      <c r="T872">
        <f t="shared" si="40"/>
        <v>16.043835616438358</v>
      </c>
      <c r="U872" s="6">
        <f t="shared" si="41"/>
        <v>7.2087217346364696E-2</v>
      </c>
    </row>
    <row r="873" spans="1:21" x14ac:dyDescent="0.25">
      <c r="A873" t="s">
        <v>3070</v>
      </c>
      <c r="B873" t="s">
        <v>3071</v>
      </c>
      <c r="C873" t="s">
        <v>14</v>
      </c>
      <c r="D873">
        <v>365.45</v>
      </c>
      <c r="E873">
        <v>365.45</v>
      </c>
      <c r="F873">
        <v>358</v>
      </c>
      <c r="G873" s="3">
        <v>359.1</v>
      </c>
      <c r="H873">
        <v>358.9</v>
      </c>
      <c r="I873">
        <v>365.8</v>
      </c>
      <c r="J873">
        <v>115935</v>
      </c>
      <c r="K873">
        <v>41831302.200000003</v>
      </c>
      <c r="L873" s="1">
        <v>45240</v>
      </c>
      <c r="M873">
        <v>4017</v>
      </c>
      <c r="N873" t="s">
        <v>3072</v>
      </c>
      <c r="O873" s="5">
        <v>45240</v>
      </c>
      <c r="P873" s="5">
        <v>43777</v>
      </c>
      <c r="Q873" s="3">
        <v>389.8</v>
      </c>
      <c r="S873">
        <f t="shared" si="39"/>
        <v>1464</v>
      </c>
      <c r="T873">
        <f t="shared" si="40"/>
        <v>16.043835616438358</v>
      </c>
      <c r="U873" s="6">
        <f t="shared" si="41"/>
        <v>-2.0399990569437865E-2</v>
      </c>
    </row>
    <row r="874" spans="1:21" x14ac:dyDescent="0.25">
      <c r="A874" t="s">
        <v>3073</v>
      </c>
      <c r="B874" t="s">
        <v>3074</v>
      </c>
      <c r="C874" t="s">
        <v>14</v>
      </c>
      <c r="D874">
        <v>7798.95</v>
      </c>
      <c r="E874">
        <v>7809.95</v>
      </c>
      <c r="F874">
        <v>7701</v>
      </c>
      <c r="G874" s="3">
        <v>7727.4</v>
      </c>
      <c r="H874">
        <v>7730</v>
      </c>
      <c r="I874">
        <v>7773.05</v>
      </c>
      <c r="J874">
        <v>1327</v>
      </c>
      <c r="K874">
        <v>10260780.25</v>
      </c>
      <c r="L874" s="1">
        <v>45240</v>
      </c>
      <c r="M874">
        <v>557</v>
      </c>
      <c r="N874" t="s">
        <v>3075</v>
      </c>
      <c r="O874" s="5">
        <v>45240</v>
      </c>
      <c r="P874" s="5">
        <v>43777</v>
      </c>
      <c r="Q874" s="3">
        <v>4913.95</v>
      </c>
      <c r="S874">
        <f t="shared" si="39"/>
        <v>1464</v>
      </c>
      <c r="T874">
        <f t="shared" si="40"/>
        <v>16.043835616438358</v>
      </c>
      <c r="U874" s="6">
        <f t="shared" si="41"/>
        <v>0.11447174947323635</v>
      </c>
    </row>
    <row r="875" spans="1:21" x14ac:dyDescent="0.25">
      <c r="A875" t="s">
        <v>3076</v>
      </c>
      <c r="B875" t="s">
        <v>3077</v>
      </c>
      <c r="C875" t="s">
        <v>14</v>
      </c>
      <c r="D875">
        <v>804.05</v>
      </c>
      <c r="E875">
        <v>816.6</v>
      </c>
      <c r="F875">
        <v>792.55</v>
      </c>
      <c r="G875" s="3">
        <v>804.3</v>
      </c>
      <c r="H875">
        <v>805</v>
      </c>
      <c r="I875">
        <v>807.95</v>
      </c>
      <c r="J875">
        <v>225179</v>
      </c>
      <c r="K875">
        <v>181105972.59999999</v>
      </c>
      <c r="L875" s="1">
        <v>45240</v>
      </c>
      <c r="M875">
        <v>12306</v>
      </c>
      <c r="N875" t="s">
        <v>3078</v>
      </c>
      <c r="O875" s="5">
        <v>45240</v>
      </c>
      <c r="P875" s="5">
        <v>43777</v>
      </c>
      <c r="Q875" s="3">
        <v>370.15</v>
      </c>
      <c r="S875">
        <f t="shared" si="39"/>
        <v>1464</v>
      </c>
      <c r="T875">
        <f t="shared" si="40"/>
        <v>16.043835616438358</v>
      </c>
      <c r="U875" s="6">
        <f t="shared" si="41"/>
        <v>0.19824187660274717</v>
      </c>
    </row>
    <row r="876" spans="1:21" x14ac:dyDescent="0.25">
      <c r="A876" t="s">
        <v>3079</v>
      </c>
      <c r="B876" t="s">
        <v>3080</v>
      </c>
      <c r="C876" t="s">
        <v>14</v>
      </c>
      <c r="D876">
        <v>1019.45</v>
      </c>
      <c r="E876">
        <v>1029.3</v>
      </c>
      <c r="F876">
        <v>1011.65</v>
      </c>
      <c r="G876" s="3">
        <v>1014.4</v>
      </c>
      <c r="H876">
        <v>1018</v>
      </c>
      <c r="I876">
        <v>1019.45</v>
      </c>
      <c r="J876">
        <v>29174</v>
      </c>
      <c r="K876">
        <v>29713104.850000001</v>
      </c>
      <c r="L876" s="1">
        <v>45240</v>
      </c>
      <c r="M876">
        <v>4221</v>
      </c>
      <c r="N876" t="s">
        <v>3081</v>
      </c>
      <c r="O876" s="5">
        <v>45240</v>
      </c>
      <c r="P876" s="5">
        <v>43777</v>
      </c>
      <c r="Q876" s="3">
        <v>447</v>
      </c>
      <c r="S876">
        <f t="shared" si="39"/>
        <v>1464</v>
      </c>
      <c r="T876">
        <f t="shared" si="40"/>
        <v>16.043835616438358</v>
      </c>
      <c r="U876" s="6">
        <f t="shared" si="41"/>
        <v>0.20962173514450821</v>
      </c>
    </row>
    <row r="877" spans="1:21" x14ac:dyDescent="0.25">
      <c r="A877" t="s">
        <v>3085</v>
      </c>
      <c r="B877" t="s">
        <v>3086</v>
      </c>
      <c r="C877" t="s">
        <v>14</v>
      </c>
      <c r="D877">
        <v>38.1</v>
      </c>
      <c r="E877">
        <v>39.450000000000003</v>
      </c>
      <c r="F877">
        <v>37.700000000000003</v>
      </c>
      <c r="G877" s="3">
        <v>38.4</v>
      </c>
      <c r="H877">
        <v>38.299999999999997</v>
      </c>
      <c r="I877">
        <v>38.25</v>
      </c>
      <c r="J877">
        <v>33118</v>
      </c>
      <c r="K877">
        <v>1278858.75</v>
      </c>
      <c r="L877" s="1">
        <v>45240</v>
      </c>
      <c r="M877">
        <v>349</v>
      </c>
      <c r="N877" t="s">
        <v>3087</v>
      </c>
      <c r="O877" s="5">
        <v>45240</v>
      </c>
      <c r="P877" s="5">
        <v>43777</v>
      </c>
      <c r="Q877" s="3">
        <v>23.2</v>
      </c>
      <c r="S877">
        <f t="shared" si="39"/>
        <v>1464</v>
      </c>
      <c r="T877">
        <f t="shared" si="40"/>
        <v>16.043835616438358</v>
      </c>
      <c r="U877" s="6">
        <f t="shared" si="41"/>
        <v>0.12762584416528711</v>
      </c>
    </row>
    <row r="878" spans="1:21" x14ac:dyDescent="0.25">
      <c r="A878" t="s">
        <v>3088</v>
      </c>
      <c r="B878" t="s">
        <v>3089</v>
      </c>
      <c r="C878" t="s">
        <v>14</v>
      </c>
      <c r="D878">
        <v>26.25</v>
      </c>
      <c r="E878">
        <v>27.5</v>
      </c>
      <c r="F878">
        <v>26.1</v>
      </c>
      <c r="G878" s="3">
        <v>26.5</v>
      </c>
      <c r="H878">
        <v>26.1</v>
      </c>
      <c r="I878">
        <v>26.95</v>
      </c>
      <c r="J878">
        <v>88049</v>
      </c>
      <c r="K878">
        <v>2352987.35</v>
      </c>
      <c r="L878" s="1">
        <v>45240</v>
      </c>
      <c r="M878">
        <v>892</v>
      </c>
      <c r="N878" t="s">
        <v>3090</v>
      </c>
      <c r="O878" s="5">
        <v>45240</v>
      </c>
      <c r="P878" s="5">
        <v>43777</v>
      </c>
      <c r="Q878" s="3">
        <v>5.05</v>
      </c>
      <c r="S878">
        <f t="shared" si="39"/>
        <v>1464</v>
      </c>
      <c r="T878">
        <f t="shared" si="40"/>
        <v>16.043835616438358</v>
      </c>
      <c r="U878" s="6">
        <f t="shared" si="41"/>
        <v>0.43541442191459634</v>
      </c>
    </row>
    <row r="879" spans="1:21" x14ac:dyDescent="0.25">
      <c r="A879" t="s">
        <v>3091</v>
      </c>
      <c r="B879" t="s">
        <v>3092</v>
      </c>
      <c r="C879" t="s">
        <v>10</v>
      </c>
      <c r="D879">
        <v>26.65</v>
      </c>
      <c r="E879">
        <v>27.1</v>
      </c>
      <c r="F879">
        <v>26.1</v>
      </c>
      <c r="G879" s="3">
        <v>26.6</v>
      </c>
      <c r="H879">
        <v>26.8</v>
      </c>
      <c r="I879">
        <v>26.35</v>
      </c>
      <c r="J879">
        <v>46797</v>
      </c>
      <c r="K879">
        <v>1249631.6000000001</v>
      </c>
      <c r="L879" s="1">
        <v>45240</v>
      </c>
      <c r="M879">
        <v>261</v>
      </c>
      <c r="N879" t="s">
        <v>3093</v>
      </c>
      <c r="O879" s="5">
        <v>45240</v>
      </c>
      <c r="P879" s="5">
        <v>43777</v>
      </c>
      <c r="Q879" s="3">
        <v>3.9</v>
      </c>
      <c r="S879">
        <f t="shared" si="39"/>
        <v>1464</v>
      </c>
      <c r="T879">
        <f t="shared" si="40"/>
        <v>16.043835616438358</v>
      </c>
      <c r="U879" s="6">
        <f t="shared" si="41"/>
        <v>0.50849060376692012</v>
      </c>
    </row>
    <row r="880" spans="1:21" x14ac:dyDescent="0.25">
      <c r="A880" t="s">
        <v>3094</v>
      </c>
      <c r="B880" t="s">
        <v>3095</v>
      </c>
      <c r="C880" t="s">
        <v>14</v>
      </c>
      <c r="D880">
        <v>137</v>
      </c>
      <c r="E880">
        <v>137.19999999999999</v>
      </c>
      <c r="F880">
        <v>133.94999999999999</v>
      </c>
      <c r="G880" s="3">
        <v>135.15</v>
      </c>
      <c r="H880">
        <v>135.5</v>
      </c>
      <c r="I880">
        <v>136.55000000000001</v>
      </c>
      <c r="J880">
        <v>49116</v>
      </c>
      <c r="K880">
        <v>6641187.3499999996</v>
      </c>
      <c r="L880" s="1">
        <v>45240</v>
      </c>
      <c r="M880">
        <v>1147</v>
      </c>
      <c r="N880" t="s">
        <v>3096</v>
      </c>
      <c r="O880" s="5">
        <v>45240</v>
      </c>
      <c r="P880" s="5">
        <v>43777</v>
      </c>
      <c r="Q880" s="3">
        <v>38.200000000000003</v>
      </c>
      <c r="S880">
        <f t="shared" si="39"/>
        <v>1464</v>
      </c>
      <c r="T880">
        <f t="shared" si="40"/>
        <v>16.043835616438358</v>
      </c>
      <c r="U880" s="6">
        <f t="shared" si="41"/>
        <v>0.32776157395863059</v>
      </c>
    </row>
    <row r="881" spans="1:21" x14ac:dyDescent="0.25">
      <c r="A881" t="s">
        <v>3097</v>
      </c>
      <c r="B881" t="s">
        <v>3098</v>
      </c>
      <c r="C881" t="s">
        <v>14</v>
      </c>
      <c r="D881">
        <v>45</v>
      </c>
      <c r="E881">
        <v>45.65</v>
      </c>
      <c r="F881">
        <v>44.45</v>
      </c>
      <c r="G881" s="3">
        <v>44.55</v>
      </c>
      <c r="H881">
        <v>44.85</v>
      </c>
      <c r="I881">
        <v>44.75</v>
      </c>
      <c r="J881">
        <v>63458</v>
      </c>
      <c r="K881">
        <v>2845820.45</v>
      </c>
      <c r="L881" s="1">
        <v>45240</v>
      </c>
      <c r="M881">
        <v>448</v>
      </c>
      <c r="N881" t="s">
        <v>3099</v>
      </c>
      <c r="O881" s="5">
        <v>45240</v>
      </c>
      <c r="P881" s="5">
        <v>43777</v>
      </c>
      <c r="Q881" s="3">
        <v>10.4</v>
      </c>
      <c r="S881">
        <f t="shared" si="39"/>
        <v>1464</v>
      </c>
      <c r="T881">
        <f t="shared" si="40"/>
        <v>16.043835616438358</v>
      </c>
      <c r="U881" s="6">
        <f t="shared" si="41"/>
        <v>0.37966101610401282</v>
      </c>
    </row>
    <row r="882" spans="1:21" x14ac:dyDescent="0.25">
      <c r="A882" t="s">
        <v>3100</v>
      </c>
      <c r="B882" t="s">
        <v>3101</v>
      </c>
      <c r="C882" t="s">
        <v>14</v>
      </c>
      <c r="D882">
        <v>66</v>
      </c>
      <c r="E882">
        <v>66.650000000000006</v>
      </c>
      <c r="F882">
        <v>65.900000000000006</v>
      </c>
      <c r="G882" s="3">
        <v>66.3</v>
      </c>
      <c r="H882">
        <v>66.400000000000006</v>
      </c>
      <c r="I882">
        <v>65.8</v>
      </c>
      <c r="J882">
        <v>249484</v>
      </c>
      <c r="K882">
        <v>16532392.949999999</v>
      </c>
      <c r="L882" s="1">
        <v>45240</v>
      </c>
      <c r="M882">
        <v>2181</v>
      </c>
      <c r="N882" t="s">
        <v>3102</v>
      </c>
      <c r="O882" s="5">
        <v>45240</v>
      </c>
      <c r="P882" s="5">
        <v>43777</v>
      </c>
      <c r="Q882" s="3">
        <v>18.25</v>
      </c>
      <c r="S882">
        <f t="shared" si="39"/>
        <v>1464</v>
      </c>
      <c r="T882">
        <f t="shared" si="40"/>
        <v>16.043835616438358</v>
      </c>
      <c r="U882" s="6">
        <f t="shared" si="41"/>
        <v>0.33490901293302322</v>
      </c>
    </row>
    <row r="883" spans="1:21" x14ac:dyDescent="0.25">
      <c r="A883" t="s">
        <v>3103</v>
      </c>
      <c r="B883" t="s">
        <v>3104</v>
      </c>
      <c r="C883" t="s">
        <v>14</v>
      </c>
      <c r="D883">
        <v>138.69999999999999</v>
      </c>
      <c r="E883">
        <v>138.69999999999999</v>
      </c>
      <c r="F883">
        <v>134.4</v>
      </c>
      <c r="G883" s="3">
        <v>136.05000000000001</v>
      </c>
      <c r="H883">
        <v>136.1</v>
      </c>
      <c r="I883">
        <v>139.30000000000001</v>
      </c>
      <c r="J883">
        <v>6528381</v>
      </c>
      <c r="K883">
        <v>887252767.20000005</v>
      </c>
      <c r="L883" s="1">
        <v>45240</v>
      </c>
      <c r="M883">
        <v>33853</v>
      </c>
      <c r="N883" t="s">
        <v>3105</v>
      </c>
      <c r="O883" s="5">
        <v>45240</v>
      </c>
      <c r="P883" s="5">
        <v>43777</v>
      </c>
      <c r="Q883" s="3">
        <v>166.3</v>
      </c>
      <c r="S883">
        <f t="shared" si="39"/>
        <v>1464</v>
      </c>
      <c r="T883">
        <f t="shared" si="40"/>
        <v>16.043835616438358</v>
      </c>
      <c r="U883" s="6">
        <f t="shared" si="41"/>
        <v>-4.9743698707775064E-2</v>
      </c>
    </row>
    <row r="884" spans="1:21" x14ac:dyDescent="0.25">
      <c r="A884" t="s">
        <v>3106</v>
      </c>
      <c r="B884" t="s">
        <v>3107</v>
      </c>
      <c r="C884" t="s">
        <v>14</v>
      </c>
      <c r="D884">
        <v>99.6</v>
      </c>
      <c r="E884">
        <v>100.65</v>
      </c>
      <c r="F884">
        <v>99</v>
      </c>
      <c r="G884" s="3">
        <v>99.5</v>
      </c>
      <c r="H884">
        <v>99.75</v>
      </c>
      <c r="I884">
        <v>99.6</v>
      </c>
      <c r="J884">
        <v>22811</v>
      </c>
      <c r="K884">
        <v>2280533.25</v>
      </c>
      <c r="L884" s="1">
        <v>45240</v>
      </c>
      <c r="M884">
        <v>420</v>
      </c>
      <c r="N884" t="s">
        <v>3108</v>
      </c>
      <c r="O884" s="5">
        <v>45240</v>
      </c>
      <c r="P884" s="5">
        <v>43777</v>
      </c>
      <c r="Q884" s="3">
        <v>31.3</v>
      </c>
      <c r="S884">
        <f t="shared" si="39"/>
        <v>1464</v>
      </c>
      <c r="T884">
        <f t="shared" si="40"/>
        <v>16.043835616438358</v>
      </c>
      <c r="U884" s="6">
        <f t="shared" si="41"/>
        <v>0.29899204153572434</v>
      </c>
    </row>
    <row r="885" spans="1:21" x14ac:dyDescent="0.25">
      <c r="A885" t="s">
        <v>3109</v>
      </c>
      <c r="B885" t="s">
        <v>3110</v>
      </c>
      <c r="C885" t="s">
        <v>14</v>
      </c>
      <c r="D885">
        <v>112.35</v>
      </c>
      <c r="E885">
        <v>116.4</v>
      </c>
      <c r="F885">
        <v>112.25</v>
      </c>
      <c r="G885" s="3">
        <v>114.65</v>
      </c>
      <c r="H885">
        <v>114.3</v>
      </c>
      <c r="I885">
        <v>112.25</v>
      </c>
      <c r="J885">
        <v>895658</v>
      </c>
      <c r="K885">
        <v>103160387.09999999</v>
      </c>
      <c r="L885" s="1">
        <v>45240</v>
      </c>
      <c r="M885">
        <v>5635</v>
      </c>
      <c r="N885" t="s">
        <v>3111</v>
      </c>
      <c r="O885" s="5">
        <v>45240</v>
      </c>
      <c r="P885" s="5">
        <v>43777</v>
      </c>
      <c r="Q885" s="3">
        <v>28.95</v>
      </c>
      <c r="S885">
        <f t="shared" si="39"/>
        <v>1464</v>
      </c>
      <c r="T885">
        <f t="shared" si="40"/>
        <v>16.043835616438358</v>
      </c>
      <c r="U885" s="6">
        <f t="shared" si="41"/>
        <v>0.35828637865828483</v>
      </c>
    </row>
    <row r="886" spans="1:21" x14ac:dyDescent="0.25">
      <c r="A886" t="s">
        <v>3112</v>
      </c>
      <c r="B886" t="s">
        <v>3113</v>
      </c>
      <c r="C886" t="s">
        <v>14</v>
      </c>
      <c r="D886">
        <v>410.25</v>
      </c>
      <c r="E886">
        <v>420</v>
      </c>
      <c r="F886">
        <v>410</v>
      </c>
      <c r="G886" s="3">
        <v>413.35</v>
      </c>
      <c r="H886">
        <v>412</v>
      </c>
      <c r="I886">
        <v>410.05</v>
      </c>
      <c r="J886">
        <v>67143</v>
      </c>
      <c r="K886">
        <v>27937635.850000001</v>
      </c>
      <c r="L886" s="1">
        <v>45240</v>
      </c>
      <c r="M886">
        <v>5016</v>
      </c>
      <c r="N886" t="s">
        <v>3114</v>
      </c>
      <c r="O886" s="5">
        <v>45240</v>
      </c>
      <c r="P886" s="5">
        <v>43777</v>
      </c>
      <c r="Q886" s="3">
        <v>315.3</v>
      </c>
      <c r="S886">
        <f t="shared" si="39"/>
        <v>1464</v>
      </c>
      <c r="T886">
        <f t="shared" si="40"/>
        <v>16.043835616438358</v>
      </c>
      <c r="U886" s="6">
        <f t="shared" si="41"/>
        <v>6.8080456428317504E-2</v>
      </c>
    </row>
    <row r="887" spans="1:21" x14ac:dyDescent="0.25">
      <c r="A887" t="s">
        <v>3115</v>
      </c>
      <c r="B887" t="s">
        <v>3116</v>
      </c>
      <c r="C887" t="s">
        <v>14</v>
      </c>
      <c r="D887">
        <v>242</v>
      </c>
      <c r="E887">
        <v>252.75</v>
      </c>
      <c r="F887">
        <v>235.25</v>
      </c>
      <c r="G887" s="3">
        <v>243</v>
      </c>
      <c r="H887">
        <v>243</v>
      </c>
      <c r="I887">
        <v>241.95</v>
      </c>
      <c r="J887">
        <v>915638</v>
      </c>
      <c r="K887">
        <v>223996208.55000001</v>
      </c>
      <c r="L887" s="1">
        <v>45240</v>
      </c>
      <c r="M887">
        <v>13241</v>
      </c>
      <c r="N887" t="s">
        <v>3117</v>
      </c>
      <c r="O887" s="5">
        <v>45240</v>
      </c>
      <c r="P887" s="5">
        <v>43777</v>
      </c>
      <c r="Q887" s="3">
        <v>43.55</v>
      </c>
      <c r="S887">
        <f t="shared" si="39"/>
        <v>1464</v>
      </c>
      <c r="T887">
        <f t="shared" si="40"/>
        <v>16.043835616438358</v>
      </c>
      <c r="U887" s="6">
        <f t="shared" si="41"/>
        <v>0.45242002356407962</v>
      </c>
    </row>
    <row r="888" spans="1:21" x14ac:dyDescent="0.25">
      <c r="A888" t="s">
        <v>3118</v>
      </c>
      <c r="B888" t="s">
        <v>3119</v>
      </c>
      <c r="C888" t="s">
        <v>14</v>
      </c>
      <c r="D888">
        <v>143.19999999999999</v>
      </c>
      <c r="E888">
        <v>145.5</v>
      </c>
      <c r="F888">
        <v>141</v>
      </c>
      <c r="G888" s="3">
        <v>142.55000000000001</v>
      </c>
      <c r="H888">
        <v>142.4</v>
      </c>
      <c r="I888">
        <v>142.69999999999999</v>
      </c>
      <c r="J888">
        <v>1067132</v>
      </c>
      <c r="K888">
        <v>153442989.40000001</v>
      </c>
      <c r="L888" s="1">
        <v>45240</v>
      </c>
      <c r="M888">
        <v>9119</v>
      </c>
      <c r="N888" t="s">
        <v>3120</v>
      </c>
      <c r="O888" s="5">
        <v>45240</v>
      </c>
      <c r="P888" s="5">
        <v>43777</v>
      </c>
      <c r="Q888" s="3">
        <v>25.7</v>
      </c>
      <c r="S888">
        <f t="shared" si="39"/>
        <v>1464</v>
      </c>
      <c r="T888">
        <f t="shared" si="40"/>
        <v>16.043835616438358</v>
      </c>
      <c r="U888" s="6">
        <f t="shared" si="41"/>
        <v>0.45076913304520971</v>
      </c>
    </row>
    <row r="889" spans="1:21" x14ac:dyDescent="0.25">
      <c r="A889" t="s">
        <v>3133</v>
      </c>
      <c r="B889" t="s">
        <v>3134</v>
      </c>
      <c r="C889" t="s">
        <v>10</v>
      </c>
      <c r="D889">
        <v>21.65</v>
      </c>
      <c r="E889">
        <v>22.5</v>
      </c>
      <c r="F889">
        <v>21.55</v>
      </c>
      <c r="G889" s="3">
        <v>21.8</v>
      </c>
      <c r="H889">
        <v>21.7</v>
      </c>
      <c r="I889">
        <v>22.55</v>
      </c>
      <c r="J889">
        <v>18658</v>
      </c>
      <c r="K889">
        <v>406398.9</v>
      </c>
      <c r="L889" s="1">
        <v>45240</v>
      </c>
      <c r="M889">
        <v>105</v>
      </c>
      <c r="N889" t="s">
        <v>3135</v>
      </c>
      <c r="O889" s="5">
        <v>45240</v>
      </c>
      <c r="P889" s="5">
        <v>43777</v>
      </c>
      <c r="Q889" s="3">
        <v>15.45</v>
      </c>
      <c r="S889">
        <f t="shared" si="39"/>
        <v>1464</v>
      </c>
      <c r="T889">
        <f t="shared" si="40"/>
        <v>16.043835616438358</v>
      </c>
      <c r="U889" s="6">
        <f t="shared" si="41"/>
        <v>8.6767752103961371E-2</v>
      </c>
    </row>
    <row r="890" spans="1:21" x14ac:dyDescent="0.25">
      <c r="A890" t="s">
        <v>3142</v>
      </c>
      <c r="B890" t="s">
        <v>3143</v>
      </c>
      <c r="C890" t="s">
        <v>14</v>
      </c>
      <c r="D890">
        <v>66.3</v>
      </c>
      <c r="E890">
        <v>68.599999999999994</v>
      </c>
      <c r="F890">
        <v>66.3</v>
      </c>
      <c r="G890" s="3">
        <v>67.400000000000006</v>
      </c>
      <c r="H890">
        <v>66.7</v>
      </c>
      <c r="I890">
        <v>67.599999999999994</v>
      </c>
      <c r="J890">
        <v>30469</v>
      </c>
      <c r="K890">
        <v>2063457.2</v>
      </c>
      <c r="L890" s="1">
        <v>45240</v>
      </c>
      <c r="M890">
        <v>1407</v>
      </c>
      <c r="N890" t="s">
        <v>3144</v>
      </c>
      <c r="O890" s="5">
        <v>45240</v>
      </c>
      <c r="P890" s="5">
        <v>43777</v>
      </c>
      <c r="Q890" s="3">
        <v>19.600000000000001</v>
      </c>
      <c r="S890">
        <f t="shared" si="39"/>
        <v>1464</v>
      </c>
      <c r="T890">
        <f t="shared" si="40"/>
        <v>16.043835616438358</v>
      </c>
      <c r="U890" s="6">
        <f t="shared" si="41"/>
        <v>0.32009832462189802</v>
      </c>
    </row>
    <row r="891" spans="1:21" x14ac:dyDescent="0.25">
      <c r="A891" t="s">
        <v>3145</v>
      </c>
      <c r="B891" t="s">
        <v>3146</v>
      </c>
      <c r="C891" t="s">
        <v>14</v>
      </c>
      <c r="D891">
        <v>464.25</v>
      </c>
      <c r="E891">
        <v>464.25</v>
      </c>
      <c r="F891">
        <v>440.1</v>
      </c>
      <c r="G891" s="3">
        <v>445.15</v>
      </c>
      <c r="H891">
        <v>445.9</v>
      </c>
      <c r="I891">
        <v>463.5</v>
      </c>
      <c r="J891">
        <v>60537</v>
      </c>
      <c r="K891">
        <v>27165171.449999999</v>
      </c>
      <c r="L891" s="1">
        <v>45240</v>
      </c>
      <c r="M891">
        <v>6056</v>
      </c>
      <c r="N891" t="s">
        <v>3147</v>
      </c>
      <c r="O891" s="5">
        <v>45240</v>
      </c>
      <c r="P891" s="5">
        <v>43777</v>
      </c>
      <c r="Q891" s="3">
        <v>81.099999999999994</v>
      </c>
      <c r="S891">
        <f t="shared" si="39"/>
        <v>1464</v>
      </c>
      <c r="T891">
        <f t="shared" si="40"/>
        <v>16.043835616438358</v>
      </c>
      <c r="U891" s="6">
        <f t="shared" si="41"/>
        <v>0.44786460116340177</v>
      </c>
    </row>
    <row r="892" spans="1:21" x14ac:dyDescent="0.25">
      <c r="A892" t="s">
        <v>3148</v>
      </c>
      <c r="B892" t="s">
        <v>3149</v>
      </c>
      <c r="C892" t="s">
        <v>14</v>
      </c>
      <c r="D892">
        <v>520.45000000000005</v>
      </c>
      <c r="E892">
        <v>522.95000000000005</v>
      </c>
      <c r="F892">
        <v>516.25</v>
      </c>
      <c r="G892" s="3">
        <v>521.25</v>
      </c>
      <c r="H892">
        <v>520.1</v>
      </c>
      <c r="I892">
        <v>520.45000000000005</v>
      </c>
      <c r="J892">
        <v>1054801</v>
      </c>
      <c r="K892">
        <v>547710363.35000002</v>
      </c>
      <c r="L892" s="1">
        <v>45240</v>
      </c>
      <c r="M892">
        <v>18534</v>
      </c>
      <c r="N892" t="s">
        <v>3150</v>
      </c>
      <c r="O892" s="5">
        <v>45240</v>
      </c>
      <c r="P892" s="5">
        <v>43777</v>
      </c>
      <c r="Q892" s="3">
        <v>370.6</v>
      </c>
      <c r="S892">
        <f t="shared" si="39"/>
        <v>1464</v>
      </c>
      <c r="T892">
        <f t="shared" si="40"/>
        <v>16.043835616438358</v>
      </c>
      <c r="U892" s="6">
        <f t="shared" si="41"/>
        <v>8.5954111921818566E-2</v>
      </c>
    </row>
    <row r="893" spans="1:21" x14ac:dyDescent="0.25">
      <c r="A893" t="s">
        <v>3151</v>
      </c>
      <c r="B893" t="s">
        <v>3152</v>
      </c>
      <c r="C893" t="s">
        <v>10</v>
      </c>
      <c r="D893">
        <v>82</v>
      </c>
      <c r="E893">
        <v>82.85</v>
      </c>
      <c r="F893">
        <v>80.599999999999994</v>
      </c>
      <c r="G893" s="3">
        <v>82.1</v>
      </c>
      <c r="H893">
        <v>81.75</v>
      </c>
      <c r="I893">
        <v>80.599999999999994</v>
      </c>
      <c r="J893">
        <v>226558</v>
      </c>
      <c r="K893">
        <v>18547664</v>
      </c>
      <c r="L893" s="1">
        <v>45240</v>
      </c>
      <c r="M893">
        <v>1115</v>
      </c>
      <c r="N893" t="s">
        <v>3153</v>
      </c>
      <c r="O893" s="5">
        <v>45240</v>
      </c>
      <c r="P893" s="5">
        <v>43777</v>
      </c>
      <c r="Q893" s="3">
        <v>103.95</v>
      </c>
      <c r="S893">
        <f t="shared" si="39"/>
        <v>1464</v>
      </c>
      <c r="T893">
        <f t="shared" si="40"/>
        <v>16.043835616438358</v>
      </c>
      <c r="U893" s="6">
        <f t="shared" si="41"/>
        <v>-5.8401281920126724E-2</v>
      </c>
    </row>
    <row r="894" spans="1:21" x14ac:dyDescent="0.25">
      <c r="A894" t="s">
        <v>3154</v>
      </c>
      <c r="B894" t="s">
        <v>3155</v>
      </c>
      <c r="C894" t="s">
        <v>14</v>
      </c>
      <c r="D894">
        <v>125.85</v>
      </c>
      <c r="E894">
        <v>132.19999999999999</v>
      </c>
      <c r="F894">
        <v>125</v>
      </c>
      <c r="G894" s="3">
        <v>130.35</v>
      </c>
      <c r="H894">
        <v>129.9</v>
      </c>
      <c r="I894">
        <v>123.85</v>
      </c>
      <c r="J894">
        <v>14091599</v>
      </c>
      <c r="K894">
        <v>1823714478.25</v>
      </c>
      <c r="L894" s="1">
        <v>45240</v>
      </c>
      <c r="M894">
        <v>67605</v>
      </c>
      <c r="N894" t="s">
        <v>3156</v>
      </c>
      <c r="O894" s="5">
        <v>45240</v>
      </c>
      <c r="P894" s="5">
        <v>43777</v>
      </c>
      <c r="Q894" s="3">
        <v>14.6</v>
      </c>
      <c r="S894">
        <f t="shared" si="39"/>
        <v>1464</v>
      </c>
      <c r="T894">
        <f t="shared" si="40"/>
        <v>16.043835616438358</v>
      </c>
      <c r="U894" s="6">
        <f t="shared" si="41"/>
        <v>0.58479605029070036</v>
      </c>
    </row>
    <row r="895" spans="1:21" x14ac:dyDescent="0.25">
      <c r="A895" t="s">
        <v>3157</v>
      </c>
      <c r="B895" t="s">
        <v>3158</v>
      </c>
      <c r="C895" t="s">
        <v>14</v>
      </c>
      <c r="D895">
        <v>46.9</v>
      </c>
      <c r="E895">
        <v>48.95</v>
      </c>
      <c r="F895">
        <v>46.4</v>
      </c>
      <c r="G895" s="3">
        <v>48.25</v>
      </c>
      <c r="H895">
        <v>48</v>
      </c>
      <c r="I895">
        <v>47</v>
      </c>
      <c r="J895">
        <v>390464</v>
      </c>
      <c r="K895">
        <v>18813546.699999999</v>
      </c>
      <c r="L895" s="1">
        <v>45240</v>
      </c>
      <c r="M895">
        <v>1049</v>
      </c>
      <c r="N895" t="s">
        <v>3159</v>
      </c>
      <c r="O895" s="5">
        <v>45240</v>
      </c>
      <c r="P895" s="5">
        <v>43777</v>
      </c>
      <c r="Q895" s="3">
        <v>20</v>
      </c>
      <c r="S895">
        <f t="shared" si="39"/>
        <v>1464</v>
      </c>
      <c r="T895">
        <f t="shared" si="40"/>
        <v>16.043835616438358</v>
      </c>
      <c r="U895" s="6">
        <f t="shared" si="41"/>
        <v>0.22570219383362566</v>
      </c>
    </row>
    <row r="896" spans="1:21" x14ac:dyDescent="0.25">
      <c r="A896" t="s">
        <v>3160</v>
      </c>
      <c r="B896" t="s">
        <v>3161</v>
      </c>
      <c r="C896" t="s">
        <v>14</v>
      </c>
      <c r="D896">
        <v>10375</v>
      </c>
      <c r="E896">
        <v>10416.4</v>
      </c>
      <c r="F896">
        <v>10320</v>
      </c>
      <c r="G896" s="3">
        <v>10388.799999999999</v>
      </c>
      <c r="H896">
        <v>10395</v>
      </c>
      <c r="I896">
        <v>10400.35</v>
      </c>
      <c r="J896">
        <v>206395</v>
      </c>
      <c r="K896">
        <v>2141711755.25</v>
      </c>
      <c r="L896" s="1">
        <v>45240</v>
      </c>
      <c r="M896">
        <v>33950</v>
      </c>
      <c r="N896" t="s">
        <v>3162</v>
      </c>
      <c r="O896" s="5">
        <v>45240</v>
      </c>
      <c r="P896" s="5">
        <v>43777</v>
      </c>
      <c r="Q896" s="3">
        <v>7200.55</v>
      </c>
      <c r="S896">
        <f t="shared" si="39"/>
        <v>1464</v>
      </c>
      <c r="T896">
        <f t="shared" si="40"/>
        <v>16.043835616438358</v>
      </c>
      <c r="U896" s="6">
        <f t="shared" si="41"/>
        <v>9.2444399845497571E-2</v>
      </c>
    </row>
    <row r="897" spans="1:21" x14ac:dyDescent="0.25">
      <c r="A897" t="s">
        <v>3163</v>
      </c>
      <c r="B897" t="s">
        <v>3164</v>
      </c>
      <c r="C897" t="s">
        <v>14</v>
      </c>
      <c r="D897">
        <v>896</v>
      </c>
      <c r="E897">
        <v>915</v>
      </c>
      <c r="F897">
        <v>896</v>
      </c>
      <c r="G897" s="3">
        <v>911.1</v>
      </c>
      <c r="H897">
        <v>914</v>
      </c>
      <c r="I897">
        <v>899.85</v>
      </c>
      <c r="J897">
        <v>25978</v>
      </c>
      <c r="K897">
        <v>23624212.800000001</v>
      </c>
      <c r="L897" s="1">
        <v>45240</v>
      </c>
      <c r="M897">
        <v>4760</v>
      </c>
      <c r="N897" t="s">
        <v>3165</v>
      </c>
      <c r="O897" s="5">
        <v>45240</v>
      </c>
      <c r="P897" s="5">
        <v>43777</v>
      </c>
      <c r="Q897" s="3">
        <v>721.2</v>
      </c>
      <c r="S897">
        <f t="shared" si="39"/>
        <v>1464</v>
      </c>
      <c r="T897">
        <f t="shared" si="40"/>
        <v>16.043835616438358</v>
      </c>
      <c r="U897" s="6">
        <f t="shared" si="41"/>
        <v>5.8700943437484554E-2</v>
      </c>
    </row>
    <row r="898" spans="1:21" x14ac:dyDescent="0.25">
      <c r="A898" t="s">
        <v>3169</v>
      </c>
      <c r="B898" t="s">
        <v>3170</v>
      </c>
      <c r="C898" t="s">
        <v>14</v>
      </c>
      <c r="D898">
        <v>2224.9499999999998</v>
      </c>
      <c r="E898">
        <v>2254.9499999999998</v>
      </c>
      <c r="F898">
        <v>2216</v>
      </c>
      <c r="G898" s="3">
        <v>2236.5500000000002</v>
      </c>
      <c r="H898">
        <v>2223</v>
      </c>
      <c r="I898">
        <v>2221.15</v>
      </c>
      <c r="J898">
        <v>21327</v>
      </c>
      <c r="K898">
        <v>47591702.5</v>
      </c>
      <c r="L898" s="1">
        <v>45240</v>
      </c>
      <c r="M898">
        <v>3777</v>
      </c>
      <c r="N898" t="s">
        <v>3171</v>
      </c>
      <c r="O898" s="5">
        <v>45240</v>
      </c>
      <c r="P898" s="5">
        <v>43777</v>
      </c>
      <c r="Q898" s="3">
        <v>324.14999999999998</v>
      </c>
      <c r="S898">
        <f t="shared" si="39"/>
        <v>1464</v>
      </c>
      <c r="T898">
        <f t="shared" si="40"/>
        <v>16.043835616438358</v>
      </c>
      <c r="U898" s="6">
        <f t="shared" si="41"/>
        <v>0.51173709372417786</v>
      </c>
    </row>
    <row r="899" spans="1:21" x14ac:dyDescent="0.25">
      <c r="A899" t="s">
        <v>3172</v>
      </c>
      <c r="B899" t="s">
        <v>3173</v>
      </c>
      <c r="C899" t="s">
        <v>14</v>
      </c>
      <c r="D899">
        <v>574.65</v>
      </c>
      <c r="E899">
        <v>580</v>
      </c>
      <c r="F899">
        <v>567</v>
      </c>
      <c r="G899" s="3">
        <v>573</v>
      </c>
      <c r="H899">
        <v>575.35</v>
      </c>
      <c r="I899">
        <v>571.75</v>
      </c>
      <c r="J899">
        <v>7941</v>
      </c>
      <c r="K899">
        <v>4550295.2</v>
      </c>
      <c r="L899" s="1">
        <v>45240</v>
      </c>
      <c r="M899">
        <v>1015</v>
      </c>
      <c r="N899" t="s">
        <v>3174</v>
      </c>
      <c r="O899" s="5">
        <v>45240</v>
      </c>
      <c r="P899" s="5">
        <v>43777</v>
      </c>
      <c r="Q899" s="3">
        <v>509.95</v>
      </c>
      <c r="S899">
        <f t="shared" ref="S899:S962" si="42">O899-P899+1</f>
        <v>1464</v>
      </c>
      <c r="T899">
        <f t="shared" ref="T899:T962" si="43">(S899/365)*4</f>
        <v>16.043835616438358</v>
      </c>
      <c r="U899" s="6">
        <f t="shared" ref="U899:U962" si="44">(((G899/Q899)^(1/T899))-1)*4</f>
        <v>2.9169475398584055E-2</v>
      </c>
    </row>
    <row r="900" spans="1:21" x14ac:dyDescent="0.25">
      <c r="A900" t="s">
        <v>3175</v>
      </c>
      <c r="B900" t="s">
        <v>3176</v>
      </c>
      <c r="C900" t="s">
        <v>14</v>
      </c>
      <c r="D900">
        <v>98.65</v>
      </c>
      <c r="E900">
        <v>100.25</v>
      </c>
      <c r="F900">
        <v>94.1</v>
      </c>
      <c r="G900" s="3">
        <v>99.6</v>
      </c>
      <c r="H900">
        <v>99.4</v>
      </c>
      <c r="I900">
        <v>98.45</v>
      </c>
      <c r="J900">
        <v>309563</v>
      </c>
      <c r="K900">
        <v>30586045.5</v>
      </c>
      <c r="L900" s="1">
        <v>45240</v>
      </c>
      <c r="M900">
        <v>3279</v>
      </c>
      <c r="N900" t="s">
        <v>3177</v>
      </c>
      <c r="O900" s="5">
        <v>45240</v>
      </c>
      <c r="P900" s="5">
        <v>43777</v>
      </c>
      <c r="Q900" s="3">
        <v>34.700000000000003</v>
      </c>
      <c r="S900">
        <f t="shared" si="42"/>
        <v>1464</v>
      </c>
      <c r="T900">
        <f t="shared" si="43"/>
        <v>16.043835616438358</v>
      </c>
      <c r="U900" s="6">
        <f t="shared" si="44"/>
        <v>0.27171637352635969</v>
      </c>
    </row>
    <row r="901" spans="1:21" x14ac:dyDescent="0.25">
      <c r="A901" t="s">
        <v>3187</v>
      </c>
      <c r="B901" t="s">
        <v>3188</v>
      </c>
      <c r="C901" t="s">
        <v>14</v>
      </c>
      <c r="D901">
        <v>519.15</v>
      </c>
      <c r="E901">
        <v>529.20000000000005</v>
      </c>
      <c r="F901">
        <v>512.35</v>
      </c>
      <c r="G901" s="3">
        <v>514.95000000000005</v>
      </c>
      <c r="H901">
        <v>512.6</v>
      </c>
      <c r="I901">
        <v>519.15</v>
      </c>
      <c r="J901">
        <v>61025</v>
      </c>
      <c r="K901">
        <v>31634095.149999999</v>
      </c>
      <c r="L901" s="1">
        <v>45240</v>
      </c>
      <c r="M901">
        <v>5906</v>
      </c>
      <c r="N901" t="s">
        <v>3189</v>
      </c>
      <c r="O901" s="5">
        <v>45240</v>
      </c>
      <c r="P901" s="5">
        <v>43777</v>
      </c>
      <c r="Q901" s="3">
        <v>225.55</v>
      </c>
      <c r="S901">
        <f t="shared" si="42"/>
        <v>1464</v>
      </c>
      <c r="T901">
        <f t="shared" si="43"/>
        <v>16.043835616438358</v>
      </c>
      <c r="U901" s="6">
        <f t="shared" si="44"/>
        <v>0.21120523727850582</v>
      </c>
    </row>
    <row r="902" spans="1:21" x14ac:dyDescent="0.25">
      <c r="A902" t="s">
        <v>3190</v>
      </c>
      <c r="B902" t="s">
        <v>3191</v>
      </c>
      <c r="C902" t="s">
        <v>14</v>
      </c>
      <c r="D902">
        <v>1325.05</v>
      </c>
      <c r="E902">
        <v>1327.45</v>
      </c>
      <c r="F902">
        <v>1290</v>
      </c>
      <c r="G902" s="3">
        <v>1295.05</v>
      </c>
      <c r="H902">
        <v>1291</v>
      </c>
      <c r="I902">
        <v>1379.8</v>
      </c>
      <c r="J902">
        <v>38522</v>
      </c>
      <c r="K902">
        <v>50261004.5</v>
      </c>
      <c r="L902" s="1">
        <v>45240</v>
      </c>
      <c r="M902">
        <v>4115</v>
      </c>
      <c r="N902" t="s">
        <v>3192</v>
      </c>
      <c r="O902" s="5">
        <v>45240</v>
      </c>
      <c r="P902" s="5">
        <v>43777</v>
      </c>
      <c r="Q902" s="3">
        <v>355.7</v>
      </c>
      <c r="S902">
        <f t="shared" si="42"/>
        <v>1464</v>
      </c>
      <c r="T902">
        <f t="shared" si="43"/>
        <v>16.043835616438358</v>
      </c>
      <c r="U902" s="6">
        <f t="shared" si="44"/>
        <v>0.33550133689214423</v>
      </c>
    </row>
    <row r="903" spans="1:21" x14ac:dyDescent="0.25">
      <c r="A903" t="s">
        <v>3196</v>
      </c>
      <c r="B903" t="s">
        <v>3197</v>
      </c>
      <c r="C903" t="s">
        <v>14</v>
      </c>
      <c r="D903">
        <v>275</v>
      </c>
      <c r="E903">
        <v>275</v>
      </c>
      <c r="F903">
        <v>268.05</v>
      </c>
      <c r="G903" s="3">
        <v>270.60000000000002</v>
      </c>
      <c r="H903">
        <v>273.35000000000002</v>
      </c>
      <c r="I903">
        <v>271.89999999999998</v>
      </c>
      <c r="J903">
        <v>12136</v>
      </c>
      <c r="K903">
        <v>3302718.65</v>
      </c>
      <c r="L903" s="1">
        <v>45240</v>
      </c>
      <c r="M903">
        <v>681</v>
      </c>
      <c r="N903" t="s">
        <v>3198</v>
      </c>
      <c r="O903" s="5">
        <v>45240</v>
      </c>
      <c r="P903" s="5">
        <v>43777</v>
      </c>
      <c r="Q903" s="3">
        <v>70</v>
      </c>
      <c r="S903">
        <f t="shared" si="42"/>
        <v>1464</v>
      </c>
      <c r="T903">
        <f t="shared" si="43"/>
        <v>16.043835616438358</v>
      </c>
      <c r="U903" s="6">
        <f t="shared" si="44"/>
        <v>0.35172629758428009</v>
      </c>
    </row>
    <row r="904" spans="1:21" x14ac:dyDescent="0.25">
      <c r="A904" t="s">
        <v>3199</v>
      </c>
      <c r="B904" t="s">
        <v>3200</v>
      </c>
      <c r="C904" t="s">
        <v>14</v>
      </c>
      <c r="D904">
        <v>49</v>
      </c>
      <c r="E904">
        <v>51.35</v>
      </c>
      <c r="F904">
        <v>46.65</v>
      </c>
      <c r="G904" s="3">
        <v>51.35</v>
      </c>
      <c r="H904">
        <v>51.35</v>
      </c>
      <c r="I904">
        <v>48.95</v>
      </c>
      <c r="J904">
        <v>1251116</v>
      </c>
      <c r="K904">
        <v>63232149.549999997</v>
      </c>
      <c r="L904" s="1">
        <v>45240</v>
      </c>
      <c r="M904">
        <v>3707</v>
      </c>
      <c r="N904" t="s">
        <v>3201</v>
      </c>
      <c r="O904" s="5">
        <v>45240</v>
      </c>
      <c r="P904" s="5">
        <v>43777</v>
      </c>
      <c r="Q904" s="3">
        <v>5.25</v>
      </c>
      <c r="S904">
        <f t="shared" si="42"/>
        <v>1464</v>
      </c>
      <c r="T904">
        <f t="shared" si="43"/>
        <v>16.043835616438358</v>
      </c>
      <c r="U904" s="6">
        <f t="shared" si="44"/>
        <v>0.61094232951549277</v>
      </c>
    </row>
    <row r="905" spans="1:21" x14ac:dyDescent="0.25">
      <c r="A905" t="s">
        <v>3202</v>
      </c>
      <c r="B905" t="s">
        <v>3203</v>
      </c>
      <c r="C905" t="s">
        <v>14</v>
      </c>
      <c r="D905">
        <v>1080</v>
      </c>
      <c r="E905">
        <v>1080</v>
      </c>
      <c r="F905">
        <v>1023.95</v>
      </c>
      <c r="G905" s="3">
        <v>1044.3499999999999</v>
      </c>
      <c r="H905">
        <v>1046.45</v>
      </c>
      <c r="I905">
        <v>1097.0999999999999</v>
      </c>
      <c r="J905">
        <v>4108910</v>
      </c>
      <c r="K905">
        <v>4265569959.4499998</v>
      </c>
      <c r="L905" s="1">
        <v>45240</v>
      </c>
      <c r="M905">
        <v>138929</v>
      </c>
      <c r="N905" t="s">
        <v>3204</v>
      </c>
      <c r="O905" s="5">
        <v>45240</v>
      </c>
      <c r="P905" s="5">
        <v>43777</v>
      </c>
      <c r="Q905" s="3">
        <v>633.04999999999995</v>
      </c>
      <c r="S905">
        <f t="shared" si="42"/>
        <v>1464</v>
      </c>
      <c r="T905">
        <f t="shared" si="43"/>
        <v>16.043835616438358</v>
      </c>
      <c r="U905" s="6">
        <f t="shared" si="44"/>
        <v>0.12677574435892058</v>
      </c>
    </row>
    <row r="906" spans="1:21" x14ac:dyDescent="0.25">
      <c r="A906" t="s">
        <v>3205</v>
      </c>
      <c r="B906" t="s">
        <v>3206</v>
      </c>
      <c r="C906" t="s">
        <v>14</v>
      </c>
      <c r="D906">
        <v>27.9</v>
      </c>
      <c r="E906">
        <v>28.8</v>
      </c>
      <c r="F906">
        <v>26.65</v>
      </c>
      <c r="G906" s="3">
        <v>27.6</v>
      </c>
      <c r="H906">
        <v>27.5</v>
      </c>
      <c r="I906">
        <v>27.45</v>
      </c>
      <c r="J906">
        <v>121998</v>
      </c>
      <c r="K906">
        <v>3401001.25</v>
      </c>
      <c r="L906" s="1">
        <v>45240</v>
      </c>
      <c r="M906">
        <v>737</v>
      </c>
      <c r="N906" t="s">
        <v>3207</v>
      </c>
      <c r="O906" s="5">
        <v>45240</v>
      </c>
      <c r="P906" s="5">
        <v>43777</v>
      </c>
      <c r="Q906" s="3">
        <v>120.6</v>
      </c>
      <c r="S906">
        <f t="shared" si="42"/>
        <v>1464</v>
      </c>
      <c r="T906">
        <f t="shared" si="43"/>
        <v>16.043835616438358</v>
      </c>
      <c r="U906" s="6">
        <f t="shared" si="44"/>
        <v>-0.35126799042612022</v>
      </c>
    </row>
    <row r="907" spans="1:21" x14ac:dyDescent="0.25">
      <c r="A907" t="s">
        <v>3208</v>
      </c>
      <c r="B907" t="s">
        <v>3209</v>
      </c>
      <c r="C907" t="s">
        <v>14</v>
      </c>
      <c r="D907">
        <v>19.25</v>
      </c>
      <c r="E907">
        <v>20.3</v>
      </c>
      <c r="F907">
        <v>19.05</v>
      </c>
      <c r="G907" s="3">
        <v>20</v>
      </c>
      <c r="H907">
        <v>19.899999999999999</v>
      </c>
      <c r="I907">
        <v>19.350000000000001</v>
      </c>
      <c r="J907">
        <v>1424686</v>
      </c>
      <c r="K907">
        <v>28491939.25</v>
      </c>
      <c r="L907" s="1">
        <v>45240</v>
      </c>
      <c r="M907">
        <v>1544</v>
      </c>
      <c r="N907" t="s">
        <v>3210</v>
      </c>
      <c r="O907" s="5">
        <v>45240</v>
      </c>
      <c r="P907" s="5">
        <v>43777</v>
      </c>
      <c r="Q907" s="3">
        <v>7</v>
      </c>
      <c r="S907">
        <f t="shared" si="42"/>
        <v>1464</v>
      </c>
      <c r="T907">
        <f t="shared" si="43"/>
        <v>16.043835616438358</v>
      </c>
      <c r="U907" s="6">
        <f t="shared" si="44"/>
        <v>0.27049169214842461</v>
      </c>
    </row>
    <row r="908" spans="1:21" x14ac:dyDescent="0.25">
      <c r="A908" t="s">
        <v>3211</v>
      </c>
      <c r="B908" t="s">
        <v>3212</v>
      </c>
      <c r="C908" t="s">
        <v>14</v>
      </c>
      <c r="D908">
        <v>2452</v>
      </c>
      <c r="E908">
        <v>2654</v>
      </c>
      <c r="F908">
        <v>2430.0500000000002</v>
      </c>
      <c r="G908" s="3">
        <v>2603.9</v>
      </c>
      <c r="H908">
        <v>2611.9499999999998</v>
      </c>
      <c r="I908">
        <v>2475.3000000000002</v>
      </c>
      <c r="J908">
        <v>3662702</v>
      </c>
      <c r="K908">
        <v>9422375540.2000008</v>
      </c>
      <c r="L908" s="1">
        <v>45240</v>
      </c>
      <c r="M908">
        <v>151272</v>
      </c>
      <c r="N908" t="s">
        <v>3213</v>
      </c>
      <c r="O908" s="5">
        <v>45240</v>
      </c>
      <c r="P908" s="5">
        <v>43777</v>
      </c>
      <c r="Q908" s="3">
        <v>1107.1500000000001</v>
      </c>
      <c r="S908">
        <f t="shared" si="42"/>
        <v>1464</v>
      </c>
      <c r="T908">
        <f t="shared" si="43"/>
        <v>16.043835616438358</v>
      </c>
      <c r="U908" s="6">
        <f t="shared" si="44"/>
        <v>0.21900636885280012</v>
      </c>
    </row>
    <row r="909" spans="1:21" x14ac:dyDescent="0.25">
      <c r="A909" t="s">
        <v>6315</v>
      </c>
      <c r="B909" t="s">
        <v>7798</v>
      </c>
      <c r="C909" t="s">
        <v>5788</v>
      </c>
      <c r="D909">
        <v>55.7</v>
      </c>
      <c r="E909">
        <v>60.1</v>
      </c>
      <c r="F909">
        <v>55.7</v>
      </c>
      <c r="G909" s="3">
        <v>60.1</v>
      </c>
      <c r="H909">
        <v>60.1</v>
      </c>
      <c r="I909">
        <v>54.65</v>
      </c>
      <c r="J909">
        <v>50000</v>
      </c>
      <c r="K909">
        <v>2966300</v>
      </c>
      <c r="L909" s="1">
        <v>45240</v>
      </c>
      <c r="M909">
        <v>24</v>
      </c>
      <c r="N909" t="s">
        <v>6314</v>
      </c>
      <c r="O909" s="5">
        <v>45240</v>
      </c>
      <c r="P909" s="5">
        <v>43777</v>
      </c>
      <c r="Q909" s="3">
        <v>26</v>
      </c>
      <c r="S909">
        <f t="shared" si="42"/>
        <v>1464</v>
      </c>
      <c r="T909">
        <f t="shared" si="43"/>
        <v>16.043835616438358</v>
      </c>
      <c r="U909" s="6">
        <f t="shared" si="44"/>
        <v>0.21445741625937398</v>
      </c>
    </row>
    <row r="910" spans="1:21" x14ac:dyDescent="0.25">
      <c r="A910" t="s">
        <v>3226</v>
      </c>
      <c r="B910" t="s">
        <v>3227</v>
      </c>
      <c r="C910" t="s">
        <v>10</v>
      </c>
      <c r="D910">
        <v>50.1</v>
      </c>
      <c r="E910">
        <v>50.1</v>
      </c>
      <c r="F910">
        <v>50.1</v>
      </c>
      <c r="G910" s="3">
        <v>50.1</v>
      </c>
      <c r="H910">
        <v>50.1</v>
      </c>
      <c r="I910">
        <v>51.1</v>
      </c>
      <c r="J910">
        <v>31782</v>
      </c>
      <c r="K910">
        <v>1592278.2</v>
      </c>
      <c r="L910" s="1">
        <v>45240</v>
      </c>
      <c r="M910">
        <v>58</v>
      </c>
      <c r="N910" t="s">
        <v>3228</v>
      </c>
      <c r="O910" s="5">
        <v>45240</v>
      </c>
      <c r="P910" s="5">
        <v>43777</v>
      </c>
      <c r="Q910" s="3">
        <v>6.9</v>
      </c>
      <c r="S910">
        <f t="shared" si="42"/>
        <v>1464</v>
      </c>
      <c r="T910">
        <f t="shared" si="43"/>
        <v>16.043835616438358</v>
      </c>
      <c r="U910" s="6">
        <f t="shared" si="44"/>
        <v>0.52610634908448262</v>
      </c>
    </row>
    <row r="911" spans="1:21" x14ac:dyDescent="0.25">
      <c r="A911" t="s">
        <v>3232</v>
      </c>
      <c r="B911" t="s">
        <v>3233</v>
      </c>
      <c r="C911" t="s">
        <v>786</v>
      </c>
      <c r="D911">
        <v>2.65</v>
      </c>
      <c r="E911">
        <v>2.75</v>
      </c>
      <c r="F911">
        <v>2.65</v>
      </c>
      <c r="G911" s="3">
        <v>2.75</v>
      </c>
      <c r="H911">
        <v>2.75</v>
      </c>
      <c r="I911">
        <v>2.65</v>
      </c>
      <c r="J911">
        <v>12180</v>
      </c>
      <c r="K911">
        <v>33370</v>
      </c>
      <c r="L911" s="1">
        <v>45240</v>
      </c>
      <c r="M911">
        <v>9</v>
      </c>
      <c r="N911" t="s">
        <v>3234</v>
      </c>
      <c r="O911" s="5">
        <v>45240</v>
      </c>
      <c r="P911" s="5">
        <v>43777</v>
      </c>
      <c r="Q911" s="3">
        <v>0.8</v>
      </c>
      <c r="S911">
        <f t="shared" si="42"/>
        <v>1464</v>
      </c>
      <c r="T911">
        <f t="shared" si="43"/>
        <v>16.043835616438358</v>
      </c>
      <c r="U911" s="6">
        <f t="shared" si="44"/>
        <v>0.31999843023737373</v>
      </c>
    </row>
    <row r="912" spans="1:21" x14ac:dyDescent="0.25">
      <c r="A912" t="s">
        <v>3235</v>
      </c>
      <c r="B912" t="s">
        <v>3236</v>
      </c>
      <c r="C912" t="s">
        <v>14</v>
      </c>
      <c r="D912">
        <v>134.9</v>
      </c>
      <c r="E912">
        <v>136.05000000000001</v>
      </c>
      <c r="F912">
        <v>130</v>
      </c>
      <c r="G912" s="3">
        <v>131.25</v>
      </c>
      <c r="H912">
        <v>131.19999999999999</v>
      </c>
      <c r="I912">
        <v>135.9</v>
      </c>
      <c r="J912">
        <v>240238</v>
      </c>
      <c r="K912">
        <v>31853722.25</v>
      </c>
      <c r="L912" s="1">
        <v>45240</v>
      </c>
      <c r="M912">
        <v>4247</v>
      </c>
      <c r="N912" t="s">
        <v>3237</v>
      </c>
      <c r="O912" s="5">
        <v>45240</v>
      </c>
      <c r="P912" s="5">
        <v>43777</v>
      </c>
      <c r="Q912" s="3">
        <v>57.8</v>
      </c>
      <c r="S912">
        <f t="shared" si="42"/>
        <v>1464</v>
      </c>
      <c r="T912">
        <f t="shared" si="43"/>
        <v>16.043835616438358</v>
      </c>
      <c r="U912" s="6">
        <f t="shared" si="44"/>
        <v>0.20978471370724439</v>
      </c>
    </row>
    <row r="913" spans="1:21" x14ac:dyDescent="0.25">
      <c r="A913" t="s">
        <v>3238</v>
      </c>
      <c r="B913" t="s">
        <v>3239</v>
      </c>
      <c r="C913" t="s">
        <v>14</v>
      </c>
      <c r="D913">
        <v>13.5</v>
      </c>
      <c r="E913">
        <v>13.5</v>
      </c>
      <c r="F913">
        <v>13.05</v>
      </c>
      <c r="G913" s="3">
        <v>13.15</v>
      </c>
      <c r="H913">
        <v>13.15</v>
      </c>
      <c r="I913">
        <v>13.4</v>
      </c>
      <c r="J913">
        <v>435418</v>
      </c>
      <c r="K913">
        <v>5759878.6500000004</v>
      </c>
      <c r="L913" s="1">
        <v>45240</v>
      </c>
      <c r="M913">
        <v>484</v>
      </c>
      <c r="N913" t="s">
        <v>3240</v>
      </c>
      <c r="O913" s="5">
        <v>45240</v>
      </c>
      <c r="P913" s="5">
        <v>43777</v>
      </c>
      <c r="Q913" s="3">
        <v>32.75</v>
      </c>
      <c r="S913">
        <f t="shared" si="42"/>
        <v>1464</v>
      </c>
      <c r="T913">
        <f t="shared" si="43"/>
        <v>16.043835616438358</v>
      </c>
      <c r="U913" s="6">
        <f t="shared" si="44"/>
        <v>-0.2211485820151351</v>
      </c>
    </row>
    <row r="914" spans="1:21" x14ac:dyDescent="0.25">
      <c r="A914" t="s">
        <v>3241</v>
      </c>
      <c r="B914" t="s">
        <v>3242</v>
      </c>
      <c r="C914" t="s">
        <v>786</v>
      </c>
      <c r="D914">
        <v>3.6</v>
      </c>
      <c r="E914">
        <v>3.7</v>
      </c>
      <c r="F914">
        <v>3.45</v>
      </c>
      <c r="G914" s="3">
        <v>3.45</v>
      </c>
      <c r="H914">
        <v>3.45</v>
      </c>
      <c r="I914">
        <v>3.6</v>
      </c>
      <c r="J914">
        <v>1210</v>
      </c>
      <c r="K914">
        <v>4210.6000000000004</v>
      </c>
      <c r="L914" s="1">
        <v>45240</v>
      </c>
      <c r="M914">
        <v>12</v>
      </c>
      <c r="N914" t="s">
        <v>3243</v>
      </c>
      <c r="O914" s="5">
        <v>45240</v>
      </c>
      <c r="P914" s="5">
        <v>43777</v>
      </c>
      <c r="Q914" s="3">
        <v>9.75</v>
      </c>
      <c r="S914">
        <f t="shared" si="42"/>
        <v>1464</v>
      </c>
      <c r="T914">
        <f t="shared" si="43"/>
        <v>16.043835616438358</v>
      </c>
      <c r="U914" s="6">
        <f t="shared" si="44"/>
        <v>-0.25080574392920196</v>
      </c>
    </row>
    <row r="915" spans="1:21" x14ac:dyDescent="0.25">
      <c r="A915" t="s">
        <v>3247</v>
      </c>
      <c r="B915" t="s">
        <v>3248</v>
      </c>
      <c r="C915" t="s">
        <v>14</v>
      </c>
      <c r="D915">
        <v>1623.75</v>
      </c>
      <c r="E915">
        <v>1635</v>
      </c>
      <c r="F915">
        <v>1597.1</v>
      </c>
      <c r="G915" s="3">
        <v>1624.9</v>
      </c>
      <c r="H915">
        <v>1624.95</v>
      </c>
      <c r="I915">
        <v>1623.75</v>
      </c>
      <c r="J915">
        <v>364844</v>
      </c>
      <c r="K915">
        <v>590038812.14999998</v>
      </c>
      <c r="L915" s="1">
        <v>45240</v>
      </c>
      <c r="M915">
        <v>20460</v>
      </c>
      <c r="N915" t="s">
        <v>3249</v>
      </c>
      <c r="O915" s="5">
        <v>45240</v>
      </c>
      <c r="P915" s="5">
        <v>43777</v>
      </c>
      <c r="Q915" s="3">
        <v>1357.1</v>
      </c>
      <c r="S915">
        <f t="shared" si="42"/>
        <v>1464</v>
      </c>
      <c r="T915">
        <f t="shared" si="43"/>
        <v>16.043835616438358</v>
      </c>
      <c r="U915" s="6">
        <f t="shared" si="44"/>
        <v>4.5153993284481331E-2</v>
      </c>
    </row>
    <row r="916" spans="1:21" x14ac:dyDescent="0.25">
      <c r="A916" t="s">
        <v>3250</v>
      </c>
      <c r="B916" t="s">
        <v>3251</v>
      </c>
      <c r="C916" t="s">
        <v>14</v>
      </c>
      <c r="D916">
        <v>928.6</v>
      </c>
      <c r="E916">
        <v>940</v>
      </c>
      <c r="F916">
        <v>918.65</v>
      </c>
      <c r="G916" s="3">
        <v>936.9</v>
      </c>
      <c r="H916">
        <v>931</v>
      </c>
      <c r="I916">
        <v>929.25</v>
      </c>
      <c r="J916">
        <v>389872</v>
      </c>
      <c r="K916">
        <v>363045895.35000002</v>
      </c>
      <c r="L916" s="1">
        <v>45240</v>
      </c>
      <c r="M916">
        <v>27694</v>
      </c>
      <c r="N916" t="s">
        <v>3252</v>
      </c>
      <c r="O916" s="5">
        <v>45240</v>
      </c>
      <c r="P916" s="5">
        <v>43777</v>
      </c>
      <c r="Q916" s="3">
        <v>482</v>
      </c>
      <c r="S916">
        <f t="shared" si="42"/>
        <v>1464</v>
      </c>
      <c r="T916">
        <f t="shared" si="43"/>
        <v>16.043835616438358</v>
      </c>
      <c r="U916" s="6">
        <f t="shared" si="44"/>
        <v>0.16918424750775429</v>
      </c>
    </row>
    <row r="917" spans="1:21" x14ac:dyDescent="0.25">
      <c r="A917" t="s">
        <v>3256</v>
      </c>
      <c r="B917" t="s">
        <v>3257</v>
      </c>
      <c r="C917" t="s">
        <v>14</v>
      </c>
      <c r="D917">
        <v>1030</v>
      </c>
      <c r="E917">
        <v>1046.6500000000001</v>
      </c>
      <c r="F917">
        <v>1019.6</v>
      </c>
      <c r="G917" s="3">
        <v>1041.8</v>
      </c>
      <c r="H917">
        <v>1038.95</v>
      </c>
      <c r="I917">
        <v>1028.7</v>
      </c>
      <c r="J917">
        <v>574853</v>
      </c>
      <c r="K917">
        <v>596566184.5</v>
      </c>
      <c r="L917" s="1">
        <v>45240</v>
      </c>
      <c r="M917">
        <v>32490</v>
      </c>
      <c r="N917" t="s">
        <v>3258</v>
      </c>
      <c r="O917" s="5">
        <v>45240</v>
      </c>
      <c r="P917" s="5">
        <v>43777</v>
      </c>
      <c r="Q917" s="3">
        <v>969.6</v>
      </c>
      <c r="S917">
        <f t="shared" si="42"/>
        <v>1464</v>
      </c>
      <c r="T917">
        <f t="shared" si="43"/>
        <v>16.043835616438358</v>
      </c>
      <c r="U917" s="6">
        <f t="shared" si="44"/>
        <v>1.7946493557839283E-2</v>
      </c>
    </row>
    <row r="918" spans="1:21" x14ac:dyDescent="0.25">
      <c r="A918" t="s">
        <v>3262</v>
      </c>
      <c r="B918" t="s">
        <v>3263</v>
      </c>
      <c r="C918" t="s">
        <v>14</v>
      </c>
      <c r="D918">
        <v>398.1</v>
      </c>
      <c r="E918">
        <v>404.8</v>
      </c>
      <c r="F918">
        <v>397.35</v>
      </c>
      <c r="G918" s="3">
        <v>403.65</v>
      </c>
      <c r="H918">
        <v>403</v>
      </c>
      <c r="I918">
        <v>400.1</v>
      </c>
      <c r="J918">
        <v>129451</v>
      </c>
      <c r="K918">
        <v>52117813.549999997</v>
      </c>
      <c r="L918" s="1">
        <v>45240</v>
      </c>
      <c r="M918">
        <v>4681</v>
      </c>
      <c r="N918" t="s">
        <v>3264</v>
      </c>
      <c r="O918" s="5">
        <v>45240</v>
      </c>
      <c r="P918" s="5">
        <v>43777</v>
      </c>
      <c r="Q918" s="3">
        <v>230.85</v>
      </c>
      <c r="S918">
        <f t="shared" si="42"/>
        <v>1464</v>
      </c>
      <c r="T918">
        <f t="shared" si="43"/>
        <v>16.043835616438358</v>
      </c>
      <c r="U918" s="6">
        <f t="shared" si="44"/>
        <v>0.14176776091421672</v>
      </c>
    </row>
    <row r="919" spans="1:21" x14ac:dyDescent="0.25">
      <c r="A919" t="s">
        <v>3268</v>
      </c>
      <c r="B919" t="s">
        <v>3269</v>
      </c>
      <c r="C919" t="s">
        <v>14</v>
      </c>
      <c r="D919">
        <v>359</v>
      </c>
      <c r="E919">
        <v>365.5</v>
      </c>
      <c r="F919">
        <v>352.45</v>
      </c>
      <c r="G919" s="3">
        <v>357.45</v>
      </c>
      <c r="H919">
        <v>357</v>
      </c>
      <c r="I919">
        <v>359.85</v>
      </c>
      <c r="J919">
        <v>1202430</v>
      </c>
      <c r="K919">
        <v>432147818.75</v>
      </c>
      <c r="L919" s="1">
        <v>45240</v>
      </c>
      <c r="M919">
        <v>32407</v>
      </c>
      <c r="N919" t="s">
        <v>3270</v>
      </c>
      <c r="O919" s="5">
        <v>45240</v>
      </c>
      <c r="P919" s="5">
        <v>43777</v>
      </c>
      <c r="Q919" s="3">
        <v>172.6</v>
      </c>
      <c r="S919">
        <f t="shared" si="42"/>
        <v>1464</v>
      </c>
      <c r="T919">
        <f t="shared" si="43"/>
        <v>16.043835616438358</v>
      </c>
      <c r="U919" s="6">
        <f t="shared" si="44"/>
        <v>0.18568851692241228</v>
      </c>
    </row>
    <row r="920" spans="1:21" x14ac:dyDescent="0.25">
      <c r="A920" t="s">
        <v>6303</v>
      </c>
      <c r="B920" t="s">
        <v>7798</v>
      </c>
      <c r="C920" t="s">
        <v>5788</v>
      </c>
      <c r="D920">
        <v>33.15</v>
      </c>
      <c r="E920">
        <v>35.950000000000003</v>
      </c>
      <c r="F920">
        <v>33.15</v>
      </c>
      <c r="G920" s="3">
        <v>35.950000000000003</v>
      </c>
      <c r="H920">
        <v>35.950000000000003</v>
      </c>
      <c r="I920">
        <v>34.9</v>
      </c>
      <c r="J920">
        <v>13200</v>
      </c>
      <c r="K920">
        <v>457820</v>
      </c>
      <c r="L920" s="1">
        <v>45240</v>
      </c>
      <c r="M920">
        <v>3</v>
      </c>
      <c r="N920" t="s">
        <v>6302</v>
      </c>
      <c r="O920" s="5">
        <v>45240</v>
      </c>
      <c r="P920" s="5">
        <v>43777</v>
      </c>
      <c r="Q920" s="3">
        <v>12</v>
      </c>
      <c r="S920">
        <f t="shared" si="42"/>
        <v>1464</v>
      </c>
      <c r="T920">
        <f t="shared" si="43"/>
        <v>16.043835616438358</v>
      </c>
      <c r="U920" s="6">
        <f t="shared" si="44"/>
        <v>0.28312719592296531</v>
      </c>
    </row>
    <row r="921" spans="1:21" x14ac:dyDescent="0.25">
      <c r="A921" t="s">
        <v>3271</v>
      </c>
      <c r="B921" t="s">
        <v>3272</v>
      </c>
      <c r="C921" t="s">
        <v>14</v>
      </c>
      <c r="D921">
        <v>349.05</v>
      </c>
      <c r="E921">
        <v>351.5</v>
      </c>
      <c r="F921">
        <v>339.8</v>
      </c>
      <c r="G921" s="3">
        <v>349.5</v>
      </c>
      <c r="H921">
        <v>349</v>
      </c>
      <c r="I921">
        <v>349.65</v>
      </c>
      <c r="J921">
        <v>494883</v>
      </c>
      <c r="K921">
        <v>171448815.5</v>
      </c>
      <c r="L921" s="1">
        <v>45240</v>
      </c>
      <c r="M921">
        <v>8033</v>
      </c>
      <c r="N921" t="s">
        <v>3273</v>
      </c>
      <c r="O921" s="5">
        <v>45240</v>
      </c>
      <c r="P921" s="5">
        <v>43777</v>
      </c>
      <c r="Q921" s="3">
        <v>95.2</v>
      </c>
      <c r="S921">
        <f t="shared" si="42"/>
        <v>1464</v>
      </c>
      <c r="T921">
        <f t="shared" si="43"/>
        <v>16.043835616438358</v>
      </c>
      <c r="U921" s="6">
        <f t="shared" si="44"/>
        <v>0.33774662918371234</v>
      </c>
    </row>
    <row r="922" spans="1:21" x14ac:dyDescent="0.25">
      <c r="A922" t="s">
        <v>3274</v>
      </c>
      <c r="B922" t="s">
        <v>3275</v>
      </c>
      <c r="C922" t="s">
        <v>14</v>
      </c>
      <c r="D922">
        <v>202</v>
      </c>
      <c r="E922">
        <v>206</v>
      </c>
      <c r="F922">
        <v>193.4</v>
      </c>
      <c r="G922" s="3">
        <v>196.55</v>
      </c>
      <c r="H922">
        <v>194.4</v>
      </c>
      <c r="I922">
        <v>198.2</v>
      </c>
      <c r="J922">
        <v>134867</v>
      </c>
      <c r="K922">
        <v>26694001.449999999</v>
      </c>
      <c r="L922" s="1">
        <v>45240</v>
      </c>
      <c r="M922">
        <v>4774</v>
      </c>
      <c r="N922" t="s">
        <v>3276</v>
      </c>
      <c r="O922" s="5">
        <v>45240</v>
      </c>
      <c r="P922" s="5">
        <v>43777</v>
      </c>
      <c r="Q922" s="3">
        <v>34.6</v>
      </c>
      <c r="S922">
        <f t="shared" si="42"/>
        <v>1464</v>
      </c>
      <c r="T922">
        <f t="shared" si="43"/>
        <v>16.043835616438358</v>
      </c>
      <c r="U922" s="6">
        <f t="shared" si="44"/>
        <v>0.4573935064168122</v>
      </c>
    </row>
    <row r="923" spans="1:21" x14ac:dyDescent="0.25">
      <c r="A923" t="s">
        <v>3277</v>
      </c>
      <c r="B923" t="s">
        <v>3278</v>
      </c>
      <c r="C923" t="s">
        <v>10</v>
      </c>
      <c r="D923">
        <v>16.100000000000001</v>
      </c>
      <c r="E923">
        <v>16.100000000000001</v>
      </c>
      <c r="F923">
        <v>16.100000000000001</v>
      </c>
      <c r="G923" s="3">
        <v>16.100000000000001</v>
      </c>
      <c r="H923">
        <v>16.100000000000001</v>
      </c>
      <c r="I923">
        <v>16.399999999999999</v>
      </c>
      <c r="J923">
        <v>43162</v>
      </c>
      <c r="K923">
        <v>694908.2</v>
      </c>
      <c r="L923" s="1">
        <v>45240</v>
      </c>
      <c r="M923">
        <v>93</v>
      </c>
      <c r="N923" t="s">
        <v>3279</v>
      </c>
      <c r="O923" s="5">
        <v>45240</v>
      </c>
      <c r="P923" s="5">
        <v>43777</v>
      </c>
      <c r="Q923" s="3">
        <v>8.1999999999999993</v>
      </c>
      <c r="S923">
        <f t="shared" si="42"/>
        <v>1464</v>
      </c>
      <c r="T923">
        <f t="shared" si="43"/>
        <v>16.043835616438358</v>
      </c>
      <c r="U923" s="6">
        <f t="shared" si="44"/>
        <v>0.17179737595511302</v>
      </c>
    </row>
    <row r="924" spans="1:21" x14ac:dyDescent="0.25">
      <c r="A924" t="s">
        <v>3280</v>
      </c>
      <c r="B924" t="s">
        <v>3281</v>
      </c>
      <c r="C924" t="s">
        <v>14</v>
      </c>
      <c r="D924">
        <v>46.8</v>
      </c>
      <c r="E924">
        <v>46.85</v>
      </c>
      <c r="F924">
        <v>45.85</v>
      </c>
      <c r="G924" s="3">
        <v>46.15</v>
      </c>
      <c r="H924">
        <v>46.2</v>
      </c>
      <c r="I924">
        <v>46.75</v>
      </c>
      <c r="J924">
        <v>323684</v>
      </c>
      <c r="K924">
        <v>14933617</v>
      </c>
      <c r="L924" s="1">
        <v>45240</v>
      </c>
      <c r="M924">
        <v>2850</v>
      </c>
      <c r="N924" t="s">
        <v>3282</v>
      </c>
      <c r="O924" s="5">
        <v>45240</v>
      </c>
      <c r="P924" s="5">
        <v>43777</v>
      </c>
      <c r="Q924" s="3">
        <v>61.9</v>
      </c>
      <c r="S924">
        <f t="shared" si="42"/>
        <v>1464</v>
      </c>
      <c r="T924">
        <f t="shared" si="43"/>
        <v>16.043835616438358</v>
      </c>
      <c r="U924" s="6">
        <f t="shared" si="44"/>
        <v>-7.2539434345455067E-2</v>
      </c>
    </row>
    <row r="925" spans="1:21" x14ac:dyDescent="0.25">
      <c r="A925" t="s">
        <v>3286</v>
      </c>
      <c r="B925" t="s">
        <v>3287</v>
      </c>
      <c r="C925" t="s">
        <v>14</v>
      </c>
      <c r="D925">
        <v>1.7</v>
      </c>
      <c r="E925">
        <v>1.75</v>
      </c>
      <c r="F925">
        <v>1.65</v>
      </c>
      <c r="G925" s="3">
        <v>1.7</v>
      </c>
      <c r="H925">
        <v>1.65</v>
      </c>
      <c r="I925">
        <v>1.7</v>
      </c>
      <c r="J925">
        <v>6251233</v>
      </c>
      <c r="K925">
        <v>10559446.9</v>
      </c>
      <c r="L925" s="1">
        <v>45240</v>
      </c>
      <c r="M925">
        <v>567</v>
      </c>
      <c r="N925" t="s">
        <v>3288</v>
      </c>
      <c r="O925" s="5">
        <v>45240</v>
      </c>
      <c r="P925" s="5">
        <v>43777</v>
      </c>
      <c r="Q925" s="3">
        <v>103.1</v>
      </c>
      <c r="S925">
        <f t="shared" si="42"/>
        <v>1464</v>
      </c>
      <c r="T925">
        <f t="shared" si="43"/>
        <v>16.043835616438358</v>
      </c>
      <c r="U925" s="6">
        <f t="shared" si="44"/>
        <v>-0.90301698245620976</v>
      </c>
    </row>
    <row r="926" spans="1:21" x14ac:dyDescent="0.25">
      <c r="A926" t="s">
        <v>3292</v>
      </c>
      <c r="B926" t="s">
        <v>3293</v>
      </c>
      <c r="C926" t="s">
        <v>14</v>
      </c>
      <c r="D926">
        <v>902.35</v>
      </c>
      <c r="E926">
        <v>915.7</v>
      </c>
      <c r="F926">
        <v>881.15</v>
      </c>
      <c r="G926" s="3">
        <v>883.7</v>
      </c>
      <c r="H926">
        <v>884</v>
      </c>
      <c r="I926">
        <v>911.15</v>
      </c>
      <c r="J926">
        <v>49979</v>
      </c>
      <c r="K926">
        <v>44738152</v>
      </c>
      <c r="L926" s="1">
        <v>45240</v>
      </c>
      <c r="M926">
        <v>4129</v>
      </c>
      <c r="N926" t="s">
        <v>3294</v>
      </c>
      <c r="O926" s="5">
        <v>45240</v>
      </c>
      <c r="P926" s="5">
        <v>43777</v>
      </c>
      <c r="Q926" s="3">
        <v>397.95</v>
      </c>
      <c r="S926">
        <f t="shared" si="42"/>
        <v>1464</v>
      </c>
      <c r="T926">
        <f t="shared" si="43"/>
        <v>16.043835616438358</v>
      </c>
      <c r="U926" s="6">
        <f t="shared" si="44"/>
        <v>0.2039311709383469</v>
      </c>
    </row>
    <row r="927" spans="1:21" x14ac:dyDescent="0.25">
      <c r="A927" t="s">
        <v>3298</v>
      </c>
      <c r="B927" t="s">
        <v>3299</v>
      </c>
      <c r="C927" t="s">
        <v>14</v>
      </c>
      <c r="D927">
        <v>51.8</v>
      </c>
      <c r="E927">
        <v>52.8</v>
      </c>
      <c r="F927">
        <v>51.25</v>
      </c>
      <c r="G927" s="3">
        <v>51.7</v>
      </c>
      <c r="H927">
        <v>51.65</v>
      </c>
      <c r="I927">
        <v>51.8</v>
      </c>
      <c r="J927">
        <v>2332960</v>
      </c>
      <c r="K927">
        <v>121131313.05</v>
      </c>
      <c r="L927" s="1">
        <v>45240</v>
      </c>
      <c r="M927">
        <v>12107</v>
      </c>
      <c r="N927" t="s">
        <v>3300</v>
      </c>
      <c r="O927" s="5">
        <v>45240</v>
      </c>
      <c r="P927" s="5">
        <v>43777</v>
      </c>
      <c r="Q927" s="3">
        <v>18.649999999999999</v>
      </c>
      <c r="S927">
        <f t="shared" si="42"/>
        <v>1464</v>
      </c>
      <c r="T927">
        <f t="shared" si="43"/>
        <v>16.043835616438358</v>
      </c>
      <c r="U927" s="6">
        <f t="shared" si="44"/>
        <v>0.26245793664490336</v>
      </c>
    </row>
    <row r="928" spans="1:21" x14ac:dyDescent="0.25">
      <c r="A928" t="s">
        <v>3301</v>
      </c>
      <c r="B928" t="s">
        <v>3302</v>
      </c>
      <c r="C928" t="s">
        <v>10</v>
      </c>
      <c r="D928">
        <v>98.1</v>
      </c>
      <c r="E928">
        <v>99</v>
      </c>
      <c r="F928">
        <v>93.6</v>
      </c>
      <c r="G928" s="3">
        <v>95.7</v>
      </c>
      <c r="H928">
        <v>95.1</v>
      </c>
      <c r="I928">
        <v>96.15</v>
      </c>
      <c r="J928">
        <v>3406</v>
      </c>
      <c r="K928">
        <v>329566.40000000002</v>
      </c>
      <c r="L928" s="1">
        <v>45240</v>
      </c>
      <c r="M928">
        <v>58</v>
      </c>
      <c r="N928" t="s">
        <v>3303</v>
      </c>
      <c r="O928" s="5">
        <v>45240</v>
      </c>
      <c r="P928" s="5">
        <v>43777</v>
      </c>
      <c r="Q928" s="3">
        <v>41.8</v>
      </c>
      <c r="S928">
        <f t="shared" si="42"/>
        <v>1464</v>
      </c>
      <c r="T928">
        <f t="shared" si="43"/>
        <v>16.043835616438358</v>
      </c>
      <c r="U928" s="6">
        <f t="shared" si="44"/>
        <v>0.21193867734546235</v>
      </c>
    </row>
    <row r="929" spans="1:21" x14ac:dyDescent="0.25">
      <c r="A929" t="s">
        <v>3307</v>
      </c>
      <c r="B929" t="s">
        <v>3308</v>
      </c>
      <c r="C929" t="s">
        <v>14</v>
      </c>
      <c r="D929">
        <v>17.3</v>
      </c>
      <c r="E929">
        <v>18.5</v>
      </c>
      <c r="F929">
        <v>17.3</v>
      </c>
      <c r="G929" s="3">
        <v>18.100000000000001</v>
      </c>
      <c r="H929">
        <v>17.75</v>
      </c>
      <c r="I929">
        <v>18.100000000000001</v>
      </c>
      <c r="J929">
        <v>10882</v>
      </c>
      <c r="K929">
        <v>198032.1</v>
      </c>
      <c r="L929" s="1">
        <v>45240</v>
      </c>
      <c r="M929">
        <v>81</v>
      </c>
      <c r="N929" t="s">
        <v>3309</v>
      </c>
      <c r="O929" s="5">
        <v>45240</v>
      </c>
      <c r="P929" s="5">
        <v>43777</v>
      </c>
      <c r="Q929" s="3">
        <v>5.0999999999999996</v>
      </c>
      <c r="S929">
        <f t="shared" si="42"/>
        <v>1464</v>
      </c>
      <c r="T929">
        <f t="shared" si="43"/>
        <v>16.043835616438358</v>
      </c>
      <c r="U929" s="6">
        <f t="shared" si="44"/>
        <v>0.32860370638465142</v>
      </c>
    </row>
    <row r="930" spans="1:21" x14ac:dyDescent="0.25">
      <c r="A930" t="s">
        <v>3310</v>
      </c>
      <c r="B930" t="s">
        <v>3311</v>
      </c>
      <c r="C930" t="s">
        <v>14</v>
      </c>
      <c r="D930">
        <v>246</v>
      </c>
      <c r="E930">
        <v>254.1</v>
      </c>
      <c r="F930">
        <v>245.65</v>
      </c>
      <c r="G930" s="3">
        <v>247.3</v>
      </c>
      <c r="H930">
        <v>247.3</v>
      </c>
      <c r="I930">
        <v>246</v>
      </c>
      <c r="J930">
        <v>1262962</v>
      </c>
      <c r="K930">
        <v>314982801.89999998</v>
      </c>
      <c r="L930" s="1">
        <v>45240</v>
      </c>
      <c r="M930">
        <v>19503</v>
      </c>
      <c r="N930" t="s">
        <v>3312</v>
      </c>
      <c r="O930" s="5">
        <v>45240</v>
      </c>
      <c r="P930" s="5">
        <v>43777</v>
      </c>
      <c r="Q930" s="3">
        <v>144.25</v>
      </c>
      <c r="S930">
        <f t="shared" si="42"/>
        <v>1464</v>
      </c>
      <c r="T930">
        <f t="shared" si="43"/>
        <v>16.043835616438358</v>
      </c>
      <c r="U930" s="6">
        <f t="shared" si="44"/>
        <v>0.13667862485936499</v>
      </c>
    </row>
    <row r="931" spans="1:21" x14ac:dyDescent="0.25">
      <c r="A931" t="s">
        <v>3319</v>
      </c>
      <c r="B931" t="s">
        <v>3320</v>
      </c>
      <c r="C931" t="s">
        <v>14</v>
      </c>
      <c r="D931">
        <v>270.89999999999998</v>
      </c>
      <c r="E931">
        <v>271.25</v>
      </c>
      <c r="F931">
        <v>264</v>
      </c>
      <c r="G931" s="3">
        <v>264.95</v>
      </c>
      <c r="H931">
        <v>264.35000000000002</v>
      </c>
      <c r="I931">
        <v>269.45</v>
      </c>
      <c r="J931">
        <v>131981</v>
      </c>
      <c r="K931">
        <v>35185752.25</v>
      </c>
      <c r="L931" s="1">
        <v>45240</v>
      </c>
      <c r="M931">
        <v>4135</v>
      </c>
      <c r="N931" t="s">
        <v>3321</v>
      </c>
      <c r="O931" s="5">
        <v>45240</v>
      </c>
      <c r="P931" s="5">
        <v>43777</v>
      </c>
      <c r="Q931" s="3">
        <v>49.95</v>
      </c>
      <c r="S931">
        <f t="shared" si="42"/>
        <v>1464</v>
      </c>
      <c r="T931">
        <f t="shared" si="43"/>
        <v>16.043835616438358</v>
      </c>
      <c r="U931" s="6">
        <f t="shared" si="44"/>
        <v>0.43839067645549257</v>
      </c>
    </row>
    <row r="932" spans="1:21" x14ac:dyDescent="0.25">
      <c r="A932" t="s">
        <v>3322</v>
      </c>
      <c r="B932" t="s">
        <v>3323</v>
      </c>
      <c r="C932" t="s">
        <v>14</v>
      </c>
      <c r="D932">
        <v>878.4</v>
      </c>
      <c r="E932">
        <v>888.2</v>
      </c>
      <c r="F932">
        <v>877.05</v>
      </c>
      <c r="G932" s="3">
        <v>884.75</v>
      </c>
      <c r="H932">
        <v>882</v>
      </c>
      <c r="I932">
        <v>878.4</v>
      </c>
      <c r="J932">
        <v>15690</v>
      </c>
      <c r="K932">
        <v>13851634.75</v>
      </c>
      <c r="L932" s="1">
        <v>45240</v>
      </c>
      <c r="M932">
        <v>2278</v>
      </c>
      <c r="N932" t="s">
        <v>3324</v>
      </c>
      <c r="O932" s="5">
        <v>45240</v>
      </c>
      <c r="P932" s="5">
        <v>43777</v>
      </c>
      <c r="Q932" s="3">
        <v>291.5</v>
      </c>
      <c r="S932">
        <f t="shared" si="42"/>
        <v>1464</v>
      </c>
      <c r="T932">
        <f t="shared" si="43"/>
        <v>16.043835616438358</v>
      </c>
      <c r="U932" s="6">
        <f t="shared" si="44"/>
        <v>0.28661053791713886</v>
      </c>
    </row>
    <row r="933" spans="1:21" x14ac:dyDescent="0.25">
      <c r="A933" t="s">
        <v>3328</v>
      </c>
      <c r="B933" t="s">
        <v>3329</v>
      </c>
      <c r="C933" t="s">
        <v>14</v>
      </c>
      <c r="D933">
        <v>707.55</v>
      </c>
      <c r="E933">
        <v>714.3</v>
      </c>
      <c r="F933">
        <v>705</v>
      </c>
      <c r="G933" s="3">
        <v>710.35</v>
      </c>
      <c r="H933">
        <v>714</v>
      </c>
      <c r="I933">
        <v>706.5</v>
      </c>
      <c r="J933">
        <v>24385</v>
      </c>
      <c r="K933">
        <v>17308414.199999999</v>
      </c>
      <c r="L933" s="1">
        <v>45240</v>
      </c>
      <c r="M933">
        <v>3354</v>
      </c>
      <c r="N933" t="s">
        <v>3330</v>
      </c>
      <c r="O933" s="5">
        <v>45240</v>
      </c>
      <c r="P933" s="5">
        <v>43777</v>
      </c>
      <c r="Q933" s="3">
        <v>236.55</v>
      </c>
      <c r="S933">
        <f t="shared" si="42"/>
        <v>1464</v>
      </c>
      <c r="T933">
        <f t="shared" si="43"/>
        <v>16.043835616438358</v>
      </c>
      <c r="U933" s="6">
        <f t="shared" si="44"/>
        <v>0.28376148800855816</v>
      </c>
    </row>
    <row r="934" spans="1:21" x14ac:dyDescent="0.25">
      <c r="A934" t="s">
        <v>3331</v>
      </c>
      <c r="B934" t="s">
        <v>3332</v>
      </c>
      <c r="C934" t="s">
        <v>14</v>
      </c>
      <c r="D934">
        <v>22.8</v>
      </c>
      <c r="E934">
        <v>23.75</v>
      </c>
      <c r="F934">
        <v>22.8</v>
      </c>
      <c r="G934" s="3">
        <v>23.2</v>
      </c>
      <c r="H934">
        <v>23.3</v>
      </c>
      <c r="I934">
        <v>23.25</v>
      </c>
      <c r="J934">
        <v>20115</v>
      </c>
      <c r="K934">
        <v>468437</v>
      </c>
      <c r="L934" s="1">
        <v>45240</v>
      </c>
      <c r="M934">
        <v>168</v>
      </c>
      <c r="N934" t="s">
        <v>3333</v>
      </c>
      <c r="O934" s="5">
        <v>45240</v>
      </c>
      <c r="P934" s="5">
        <v>43777</v>
      </c>
      <c r="Q934" s="3">
        <v>13.7</v>
      </c>
      <c r="S934">
        <f t="shared" si="42"/>
        <v>1464</v>
      </c>
      <c r="T934">
        <f t="shared" si="43"/>
        <v>16.043835616438358</v>
      </c>
      <c r="U934" s="6">
        <f t="shared" si="44"/>
        <v>0.13350901804743476</v>
      </c>
    </row>
    <row r="935" spans="1:21" x14ac:dyDescent="0.25">
      <c r="A935" t="s">
        <v>3334</v>
      </c>
      <c r="B935" t="s">
        <v>3335</v>
      </c>
      <c r="C935" t="s">
        <v>14</v>
      </c>
      <c r="D935">
        <v>35.6</v>
      </c>
      <c r="E935">
        <v>38.799999999999997</v>
      </c>
      <c r="F935">
        <v>35.6</v>
      </c>
      <c r="G935" s="3">
        <v>38.5</v>
      </c>
      <c r="H935">
        <v>38.65</v>
      </c>
      <c r="I935">
        <v>35.700000000000003</v>
      </c>
      <c r="J935">
        <v>18037793</v>
      </c>
      <c r="K935">
        <v>683400574.54999995</v>
      </c>
      <c r="L935" s="1">
        <v>45240</v>
      </c>
      <c r="M935">
        <v>30066</v>
      </c>
      <c r="N935" t="s">
        <v>3336</v>
      </c>
      <c r="O935" s="5">
        <v>45240</v>
      </c>
      <c r="P935" s="5">
        <v>43777</v>
      </c>
      <c r="Q935" s="3">
        <v>16.95</v>
      </c>
      <c r="S935">
        <f t="shared" si="42"/>
        <v>1464</v>
      </c>
      <c r="T935">
        <f t="shared" si="43"/>
        <v>16.043835616438358</v>
      </c>
      <c r="U935" s="6">
        <f t="shared" si="44"/>
        <v>0.2098569462177533</v>
      </c>
    </row>
    <row r="936" spans="1:21" x14ac:dyDescent="0.25">
      <c r="A936" t="s">
        <v>3340</v>
      </c>
      <c r="B936" t="s">
        <v>3341</v>
      </c>
      <c r="C936" t="s">
        <v>14</v>
      </c>
      <c r="D936">
        <v>1030</v>
      </c>
      <c r="E936">
        <v>1048.5</v>
      </c>
      <c r="F936">
        <v>1018.8</v>
      </c>
      <c r="G936" s="3">
        <v>1026.7</v>
      </c>
      <c r="H936">
        <v>1028</v>
      </c>
      <c r="I936">
        <v>1031.95</v>
      </c>
      <c r="J936">
        <v>147327</v>
      </c>
      <c r="K936">
        <v>151452400.30000001</v>
      </c>
      <c r="L936" s="1">
        <v>45240</v>
      </c>
      <c r="M936">
        <v>13103</v>
      </c>
      <c r="N936" t="s">
        <v>3342</v>
      </c>
      <c r="O936" s="5">
        <v>45240</v>
      </c>
      <c r="P936" s="5">
        <v>43777</v>
      </c>
      <c r="Q936" s="3">
        <v>675.35</v>
      </c>
      <c r="S936">
        <f t="shared" si="42"/>
        <v>1464</v>
      </c>
      <c r="T936">
        <f t="shared" si="43"/>
        <v>16.043835616438358</v>
      </c>
      <c r="U936" s="6">
        <f t="shared" si="44"/>
        <v>0.10580758586311401</v>
      </c>
    </row>
    <row r="937" spans="1:21" x14ac:dyDescent="0.25">
      <c r="A937" t="s">
        <v>3343</v>
      </c>
      <c r="B937" t="s">
        <v>3344</v>
      </c>
      <c r="C937" t="s">
        <v>10</v>
      </c>
      <c r="D937">
        <v>34.950000000000003</v>
      </c>
      <c r="E937">
        <v>36.4</v>
      </c>
      <c r="F937">
        <v>34.5</v>
      </c>
      <c r="G937" s="3">
        <v>36.4</v>
      </c>
      <c r="H937">
        <v>36.4</v>
      </c>
      <c r="I937">
        <v>34.700000000000003</v>
      </c>
      <c r="J937">
        <v>47899</v>
      </c>
      <c r="K937">
        <v>1723201.6</v>
      </c>
      <c r="L937" s="1">
        <v>45240</v>
      </c>
      <c r="M937">
        <v>173</v>
      </c>
      <c r="N937" t="s">
        <v>3345</v>
      </c>
      <c r="O937" s="5">
        <v>45240</v>
      </c>
      <c r="P937" s="5">
        <v>43777</v>
      </c>
      <c r="Q937" s="3">
        <v>34.9</v>
      </c>
      <c r="S937">
        <f t="shared" si="42"/>
        <v>1464</v>
      </c>
      <c r="T937">
        <f t="shared" si="43"/>
        <v>16.043835616438358</v>
      </c>
      <c r="U937" s="6">
        <f t="shared" si="44"/>
        <v>1.0505513479295736E-2</v>
      </c>
    </row>
    <row r="938" spans="1:21" x14ac:dyDescent="0.25">
      <c r="A938" t="s">
        <v>3346</v>
      </c>
      <c r="B938" t="s">
        <v>3347</v>
      </c>
      <c r="C938" t="s">
        <v>14</v>
      </c>
      <c r="D938">
        <v>2187.4</v>
      </c>
      <c r="E938">
        <v>2206</v>
      </c>
      <c r="F938">
        <v>2173.4</v>
      </c>
      <c r="G938" s="3">
        <v>2202.1999999999998</v>
      </c>
      <c r="H938">
        <v>2203.9</v>
      </c>
      <c r="I938">
        <v>2193.65</v>
      </c>
      <c r="J938">
        <v>279561</v>
      </c>
      <c r="K938">
        <v>612127268.79999995</v>
      </c>
      <c r="L938" s="1">
        <v>45240</v>
      </c>
      <c r="M938">
        <v>15834</v>
      </c>
      <c r="N938" t="s">
        <v>3348</v>
      </c>
      <c r="O938" s="5">
        <v>45240</v>
      </c>
      <c r="P938" s="5">
        <v>43777</v>
      </c>
      <c r="Q938" s="3">
        <v>879.55</v>
      </c>
      <c r="S938">
        <f t="shared" si="42"/>
        <v>1464</v>
      </c>
      <c r="T938">
        <f t="shared" si="43"/>
        <v>16.043835616438358</v>
      </c>
      <c r="U938" s="6">
        <f t="shared" si="44"/>
        <v>0.23549515335467497</v>
      </c>
    </row>
    <row r="939" spans="1:21" x14ac:dyDescent="0.25">
      <c r="A939" t="s">
        <v>3349</v>
      </c>
      <c r="B939" t="s">
        <v>3350</v>
      </c>
      <c r="C939" t="s">
        <v>14</v>
      </c>
      <c r="D939">
        <v>1484.8</v>
      </c>
      <c r="E939">
        <v>1548.7</v>
      </c>
      <c r="F939">
        <v>1480</v>
      </c>
      <c r="G939" s="3">
        <v>1492.55</v>
      </c>
      <c r="H939">
        <v>1508.9</v>
      </c>
      <c r="I939">
        <v>1484.75</v>
      </c>
      <c r="J939">
        <v>24769</v>
      </c>
      <c r="K939">
        <v>37491030.799999997</v>
      </c>
      <c r="L939" s="1">
        <v>45240</v>
      </c>
      <c r="M939">
        <v>5729</v>
      </c>
      <c r="N939" t="s">
        <v>3351</v>
      </c>
      <c r="O939" s="5">
        <v>45240</v>
      </c>
      <c r="P939" s="5">
        <v>43777</v>
      </c>
      <c r="Q939" s="3">
        <v>510.15</v>
      </c>
      <c r="S939">
        <f t="shared" si="42"/>
        <v>1464</v>
      </c>
      <c r="T939">
        <f t="shared" si="43"/>
        <v>16.043835616438358</v>
      </c>
      <c r="U939" s="6">
        <f t="shared" si="44"/>
        <v>0.27680858058976909</v>
      </c>
    </row>
    <row r="940" spans="1:21" x14ac:dyDescent="0.25">
      <c r="A940" t="s">
        <v>3352</v>
      </c>
      <c r="B940" t="s">
        <v>3353</v>
      </c>
      <c r="C940" t="s">
        <v>14</v>
      </c>
      <c r="D940">
        <v>108299</v>
      </c>
      <c r="E940">
        <v>108479.9</v>
      </c>
      <c r="F940">
        <v>107338.1</v>
      </c>
      <c r="G940" s="3">
        <v>108295.7</v>
      </c>
      <c r="H940">
        <v>108400</v>
      </c>
      <c r="I940">
        <v>108078.2</v>
      </c>
      <c r="J940">
        <v>3311</v>
      </c>
      <c r="K940">
        <v>357316744.69999999</v>
      </c>
      <c r="L940" s="1">
        <v>45240</v>
      </c>
      <c r="M940">
        <v>2375</v>
      </c>
      <c r="N940" t="s">
        <v>3354</v>
      </c>
      <c r="O940" s="5">
        <v>45240</v>
      </c>
      <c r="P940" s="5">
        <v>43777</v>
      </c>
      <c r="Q940" s="3">
        <v>64454.45</v>
      </c>
      <c r="S940">
        <f t="shared" si="42"/>
        <v>1464</v>
      </c>
      <c r="T940">
        <f t="shared" si="43"/>
        <v>16.043835616438358</v>
      </c>
      <c r="U940" s="6">
        <f t="shared" si="44"/>
        <v>0.13148711012491088</v>
      </c>
    </row>
    <row r="941" spans="1:21" x14ac:dyDescent="0.25">
      <c r="A941" t="s">
        <v>3355</v>
      </c>
      <c r="B941" t="s">
        <v>3356</v>
      </c>
      <c r="C941" t="s">
        <v>14</v>
      </c>
      <c r="D941">
        <v>58.05</v>
      </c>
      <c r="E941">
        <v>59.9</v>
      </c>
      <c r="F941">
        <v>56.2</v>
      </c>
      <c r="G941" s="3">
        <v>57.05</v>
      </c>
      <c r="H941">
        <v>57.3</v>
      </c>
      <c r="I941">
        <v>58</v>
      </c>
      <c r="J941">
        <v>34244</v>
      </c>
      <c r="K941">
        <v>1985789.5</v>
      </c>
      <c r="L941" s="1">
        <v>45240</v>
      </c>
      <c r="M941">
        <v>471</v>
      </c>
      <c r="N941" t="s">
        <v>3357</v>
      </c>
      <c r="O941" s="5">
        <v>45240</v>
      </c>
      <c r="P941" s="5">
        <v>43777</v>
      </c>
      <c r="Q941" s="3">
        <v>27.35</v>
      </c>
      <c r="S941">
        <f t="shared" si="42"/>
        <v>1464</v>
      </c>
      <c r="T941">
        <f t="shared" si="43"/>
        <v>16.043835616438358</v>
      </c>
      <c r="U941" s="6">
        <f t="shared" si="44"/>
        <v>0.18756548155382458</v>
      </c>
    </row>
    <row r="942" spans="1:21" x14ac:dyDescent="0.25">
      <c r="A942" t="s">
        <v>3358</v>
      </c>
      <c r="B942" t="s">
        <v>3359</v>
      </c>
      <c r="C942" t="s">
        <v>14</v>
      </c>
      <c r="D942">
        <v>111.85</v>
      </c>
      <c r="E942">
        <v>114.3</v>
      </c>
      <c r="F942">
        <v>111.3</v>
      </c>
      <c r="G942" s="3">
        <v>113.75</v>
      </c>
      <c r="H942">
        <v>113.9</v>
      </c>
      <c r="I942">
        <v>112</v>
      </c>
      <c r="J942">
        <v>4068796</v>
      </c>
      <c r="K942">
        <v>460564840.75</v>
      </c>
      <c r="L942" s="1">
        <v>45240</v>
      </c>
      <c r="M942">
        <v>18994</v>
      </c>
      <c r="N942" t="s">
        <v>3360</v>
      </c>
      <c r="O942" s="5">
        <v>45240</v>
      </c>
      <c r="P942" s="5">
        <v>43777</v>
      </c>
      <c r="Q942" s="3">
        <v>48.75</v>
      </c>
      <c r="S942">
        <f t="shared" si="42"/>
        <v>1464</v>
      </c>
      <c r="T942">
        <f t="shared" si="43"/>
        <v>16.043835616438358</v>
      </c>
      <c r="U942" s="6">
        <f t="shared" si="44"/>
        <v>0.21692330943877636</v>
      </c>
    </row>
    <row r="943" spans="1:21" x14ac:dyDescent="0.25">
      <c r="A943" t="s">
        <v>3361</v>
      </c>
      <c r="B943" t="s">
        <v>3362</v>
      </c>
      <c r="C943" t="s">
        <v>10</v>
      </c>
      <c r="D943">
        <v>17.25</v>
      </c>
      <c r="E943">
        <v>17.25</v>
      </c>
      <c r="F943">
        <v>16.899999999999999</v>
      </c>
      <c r="G943" s="3">
        <v>16.899999999999999</v>
      </c>
      <c r="H943">
        <v>16.899999999999999</v>
      </c>
      <c r="I943">
        <v>17.25</v>
      </c>
      <c r="J943">
        <v>412804</v>
      </c>
      <c r="K943">
        <v>7043672.3499999996</v>
      </c>
      <c r="L943" s="1">
        <v>45240</v>
      </c>
      <c r="M943">
        <v>141</v>
      </c>
      <c r="N943" t="s">
        <v>3363</v>
      </c>
      <c r="O943" s="5">
        <v>45240</v>
      </c>
      <c r="P943" s="5">
        <v>43777</v>
      </c>
      <c r="Q943" s="3">
        <v>6.1</v>
      </c>
      <c r="S943">
        <f t="shared" si="42"/>
        <v>1464</v>
      </c>
      <c r="T943">
        <f t="shared" si="43"/>
        <v>16.043835616438358</v>
      </c>
      <c r="U943" s="6">
        <f t="shared" si="44"/>
        <v>0.26230204504165489</v>
      </c>
    </row>
    <row r="944" spans="1:21" x14ac:dyDescent="0.25">
      <c r="A944" t="s">
        <v>3364</v>
      </c>
      <c r="B944" t="s">
        <v>3365</v>
      </c>
      <c r="C944" t="s">
        <v>14</v>
      </c>
      <c r="D944">
        <v>421.15</v>
      </c>
      <c r="E944">
        <v>431.45</v>
      </c>
      <c r="F944">
        <v>418.2</v>
      </c>
      <c r="G944" s="3">
        <v>420.95</v>
      </c>
      <c r="H944">
        <v>421.95</v>
      </c>
      <c r="I944">
        <v>424.65</v>
      </c>
      <c r="J944">
        <v>299053</v>
      </c>
      <c r="K944">
        <v>126343317.7</v>
      </c>
      <c r="L944" s="1">
        <v>45240</v>
      </c>
      <c r="M944">
        <v>11948</v>
      </c>
      <c r="N944" t="s">
        <v>3366</v>
      </c>
      <c r="O944" s="5">
        <v>45240</v>
      </c>
      <c r="P944" s="5">
        <v>43777</v>
      </c>
      <c r="Q944" s="3">
        <v>148.15</v>
      </c>
      <c r="S944">
        <f t="shared" si="42"/>
        <v>1464</v>
      </c>
      <c r="T944">
        <f t="shared" si="43"/>
        <v>16.043835616438358</v>
      </c>
      <c r="U944" s="6">
        <f t="shared" si="44"/>
        <v>0.26901910200745327</v>
      </c>
    </row>
    <row r="945" spans="1:21" x14ac:dyDescent="0.25">
      <c r="A945" t="s">
        <v>3373</v>
      </c>
      <c r="B945" t="s">
        <v>3374</v>
      </c>
      <c r="C945" t="s">
        <v>10</v>
      </c>
      <c r="D945">
        <v>3.9</v>
      </c>
      <c r="E945">
        <v>3.9</v>
      </c>
      <c r="F945">
        <v>3.75</v>
      </c>
      <c r="G945" s="3">
        <v>3.9</v>
      </c>
      <c r="H945">
        <v>3.9</v>
      </c>
      <c r="I945">
        <v>3.75</v>
      </c>
      <c r="J945">
        <v>108301</v>
      </c>
      <c r="K945">
        <v>419417</v>
      </c>
      <c r="L945" s="1">
        <v>45240</v>
      </c>
      <c r="M945">
        <v>101</v>
      </c>
      <c r="N945" t="s">
        <v>3375</v>
      </c>
      <c r="O945" s="5">
        <v>45240</v>
      </c>
      <c r="P945" s="5">
        <v>43777</v>
      </c>
      <c r="Q945" s="3">
        <v>21.3</v>
      </c>
      <c r="S945">
        <f t="shared" si="42"/>
        <v>1464</v>
      </c>
      <c r="T945">
        <f t="shared" si="43"/>
        <v>16.043835616438358</v>
      </c>
      <c r="U945" s="6">
        <f t="shared" si="44"/>
        <v>-0.40164744667177965</v>
      </c>
    </row>
    <row r="946" spans="1:21" x14ac:dyDescent="0.25">
      <c r="A946" t="s">
        <v>3376</v>
      </c>
      <c r="B946" t="s">
        <v>3377</v>
      </c>
      <c r="C946" t="s">
        <v>14</v>
      </c>
      <c r="D946">
        <v>27.7</v>
      </c>
      <c r="E946">
        <v>28.4</v>
      </c>
      <c r="F946">
        <v>26.8</v>
      </c>
      <c r="G946" s="3">
        <v>27.15</v>
      </c>
      <c r="H946">
        <v>27.35</v>
      </c>
      <c r="I946">
        <v>27.8</v>
      </c>
      <c r="J946">
        <v>4233528</v>
      </c>
      <c r="K946">
        <v>116850510.05</v>
      </c>
      <c r="L946" s="1">
        <v>45240</v>
      </c>
      <c r="M946">
        <v>5441</v>
      </c>
      <c r="N946" t="s">
        <v>3378</v>
      </c>
      <c r="O946" s="5">
        <v>45240</v>
      </c>
      <c r="P946" s="5">
        <v>43777</v>
      </c>
      <c r="Q946" s="3">
        <v>10.15</v>
      </c>
      <c r="S946">
        <f t="shared" si="42"/>
        <v>1464</v>
      </c>
      <c r="T946">
        <f t="shared" si="43"/>
        <v>16.043835616438358</v>
      </c>
      <c r="U946" s="6">
        <f t="shared" si="44"/>
        <v>0.25298165843803933</v>
      </c>
    </row>
    <row r="947" spans="1:21" x14ac:dyDescent="0.25">
      <c r="A947" t="s">
        <v>3382</v>
      </c>
      <c r="B947" t="s">
        <v>3383</v>
      </c>
      <c r="C947" t="s">
        <v>14</v>
      </c>
      <c r="D947">
        <v>166.65</v>
      </c>
      <c r="E947">
        <v>167.7</v>
      </c>
      <c r="F947">
        <v>162.80000000000001</v>
      </c>
      <c r="G947" s="3">
        <v>163.6</v>
      </c>
      <c r="H947">
        <v>164</v>
      </c>
      <c r="I947">
        <v>166.55</v>
      </c>
      <c r="J947">
        <v>111562</v>
      </c>
      <c r="K947">
        <v>18373859.050000001</v>
      </c>
      <c r="L947" s="1">
        <v>45240</v>
      </c>
      <c r="M947">
        <v>3729</v>
      </c>
      <c r="N947" t="s">
        <v>3384</v>
      </c>
      <c r="O947" s="5">
        <v>45240</v>
      </c>
      <c r="P947" s="5">
        <v>43777</v>
      </c>
      <c r="Q947" s="3">
        <v>32</v>
      </c>
      <c r="S947">
        <f t="shared" si="42"/>
        <v>1464</v>
      </c>
      <c r="T947">
        <f t="shared" si="43"/>
        <v>16.043835616438358</v>
      </c>
      <c r="U947" s="6">
        <f t="shared" si="44"/>
        <v>0.42821362747785319</v>
      </c>
    </row>
    <row r="948" spans="1:21" x14ac:dyDescent="0.25">
      <c r="A948" t="s">
        <v>3385</v>
      </c>
      <c r="B948" t="s">
        <v>3386</v>
      </c>
      <c r="C948" t="s">
        <v>10</v>
      </c>
      <c r="D948">
        <v>76</v>
      </c>
      <c r="E948">
        <v>77.150000000000006</v>
      </c>
      <c r="F948">
        <v>74.5</v>
      </c>
      <c r="G948" s="3">
        <v>77.099999999999994</v>
      </c>
      <c r="H948">
        <v>76.400000000000006</v>
      </c>
      <c r="I948">
        <v>73.5</v>
      </c>
      <c r="J948">
        <v>22563</v>
      </c>
      <c r="K948">
        <v>1723966.7</v>
      </c>
      <c r="L948" s="1">
        <v>45240</v>
      </c>
      <c r="M948">
        <v>200</v>
      </c>
      <c r="N948" t="s">
        <v>3387</v>
      </c>
      <c r="O948" s="5">
        <v>45240</v>
      </c>
      <c r="P948" s="5">
        <v>43777</v>
      </c>
      <c r="Q948" s="3">
        <v>41.45</v>
      </c>
      <c r="S948">
        <f t="shared" si="42"/>
        <v>1464</v>
      </c>
      <c r="T948">
        <f t="shared" si="43"/>
        <v>16.043835616438358</v>
      </c>
      <c r="U948" s="6">
        <f t="shared" si="44"/>
        <v>0.15776156514264628</v>
      </c>
    </row>
    <row r="949" spans="1:21" x14ac:dyDescent="0.25">
      <c r="A949" t="s">
        <v>3388</v>
      </c>
      <c r="B949" t="s">
        <v>3389</v>
      </c>
      <c r="C949" t="s">
        <v>14</v>
      </c>
      <c r="D949">
        <v>55.2</v>
      </c>
      <c r="E949">
        <v>55.2</v>
      </c>
      <c r="F949">
        <v>53.35</v>
      </c>
      <c r="G949" s="3">
        <v>53.9</v>
      </c>
      <c r="H949">
        <v>54.4</v>
      </c>
      <c r="I949">
        <v>54.6</v>
      </c>
      <c r="J949">
        <v>106814</v>
      </c>
      <c r="K949">
        <v>5775457.9500000002</v>
      </c>
      <c r="L949" s="1">
        <v>45240</v>
      </c>
      <c r="M949">
        <v>1144</v>
      </c>
      <c r="N949" t="s">
        <v>3390</v>
      </c>
      <c r="O949" s="5">
        <v>45240</v>
      </c>
      <c r="P949" s="5">
        <v>43777</v>
      </c>
      <c r="Q949" s="3">
        <v>45.55</v>
      </c>
      <c r="S949">
        <f t="shared" si="42"/>
        <v>1464</v>
      </c>
      <c r="T949">
        <f t="shared" si="43"/>
        <v>16.043835616438358</v>
      </c>
      <c r="U949" s="6">
        <f t="shared" si="44"/>
        <v>4.2185895377745197E-2</v>
      </c>
    </row>
    <row r="950" spans="1:21" x14ac:dyDescent="0.25">
      <c r="A950" t="s">
        <v>3391</v>
      </c>
      <c r="B950" t="s">
        <v>3392</v>
      </c>
      <c r="C950" t="s">
        <v>14</v>
      </c>
      <c r="D950">
        <v>132</v>
      </c>
      <c r="E950">
        <v>133.44999999999999</v>
      </c>
      <c r="F950">
        <v>128.55000000000001</v>
      </c>
      <c r="G950" s="3">
        <v>129.35</v>
      </c>
      <c r="H950">
        <v>129.1</v>
      </c>
      <c r="I950">
        <v>131.85</v>
      </c>
      <c r="J950">
        <v>93630</v>
      </c>
      <c r="K950">
        <v>12204676.050000001</v>
      </c>
      <c r="L950" s="1">
        <v>45240</v>
      </c>
      <c r="M950">
        <v>2008</v>
      </c>
      <c r="N950" t="s">
        <v>3393</v>
      </c>
      <c r="O950" s="5">
        <v>45240</v>
      </c>
      <c r="P950" s="5">
        <v>43777</v>
      </c>
      <c r="Q950" s="3">
        <v>132.35</v>
      </c>
      <c r="S950">
        <f t="shared" si="42"/>
        <v>1464</v>
      </c>
      <c r="T950">
        <f t="shared" si="43"/>
        <v>16.043835616438358</v>
      </c>
      <c r="U950" s="6">
        <f t="shared" si="44"/>
        <v>-5.7122611661366562E-3</v>
      </c>
    </row>
    <row r="951" spans="1:21" x14ac:dyDescent="0.25">
      <c r="A951" t="s">
        <v>3394</v>
      </c>
      <c r="B951" t="s">
        <v>3395</v>
      </c>
      <c r="C951" t="s">
        <v>10</v>
      </c>
      <c r="D951">
        <v>63.1</v>
      </c>
      <c r="E951">
        <v>65</v>
      </c>
      <c r="F951">
        <v>62</v>
      </c>
      <c r="G951" s="3">
        <v>62.25</v>
      </c>
      <c r="H951">
        <v>62.75</v>
      </c>
      <c r="I951">
        <v>64.099999999999994</v>
      </c>
      <c r="J951">
        <v>43830</v>
      </c>
      <c r="K951">
        <v>2760902.95</v>
      </c>
      <c r="L951" s="1">
        <v>45240</v>
      </c>
      <c r="M951">
        <v>312</v>
      </c>
      <c r="N951" t="s">
        <v>3396</v>
      </c>
      <c r="O951" s="5">
        <v>45240</v>
      </c>
      <c r="P951" s="5">
        <v>43777</v>
      </c>
      <c r="Q951" s="3">
        <v>16.55</v>
      </c>
      <c r="S951">
        <f t="shared" si="42"/>
        <v>1464</v>
      </c>
      <c r="T951">
        <f t="shared" si="43"/>
        <v>16.043835616438358</v>
      </c>
      <c r="U951" s="6">
        <f t="shared" si="44"/>
        <v>0.34430769981661768</v>
      </c>
    </row>
    <row r="952" spans="1:21" x14ac:dyDescent="0.25">
      <c r="A952" t="s">
        <v>3397</v>
      </c>
      <c r="B952" t="s">
        <v>3398</v>
      </c>
      <c r="C952" t="s">
        <v>14</v>
      </c>
      <c r="D952">
        <v>392.7</v>
      </c>
      <c r="E952">
        <v>398.85</v>
      </c>
      <c r="F952">
        <v>383.2</v>
      </c>
      <c r="G952" s="3">
        <v>386.35</v>
      </c>
      <c r="H952">
        <v>386.5</v>
      </c>
      <c r="I952">
        <v>392.7</v>
      </c>
      <c r="J952">
        <v>68671</v>
      </c>
      <c r="K952">
        <v>26674172.75</v>
      </c>
      <c r="L952" s="1">
        <v>45240</v>
      </c>
      <c r="M952">
        <v>3105</v>
      </c>
      <c r="N952" t="s">
        <v>3399</v>
      </c>
      <c r="O952" s="5">
        <v>45240</v>
      </c>
      <c r="P952" s="5">
        <v>43777</v>
      </c>
      <c r="Q952" s="3">
        <v>454.9</v>
      </c>
      <c r="S952">
        <f t="shared" si="42"/>
        <v>1464</v>
      </c>
      <c r="T952">
        <f t="shared" si="43"/>
        <v>16.043835616438358</v>
      </c>
      <c r="U952" s="6">
        <f t="shared" si="44"/>
        <v>-4.0515330518296366E-2</v>
      </c>
    </row>
    <row r="953" spans="1:21" x14ac:dyDescent="0.25">
      <c r="A953" t="s">
        <v>3400</v>
      </c>
      <c r="B953" t="s">
        <v>3401</v>
      </c>
      <c r="C953" t="s">
        <v>14</v>
      </c>
      <c r="D953">
        <v>1240</v>
      </c>
      <c r="E953">
        <v>1278</v>
      </c>
      <c r="F953">
        <v>1216</v>
      </c>
      <c r="G953" s="3">
        <v>1273.25</v>
      </c>
      <c r="H953">
        <v>1270.7</v>
      </c>
      <c r="I953">
        <v>1313.25</v>
      </c>
      <c r="J953">
        <v>2873040</v>
      </c>
      <c r="K953">
        <v>3589577739.5500002</v>
      </c>
      <c r="L953" s="1">
        <v>45240</v>
      </c>
      <c r="M953">
        <v>95412</v>
      </c>
      <c r="N953" t="s">
        <v>3402</v>
      </c>
      <c r="O953" s="5">
        <v>45240</v>
      </c>
      <c r="P953" s="5">
        <v>43777</v>
      </c>
      <c r="Q953" s="3">
        <v>674.9</v>
      </c>
      <c r="S953">
        <f t="shared" si="42"/>
        <v>1464</v>
      </c>
      <c r="T953">
        <f t="shared" si="43"/>
        <v>16.043835616438358</v>
      </c>
      <c r="U953" s="6">
        <f t="shared" si="44"/>
        <v>0.16142964688611894</v>
      </c>
    </row>
    <row r="954" spans="1:21" x14ac:dyDescent="0.25">
      <c r="A954" t="s">
        <v>6267</v>
      </c>
      <c r="B954" t="s">
        <v>7798</v>
      </c>
      <c r="C954" t="s">
        <v>6176</v>
      </c>
      <c r="D954">
        <v>1170.2</v>
      </c>
      <c r="E954">
        <v>1170.56</v>
      </c>
      <c r="F954">
        <v>1169.99</v>
      </c>
      <c r="G954" s="3">
        <v>1170.19</v>
      </c>
      <c r="H954">
        <v>1169.99</v>
      </c>
      <c r="I954">
        <v>1170.56</v>
      </c>
      <c r="J954">
        <v>599</v>
      </c>
      <c r="K954">
        <v>700851.97</v>
      </c>
      <c r="L954" s="1">
        <v>45240</v>
      </c>
      <c r="M954">
        <v>9</v>
      </c>
      <c r="N954" t="s">
        <v>6266</v>
      </c>
      <c r="O954" s="5">
        <v>45240</v>
      </c>
      <c r="P954" s="5">
        <v>43777</v>
      </c>
      <c r="Q954" s="3">
        <v>1189.97</v>
      </c>
      <c r="S954">
        <f t="shared" si="42"/>
        <v>1464</v>
      </c>
      <c r="T954">
        <f t="shared" si="43"/>
        <v>16.043835616438358</v>
      </c>
      <c r="U954" s="6">
        <f t="shared" si="44"/>
        <v>-4.1768602623033502E-3</v>
      </c>
    </row>
    <row r="955" spans="1:21" x14ac:dyDescent="0.25">
      <c r="A955" t="s">
        <v>3406</v>
      </c>
      <c r="B955" t="s">
        <v>3407</v>
      </c>
      <c r="C955" t="s">
        <v>14</v>
      </c>
      <c r="D955">
        <v>74.650000000000006</v>
      </c>
      <c r="E955">
        <v>75.45</v>
      </c>
      <c r="F955">
        <v>73.900000000000006</v>
      </c>
      <c r="G955" s="3">
        <v>74.2</v>
      </c>
      <c r="H955">
        <v>74.099999999999994</v>
      </c>
      <c r="I955">
        <v>74.650000000000006</v>
      </c>
      <c r="J955">
        <v>37239</v>
      </c>
      <c r="K955">
        <v>2775414.75</v>
      </c>
      <c r="L955" s="1">
        <v>45240</v>
      </c>
      <c r="M955">
        <v>632</v>
      </c>
      <c r="N955" t="s">
        <v>3408</v>
      </c>
      <c r="O955" s="5">
        <v>45240</v>
      </c>
      <c r="P955" s="5">
        <v>43777</v>
      </c>
      <c r="Q955" s="3">
        <v>27.25</v>
      </c>
      <c r="S955">
        <f t="shared" si="42"/>
        <v>1464</v>
      </c>
      <c r="T955">
        <f t="shared" si="43"/>
        <v>16.043835616438358</v>
      </c>
      <c r="U955" s="6">
        <f t="shared" si="44"/>
        <v>0.25770472569727154</v>
      </c>
    </row>
    <row r="956" spans="1:21" x14ac:dyDescent="0.25">
      <c r="A956" t="s">
        <v>3409</v>
      </c>
      <c r="B956" t="s">
        <v>3410</v>
      </c>
      <c r="C956" t="s">
        <v>14</v>
      </c>
      <c r="D956">
        <v>8.5500000000000007</v>
      </c>
      <c r="E956">
        <v>8.8000000000000007</v>
      </c>
      <c r="F956">
        <v>8.5</v>
      </c>
      <c r="G956" s="3">
        <v>8.65</v>
      </c>
      <c r="H956">
        <v>8.65</v>
      </c>
      <c r="I956">
        <v>8.5</v>
      </c>
      <c r="J956">
        <v>1056474</v>
      </c>
      <c r="K956">
        <v>9130916.1500000004</v>
      </c>
      <c r="L956" s="1">
        <v>45240</v>
      </c>
      <c r="M956">
        <v>944</v>
      </c>
      <c r="N956" t="s">
        <v>3411</v>
      </c>
      <c r="O956" s="5">
        <v>45240</v>
      </c>
      <c r="P956" s="5">
        <v>43777</v>
      </c>
      <c r="Q956" s="3">
        <v>3.95</v>
      </c>
      <c r="S956">
        <f t="shared" si="42"/>
        <v>1464</v>
      </c>
      <c r="T956">
        <f t="shared" si="43"/>
        <v>16.043835616438358</v>
      </c>
      <c r="U956" s="6">
        <f t="shared" si="44"/>
        <v>0.2002781189677032</v>
      </c>
    </row>
    <row r="957" spans="1:21" x14ac:dyDescent="0.25">
      <c r="A957" t="s">
        <v>3415</v>
      </c>
      <c r="B957" t="s">
        <v>3416</v>
      </c>
      <c r="C957" t="s">
        <v>14</v>
      </c>
      <c r="D957">
        <v>55</v>
      </c>
      <c r="E957">
        <v>55</v>
      </c>
      <c r="F957">
        <v>52.2</v>
      </c>
      <c r="G957" s="3">
        <v>54.1</v>
      </c>
      <c r="H957">
        <v>54.4</v>
      </c>
      <c r="I957">
        <v>52.6</v>
      </c>
      <c r="J957">
        <v>30535</v>
      </c>
      <c r="K957">
        <v>1642315</v>
      </c>
      <c r="L957" s="1">
        <v>45240</v>
      </c>
      <c r="M957">
        <v>719</v>
      </c>
      <c r="N957" t="s">
        <v>3417</v>
      </c>
      <c r="O957" s="5">
        <v>45240</v>
      </c>
      <c r="P957" s="5">
        <v>43777</v>
      </c>
      <c r="Q957" s="3">
        <v>14.35</v>
      </c>
      <c r="S957">
        <f t="shared" si="42"/>
        <v>1464</v>
      </c>
      <c r="T957">
        <f t="shared" si="43"/>
        <v>16.043835616438358</v>
      </c>
      <c r="U957" s="6">
        <f t="shared" si="44"/>
        <v>0.34493373079710921</v>
      </c>
    </row>
    <row r="958" spans="1:21" x14ac:dyDescent="0.25">
      <c r="A958" t="s">
        <v>3418</v>
      </c>
      <c r="B958" t="s">
        <v>3419</v>
      </c>
      <c r="C958" t="s">
        <v>14</v>
      </c>
      <c r="D958">
        <v>277.5</v>
      </c>
      <c r="E958">
        <v>289</v>
      </c>
      <c r="F958">
        <v>277</v>
      </c>
      <c r="G958" s="3">
        <v>278.60000000000002</v>
      </c>
      <c r="H958">
        <v>278</v>
      </c>
      <c r="I958">
        <v>284.39999999999998</v>
      </c>
      <c r="J958">
        <v>6760</v>
      </c>
      <c r="K958">
        <v>1891425.9</v>
      </c>
      <c r="L958" s="1">
        <v>45240</v>
      </c>
      <c r="M958">
        <v>547</v>
      </c>
      <c r="N958" t="s">
        <v>3420</v>
      </c>
      <c r="O958" s="5">
        <v>45240</v>
      </c>
      <c r="P958" s="5">
        <v>43777</v>
      </c>
      <c r="Q958" s="3">
        <v>71.650000000000006</v>
      </c>
      <c r="S958">
        <f t="shared" si="42"/>
        <v>1464</v>
      </c>
      <c r="T958">
        <f t="shared" si="43"/>
        <v>16.043835616438358</v>
      </c>
      <c r="U958" s="6">
        <f t="shared" si="44"/>
        <v>0.35330992975735764</v>
      </c>
    </row>
    <row r="959" spans="1:21" x14ac:dyDescent="0.25">
      <c r="A959" t="s">
        <v>3421</v>
      </c>
      <c r="B959" t="s">
        <v>3422</v>
      </c>
      <c r="C959" t="s">
        <v>14</v>
      </c>
      <c r="D959">
        <v>133.25</v>
      </c>
      <c r="E959">
        <v>133.25</v>
      </c>
      <c r="F959">
        <v>127.15</v>
      </c>
      <c r="G959" s="3">
        <v>129.44999999999999</v>
      </c>
      <c r="H959">
        <v>130.75</v>
      </c>
      <c r="I959">
        <v>128.75</v>
      </c>
      <c r="J959">
        <v>38027</v>
      </c>
      <c r="K959">
        <v>4936444.5999999996</v>
      </c>
      <c r="L959" s="1">
        <v>45240</v>
      </c>
      <c r="M959">
        <v>682</v>
      </c>
      <c r="N959" t="s">
        <v>3423</v>
      </c>
      <c r="O959" s="5">
        <v>45240</v>
      </c>
      <c r="P959" s="5">
        <v>43777</v>
      </c>
      <c r="Q959" s="3">
        <v>26.85</v>
      </c>
      <c r="S959">
        <f t="shared" si="42"/>
        <v>1464</v>
      </c>
      <c r="T959">
        <f t="shared" si="43"/>
        <v>16.043835616438358</v>
      </c>
      <c r="U959" s="6">
        <f t="shared" si="44"/>
        <v>0.41205270931291071</v>
      </c>
    </row>
    <row r="960" spans="1:21" x14ac:dyDescent="0.25">
      <c r="A960" t="s">
        <v>3424</v>
      </c>
      <c r="B960" t="s">
        <v>3425</v>
      </c>
      <c r="C960" t="s">
        <v>14</v>
      </c>
      <c r="D960">
        <v>225</v>
      </c>
      <c r="E960">
        <v>228.15</v>
      </c>
      <c r="F960">
        <v>220.4</v>
      </c>
      <c r="G960" s="3">
        <v>222.8</v>
      </c>
      <c r="H960">
        <v>225.8</v>
      </c>
      <c r="I960">
        <v>228.1</v>
      </c>
      <c r="J960">
        <v>11091</v>
      </c>
      <c r="K960">
        <v>2487427.4500000002</v>
      </c>
      <c r="L960" s="1">
        <v>45240</v>
      </c>
      <c r="M960">
        <v>528</v>
      </c>
      <c r="N960" t="s">
        <v>3426</v>
      </c>
      <c r="O960" s="5">
        <v>45240</v>
      </c>
      <c r="P960" s="5">
        <v>43777</v>
      </c>
      <c r="Q960" s="3">
        <v>35.4</v>
      </c>
      <c r="S960">
        <f t="shared" si="42"/>
        <v>1464</v>
      </c>
      <c r="T960">
        <f t="shared" si="43"/>
        <v>16.043835616438358</v>
      </c>
      <c r="U960" s="6">
        <f t="shared" si="44"/>
        <v>0.48596168992006472</v>
      </c>
    </row>
    <row r="961" spans="1:21" x14ac:dyDescent="0.25">
      <c r="A961" t="s">
        <v>3427</v>
      </c>
      <c r="B961" t="s">
        <v>3428</v>
      </c>
      <c r="C961" t="s">
        <v>14</v>
      </c>
      <c r="D961">
        <v>260.14999999999998</v>
      </c>
      <c r="E961">
        <v>263.05</v>
      </c>
      <c r="F961">
        <v>255.05</v>
      </c>
      <c r="G961" s="3">
        <v>259.45</v>
      </c>
      <c r="H961">
        <v>261</v>
      </c>
      <c r="I961">
        <v>261.45</v>
      </c>
      <c r="J961">
        <v>31947</v>
      </c>
      <c r="K961">
        <v>8249208.5999999996</v>
      </c>
      <c r="L961" s="1">
        <v>45240</v>
      </c>
      <c r="M961">
        <v>1331</v>
      </c>
      <c r="N961" t="s">
        <v>3429</v>
      </c>
      <c r="O961" s="5">
        <v>45240</v>
      </c>
      <c r="P961" s="5">
        <v>43777</v>
      </c>
      <c r="Q961" s="3">
        <v>50.15</v>
      </c>
      <c r="S961">
        <f t="shared" si="42"/>
        <v>1464</v>
      </c>
      <c r="T961">
        <f t="shared" si="43"/>
        <v>16.043835616438358</v>
      </c>
      <c r="U961" s="6">
        <f t="shared" si="44"/>
        <v>0.43148744578076759</v>
      </c>
    </row>
    <row r="962" spans="1:21" x14ac:dyDescent="0.25">
      <c r="A962" t="s">
        <v>3436</v>
      </c>
      <c r="B962" t="s">
        <v>3437</v>
      </c>
      <c r="C962" t="s">
        <v>14</v>
      </c>
      <c r="D962">
        <v>737.65</v>
      </c>
      <c r="E962">
        <v>779.8</v>
      </c>
      <c r="F962">
        <v>735.55</v>
      </c>
      <c r="G962" s="3">
        <v>766.55</v>
      </c>
      <c r="H962">
        <v>762</v>
      </c>
      <c r="I962">
        <v>733.95</v>
      </c>
      <c r="J962">
        <v>2437432</v>
      </c>
      <c r="K962">
        <v>1859817990.9000001</v>
      </c>
      <c r="L962" s="1">
        <v>45240</v>
      </c>
      <c r="M962">
        <v>68402</v>
      </c>
      <c r="N962" t="s">
        <v>3438</v>
      </c>
      <c r="O962" s="5">
        <v>45240</v>
      </c>
      <c r="P962" s="5">
        <v>43777</v>
      </c>
      <c r="Q962" s="3">
        <v>577.79999999999995</v>
      </c>
      <c r="S962">
        <f t="shared" si="42"/>
        <v>1464</v>
      </c>
      <c r="T962">
        <f t="shared" si="43"/>
        <v>16.043835616438358</v>
      </c>
      <c r="U962" s="6">
        <f t="shared" si="44"/>
        <v>7.1099454996399913E-2</v>
      </c>
    </row>
    <row r="963" spans="1:21" x14ac:dyDescent="0.25">
      <c r="A963" t="s">
        <v>3439</v>
      </c>
      <c r="B963" t="s">
        <v>3440</v>
      </c>
      <c r="C963" t="s">
        <v>14</v>
      </c>
      <c r="D963">
        <v>198</v>
      </c>
      <c r="E963">
        <v>202.9</v>
      </c>
      <c r="F963">
        <v>196</v>
      </c>
      <c r="G963" s="3">
        <v>197.2</v>
      </c>
      <c r="H963">
        <v>196.15</v>
      </c>
      <c r="I963">
        <v>198.5</v>
      </c>
      <c r="J963">
        <v>27110</v>
      </c>
      <c r="K963">
        <v>5386982.5</v>
      </c>
      <c r="L963" s="1">
        <v>45240</v>
      </c>
      <c r="M963">
        <v>975</v>
      </c>
      <c r="N963" t="s">
        <v>3441</v>
      </c>
      <c r="O963" s="5">
        <v>45240</v>
      </c>
      <c r="P963" s="5">
        <v>43777</v>
      </c>
      <c r="Q963" s="3">
        <v>353.7</v>
      </c>
      <c r="S963">
        <f t="shared" ref="S963:S1026" si="45">O963-P963+1</f>
        <v>1464</v>
      </c>
      <c r="T963">
        <f t="shared" ref="T963:T1026" si="46">(S963/365)*4</f>
        <v>16.043835616438358</v>
      </c>
      <c r="U963" s="6">
        <f t="shared" ref="U963:U1026" si="47">(((G963/Q963)^(1/T963))-1)*4</f>
        <v>-0.14303844569121438</v>
      </c>
    </row>
    <row r="964" spans="1:21" x14ac:dyDescent="0.25">
      <c r="A964" t="s">
        <v>3442</v>
      </c>
      <c r="B964" t="s">
        <v>3443</v>
      </c>
      <c r="C964" t="s">
        <v>14</v>
      </c>
      <c r="D964">
        <v>90.4</v>
      </c>
      <c r="E964">
        <v>92.05</v>
      </c>
      <c r="F964">
        <v>90</v>
      </c>
      <c r="G964" s="3">
        <v>91.3</v>
      </c>
      <c r="H964">
        <v>91.6</v>
      </c>
      <c r="I964">
        <v>90.4</v>
      </c>
      <c r="J964">
        <v>5415351</v>
      </c>
      <c r="K964">
        <v>493452341.60000002</v>
      </c>
      <c r="L964" s="1">
        <v>45240</v>
      </c>
      <c r="M964">
        <v>17948</v>
      </c>
      <c r="N964" t="s">
        <v>3444</v>
      </c>
      <c r="O964" s="5">
        <v>45240</v>
      </c>
      <c r="P964" s="5">
        <v>43777</v>
      </c>
      <c r="Q964" s="3">
        <v>46.5</v>
      </c>
      <c r="S964">
        <f t="shared" si="45"/>
        <v>1464</v>
      </c>
      <c r="T964">
        <f t="shared" si="46"/>
        <v>16.043835616438358</v>
      </c>
      <c r="U964" s="6">
        <f t="shared" si="47"/>
        <v>0.17180084918439942</v>
      </c>
    </row>
    <row r="965" spans="1:21" x14ac:dyDescent="0.25">
      <c r="A965" t="s">
        <v>3445</v>
      </c>
      <c r="B965" t="s">
        <v>3446</v>
      </c>
      <c r="C965" t="s">
        <v>14</v>
      </c>
      <c r="D965">
        <v>4530</v>
      </c>
      <c r="E965">
        <v>4538.3</v>
      </c>
      <c r="F965">
        <v>4483</v>
      </c>
      <c r="G965" s="3">
        <v>4510.8</v>
      </c>
      <c r="H965">
        <v>4515</v>
      </c>
      <c r="I965">
        <v>4569.1000000000004</v>
      </c>
      <c r="J965">
        <v>119732</v>
      </c>
      <c r="K965">
        <v>539561141.54999995</v>
      </c>
      <c r="L965" s="1">
        <v>45240</v>
      </c>
      <c r="M965">
        <v>15355</v>
      </c>
      <c r="N965" t="s">
        <v>3447</v>
      </c>
      <c r="O965" s="5">
        <v>45240</v>
      </c>
      <c r="P965" s="5">
        <v>43777</v>
      </c>
      <c r="Q965" s="3">
        <v>2515.0500000000002</v>
      </c>
      <c r="S965">
        <f t="shared" si="45"/>
        <v>1464</v>
      </c>
      <c r="T965">
        <f t="shared" si="46"/>
        <v>16.043835616438358</v>
      </c>
      <c r="U965" s="6">
        <f t="shared" si="47"/>
        <v>0.14833051650259943</v>
      </c>
    </row>
    <row r="966" spans="1:21" x14ac:dyDescent="0.25">
      <c r="A966" t="s">
        <v>3451</v>
      </c>
      <c r="B966" t="s">
        <v>3452</v>
      </c>
      <c r="C966" t="s">
        <v>14</v>
      </c>
      <c r="D966">
        <v>3572</v>
      </c>
      <c r="E966">
        <v>3614</v>
      </c>
      <c r="F966">
        <v>3556.4</v>
      </c>
      <c r="G966" s="3">
        <v>3609.45</v>
      </c>
      <c r="H966">
        <v>3610</v>
      </c>
      <c r="I966">
        <v>3597.25</v>
      </c>
      <c r="J966">
        <v>77028</v>
      </c>
      <c r="K966">
        <v>276774826.05000001</v>
      </c>
      <c r="L966" s="1">
        <v>45240</v>
      </c>
      <c r="M966">
        <v>7705</v>
      </c>
      <c r="N966" t="s">
        <v>3453</v>
      </c>
      <c r="O966" s="5">
        <v>45240</v>
      </c>
      <c r="P966" s="5">
        <v>43777</v>
      </c>
      <c r="Q966" s="3">
        <v>859.6</v>
      </c>
      <c r="S966">
        <f t="shared" si="45"/>
        <v>1464</v>
      </c>
      <c r="T966">
        <f t="shared" si="46"/>
        <v>16.043835616438358</v>
      </c>
      <c r="U966" s="6">
        <f t="shared" si="47"/>
        <v>0.37421493400102257</v>
      </c>
    </row>
    <row r="967" spans="1:21" x14ac:dyDescent="0.25">
      <c r="A967" t="s">
        <v>3454</v>
      </c>
      <c r="B967" t="s">
        <v>3455</v>
      </c>
      <c r="C967" t="s">
        <v>14</v>
      </c>
      <c r="D967">
        <v>57.9</v>
      </c>
      <c r="E967">
        <v>58.3</v>
      </c>
      <c r="F967">
        <v>57.5</v>
      </c>
      <c r="G967" s="3">
        <v>57.65</v>
      </c>
      <c r="H967">
        <v>57.75</v>
      </c>
      <c r="I967">
        <v>57.8</v>
      </c>
      <c r="J967">
        <v>236559</v>
      </c>
      <c r="K967">
        <v>13664631.15</v>
      </c>
      <c r="L967" s="1">
        <v>45240</v>
      </c>
      <c r="M967">
        <v>1420</v>
      </c>
      <c r="N967" t="s">
        <v>3456</v>
      </c>
      <c r="O967" s="5">
        <v>45240</v>
      </c>
      <c r="P967" s="5">
        <v>43777</v>
      </c>
      <c r="Q967" s="3">
        <v>34.4</v>
      </c>
      <c r="S967">
        <f t="shared" si="45"/>
        <v>1464</v>
      </c>
      <c r="T967">
        <f t="shared" si="46"/>
        <v>16.043835616438358</v>
      </c>
      <c r="U967" s="6">
        <f t="shared" si="47"/>
        <v>0.13082458541909325</v>
      </c>
    </row>
    <row r="968" spans="1:21" x14ac:dyDescent="0.25">
      <c r="A968" t="s">
        <v>3457</v>
      </c>
      <c r="B968" t="s">
        <v>3458</v>
      </c>
      <c r="C968" t="s">
        <v>14</v>
      </c>
      <c r="D968">
        <v>136</v>
      </c>
      <c r="E968">
        <v>138.30000000000001</v>
      </c>
      <c r="F968">
        <v>134.15</v>
      </c>
      <c r="G968" s="3">
        <v>134.55000000000001</v>
      </c>
      <c r="H968">
        <v>134.69999999999999</v>
      </c>
      <c r="I968">
        <v>136.65</v>
      </c>
      <c r="J968">
        <v>267808</v>
      </c>
      <c r="K968">
        <v>36330570.399999999</v>
      </c>
      <c r="L968" s="1">
        <v>45240</v>
      </c>
      <c r="M968">
        <v>6659</v>
      </c>
      <c r="N968" t="s">
        <v>3459</v>
      </c>
      <c r="O968" s="5">
        <v>45240</v>
      </c>
      <c r="P968" s="5">
        <v>43777</v>
      </c>
      <c r="Q968" s="3">
        <v>99</v>
      </c>
      <c r="S968">
        <f t="shared" si="45"/>
        <v>1464</v>
      </c>
      <c r="T968">
        <f t="shared" si="46"/>
        <v>16.043835616438358</v>
      </c>
      <c r="U968" s="6">
        <f t="shared" si="47"/>
        <v>7.7230542625191134E-2</v>
      </c>
    </row>
    <row r="969" spans="1:21" x14ac:dyDescent="0.25">
      <c r="A969" t="s">
        <v>3463</v>
      </c>
      <c r="B969" t="s">
        <v>3464</v>
      </c>
      <c r="C969" t="s">
        <v>14</v>
      </c>
      <c r="D969">
        <v>66.05</v>
      </c>
      <c r="E969">
        <v>66.45</v>
      </c>
      <c r="F969">
        <v>64.650000000000006</v>
      </c>
      <c r="G969" s="3">
        <v>65.75</v>
      </c>
      <c r="H969">
        <v>65.7</v>
      </c>
      <c r="I969">
        <v>67</v>
      </c>
      <c r="J969">
        <v>17890122</v>
      </c>
      <c r="K969">
        <v>1173070657.05</v>
      </c>
      <c r="L969" s="1">
        <v>45240</v>
      </c>
      <c r="M969">
        <v>35370</v>
      </c>
      <c r="N969" t="s">
        <v>3465</v>
      </c>
      <c r="O969" s="5">
        <v>45240</v>
      </c>
      <c r="P969" s="5">
        <v>43777</v>
      </c>
      <c r="Q969" s="3">
        <v>40.75</v>
      </c>
      <c r="S969">
        <f t="shared" si="45"/>
        <v>1464</v>
      </c>
      <c r="T969">
        <f t="shared" si="46"/>
        <v>16.043835616438358</v>
      </c>
      <c r="U969" s="6">
        <f t="shared" si="47"/>
        <v>0.12107027840474682</v>
      </c>
    </row>
    <row r="970" spans="1:21" x14ac:dyDescent="0.25">
      <c r="A970" t="s">
        <v>3466</v>
      </c>
      <c r="B970" t="s">
        <v>3467</v>
      </c>
      <c r="C970" t="s">
        <v>14</v>
      </c>
      <c r="D970">
        <v>1788</v>
      </c>
      <c r="E970">
        <v>1788</v>
      </c>
      <c r="F970">
        <v>1767</v>
      </c>
      <c r="G970" s="3">
        <v>1771.25</v>
      </c>
      <c r="H970">
        <v>1767</v>
      </c>
      <c r="I970">
        <v>1772.95</v>
      </c>
      <c r="J970">
        <v>15</v>
      </c>
      <c r="K970">
        <v>26672.400000000001</v>
      </c>
      <c r="L970" s="1">
        <v>45240</v>
      </c>
      <c r="M970">
        <v>11</v>
      </c>
      <c r="N970" t="s">
        <v>3468</v>
      </c>
      <c r="O970" s="5">
        <v>45240</v>
      </c>
      <c r="P970" s="5">
        <v>43777</v>
      </c>
      <c r="Q970" s="3">
        <v>1520</v>
      </c>
      <c r="S970">
        <f t="shared" si="45"/>
        <v>1464</v>
      </c>
      <c r="T970">
        <f t="shared" si="46"/>
        <v>16.043835616438358</v>
      </c>
      <c r="U970" s="6">
        <f t="shared" si="47"/>
        <v>3.8321708127163845E-2</v>
      </c>
    </row>
    <row r="971" spans="1:21" x14ac:dyDescent="0.25">
      <c r="A971" t="s">
        <v>3469</v>
      </c>
      <c r="B971" t="s">
        <v>3470</v>
      </c>
      <c r="C971" t="s">
        <v>14</v>
      </c>
      <c r="D971">
        <v>149</v>
      </c>
      <c r="E971">
        <v>162.35</v>
      </c>
      <c r="F971">
        <v>147.6</v>
      </c>
      <c r="G971" s="3">
        <v>153.35</v>
      </c>
      <c r="H971">
        <v>153.55000000000001</v>
      </c>
      <c r="I971">
        <v>155.1</v>
      </c>
      <c r="J971">
        <v>20812143</v>
      </c>
      <c r="K971">
        <v>3265797233.1500001</v>
      </c>
      <c r="L971" s="1">
        <v>45240</v>
      </c>
      <c r="M971">
        <v>87939</v>
      </c>
      <c r="N971" t="s">
        <v>3471</v>
      </c>
      <c r="O971" s="5">
        <v>45240</v>
      </c>
      <c r="P971" s="5">
        <v>43777</v>
      </c>
      <c r="Q971" s="3">
        <v>58.45</v>
      </c>
      <c r="S971">
        <f t="shared" si="45"/>
        <v>1464</v>
      </c>
      <c r="T971">
        <f t="shared" si="46"/>
        <v>16.043835616438358</v>
      </c>
      <c r="U971" s="6">
        <f t="shared" si="47"/>
        <v>0.24785478771543001</v>
      </c>
    </row>
    <row r="972" spans="1:21" x14ac:dyDescent="0.25">
      <c r="A972" t="s">
        <v>3472</v>
      </c>
      <c r="B972" t="s">
        <v>3473</v>
      </c>
      <c r="C972" t="s">
        <v>14</v>
      </c>
      <c r="D972">
        <v>213.95</v>
      </c>
      <c r="E972">
        <v>214.9</v>
      </c>
      <c r="F972">
        <v>209.3</v>
      </c>
      <c r="G972" s="3">
        <v>211.45</v>
      </c>
      <c r="H972">
        <v>212.4</v>
      </c>
      <c r="I972">
        <v>213.95</v>
      </c>
      <c r="J972">
        <v>164456</v>
      </c>
      <c r="K972">
        <v>34783872.549999997</v>
      </c>
      <c r="L972" s="1">
        <v>45240</v>
      </c>
      <c r="M972">
        <v>2993</v>
      </c>
      <c r="N972" t="s">
        <v>3474</v>
      </c>
      <c r="O972" s="5">
        <v>45240</v>
      </c>
      <c r="P972" s="5">
        <v>43777</v>
      </c>
      <c r="Q972" s="3">
        <v>90</v>
      </c>
      <c r="S972">
        <f t="shared" si="45"/>
        <v>1464</v>
      </c>
      <c r="T972">
        <f t="shared" si="46"/>
        <v>16.043835616438358</v>
      </c>
      <c r="U972" s="6">
        <f t="shared" si="47"/>
        <v>0.21873229161614471</v>
      </c>
    </row>
    <row r="973" spans="1:21" x14ac:dyDescent="0.25">
      <c r="A973" t="s">
        <v>3478</v>
      </c>
      <c r="B973" t="s">
        <v>3479</v>
      </c>
      <c r="C973" t="s">
        <v>14</v>
      </c>
      <c r="D973">
        <v>24.3</v>
      </c>
      <c r="E973">
        <v>24.3</v>
      </c>
      <c r="F973">
        <v>23.1</v>
      </c>
      <c r="G973" s="3">
        <v>23.65</v>
      </c>
      <c r="H973">
        <v>23.55</v>
      </c>
      <c r="I973">
        <v>23.5</v>
      </c>
      <c r="J973">
        <v>137866</v>
      </c>
      <c r="K973">
        <v>3279664</v>
      </c>
      <c r="L973" s="1">
        <v>45240</v>
      </c>
      <c r="M973">
        <v>829</v>
      </c>
      <c r="N973" t="s">
        <v>3480</v>
      </c>
      <c r="O973" s="5">
        <v>45240</v>
      </c>
      <c r="P973" s="5">
        <v>43777</v>
      </c>
      <c r="Q973" s="3">
        <v>34</v>
      </c>
      <c r="S973">
        <f t="shared" si="45"/>
        <v>1464</v>
      </c>
      <c r="T973">
        <f t="shared" si="46"/>
        <v>16.043835616438358</v>
      </c>
      <c r="U973" s="6">
        <f t="shared" si="47"/>
        <v>-8.9485268266049189E-2</v>
      </c>
    </row>
    <row r="974" spans="1:21" x14ac:dyDescent="0.25">
      <c r="A974" t="s">
        <v>3487</v>
      </c>
      <c r="B974" t="s">
        <v>3488</v>
      </c>
      <c r="C974" t="s">
        <v>14</v>
      </c>
      <c r="D974">
        <v>192.2</v>
      </c>
      <c r="E974">
        <v>192.6</v>
      </c>
      <c r="F974">
        <v>190.05</v>
      </c>
      <c r="G974" s="3">
        <v>190.75</v>
      </c>
      <c r="H974">
        <v>190.5</v>
      </c>
      <c r="I974">
        <v>192.5</v>
      </c>
      <c r="J974">
        <v>92043</v>
      </c>
      <c r="K974">
        <v>17602613.100000001</v>
      </c>
      <c r="L974" s="1">
        <v>45240</v>
      </c>
      <c r="M974">
        <v>2748</v>
      </c>
      <c r="N974" t="s">
        <v>3489</v>
      </c>
      <c r="O974" s="5">
        <v>45240</v>
      </c>
      <c r="P974" s="5">
        <v>43777</v>
      </c>
      <c r="Q974" s="3">
        <v>31.85</v>
      </c>
      <c r="S974">
        <f t="shared" si="45"/>
        <v>1464</v>
      </c>
      <c r="T974">
        <f t="shared" si="46"/>
        <v>16.043835616438358</v>
      </c>
      <c r="U974" s="6">
        <f t="shared" si="47"/>
        <v>0.47210447369065012</v>
      </c>
    </row>
    <row r="975" spans="1:21" x14ac:dyDescent="0.25">
      <c r="A975" t="s">
        <v>3490</v>
      </c>
      <c r="B975" t="s">
        <v>3491</v>
      </c>
      <c r="C975" t="s">
        <v>14</v>
      </c>
      <c r="D975">
        <v>26.65</v>
      </c>
      <c r="E975">
        <v>26.65</v>
      </c>
      <c r="F975">
        <v>23.55</v>
      </c>
      <c r="G975" s="3">
        <v>23.75</v>
      </c>
      <c r="H975">
        <v>23.75</v>
      </c>
      <c r="I975">
        <v>27.65</v>
      </c>
      <c r="J975">
        <v>2893060</v>
      </c>
      <c r="K975">
        <v>70571974.650000006</v>
      </c>
      <c r="L975" s="1">
        <v>45240</v>
      </c>
      <c r="M975">
        <v>7141</v>
      </c>
      <c r="N975" t="s">
        <v>3492</v>
      </c>
      <c r="O975" s="5">
        <v>45240</v>
      </c>
      <c r="P975" s="5">
        <v>43777</v>
      </c>
      <c r="Q975" s="3">
        <v>5.2</v>
      </c>
      <c r="S975">
        <f t="shared" si="45"/>
        <v>1464</v>
      </c>
      <c r="T975">
        <f t="shared" si="46"/>
        <v>16.043835616438358</v>
      </c>
      <c r="U975" s="6">
        <f t="shared" si="47"/>
        <v>0.39719890672882219</v>
      </c>
    </row>
    <row r="976" spans="1:21" x14ac:dyDescent="0.25">
      <c r="A976" t="s">
        <v>3493</v>
      </c>
      <c r="B976" t="s">
        <v>3494</v>
      </c>
      <c r="C976" t="s">
        <v>14</v>
      </c>
      <c r="D976">
        <v>23.9</v>
      </c>
      <c r="E976">
        <v>26.3</v>
      </c>
      <c r="F976">
        <v>23.8</v>
      </c>
      <c r="G976" s="3">
        <v>25.6</v>
      </c>
      <c r="H976">
        <v>25.65</v>
      </c>
      <c r="I976">
        <v>23.9</v>
      </c>
      <c r="J976">
        <v>3668349</v>
      </c>
      <c r="K976">
        <v>93339822</v>
      </c>
      <c r="L976" s="1">
        <v>45240</v>
      </c>
      <c r="M976">
        <v>7460</v>
      </c>
      <c r="N976" t="s">
        <v>3495</v>
      </c>
      <c r="O976" s="5">
        <v>45240</v>
      </c>
      <c r="P976" s="5">
        <v>43777</v>
      </c>
      <c r="Q976" s="3">
        <v>14.05</v>
      </c>
      <c r="S976">
        <f t="shared" si="45"/>
        <v>1464</v>
      </c>
      <c r="T976">
        <f t="shared" si="46"/>
        <v>16.043835616438358</v>
      </c>
      <c r="U976" s="6">
        <f t="shared" si="47"/>
        <v>0.15241473742803624</v>
      </c>
    </row>
    <row r="977" spans="1:21" x14ac:dyDescent="0.25">
      <c r="A977" t="s">
        <v>3496</v>
      </c>
      <c r="B977" t="s">
        <v>3497</v>
      </c>
      <c r="C977" t="s">
        <v>14</v>
      </c>
      <c r="D977">
        <v>177.8</v>
      </c>
      <c r="E977">
        <v>182.5</v>
      </c>
      <c r="F977">
        <v>172.05</v>
      </c>
      <c r="G977" s="3">
        <v>175.65</v>
      </c>
      <c r="H977">
        <v>175.7</v>
      </c>
      <c r="I977">
        <v>176.65</v>
      </c>
      <c r="J977">
        <v>831048</v>
      </c>
      <c r="K977">
        <v>147191695.30000001</v>
      </c>
      <c r="L977" s="1">
        <v>45240</v>
      </c>
      <c r="M977">
        <v>14567</v>
      </c>
      <c r="N977" t="s">
        <v>3498</v>
      </c>
      <c r="O977" s="5">
        <v>45240</v>
      </c>
      <c r="P977" s="5">
        <v>43777</v>
      </c>
      <c r="Q977" s="3">
        <v>42.35</v>
      </c>
      <c r="S977">
        <f t="shared" si="45"/>
        <v>1464</v>
      </c>
      <c r="T977">
        <f t="shared" si="46"/>
        <v>16.043835616438358</v>
      </c>
      <c r="U977" s="6">
        <f t="shared" si="47"/>
        <v>0.37085767196338093</v>
      </c>
    </row>
    <row r="978" spans="1:21" x14ac:dyDescent="0.25">
      <c r="A978" t="s">
        <v>3499</v>
      </c>
      <c r="B978" t="s">
        <v>3500</v>
      </c>
      <c r="C978" t="s">
        <v>14</v>
      </c>
      <c r="D978">
        <v>710</v>
      </c>
      <c r="E978">
        <v>721.95</v>
      </c>
      <c r="F978">
        <v>707.1</v>
      </c>
      <c r="G978" s="3">
        <v>710.45</v>
      </c>
      <c r="H978">
        <v>708.05</v>
      </c>
      <c r="I978">
        <v>712.95</v>
      </c>
      <c r="J978">
        <v>29363</v>
      </c>
      <c r="K978">
        <v>20953677.399999999</v>
      </c>
      <c r="L978" s="1">
        <v>45240</v>
      </c>
      <c r="M978">
        <v>3157</v>
      </c>
      <c r="N978" t="s">
        <v>3501</v>
      </c>
      <c r="O978" s="5">
        <v>45240</v>
      </c>
      <c r="P978" s="5">
        <v>43777</v>
      </c>
      <c r="Q978" s="3">
        <v>240.25</v>
      </c>
      <c r="S978">
        <f t="shared" si="45"/>
        <v>1464</v>
      </c>
      <c r="T978">
        <f t="shared" si="46"/>
        <v>16.043835616438358</v>
      </c>
      <c r="U978" s="6">
        <f t="shared" si="47"/>
        <v>0.27965702603396014</v>
      </c>
    </row>
    <row r="979" spans="1:21" x14ac:dyDescent="0.25">
      <c r="A979" t="s">
        <v>3502</v>
      </c>
      <c r="B979" t="s">
        <v>3503</v>
      </c>
      <c r="C979" t="s">
        <v>14</v>
      </c>
      <c r="D979">
        <v>1535.7</v>
      </c>
      <c r="E979">
        <v>1550</v>
      </c>
      <c r="F979">
        <v>1526.75</v>
      </c>
      <c r="G979" s="3">
        <v>1543.75</v>
      </c>
      <c r="H979">
        <v>1540.15</v>
      </c>
      <c r="I979">
        <v>1546.6</v>
      </c>
      <c r="J979">
        <v>14481</v>
      </c>
      <c r="K979">
        <v>22321498.550000001</v>
      </c>
      <c r="L979" s="1">
        <v>45240</v>
      </c>
      <c r="M979">
        <v>3019</v>
      </c>
      <c r="N979" t="s">
        <v>3504</v>
      </c>
      <c r="O979" s="5">
        <v>45240</v>
      </c>
      <c r="P979" s="5">
        <v>43777</v>
      </c>
      <c r="Q979" s="3">
        <v>376.8</v>
      </c>
      <c r="S979">
        <f t="shared" si="45"/>
        <v>1464</v>
      </c>
      <c r="T979">
        <f t="shared" si="46"/>
        <v>16.043835616438358</v>
      </c>
      <c r="U979" s="6">
        <f t="shared" si="47"/>
        <v>0.36751628827588156</v>
      </c>
    </row>
    <row r="980" spans="1:21" x14ac:dyDescent="0.25">
      <c r="A980" t="s">
        <v>3505</v>
      </c>
      <c r="B980" t="s">
        <v>3506</v>
      </c>
      <c r="C980" t="s">
        <v>14</v>
      </c>
      <c r="D980">
        <v>711</v>
      </c>
      <c r="E980">
        <v>770</v>
      </c>
      <c r="F980">
        <v>701</v>
      </c>
      <c r="G980" s="3">
        <v>756.45</v>
      </c>
      <c r="H980">
        <v>758.8</v>
      </c>
      <c r="I980">
        <v>676.15</v>
      </c>
      <c r="J980">
        <v>3553280</v>
      </c>
      <c r="K980">
        <v>2636476248.75</v>
      </c>
      <c r="L980" s="1">
        <v>45240</v>
      </c>
      <c r="M980">
        <v>104395</v>
      </c>
      <c r="N980" t="s">
        <v>3507</v>
      </c>
      <c r="O980" s="5">
        <v>45240</v>
      </c>
      <c r="P980" s="5">
        <v>43777</v>
      </c>
      <c r="Q980" s="3">
        <v>562.54999999999995</v>
      </c>
      <c r="S980">
        <f t="shared" si="45"/>
        <v>1464</v>
      </c>
      <c r="T980">
        <f t="shared" si="46"/>
        <v>16.043835616438358</v>
      </c>
      <c r="U980" s="6">
        <f t="shared" si="47"/>
        <v>7.4522508899010909E-2</v>
      </c>
    </row>
    <row r="981" spans="1:21" x14ac:dyDescent="0.25">
      <c r="A981" t="s">
        <v>3508</v>
      </c>
      <c r="B981" t="s">
        <v>3509</v>
      </c>
      <c r="C981" t="s">
        <v>14</v>
      </c>
      <c r="D981">
        <v>24226.75</v>
      </c>
      <c r="E981">
        <v>24249.5</v>
      </c>
      <c r="F981">
        <v>24055.65</v>
      </c>
      <c r="G981" s="3">
        <v>24137.200000000001</v>
      </c>
      <c r="H981">
        <v>24120.15</v>
      </c>
      <c r="I981">
        <v>24226.75</v>
      </c>
      <c r="J981">
        <v>28317</v>
      </c>
      <c r="K981">
        <v>683408908.95000005</v>
      </c>
      <c r="L981" s="1">
        <v>45240</v>
      </c>
      <c r="M981">
        <v>13001</v>
      </c>
      <c r="N981" t="s">
        <v>3510</v>
      </c>
      <c r="O981" s="5">
        <v>45240</v>
      </c>
      <c r="P981" s="5">
        <v>43777</v>
      </c>
      <c r="Q981" s="3">
        <v>14471.3</v>
      </c>
      <c r="S981">
        <f t="shared" si="45"/>
        <v>1464</v>
      </c>
      <c r="T981">
        <f t="shared" si="46"/>
        <v>16.043835616438358</v>
      </c>
      <c r="U981" s="6">
        <f t="shared" si="47"/>
        <v>0.12960259162776655</v>
      </c>
    </row>
    <row r="982" spans="1:21" x14ac:dyDescent="0.25">
      <c r="A982" t="s">
        <v>6258</v>
      </c>
      <c r="B982" t="s">
        <v>7798</v>
      </c>
      <c r="C982" t="s">
        <v>14</v>
      </c>
      <c r="D982">
        <v>206</v>
      </c>
      <c r="E982">
        <v>206</v>
      </c>
      <c r="F982">
        <v>203.26</v>
      </c>
      <c r="G982" s="3">
        <v>205.4</v>
      </c>
      <c r="H982">
        <v>206</v>
      </c>
      <c r="I982">
        <v>205.14</v>
      </c>
      <c r="J982">
        <v>1184</v>
      </c>
      <c r="K982">
        <v>242217.18</v>
      </c>
      <c r="L982" s="1">
        <v>45240</v>
      </c>
      <c r="M982">
        <v>94</v>
      </c>
      <c r="N982" t="s">
        <v>6257</v>
      </c>
      <c r="O982" s="5">
        <v>45240</v>
      </c>
      <c r="P982" s="5">
        <v>43777</v>
      </c>
      <c r="Q982" s="3">
        <v>122</v>
      </c>
      <c r="S982">
        <f t="shared" si="45"/>
        <v>1464</v>
      </c>
      <c r="T982">
        <f t="shared" si="46"/>
        <v>16.043835616438358</v>
      </c>
      <c r="U982" s="6">
        <f t="shared" si="47"/>
        <v>0.13201029953978072</v>
      </c>
    </row>
    <row r="983" spans="1:21" x14ac:dyDescent="0.25">
      <c r="A983" t="s">
        <v>3514</v>
      </c>
      <c r="B983" t="s">
        <v>3515</v>
      </c>
      <c r="C983" t="s">
        <v>14</v>
      </c>
      <c r="D983">
        <v>71.8</v>
      </c>
      <c r="E983">
        <v>78</v>
      </c>
      <c r="F983">
        <v>71.349999999999994</v>
      </c>
      <c r="G983" s="3">
        <v>77.25</v>
      </c>
      <c r="H983">
        <v>76.849999999999994</v>
      </c>
      <c r="I983">
        <v>71.95</v>
      </c>
      <c r="J983">
        <v>7612225</v>
      </c>
      <c r="K983">
        <v>574112117.20000005</v>
      </c>
      <c r="L983" s="1">
        <v>45240</v>
      </c>
      <c r="M983">
        <v>23630</v>
      </c>
      <c r="N983" t="s">
        <v>3516</v>
      </c>
      <c r="O983" s="5">
        <v>45240</v>
      </c>
      <c r="P983" s="5">
        <v>43777</v>
      </c>
      <c r="Q983" s="3">
        <v>23.35</v>
      </c>
      <c r="S983">
        <f t="shared" si="45"/>
        <v>1464</v>
      </c>
      <c r="T983">
        <f t="shared" si="46"/>
        <v>16.043835616438358</v>
      </c>
      <c r="U983" s="6">
        <f t="shared" si="47"/>
        <v>0.30969945662841969</v>
      </c>
    </row>
    <row r="984" spans="1:21" x14ac:dyDescent="0.25">
      <c r="A984" t="s">
        <v>3517</v>
      </c>
      <c r="B984" t="s">
        <v>3518</v>
      </c>
      <c r="C984" t="s">
        <v>14</v>
      </c>
      <c r="D984">
        <v>5222.3500000000004</v>
      </c>
      <c r="E984">
        <v>5459.95</v>
      </c>
      <c r="F984">
        <v>5111</v>
      </c>
      <c r="G984" s="3">
        <v>5371.15</v>
      </c>
      <c r="H984">
        <v>5297</v>
      </c>
      <c r="I984">
        <v>5260.7</v>
      </c>
      <c r="J984">
        <v>92016</v>
      </c>
      <c r="K984">
        <v>486632627</v>
      </c>
      <c r="L984" s="1">
        <v>45240</v>
      </c>
      <c r="M984">
        <v>12153</v>
      </c>
      <c r="N984" t="s">
        <v>3519</v>
      </c>
      <c r="O984" s="5">
        <v>45240</v>
      </c>
      <c r="P984" s="5">
        <v>43777</v>
      </c>
      <c r="Q984" s="3">
        <v>501</v>
      </c>
      <c r="S984">
        <f t="shared" si="45"/>
        <v>1464</v>
      </c>
      <c r="T984">
        <f t="shared" si="46"/>
        <v>16.043835616438358</v>
      </c>
      <c r="U984" s="6">
        <f t="shared" si="47"/>
        <v>0.63738775948397031</v>
      </c>
    </row>
    <row r="985" spans="1:21" x14ac:dyDescent="0.25">
      <c r="A985" t="s">
        <v>3520</v>
      </c>
      <c r="B985" t="s">
        <v>3521</v>
      </c>
      <c r="C985" t="s">
        <v>10</v>
      </c>
      <c r="D985">
        <v>1204</v>
      </c>
      <c r="E985">
        <v>1232</v>
      </c>
      <c r="F985">
        <v>1188.75</v>
      </c>
      <c r="G985" s="3">
        <v>1204.8499999999999</v>
      </c>
      <c r="H985">
        <v>1190.0999999999999</v>
      </c>
      <c r="I985">
        <v>1199.55</v>
      </c>
      <c r="J985">
        <v>43598</v>
      </c>
      <c r="K985">
        <v>52743098.75</v>
      </c>
      <c r="L985" s="1">
        <v>45240</v>
      </c>
      <c r="M985">
        <v>4010</v>
      </c>
      <c r="N985" t="s">
        <v>3522</v>
      </c>
      <c r="O985" s="5">
        <v>45240</v>
      </c>
      <c r="P985" s="5">
        <v>43777</v>
      </c>
      <c r="Q985" s="3">
        <v>203.3</v>
      </c>
      <c r="S985">
        <f t="shared" si="45"/>
        <v>1464</v>
      </c>
      <c r="T985">
        <f t="shared" si="46"/>
        <v>16.043835616438358</v>
      </c>
      <c r="U985" s="6">
        <f t="shared" si="47"/>
        <v>0.46917900680158464</v>
      </c>
    </row>
    <row r="986" spans="1:21" x14ac:dyDescent="0.25">
      <c r="A986" t="s">
        <v>3523</v>
      </c>
      <c r="B986" t="s">
        <v>3524</v>
      </c>
      <c r="C986" t="s">
        <v>10</v>
      </c>
      <c r="D986">
        <v>7.4</v>
      </c>
      <c r="E986">
        <v>7.5</v>
      </c>
      <c r="F986">
        <v>7.2</v>
      </c>
      <c r="G986" s="3">
        <v>7.5</v>
      </c>
      <c r="H986">
        <v>7.5</v>
      </c>
      <c r="I986">
        <v>7.2</v>
      </c>
      <c r="J986">
        <v>6551</v>
      </c>
      <c r="K986">
        <v>48365.7</v>
      </c>
      <c r="L986" s="1">
        <v>45240</v>
      </c>
      <c r="M986">
        <v>26</v>
      </c>
      <c r="N986" t="s">
        <v>3525</v>
      </c>
      <c r="O986" s="5">
        <v>45240</v>
      </c>
      <c r="P986" s="5">
        <v>43777</v>
      </c>
      <c r="Q986" s="3">
        <v>10.9</v>
      </c>
      <c r="S986">
        <f t="shared" si="45"/>
        <v>1464</v>
      </c>
      <c r="T986">
        <f t="shared" si="46"/>
        <v>16.043835616438358</v>
      </c>
      <c r="U986" s="6">
        <f t="shared" si="47"/>
        <v>-9.2131956981867713E-2</v>
      </c>
    </row>
    <row r="987" spans="1:21" x14ac:dyDescent="0.25">
      <c r="A987" t="s">
        <v>3526</v>
      </c>
      <c r="B987" t="s">
        <v>3527</v>
      </c>
      <c r="C987" t="s">
        <v>14</v>
      </c>
      <c r="D987">
        <v>68</v>
      </c>
      <c r="E987">
        <v>68.75</v>
      </c>
      <c r="F987">
        <v>67.8</v>
      </c>
      <c r="G987" s="3">
        <v>68.3</v>
      </c>
      <c r="H987">
        <v>68.3</v>
      </c>
      <c r="I987">
        <v>68.2</v>
      </c>
      <c r="J987">
        <v>1573881</v>
      </c>
      <c r="K987">
        <v>107521467</v>
      </c>
      <c r="L987" s="1">
        <v>45240</v>
      </c>
      <c r="M987">
        <v>6052</v>
      </c>
      <c r="N987" t="s">
        <v>3528</v>
      </c>
      <c r="O987" s="5">
        <v>45240</v>
      </c>
      <c r="P987" s="5">
        <v>43777</v>
      </c>
      <c r="Q987" s="3">
        <v>27.1</v>
      </c>
      <c r="S987">
        <f t="shared" si="45"/>
        <v>1464</v>
      </c>
      <c r="T987">
        <f t="shared" si="46"/>
        <v>16.043835616438358</v>
      </c>
      <c r="U987" s="6">
        <f t="shared" si="47"/>
        <v>0.23723109564686151</v>
      </c>
    </row>
    <row r="988" spans="1:21" x14ac:dyDescent="0.25">
      <c r="A988" t="s">
        <v>3535</v>
      </c>
      <c r="B988" t="s">
        <v>3536</v>
      </c>
      <c r="C988" t="s">
        <v>14</v>
      </c>
      <c r="D988">
        <v>1065.5</v>
      </c>
      <c r="E988">
        <v>1086.2</v>
      </c>
      <c r="F988">
        <v>1044</v>
      </c>
      <c r="G988" s="3">
        <v>1072.3499999999999</v>
      </c>
      <c r="H988">
        <v>1081</v>
      </c>
      <c r="I988">
        <v>1060.05</v>
      </c>
      <c r="J988">
        <v>184729</v>
      </c>
      <c r="K988">
        <v>198848337.65000001</v>
      </c>
      <c r="L988" s="1">
        <v>45240</v>
      </c>
      <c r="M988">
        <v>15622</v>
      </c>
      <c r="N988" t="s">
        <v>3537</v>
      </c>
      <c r="O988" s="5">
        <v>45240</v>
      </c>
      <c r="P988" s="5">
        <v>43777</v>
      </c>
      <c r="Q988" s="3">
        <v>275</v>
      </c>
      <c r="S988">
        <f t="shared" si="45"/>
        <v>1464</v>
      </c>
      <c r="T988">
        <f t="shared" si="46"/>
        <v>16.043835616438358</v>
      </c>
      <c r="U988" s="6">
        <f t="shared" si="47"/>
        <v>0.35408406651578606</v>
      </c>
    </row>
    <row r="989" spans="1:21" x14ac:dyDescent="0.25">
      <c r="A989" t="s">
        <v>6241</v>
      </c>
      <c r="B989" t="s">
        <v>7798</v>
      </c>
      <c r="C989" t="s">
        <v>6176</v>
      </c>
      <c r="D989">
        <v>1098.45</v>
      </c>
      <c r="E989">
        <v>1100</v>
      </c>
      <c r="F989">
        <v>1096.0999999999999</v>
      </c>
      <c r="G989" s="3">
        <v>1099</v>
      </c>
      <c r="H989">
        <v>1099</v>
      </c>
      <c r="I989">
        <v>1102</v>
      </c>
      <c r="J989">
        <v>550</v>
      </c>
      <c r="K989">
        <v>604352.30000000005</v>
      </c>
      <c r="L989" s="1">
        <v>45240</v>
      </c>
      <c r="M989">
        <v>15</v>
      </c>
      <c r="N989" t="s">
        <v>6252</v>
      </c>
      <c r="O989" s="5">
        <v>45240</v>
      </c>
      <c r="P989" s="5">
        <v>43777</v>
      </c>
      <c r="Q989" s="3">
        <v>1062.97</v>
      </c>
      <c r="S989">
        <f t="shared" si="45"/>
        <v>1464</v>
      </c>
      <c r="T989">
        <f t="shared" si="46"/>
        <v>16.043835616438358</v>
      </c>
      <c r="U989" s="6">
        <f t="shared" si="47"/>
        <v>8.3193200390567767E-3</v>
      </c>
    </row>
    <row r="990" spans="1:21" x14ac:dyDescent="0.25">
      <c r="A990" t="s">
        <v>6241</v>
      </c>
      <c r="B990" t="s">
        <v>7798</v>
      </c>
      <c r="C990" t="s">
        <v>6210</v>
      </c>
      <c r="D990">
        <v>1081.01</v>
      </c>
      <c r="E990">
        <v>1082.01</v>
      </c>
      <c r="F990">
        <v>1080.4000000000001</v>
      </c>
      <c r="G990" s="3">
        <v>1081.5899999999999</v>
      </c>
      <c r="H990">
        <v>1081.04</v>
      </c>
      <c r="I990">
        <v>1081.01</v>
      </c>
      <c r="J990">
        <v>334</v>
      </c>
      <c r="K990">
        <v>361244.14</v>
      </c>
      <c r="L990" s="1">
        <v>45240</v>
      </c>
      <c r="M990">
        <v>10</v>
      </c>
      <c r="N990" t="s">
        <v>6251</v>
      </c>
      <c r="O990" s="5">
        <v>45240</v>
      </c>
      <c r="P990" s="5">
        <v>43777</v>
      </c>
      <c r="Q990" s="3">
        <v>1062.97</v>
      </c>
      <c r="S990">
        <f t="shared" si="45"/>
        <v>1464</v>
      </c>
      <c r="T990">
        <f t="shared" si="46"/>
        <v>16.043835616438358</v>
      </c>
      <c r="U990" s="6">
        <f t="shared" si="47"/>
        <v>4.3318082703542871E-3</v>
      </c>
    </row>
    <row r="991" spans="1:21" x14ac:dyDescent="0.25">
      <c r="A991" t="s">
        <v>6241</v>
      </c>
      <c r="B991" t="s">
        <v>7798</v>
      </c>
      <c r="C991" t="s">
        <v>5843</v>
      </c>
      <c r="D991">
        <v>1215</v>
      </c>
      <c r="E991">
        <v>1216</v>
      </c>
      <c r="F991">
        <v>1211.1500000000001</v>
      </c>
      <c r="G991" s="3">
        <v>1211.1500000000001</v>
      </c>
      <c r="H991">
        <v>1211.1500000000001</v>
      </c>
      <c r="I991">
        <v>1219.99</v>
      </c>
      <c r="J991">
        <v>682</v>
      </c>
      <c r="K991">
        <v>827420.5</v>
      </c>
      <c r="L991" s="1">
        <v>45240</v>
      </c>
      <c r="M991">
        <v>24</v>
      </c>
      <c r="N991" t="s">
        <v>6250</v>
      </c>
      <c r="O991" s="5">
        <v>45240</v>
      </c>
      <c r="P991" s="5">
        <v>43777</v>
      </c>
      <c r="Q991" s="3">
        <v>1062.97</v>
      </c>
      <c r="S991">
        <f t="shared" si="45"/>
        <v>1464</v>
      </c>
      <c r="T991">
        <f t="shared" si="46"/>
        <v>16.043835616438358</v>
      </c>
      <c r="U991" s="6">
        <f t="shared" si="47"/>
        <v>3.266940872739621E-2</v>
      </c>
    </row>
    <row r="992" spans="1:21" x14ac:dyDescent="0.25">
      <c r="A992" t="s">
        <v>6241</v>
      </c>
      <c r="B992" t="s">
        <v>7798</v>
      </c>
      <c r="C992" t="s">
        <v>5874</v>
      </c>
      <c r="D992">
        <v>1071.1199999999999</v>
      </c>
      <c r="E992">
        <v>1082.99</v>
      </c>
      <c r="F992">
        <v>1071.1199999999999</v>
      </c>
      <c r="G992" s="3">
        <v>1082.99</v>
      </c>
      <c r="H992">
        <v>1082.99</v>
      </c>
      <c r="I992">
        <v>1084.4000000000001</v>
      </c>
      <c r="J992">
        <v>309</v>
      </c>
      <c r="K992">
        <v>332962.09000000003</v>
      </c>
      <c r="L992" s="1">
        <v>45240</v>
      </c>
      <c r="M992">
        <v>5</v>
      </c>
      <c r="N992" t="s">
        <v>6249</v>
      </c>
      <c r="O992" s="5">
        <v>45240</v>
      </c>
      <c r="P992" s="5">
        <v>43777</v>
      </c>
      <c r="Q992" s="3">
        <v>1062.97</v>
      </c>
      <c r="S992">
        <f t="shared" si="45"/>
        <v>1464</v>
      </c>
      <c r="T992">
        <f t="shared" si="46"/>
        <v>16.043835616438358</v>
      </c>
      <c r="U992" s="6">
        <f t="shared" si="47"/>
        <v>4.6546753843799138E-3</v>
      </c>
    </row>
    <row r="993" spans="1:21" x14ac:dyDescent="0.25">
      <c r="A993" t="s">
        <v>6241</v>
      </c>
      <c r="B993" t="s">
        <v>7798</v>
      </c>
      <c r="C993" t="s">
        <v>6130</v>
      </c>
      <c r="D993">
        <v>1163</v>
      </c>
      <c r="E993">
        <v>1163</v>
      </c>
      <c r="F993">
        <v>1163</v>
      </c>
      <c r="G993" s="3">
        <v>1163</v>
      </c>
      <c r="H993">
        <v>1163</v>
      </c>
      <c r="I993">
        <v>1163</v>
      </c>
      <c r="J993">
        <v>10</v>
      </c>
      <c r="K993">
        <v>11630</v>
      </c>
      <c r="L993" s="1">
        <v>45240</v>
      </c>
      <c r="M993">
        <v>1</v>
      </c>
      <c r="N993" t="s">
        <v>6248</v>
      </c>
      <c r="O993" s="5">
        <v>45240</v>
      </c>
      <c r="P993" s="5">
        <v>43777</v>
      </c>
      <c r="Q993" s="3">
        <v>1062.97</v>
      </c>
      <c r="S993">
        <f t="shared" si="45"/>
        <v>1464</v>
      </c>
      <c r="T993">
        <f t="shared" si="46"/>
        <v>16.043835616438358</v>
      </c>
      <c r="U993" s="6">
        <f t="shared" si="47"/>
        <v>2.2485531493088295E-2</v>
      </c>
    </row>
    <row r="994" spans="1:21" x14ac:dyDescent="0.25">
      <c r="A994" t="s">
        <v>6241</v>
      </c>
      <c r="B994" t="s">
        <v>7798</v>
      </c>
      <c r="C994" t="s">
        <v>6247</v>
      </c>
      <c r="D994">
        <v>1170.3</v>
      </c>
      <c r="E994">
        <v>1175</v>
      </c>
      <c r="F994">
        <v>1169.99</v>
      </c>
      <c r="G994" s="3">
        <v>1171.7</v>
      </c>
      <c r="H994">
        <v>1175</v>
      </c>
      <c r="I994">
        <v>1170.76</v>
      </c>
      <c r="J994">
        <v>1788</v>
      </c>
      <c r="K994">
        <v>2093357</v>
      </c>
      <c r="L994" s="1">
        <v>45240</v>
      </c>
      <c r="M994">
        <v>16</v>
      </c>
      <c r="N994" t="s">
        <v>6246</v>
      </c>
      <c r="O994" s="5">
        <v>45240</v>
      </c>
      <c r="P994" s="5">
        <v>43777</v>
      </c>
      <c r="Q994" s="3">
        <v>1062.97</v>
      </c>
      <c r="S994">
        <f t="shared" si="45"/>
        <v>1464</v>
      </c>
      <c r="T994">
        <f t="shared" si="46"/>
        <v>16.043835616438358</v>
      </c>
      <c r="U994" s="6">
        <f t="shared" si="47"/>
        <v>2.4354523039956888E-2</v>
      </c>
    </row>
    <row r="995" spans="1:21" x14ac:dyDescent="0.25">
      <c r="A995" t="s">
        <v>6241</v>
      </c>
      <c r="B995" t="s">
        <v>7798</v>
      </c>
      <c r="C995" t="s">
        <v>6245</v>
      </c>
      <c r="D995">
        <v>1042</v>
      </c>
      <c r="E995">
        <v>1047</v>
      </c>
      <c r="F995">
        <v>1042</v>
      </c>
      <c r="G995" s="3">
        <v>1047</v>
      </c>
      <c r="H995">
        <v>1047</v>
      </c>
      <c r="I995">
        <v>1042</v>
      </c>
      <c r="J995">
        <v>29</v>
      </c>
      <c r="K995">
        <v>30314</v>
      </c>
      <c r="L995" s="1">
        <v>45240</v>
      </c>
      <c r="M995">
        <v>3</v>
      </c>
      <c r="N995" t="s">
        <v>6244</v>
      </c>
      <c r="O995" s="5">
        <v>45240</v>
      </c>
      <c r="P995" s="5">
        <v>43777</v>
      </c>
      <c r="Q995" s="3">
        <v>1062.97</v>
      </c>
      <c r="S995">
        <f t="shared" si="45"/>
        <v>1464</v>
      </c>
      <c r="T995">
        <f t="shared" si="46"/>
        <v>16.043835616438358</v>
      </c>
      <c r="U995" s="6">
        <f t="shared" si="47"/>
        <v>-3.772366176070463E-3</v>
      </c>
    </row>
    <row r="996" spans="1:21" x14ac:dyDescent="0.25">
      <c r="A996" t="s">
        <v>6241</v>
      </c>
      <c r="B996" t="s">
        <v>7798</v>
      </c>
      <c r="C996" t="s">
        <v>6243</v>
      </c>
      <c r="D996">
        <v>1077</v>
      </c>
      <c r="E996">
        <v>1077</v>
      </c>
      <c r="F996">
        <v>1077</v>
      </c>
      <c r="G996" s="3">
        <v>1077</v>
      </c>
      <c r="H996">
        <v>1077</v>
      </c>
      <c r="I996">
        <v>1133.99</v>
      </c>
      <c r="J996">
        <v>40</v>
      </c>
      <c r="K996">
        <v>43080</v>
      </c>
      <c r="L996" s="1">
        <v>45240</v>
      </c>
      <c r="M996">
        <v>1</v>
      </c>
      <c r="N996" t="s">
        <v>6242</v>
      </c>
      <c r="O996" s="5">
        <v>45240</v>
      </c>
      <c r="P996" s="5">
        <v>43777</v>
      </c>
      <c r="Q996" s="3">
        <v>1062.97</v>
      </c>
      <c r="S996">
        <f t="shared" si="45"/>
        <v>1464</v>
      </c>
      <c r="T996">
        <f t="shared" si="46"/>
        <v>16.043835616438358</v>
      </c>
      <c r="U996" s="6">
        <f t="shared" si="47"/>
        <v>3.2705099673657756E-3</v>
      </c>
    </row>
    <row r="997" spans="1:21" x14ac:dyDescent="0.25">
      <c r="A997" t="s">
        <v>6241</v>
      </c>
      <c r="B997" t="s">
        <v>7798</v>
      </c>
      <c r="C997" t="s">
        <v>6240</v>
      </c>
      <c r="D997">
        <v>1147</v>
      </c>
      <c r="E997">
        <v>1148.7</v>
      </c>
      <c r="F997">
        <v>1147</v>
      </c>
      <c r="G997" s="3">
        <v>1148.5</v>
      </c>
      <c r="H997">
        <v>1148.5</v>
      </c>
      <c r="I997">
        <v>1146</v>
      </c>
      <c r="J997">
        <v>217</v>
      </c>
      <c r="K997">
        <v>248964.7</v>
      </c>
      <c r="L997" s="1">
        <v>45240</v>
      </c>
      <c r="M997">
        <v>9</v>
      </c>
      <c r="N997" t="s">
        <v>6239</v>
      </c>
      <c r="O997" s="5">
        <v>45240</v>
      </c>
      <c r="P997" s="5">
        <v>43777</v>
      </c>
      <c r="Q997" s="3">
        <v>1062.97</v>
      </c>
      <c r="S997">
        <f t="shared" si="45"/>
        <v>1464</v>
      </c>
      <c r="T997">
        <f t="shared" si="46"/>
        <v>16.043835616438358</v>
      </c>
      <c r="U997" s="6">
        <f t="shared" si="47"/>
        <v>1.9341214753660019E-2</v>
      </c>
    </row>
    <row r="998" spans="1:21" x14ac:dyDescent="0.25">
      <c r="A998" t="s">
        <v>6238</v>
      </c>
      <c r="B998" t="s">
        <v>7798</v>
      </c>
      <c r="C998" t="s">
        <v>5843</v>
      </c>
      <c r="D998">
        <v>6932</v>
      </c>
      <c r="E998">
        <v>7000</v>
      </c>
      <c r="F998">
        <v>6870</v>
      </c>
      <c r="G998" s="3">
        <v>6870.17</v>
      </c>
      <c r="H998">
        <v>6870</v>
      </c>
      <c r="I998">
        <v>6895</v>
      </c>
      <c r="J998">
        <v>140</v>
      </c>
      <c r="K998">
        <v>967692.83</v>
      </c>
      <c r="L998" s="1">
        <v>45240</v>
      </c>
      <c r="M998">
        <v>18</v>
      </c>
      <c r="N998" t="s">
        <v>6237</v>
      </c>
      <c r="O998" s="5">
        <v>45240</v>
      </c>
      <c r="P998" s="5">
        <v>43777</v>
      </c>
      <c r="Q998" s="3">
        <v>6506</v>
      </c>
      <c r="S998">
        <f t="shared" si="45"/>
        <v>1464</v>
      </c>
      <c r="T998">
        <f t="shared" si="46"/>
        <v>16.043835616438358</v>
      </c>
      <c r="U998" s="6">
        <f t="shared" si="47"/>
        <v>1.3601877675794682E-2</v>
      </c>
    </row>
    <row r="999" spans="1:21" x14ac:dyDescent="0.25">
      <c r="A999" t="s">
        <v>6236</v>
      </c>
      <c r="B999" t="s">
        <v>7798</v>
      </c>
      <c r="C999" t="s">
        <v>5843</v>
      </c>
      <c r="D999">
        <v>6100</v>
      </c>
      <c r="E999">
        <v>6100</v>
      </c>
      <c r="F999">
        <v>6100</v>
      </c>
      <c r="G999" s="3">
        <v>6100</v>
      </c>
      <c r="H999">
        <v>6100</v>
      </c>
      <c r="I999">
        <v>6100</v>
      </c>
      <c r="J999">
        <v>5</v>
      </c>
      <c r="K999">
        <v>30500</v>
      </c>
      <c r="L999" s="1">
        <v>45240</v>
      </c>
      <c r="M999">
        <v>1</v>
      </c>
      <c r="N999" t="s">
        <v>6235</v>
      </c>
      <c r="O999" s="5">
        <v>45240</v>
      </c>
      <c r="P999" s="5">
        <v>43777</v>
      </c>
      <c r="Q999" s="3">
        <v>6470</v>
      </c>
      <c r="S999">
        <f t="shared" si="45"/>
        <v>1464</v>
      </c>
      <c r="T999">
        <f t="shared" si="46"/>
        <v>16.043835616438358</v>
      </c>
      <c r="U999" s="6">
        <f t="shared" si="47"/>
        <v>-1.4654699965093609E-2</v>
      </c>
    </row>
    <row r="1000" spans="1:21" x14ac:dyDescent="0.25">
      <c r="A1000" t="s">
        <v>3538</v>
      </c>
      <c r="B1000" t="s">
        <v>3539</v>
      </c>
      <c r="C1000" t="s">
        <v>14</v>
      </c>
      <c r="D1000">
        <v>51.15</v>
      </c>
      <c r="E1000">
        <v>51.8</v>
      </c>
      <c r="F1000">
        <v>50.8</v>
      </c>
      <c r="G1000" s="3">
        <v>51.6</v>
      </c>
      <c r="H1000">
        <v>51.6</v>
      </c>
      <c r="I1000">
        <v>51.25</v>
      </c>
      <c r="J1000">
        <v>13762947</v>
      </c>
      <c r="K1000">
        <v>708022133.29999995</v>
      </c>
      <c r="L1000" s="1">
        <v>45240</v>
      </c>
      <c r="M1000">
        <v>20705</v>
      </c>
      <c r="N1000" t="s">
        <v>3540</v>
      </c>
      <c r="O1000" s="5">
        <v>45240</v>
      </c>
      <c r="P1000" s="5">
        <v>43777</v>
      </c>
      <c r="Q1000" s="3">
        <v>23.35</v>
      </c>
      <c r="S1000">
        <f t="shared" si="45"/>
        <v>1464</v>
      </c>
      <c r="T1000">
        <f t="shared" si="46"/>
        <v>16.043835616438358</v>
      </c>
      <c r="U1000" s="6">
        <f t="shared" si="47"/>
        <v>0.20265618476547775</v>
      </c>
    </row>
    <row r="1001" spans="1:21" x14ac:dyDescent="0.25">
      <c r="A1001" t="s">
        <v>3541</v>
      </c>
      <c r="B1001" t="s">
        <v>3542</v>
      </c>
      <c r="C1001" t="s">
        <v>14</v>
      </c>
      <c r="D1001">
        <v>138.6</v>
      </c>
      <c r="E1001">
        <v>138.94999999999999</v>
      </c>
      <c r="F1001">
        <v>136.30000000000001</v>
      </c>
      <c r="G1001" s="3">
        <v>138.05000000000001</v>
      </c>
      <c r="H1001">
        <v>138.30000000000001</v>
      </c>
      <c r="I1001">
        <v>137.44999999999999</v>
      </c>
      <c r="J1001">
        <v>472788</v>
      </c>
      <c r="K1001">
        <v>65034225.950000003</v>
      </c>
      <c r="L1001" s="1">
        <v>45240</v>
      </c>
      <c r="M1001">
        <v>4285</v>
      </c>
      <c r="N1001" t="s">
        <v>3543</v>
      </c>
      <c r="O1001" s="5">
        <v>45240</v>
      </c>
      <c r="P1001" s="5">
        <v>43777</v>
      </c>
      <c r="Q1001" s="3">
        <v>145.05000000000001</v>
      </c>
      <c r="S1001">
        <f t="shared" si="45"/>
        <v>1464</v>
      </c>
      <c r="T1001">
        <f t="shared" si="46"/>
        <v>16.043835616438358</v>
      </c>
      <c r="U1001" s="6">
        <f t="shared" si="47"/>
        <v>-1.2312867320276144E-2</v>
      </c>
    </row>
    <row r="1002" spans="1:21" x14ac:dyDescent="0.25">
      <c r="A1002" t="s">
        <v>3544</v>
      </c>
      <c r="B1002" t="s">
        <v>3545</v>
      </c>
      <c r="C1002" t="s">
        <v>14</v>
      </c>
      <c r="D1002">
        <v>27.05</v>
      </c>
      <c r="E1002">
        <v>27.45</v>
      </c>
      <c r="F1002">
        <v>25.75</v>
      </c>
      <c r="G1002" s="3">
        <v>26.7</v>
      </c>
      <c r="H1002">
        <v>26.5</v>
      </c>
      <c r="I1002">
        <v>27.1</v>
      </c>
      <c r="J1002">
        <v>6937</v>
      </c>
      <c r="K1002">
        <v>184147.35</v>
      </c>
      <c r="L1002" s="1">
        <v>45240</v>
      </c>
      <c r="M1002">
        <v>105</v>
      </c>
      <c r="N1002" t="s">
        <v>3546</v>
      </c>
      <c r="O1002" s="5">
        <v>45240</v>
      </c>
      <c r="P1002" s="5">
        <v>43777</v>
      </c>
      <c r="Q1002" s="3">
        <v>7.3</v>
      </c>
      <c r="S1002">
        <f t="shared" si="45"/>
        <v>1464</v>
      </c>
      <c r="T1002">
        <f t="shared" si="46"/>
        <v>16.043835616438358</v>
      </c>
      <c r="U1002" s="6">
        <f t="shared" si="47"/>
        <v>0.33673708211007458</v>
      </c>
    </row>
    <row r="1003" spans="1:21" x14ac:dyDescent="0.25">
      <c r="A1003" t="s">
        <v>6222</v>
      </c>
      <c r="B1003" t="s">
        <v>7798</v>
      </c>
      <c r="C1003" t="s">
        <v>14</v>
      </c>
      <c r="D1003">
        <v>214.99</v>
      </c>
      <c r="E1003">
        <v>214.99</v>
      </c>
      <c r="F1003">
        <v>213.25</v>
      </c>
      <c r="G1003" s="3">
        <v>214.24</v>
      </c>
      <c r="H1003">
        <v>214.6</v>
      </c>
      <c r="I1003">
        <v>214.3</v>
      </c>
      <c r="J1003">
        <v>3287453</v>
      </c>
      <c r="K1003">
        <v>703642211.86000001</v>
      </c>
      <c r="L1003" s="1">
        <v>45240</v>
      </c>
      <c r="M1003">
        <v>26114</v>
      </c>
      <c r="N1003" t="s">
        <v>6221</v>
      </c>
      <c r="O1003" s="5">
        <v>45240</v>
      </c>
      <c r="P1003" s="5">
        <v>43777</v>
      </c>
      <c r="Q1003" s="3">
        <v>1260.6199999999999</v>
      </c>
      <c r="S1003">
        <f t="shared" si="45"/>
        <v>1464</v>
      </c>
      <c r="T1003">
        <f t="shared" si="46"/>
        <v>16.043835616438358</v>
      </c>
      <c r="U1003" s="6">
        <f t="shared" si="47"/>
        <v>-0.41832480432449826</v>
      </c>
    </row>
    <row r="1004" spans="1:21" x14ac:dyDescent="0.25">
      <c r="A1004" t="s">
        <v>3547</v>
      </c>
      <c r="B1004" t="s">
        <v>3548</v>
      </c>
      <c r="C1004" t="s">
        <v>14</v>
      </c>
      <c r="D1004">
        <v>117.4</v>
      </c>
      <c r="E1004">
        <v>118.8</v>
      </c>
      <c r="F1004">
        <v>116.05</v>
      </c>
      <c r="G1004" s="3">
        <v>117.3</v>
      </c>
      <c r="H1004">
        <v>117.9</v>
      </c>
      <c r="I1004">
        <v>117.05</v>
      </c>
      <c r="J1004">
        <v>281907</v>
      </c>
      <c r="K1004">
        <v>32920572.75</v>
      </c>
      <c r="L1004" s="1">
        <v>45240</v>
      </c>
      <c r="M1004">
        <v>3479</v>
      </c>
      <c r="N1004" t="s">
        <v>3549</v>
      </c>
      <c r="O1004" s="5">
        <v>45240</v>
      </c>
      <c r="P1004" s="5">
        <v>43777</v>
      </c>
      <c r="Q1004" s="3">
        <v>100.4</v>
      </c>
      <c r="S1004">
        <f t="shared" si="45"/>
        <v>1464</v>
      </c>
      <c r="T1004">
        <f t="shared" si="46"/>
        <v>16.043835616438358</v>
      </c>
      <c r="U1004" s="6">
        <f t="shared" si="47"/>
        <v>3.8975533683164976E-2</v>
      </c>
    </row>
    <row r="1005" spans="1:21" x14ac:dyDescent="0.25">
      <c r="A1005" t="s">
        <v>3553</v>
      </c>
      <c r="B1005" t="s">
        <v>3554</v>
      </c>
      <c r="C1005" t="s">
        <v>10</v>
      </c>
      <c r="D1005">
        <v>6.9</v>
      </c>
      <c r="E1005">
        <v>6.95</v>
      </c>
      <c r="F1005">
        <v>6.65</v>
      </c>
      <c r="G1005" s="3">
        <v>6.8</v>
      </c>
      <c r="H1005">
        <v>6.75</v>
      </c>
      <c r="I1005">
        <v>6.95</v>
      </c>
      <c r="J1005">
        <v>568894</v>
      </c>
      <c r="K1005">
        <v>3874650.55</v>
      </c>
      <c r="L1005" s="1">
        <v>45240</v>
      </c>
      <c r="M1005">
        <v>555</v>
      </c>
      <c r="N1005" t="s">
        <v>3555</v>
      </c>
      <c r="O1005" s="5">
        <v>45240</v>
      </c>
      <c r="P1005" s="5">
        <v>43777</v>
      </c>
      <c r="Q1005" s="3">
        <v>5.2</v>
      </c>
      <c r="S1005">
        <f t="shared" si="45"/>
        <v>1464</v>
      </c>
      <c r="T1005">
        <f t="shared" si="46"/>
        <v>16.043835616438358</v>
      </c>
      <c r="U1005" s="6">
        <f t="shared" si="47"/>
        <v>6.744504870652257E-2</v>
      </c>
    </row>
    <row r="1006" spans="1:21" x14ac:dyDescent="0.25">
      <c r="A1006" t="s">
        <v>3556</v>
      </c>
      <c r="B1006" t="s">
        <v>3557</v>
      </c>
      <c r="C1006" t="s">
        <v>14</v>
      </c>
      <c r="D1006">
        <v>3.3</v>
      </c>
      <c r="E1006">
        <v>3.35</v>
      </c>
      <c r="F1006">
        <v>3.2</v>
      </c>
      <c r="G1006" s="3">
        <v>3.25</v>
      </c>
      <c r="H1006">
        <v>3.25</v>
      </c>
      <c r="I1006">
        <v>3.3</v>
      </c>
      <c r="J1006">
        <v>201102</v>
      </c>
      <c r="K1006">
        <v>659400.55000000005</v>
      </c>
      <c r="L1006" s="1">
        <v>45240</v>
      </c>
      <c r="M1006">
        <v>305</v>
      </c>
      <c r="N1006" t="s">
        <v>3558</v>
      </c>
      <c r="O1006" s="5">
        <v>45240</v>
      </c>
      <c r="P1006" s="5">
        <v>43777</v>
      </c>
      <c r="Q1006" s="3">
        <v>1.3</v>
      </c>
      <c r="S1006">
        <f t="shared" si="45"/>
        <v>1464</v>
      </c>
      <c r="T1006">
        <f t="shared" si="46"/>
        <v>16.043835616438358</v>
      </c>
      <c r="U1006" s="6">
        <f t="shared" si="47"/>
        <v>0.2350962768152618</v>
      </c>
    </row>
    <row r="1007" spans="1:21" x14ac:dyDescent="0.25">
      <c r="A1007" t="s">
        <v>3559</v>
      </c>
      <c r="B1007" t="s">
        <v>3560</v>
      </c>
      <c r="C1007" t="s">
        <v>14</v>
      </c>
      <c r="D1007">
        <v>2226</v>
      </c>
      <c r="E1007">
        <v>2268</v>
      </c>
      <c r="F1007">
        <v>2175</v>
      </c>
      <c r="G1007" s="3">
        <v>2219.5500000000002</v>
      </c>
      <c r="H1007">
        <v>2229.9</v>
      </c>
      <c r="I1007">
        <v>2225.5500000000002</v>
      </c>
      <c r="J1007">
        <v>931</v>
      </c>
      <c r="K1007">
        <v>2069113.15</v>
      </c>
      <c r="L1007" s="1">
        <v>45240</v>
      </c>
      <c r="M1007">
        <v>366</v>
      </c>
      <c r="N1007" t="s">
        <v>3561</v>
      </c>
      <c r="O1007" s="5">
        <v>45240</v>
      </c>
      <c r="P1007" s="5">
        <v>43777</v>
      </c>
      <c r="Q1007" s="3">
        <v>1247.05</v>
      </c>
      <c r="S1007">
        <f t="shared" si="45"/>
        <v>1464</v>
      </c>
      <c r="T1007">
        <f t="shared" si="46"/>
        <v>16.043835616438358</v>
      </c>
      <c r="U1007" s="6">
        <f t="shared" si="47"/>
        <v>0.14635088637442628</v>
      </c>
    </row>
    <row r="1008" spans="1:21" x14ac:dyDescent="0.25">
      <c r="A1008" t="s">
        <v>3565</v>
      </c>
      <c r="B1008" t="s">
        <v>3566</v>
      </c>
      <c r="C1008" t="s">
        <v>10</v>
      </c>
      <c r="D1008">
        <v>698.75</v>
      </c>
      <c r="E1008">
        <v>698.75</v>
      </c>
      <c r="F1008">
        <v>698.75</v>
      </c>
      <c r="G1008" s="3">
        <v>698.75</v>
      </c>
      <c r="H1008">
        <v>698.75</v>
      </c>
      <c r="I1008">
        <v>685.05</v>
      </c>
      <c r="J1008">
        <v>764</v>
      </c>
      <c r="K1008">
        <v>533845</v>
      </c>
      <c r="L1008" s="1">
        <v>45240</v>
      </c>
      <c r="M1008">
        <v>37</v>
      </c>
      <c r="N1008" t="s">
        <v>3567</v>
      </c>
      <c r="O1008" s="5">
        <v>45240</v>
      </c>
      <c r="P1008" s="5">
        <v>43777</v>
      </c>
      <c r="Q1008" s="3">
        <v>440.75</v>
      </c>
      <c r="S1008">
        <f t="shared" si="45"/>
        <v>1464</v>
      </c>
      <c r="T1008">
        <f t="shared" si="46"/>
        <v>16.043835616438358</v>
      </c>
      <c r="U1008" s="6">
        <f t="shared" si="47"/>
        <v>0.11655488336435127</v>
      </c>
    </row>
    <row r="1009" spans="1:21" x14ac:dyDescent="0.25">
      <c r="A1009" t="s">
        <v>3574</v>
      </c>
      <c r="B1009" t="s">
        <v>3575</v>
      </c>
      <c r="C1009" t="s">
        <v>10</v>
      </c>
      <c r="D1009">
        <v>28</v>
      </c>
      <c r="E1009">
        <v>29.5</v>
      </c>
      <c r="F1009">
        <v>27.3</v>
      </c>
      <c r="G1009" s="3">
        <v>27.95</v>
      </c>
      <c r="H1009">
        <v>28.4</v>
      </c>
      <c r="I1009">
        <v>28.7</v>
      </c>
      <c r="J1009">
        <v>376122</v>
      </c>
      <c r="K1009">
        <v>10496659.15</v>
      </c>
      <c r="L1009" s="1">
        <v>45240</v>
      </c>
      <c r="M1009">
        <v>974</v>
      </c>
      <c r="N1009" t="s">
        <v>3576</v>
      </c>
      <c r="O1009" s="5">
        <v>45240</v>
      </c>
      <c r="P1009" s="5">
        <v>43777</v>
      </c>
      <c r="Q1009" s="3">
        <v>22.8</v>
      </c>
      <c r="S1009">
        <f t="shared" si="45"/>
        <v>1464</v>
      </c>
      <c r="T1009">
        <f t="shared" si="46"/>
        <v>16.043835616438358</v>
      </c>
      <c r="U1009" s="6">
        <f t="shared" si="47"/>
        <v>5.1098687374655505E-2</v>
      </c>
    </row>
    <row r="1010" spans="1:21" x14ac:dyDescent="0.25">
      <c r="A1010" t="s">
        <v>3577</v>
      </c>
      <c r="B1010" t="s">
        <v>3578</v>
      </c>
      <c r="C1010" t="s">
        <v>14</v>
      </c>
      <c r="D1010">
        <v>290</v>
      </c>
      <c r="E1010">
        <v>303.2</v>
      </c>
      <c r="F1010">
        <v>287.5</v>
      </c>
      <c r="G1010" s="3">
        <v>300</v>
      </c>
      <c r="H1010">
        <v>300</v>
      </c>
      <c r="I1010">
        <v>285.7</v>
      </c>
      <c r="J1010">
        <v>344075</v>
      </c>
      <c r="K1010">
        <v>101963417.3</v>
      </c>
      <c r="L1010" s="1">
        <v>45240</v>
      </c>
      <c r="M1010">
        <v>12042</v>
      </c>
      <c r="N1010" t="s">
        <v>3579</v>
      </c>
      <c r="O1010" s="5">
        <v>45240</v>
      </c>
      <c r="P1010" s="5">
        <v>43777</v>
      </c>
      <c r="Q1010" s="3">
        <v>54.1</v>
      </c>
      <c r="S1010">
        <f t="shared" si="45"/>
        <v>1464</v>
      </c>
      <c r="T1010">
        <f t="shared" si="46"/>
        <v>16.043835616438358</v>
      </c>
      <c r="U1010" s="6">
        <f t="shared" si="47"/>
        <v>0.45069879978313754</v>
      </c>
    </row>
    <row r="1011" spans="1:21" x14ac:dyDescent="0.25">
      <c r="A1011" t="s">
        <v>3583</v>
      </c>
      <c r="B1011" t="s">
        <v>3584</v>
      </c>
      <c r="C1011" t="s">
        <v>10</v>
      </c>
      <c r="D1011">
        <v>67.2</v>
      </c>
      <c r="E1011">
        <v>67.2</v>
      </c>
      <c r="F1011">
        <v>67.2</v>
      </c>
      <c r="G1011" s="3">
        <v>67.2</v>
      </c>
      <c r="H1011">
        <v>67.2</v>
      </c>
      <c r="I1011">
        <v>68.55</v>
      </c>
      <c r="J1011">
        <v>50</v>
      </c>
      <c r="K1011">
        <v>3360</v>
      </c>
      <c r="L1011" s="1">
        <v>45240</v>
      </c>
      <c r="M1011">
        <v>4</v>
      </c>
      <c r="N1011" t="s">
        <v>3585</v>
      </c>
      <c r="O1011" s="5">
        <v>45240</v>
      </c>
      <c r="P1011" s="5">
        <v>43777</v>
      </c>
      <c r="Q1011" s="3">
        <v>23.6</v>
      </c>
      <c r="S1011">
        <f t="shared" si="45"/>
        <v>1464</v>
      </c>
      <c r="T1011">
        <f t="shared" si="46"/>
        <v>16.043835616438358</v>
      </c>
      <c r="U1011" s="6">
        <f t="shared" si="47"/>
        <v>0.26958796185826817</v>
      </c>
    </row>
    <row r="1012" spans="1:21" x14ac:dyDescent="0.25">
      <c r="A1012" t="s">
        <v>3586</v>
      </c>
      <c r="B1012" t="s">
        <v>3587</v>
      </c>
      <c r="C1012" t="s">
        <v>14</v>
      </c>
      <c r="D1012">
        <v>150.94999999999999</v>
      </c>
      <c r="E1012">
        <v>152.25</v>
      </c>
      <c r="F1012">
        <v>149.25</v>
      </c>
      <c r="G1012" s="3">
        <v>150.15</v>
      </c>
      <c r="H1012">
        <v>150.9</v>
      </c>
      <c r="I1012">
        <v>150.9</v>
      </c>
      <c r="J1012">
        <v>1602569</v>
      </c>
      <c r="K1012">
        <v>241819025.44999999</v>
      </c>
      <c r="L1012" s="1">
        <v>45240</v>
      </c>
      <c r="M1012">
        <v>15403</v>
      </c>
      <c r="N1012" t="s">
        <v>3588</v>
      </c>
      <c r="O1012" s="5">
        <v>45240</v>
      </c>
      <c r="P1012" s="5">
        <v>43777</v>
      </c>
      <c r="Q1012" s="3">
        <v>54.65</v>
      </c>
      <c r="S1012">
        <f t="shared" si="45"/>
        <v>1464</v>
      </c>
      <c r="T1012">
        <f t="shared" si="46"/>
        <v>16.043835616438358</v>
      </c>
      <c r="U1012" s="6">
        <f t="shared" si="47"/>
        <v>0.26008715974990793</v>
      </c>
    </row>
    <row r="1013" spans="1:21" x14ac:dyDescent="0.25">
      <c r="A1013" t="s">
        <v>3589</v>
      </c>
      <c r="B1013" t="s">
        <v>3590</v>
      </c>
      <c r="C1013" t="s">
        <v>14</v>
      </c>
      <c r="D1013">
        <v>162.44999999999999</v>
      </c>
      <c r="E1013">
        <v>169.6</v>
      </c>
      <c r="F1013">
        <v>161.44999999999999</v>
      </c>
      <c r="G1013" s="3">
        <v>168.7</v>
      </c>
      <c r="H1013">
        <v>168.85</v>
      </c>
      <c r="I1013">
        <v>163.05000000000001</v>
      </c>
      <c r="J1013">
        <v>24358320</v>
      </c>
      <c r="K1013">
        <v>4075651316.3499999</v>
      </c>
      <c r="L1013" s="1">
        <v>45240</v>
      </c>
      <c r="M1013">
        <v>94168</v>
      </c>
      <c r="N1013" t="s">
        <v>3591</v>
      </c>
      <c r="O1013" s="5">
        <v>45240</v>
      </c>
      <c r="P1013" s="5">
        <v>43777</v>
      </c>
      <c r="Q1013" s="3">
        <v>103.75</v>
      </c>
      <c r="S1013">
        <f t="shared" si="45"/>
        <v>1464</v>
      </c>
      <c r="T1013">
        <f t="shared" si="46"/>
        <v>16.043835616438358</v>
      </c>
      <c r="U1013" s="6">
        <f t="shared" si="47"/>
        <v>0.12305733672418206</v>
      </c>
    </row>
    <row r="1014" spans="1:21" x14ac:dyDescent="0.25">
      <c r="A1014" t="s">
        <v>3592</v>
      </c>
      <c r="B1014" t="s">
        <v>3593</v>
      </c>
      <c r="C1014" t="s">
        <v>14</v>
      </c>
      <c r="D1014">
        <v>224.9</v>
      </c>
      <c r="E1014">
        <v>227.95</v>
      </c>
      <c r="F1014">
        <v>223.4</v>
      </c>
      <c r="G1014" s="3">
        <v>225.4</v>
      </c>
      <c r="H1014">
        <v>224.25</v>
      </c>
      <c r="I1014">
        <v>224.95</v>
      </c>
      <c r="J1014">
        <v>389012</v>
      </c>
      <c r="K1014">
        <v>87688961.650000006</v>
      </c>
      <c r="L1014" s="1">
        <v>45240</v>
      </c>
      <c r="M1014">
        <v>6403</v>
      </c>
      <c r="N1014" t="s">
        <v>3594</v>
      </c>
      <c r="O1014" s="5">
        <v>45240</v>
      </c>
      <c r="P1014" s="5">
        <v>43777</v>
      </c>
      <c r="Q1014" s="3">
        <v>107.85</v>
      </c>
      <c r="S1014">
        <f t="shared" si="45"/>
        <v>1464</v>
      </c>
      <c r="T1014">
        <f t="shared" si="46"/>
        <v>16.043835616438358</v>
      </c>
      <c r="U1014" s="6">
        <f t="shared" si="47"/>
        <v>0.18806760739734241</v>
      </c>
    </row>
    <row r="1015" spans="1:21" x14ac:dyDescent="0.25">
      <c r="A1015" t="s">
        <v>3595</v>
      </c>
      <c r="B1015" t="s">
        <v>3596</v>
      </c>
      <c r="C1015" t="s">
        <v>10</v>
      </c>
      <c r="D1015">
        <v>11.6</v>
      </c>
      <c r="E1015">
        <v>11.6</v>
      </c>
      <c r="F1015">
        <v>11.6</v>
      </c>
      <c r="G1015" s="3">
        <v>11.6</v>
      </c>
      <c r="H1015">
        <v>11.6</v>
      </c>
      <c r="I1015">
        <v>11.05</v>
      </c>
      <c r="J1015">
        <v>120966</v>
      </c>
      <c r="K1015">
        <v>1403205.6</v>
      </c>
      <c r="L1015" s="1">
        <v>45240</v>
      </c>
      <c r="M1015">
        <v>149</v>
      </c>
      <c r="N1015" t="s">
        <v>3597</v>
      </c>
      <c r="O1015" s="5">
        <v>45240</v>
      </c>
      <c r="P1015" s="5">
        <v>43777</v>
      </c>
      <c r="Q1015" s="3">
        <v>4.1500000000000004</v>
      </c>
      <c r="S1015">
        <f t="shared" si="45"/>
        <v>1464</v>
      </c>
      <c r="T1015">
        <f t="shared" si="46"/>
        <v>16.043835616438358</v>
      </c>
      <c r="U1015" s="6">
        <f t="shared" si="47"/>
        <v>0.26465966273761588</v>
      </c>
    </row>
    <row r="1016" spans="1:21" x14ac:dyDescent="0.25">
      <c r="A1016" t="s">
        <v>3598</v>
      </c>
      <c r="B1016" t="s">
        <v>3599</v>
      </c>
      <c r="C1016" t="s">
        <v>10</v>
      </c>
      <c r="D1016">
        <v>9.9499999999999993</v>
      </c>
      <c r="E1016">
        <v>9.9499999999999993</v>
      </c>
      <c r="F1016">
        <v>9.9499999999999993</v>
      </c>
      <c r="G1016" s="3">
        <v>9.9499999999999993</v>
      </c>
      <c r="H1016">
        <v>9.9499999999999993</v>
      </c>
      <c r="I1016">
        <v>9.8000000000000007</v>
      </c>
      <c r="J1016">
        <v>2894</v>
      </c>
      <c r="K1016">
        <v>28795.3</v>
      </c>
      <c r="L1016" s="1">
        <v>45240</v>
      </c>
      <c r="M1016">
        <v>6</v>
      </c>
      <c r="N1016" t="s">
        <v>3600</v>
      </c>
      <c r="O1016" s="5">
        <v>45240</v>
      </c>
      <c r="P1016" s="5">
        <v>43777</v>
      </c>
      <c r="Q1016" s="3">
        <v>3.9</v>
      </c>
      <c r="S1016">
        <f t="shared" si="45"/>
        <v>1464</v>
      </c>
      <c r="T1016">
        <f t="shared" si="46"/>
        <v>16.043835616438358</v>
      </c>
      <c r="U1016" s="6">
        <f t="shared" si="47"/>
        <v>0.24045965750081244</v>
      </c>
    </row>
    <row r="1017" spans="1:21" x14ac:dyDescent="0.25">
      <c r="A1017" t="s">
        <v>6214</v>
      </c>
      <c r="B1017" t="s">
        <v>7798</v>
      </c>
      <c r="C1017" t="s">
        <v>14</v>
      </c>
      <c r="D1017">
        <v>229.75</v>
      </c>
      <c r="E1017">
        <v>233.62</v>
      </c>
      <c r="F1017">
        <v>229.75</v>
      </c>
      <c r="G1017" s="3">
        <v>233.62</v>
      </c>
      <c r="H1017">
        <v>233.62</v>
      </c>
      <c r="I1017">
        <v>232.26</v>
      </c>
      <c r="J1017">
        <v>135</v>
      </c>
      <c r="K1017">
        <v>31343.37</v>
      </c>
      <c r="L1017" s="1">
        <v>45240</v>
      </c>
      <c r="M1017">
        <v>25</v>
      </c>
      <c r="N1017" t="s">
        <v>6213</v>
      </c>
      <c r="O1017" s="5">
        <v>45240</v>
      </c>
      <c r="P1017" s="5">
        <v>43777</v>
      </c>
      <c r="Q1017" s="3">
        <v>171.95</v>
      </c>
      <c r="S1017">
        <f t="shared" si="45"/>
        <v>1464</v>
      </c>
      <c r="T1017">
        <f t="shared" si="46"/>
        <v>16.043835616438358</v>
      </c>
      <c r="U1017" s="6">
        <f t="shared" si="47"/>
        <v>7.7148230487082969E-2</v>
      </c>
    </row>
    <row r="1018" spans="1:21" x14ac:dyDescent="0.25">
      <c r="A1018" t="s">
        <v>3601</v>
      </c>
      <c r="B1018" t="s">
        <v>3602</v>
      </c>
      <c r="C1018" t="s">
        <v>14</v>
      </c>
      <c r="D1018">
        <v>358.05</v>
      </c>
      <c r="E1018">
        <v>365</v>
      </c>
      <c r="F1018">
        <v>358.05</v>
      </c>
      <c r="G1018" s="3">
        <v>361.7</v>
      </c>
      <c r="H1018">
        <v>359.8</v>
      </c>
      <c r="I1018">
        <v>359.65</v>
      </c>
      <c r="J1018">
        <v>5018</v>
      </c>
      <c r="K1018">
        <v>1816261.25</v>
      </c>
      <c r="L1018" s="1">
        <v>45240</v>
      </c>
      <c r="M1018">
        <v>590</v>
      </c>
      <c r="N1018" t="s">
        <v>3603</v>
      </c>
      <c r="O1018" s="5">
        <v>45240</v>
      </c>
      <c r="P1018" s="5">
        <v>43777</v>
      </c>
      <c r="Q1018" s="3">
        <v>222.1</v>
      </c>
      <c r="S1018">
        <f t="shared" si="45"/>
        <v>1464</v>
      </c>
      <c r="T1018">
        <f t="shared" si="46"/>
        <v>16.043835616438358</v>
      </c>
      <c r="U1018" s="6">
        <f t="shared" si="47"/>
        <v>0.12345557727344136</v>
      </c>
    </row>
    <row r="1019" spans="1:21" x14ac:dyDescent="0.25">
      <c r="A1019" t="s">
        <v>3604</v>
      </c>
      <c r="B1019" t="s">
        <v>3605</v>
      </c>
      <c r="C1019" t="s">
        <v>14</v>
      </c>
      <c r="D1019">
        <v>260.89999999999998</v>
      </c>
      <c r="E1019">
        <v>263.45</v>
      </c>
      <c r="F1019">
        <v>258.5</v>
      </c>
      <c r="G1019" s="3">
        <v>260.75</v>
      </c>
      <c r="H1019">
        <v>261.5</v>
      </c>
      <c r="I1019">
        <v>261.7</v>
      </c>
      <c r="J1019">
        <v>57349</v>
      </c>
      <c r="K1019">
        <v>14943168.449999999</v>
      </c>
      <c r="L1019" s="1">
        <v>45240</v>
      </c>
      <c r="M1019">
        <v>2330</v>
      </c>
      <c r="N1019" t="s">
        <v>3606</v>
      </c>
      <c r="O1019" s="5">
        <v>45240</v>
      </c>
      <c r="P1019" s="5">
        <v>43777</v>
      </c>
      <c r="Q1019" s="3">
        <v>105.05</v>
      </c>
      <c r="S1019">
        <f t="shared" si="45"/>
        <v>1464</v>
      </c>
      <c r="T1019">
        <f t="shared" si="46"/>
        <v>16.043835616438358</v>
      </c>
      <c r="U1019" s="6">
        <f t="shared" si="47"/>
        <v>0.23320533457630077</v>
      </c>
    </row>
    <row r="1020" spans="1:21" x14ac:dyDescent="0.25">
      <c r="A1020" t="s">
        <v>3610</v>
      </c>
      <c r="B1020" t="s">
        <v>3611</v>
      </c>
      <c r="C1020" t="s">
        <v>14</v>
      </c>
      <c r="D1020">
        <v>2770</v>
      </c>
      <c r="E1020">
        <v>2839.9</v>
      </c>
      <c r="F1020">
        <v>2764</v>
      </c>
      <c r="G1020" s="3">
        <v>2799.65</v>
      </c>
      <c r="H1020">
        <v>2780</v>
      </c>
      <c r="I1020">
        <v>2757.85</v>
      </c>
      <c r="J1020">
        <v>14176</v>
      </c>
      <c r="K1020">
        <v>39782329.149999999</v>
      </c>
      <c r="L1020" s="1">
        <v>45240</v>
      </c>
      <c r="M1020">
        <v>2690</v>
      </c>
      <c r="N1020" t="s">
        <v>3612</v>
      </c>
      <c r="O1020" s="5">
        <v>45240</v>
      </c>
      <c r="P1020" s="5">
        <v>43777</v>
      </c>
      <c r="Q1020" s="3">
        <v>856.95</v>
      </c>
      <c r="S1020">
        <f t="shared" si="45"/>
        <v>1464</v>
      </c>
      <c r="T1020">
        <f t="shared" si="46"/>
        <v>16.043835616438358</v>
      </c>
      <c r="U1020" s="6">
        <f t="shared" si="47"/>
        <v>0.30632158719800362</v>
      </c>
    </row>
    <row r="1021" spans="1:21" x14ac:dyDescent="0.25">
      <c r="A1021" t="s">
        <v>3616</v>
      </c>
      <c r="B1021" t="s">
        <v>3617</v>
      </c>
      <c r="C1021" t="s">
        <v>14</v>
      </c>
      <c r="D1021">
        <v>237.85</v>
      </c>
      <c r="E1021">
        <v>243.25</v>
      </c>
      <c r="F1021">
        <v>235.8</v>
      </c>
      <c r="G1021" s="3">
        <v>242.75</v>
      </c>
      <c r="H1021">
        <v>242.5</v>
      </c>
      <c r="I1021">
        <v>237.95</v>
      </c>
      <c r="J1021">
        <v>9589671</v>
      </c>
      <c r="K1021">
        <v>2307664339.8000002</v>
      </c>
      <c r="L1021" s="1">
        <v>45240</v>
      </c>
      <c r="M1021">
        <v>86761</v>
      </c>
      <c r="N1021" t="s">
        <v>3618</v>
      </c>
      <c r="O1021" s="5">
        <v>45240</v>
      </c>
      <c r="P1021" s="5">
        <v>43777</v>
      </c>
      <c r="Q1021" s="3">
        <v>117.4</v>
      </c>
      <c r="S1021">
        <f t="shared" si="45"/>
        <v>1464</v>
      </c>
      <c r="T1021">
        <f t="shared" si="46"/>
        <v>16.043835616438358</v>
      </c>
      <c r="U1021" s="6">
        <f t="shared" si="47"/>
        <v>0.18527802184018771</v>
      </c>
    </row>
    <row r="1022" spans="1:21" x14ac:dyDescent="0.25">
      <c r="A1022" t="s">
        <v>3616</v>
      </c>
      <c r="B1022" t="s">
        <v>3617</v>
      </c>
      <c r="C1022" t="s">
        <v>6210</v>
      </c>
      <c r="D1022">
        <v>1084.5</v>
      </c>
      <c r="E1022">
        <v>1092.9000000000001</v>
      </c>
      <c r="F1022">
        <v>1084.5</v>
      </c>
      <c r="G1022" s="3">
        <v>1085.9100000000001</v>
      </c>
      <c r="H1022">
        <v>1085.31</v>
      </c>
      <c r="I1022">
        <v>1084.5</v>
      </c>
      <c r="J1022">
        <v>2765</v>
      </c>
      <c r="K1022">
        <v>3001932.6</v>
      </c>
      <c r="L1022" s="1">
        <v>45240</v>
      </c>
      <c r="M1022">
        <v>13</v>
      </c>
      <c r="N1022" t="s">
        <v>6209</v>
      </c>
      <c r="O1022" s="5">
        <v>45240</v>
      </c>
      <c r="P1022" s="5">
        <v>43777</v>
      </c>
      <c r="Q1022" s="3">
        <v>117.4</v>
      </c>
      <c r="S1022">
        <f t="shared" si="45"/>
        <v>1464</v>
      </c>
      <c r="T1022">
        <f t="shared" si="46"/>
        <v>16.043835616438358</v>
      </c>
      <c r="U1022" s="6">
        <f t="shared" si="47"/>
        <v>0.59491909883032612</v>
      </c>
    </row>
    <row r="1023" spans="1:21" x14ac:dyDescent="0.25">
      <c r="A1023" t="s">
        <v>3616</v>
      </c>
      <c r="B1023" t="s">
        <v>3617</v>
      </c>
      <c r="C1023" t="s">
        <v>5843</v>
      </c>
      <c r="D1023">
        <v>1352.01</v>
      </c>
      <c r="E1023">
        <v>1352.01</v>
      </c>
      <c r="F1023">
        <v>1352</v>
      </c>
      <c r="G1023" s="3">
        <v>1352</v>
      </c>
      <c r="H1023">
        <v>1352</v>
      </c>
      <c r="I1023">
        <v>1377</v>
      </c>
      <c r="J1023">
        <v>165</v>
      </c>
      <c r="K1023">
        <v>223080.04</v>
      </c>
      <c r="L1023" s="1">
        <v>45240</v>
      </c>
      <c r="M1023">
        <v>4</v>
      </c>
      <c r="N1023" t="s">
        <v>6208</v>
      </c>
      <c r="O1023" s="5">
        <v>45240</v>
      </c>
      <c r="P1023" s="5">
        <v>43777</v>
      </c>
      <c r="Q1023" s="3">
        <v>117.4</v>
      </c>
      <c r="S1023">
        <f t="shared" si="45"/>
        <v>1464</v>
      </c>
      <c r="T1023">
        <f t="shared" si="46"/>
        <v>16.043835616438358</v>
      </c>
      <c r="U1023" s="6">
        <f t="shared" si="47"/>
        <v>0.65811862388917053</v>
      </c>
    </row>
    <row r="1024" spans="1:21" x14ac:dyDescent="0.25">
      <c r="A1024" t="s">
        <v>3616</v>
      </c>
      <c r="B1024" t="s">
        <v>3617</v>
      </c>
      <c r="C1024" t="s">
        <v>6207</v>
      </c>
      <c r="D1024">
        <v>10.58</v>
      </c>
      <c r="E1024">
        <v>10.63</v>
      </c>
      <c r="F1024">
        <v>10.58</v>
      </c>
      <c r="G1024" s="3">
        <v>10.58</v>
      </c>
      <c r="H1024">
        <v>10.59</v>
      </c>
      <c r="I1024">
        <v>10.58</v>
      </c>
      <c r="J1024">
        <v>43111</v>
      </c>
      <c r="K1024">
        <v>456519.13</v>
      </c>
      <c r="L1024" s="1">
        <v>45240</v>
      </c>
      <c r="M1024">
        <v>66</v>
      </c>
      <c r="N1024" t="s">
        <v>6206</v>
      </c>
      <c r="O1024" s="5">
        <v>45240</v>
      </c>
      <c r="P1024" s="5">
        <v>43777</v>
      </c>
      <c r="Q1024" s="3">
        <v>117.4</v>
      </c>
      <c r="S1024">
        <f t="shared" si="45"/>
        <v>1464</v>
      </c>
      <c r="T1024">
        <f t="shared" si="46"/>
        <v>16.043835616438358</v>
      </c>
      <c r="U1024" s="6">
        <f t="shared" si="47"/>
        <v>-0.55717799510333554</v>
      </c>
    </row>
    <row r="1025" spans="1:21" x14ac:dyDescent="0.25">
      <c r="A1025" t="s">
        <v>3619</v>
      </c>
      <c r="B1025" t="s">
        <v>3620</v>
      </c>
      <c r="C1025" t="s">
        <v>10</v>
      </c>
      <c r="D1025">
        <v>1527.85</v>
      </c>
      <c r="E1025">
        <v>1527.85</v>
      </c>
      <c r="F1025">
        <v>1527.85</v>
      </c>
      <c r="G1025" s="3">
        <v>1527.85</v>
      </c>
      <c r="H1025">
        <v>1527.85</v>
      </c>
      <c r="I1025">
        <v>1608.25</v>
      </c>
      <c r="J1025">
        <v>6034</v>
      </c>
      <c r="K1025">
        <v>9219046.9000000004</v>
      </c>
      <c r="L1025" s="1">
        <v>45240</v>
      </c>
      <c r="M1025">
        <v>449</v>
      </c>
      <c r="N1025" t="s">
        <v>3621</v>
      </c>
      <c r="O1025" s="5">
        <v>45240</v>
      </c>
      <c r="P1025" s="5">
        <v>43777</v>
      </c>
      <c r="Q1025" s="3">
        <v>308.45</v>
      </c>
      <c r="S1025">
        <f t="shared" si="45"/>
        <v>1464</v>
      </c>
      <c r="T1025">
        <f t="shared" si="46"/>
        <v>16.043835616438358</v>
      </c>
      <c r="U1025" s="6">
        <f t="shared" si="47"/>
        <v>0.41949171310775046</v>
      </c>
    </row>
    <row r="1026" spans="1:21" x14ac:dyDescent="0.25">
      <c r="A1026" t="s">
        <v>3634</v>
      </c>
      <c r="B1026" t="s">
        <v>3635</v>
      </c>
      <c r="C1026" t="s">
        <v>14</v>
      </c>
      <c r="D1026">
        <v>351.25</v>
      </c>
      <c r="E1026">
        <v>356.3</v>
      </c>
      <c r="F1026">
        <v>339.25</v>
      </c>
      <c r="G1026" s="3">
        <v>342.9</v>
      </c>
      <c r="H1026">
        <v>345</v>
      </c>
      <c r="I1026">
        <v>346.1</v>
      </c>
      <c r="J1026">
        <v>13903</v>
      </c>
      <c r="K1026">
        <v>4852351.1500000004</v>
      </c>
      <c r="L1026" s="1">
        <v>45240</v>
      </c>
      <c r="M1026">
        <v>770</v>
      </c>
      <c r="N1026" t="s">
        <v>3636</v>
      </c>
      <c r="O1026" s="5">
        <v>45240</v>
      </c>
      <c r="P1026" s="5">
        <v>43777</v>
      </c>
      <c r="Q1026" s="3">
        <v>200.1</v>
      </c>
      <c r="S1026">
        <f t="shared" si="45"/>
        <v>1464</v>
      </c>
      <c r="T1026">
        <f t="shared" si="46"/>
        <v>16.043835616438358</v>
      </c>
      <c r="U1026" s="6">
        <f t="shared" si="47"/>
        <v>0.13656707328713669</v>
      </c>
    </row>
    <row r="1027" spans="1:21" x14ac:dyDescent="0.25">
      <c r="A1027" t="s">
        <v>3640</v>
      </c>
      <c r="B1027" t="s">
        <v>3641</v>
      </c>
      <c r="C1027" t="s">
        <v>14</v>
      </c>
      <c r="D1027">
        <v>1252</v>
      </c>
      <c r="E1027">
        <v>1264.6500000000001</v>
      </c>
      <c r="F1027">
        <v>1240.7</v>
      </c>
      <c r="G1027" s="3">
        <v>1256.6500000000001</v>
      </c>
      <c r="H1027">
        <v>1245</v>
      </c>
      <c r="I1027">
        <v>1256.3</v>
      </c>
      <c r="J1027">
        <v>452883</v>
      </c>
      <c r="K1027">
        <v>567832680.75</v>
      </c>
      <c r="L1027" s="1">
        <v>45240</v>
      </c>
      <c r="M1027">
        <v>13673</v>
      </c>
      <c r="N1027" t="s">
        <v>3642</v>
      </c>
      <c r="O1027" s="5">
        <v>45240</v>
      </c>
      <c r="P1027" s="5">
        <v>43777</v>
      </c>
      <c r="Q1027" s="3">
        <v>515.04999999999995</v>
      </c>
      <c r="S1027">
        <f t="shared" ref="S1027:S1090" si="48">O1027-P1027+1</f>
        <v>1464</v>
      </c>
      <c r="T1027">
        <f t="shared" ref="T1027:T1090" si="49">(S1027/365)*4</f>
        <v>16.043835616438358</v>
      </c>
      <c r="U1027" s="6">
        <f t="shared" ref="U1027:U1090" si="50">(((G1027/Q1027)^(1/T1027))-1)*4</f>
        <v>0.22867347863245957</v>
      </c>
    </row>
    <row r="1028" spans="1:21" x14ac:dyDescent="0.25">
      <c r="A1028" t="s">
        <v>3643</v>
      </c>
      <c r="B1028" t="s">
        <v>3644</v>
      </c>
      <c r="C1028" t="s">
        <v>14</v>
      </c>
      <c r="D1028">
        <v>791.75</v>
      </c>
      <c r="E1028">
        <v>799.8</v>
      </c>
      <c r="F1028">
        <v>787</v>
      </c>
      <c r="G1028" s="3">
        <v>792.2</v>
      </c>
      <c r="H1028">
        <v>794.4</v>
      </c>
      <c r="I1028">
        <v>790.7</v>
      </c>
      <c r="J1028">
        <v>5103</v>
      </c>
      <c r="K1028">
        <v>4038211.95</v>
      </c>
      <c r="L1028" s="1">
        <v>45240</v>
      </c>
      <c r="M1028">
        <v>616</v>
      </c>
      <c r="N1028" t="s">
        <v>3645</v>
      </c>
      <c r="O1028" s="5">
        <v>45240</v>
      </c>
      <c r="P1028" s="5">
        <v>43777</v>
      </c>
      <c r="Q1028" s="3">
        <v>996.05</v>
      </c>
      <c r="S1028">
        <f t="shared" si="48"/>
        <v>1464</v>
      </c>
      <c r="T1028">
        <f t="shared" si="49"/>
        <v>16.043835616438358</v>
      </c>
      <c r="U1028" s="6">
        <f t="shared" si="50"/>
        <v>-5.6684013598795602E-2</v>
      </c>
    </row>
    <row r="1029" spans="1:21" x14ac:dyDescent="0.25">
      <c r="A1029" t="s">
        <v>3646</v>
      </c>
      <c r="B1029" t="s">
        <v>3647</v>
      </c>
      <c r="C1029" t="s">
        <v>14</v>
      </c>
      <c r="D1029">
        <v>4032.05</v>
      </c>
      <c r="E1029">
        <v>4074</v>
      </c>
      <c r="F1029">
        <v>4005.05</v>
      </c>
      <c r="G1029" s="3">
        <v>4019.15</v>
      </c>
      <c r="H1029">
        <v>4034.35</v>
      </c>
      <c r="I1029">
        <v>4060.55</v>
      </c>
      <c r="J1029">
        <v>32003</v>
      </c>
      <c r="K1029">
        <v>129238795.59999999</v>
      </c>
      <c r="L1029" s="1">
        <v>45240</v>
      </c>
      <c r="M1029">
        <v>6867</v>
      </c>
      <c r="N1029" t="s">
        <v>3648</v>
      </c>
      <c r="O1029" s="5">
        <v>45240</v>
      </c>
      <c r="P1029" s="5">
        <v>43777</v>
      </c>
      <c r="Q1029" s="3">
        <v>3126.1</v>
      </c>
      <c r="S1029">
        <f t="shared" si="48"/>
        <v>1464</v>
      </c>
      <c r="T1029">
        <f t="shared" si="49"/>
        <v>16.043835616438358</v>
      </c>
      <c r="U1029" s="6">
        <f t="shared" si="50"/>
        <v>6.3142601910236351E-2</v>
      </c>
    </row>
    <row r="1030" spans="1:21" x14ac:dyDescent="0.25">
      <c r="A1030" t="s">
        <v>3649</v>
      </c>
      <c r="B1030" t="s">
        <v>3650</v>
      </c>
      <c r="C1030" t="s">
        <v>14</v>
      </c>
      <c r="D1030">
        <v>302.2</v>
      </c>
      <c r="E1030">
        <v>307</v>
      </c>
      <c r="F1030">
        <v>300.8</v>
      </c>
      <c r="G1030" s="3">
        <v>305.75</v>
      </c>
      <c r="H1030">
        <v>305.10000000000002</v>
      </c>
      <c r="I1030">
        <v>302.3</v>
      </c>
      <c r="J1030">
        <v>920565</v>
      </c>
      <c r="K1030">
        <v>280499126.44999999</v>
      </c>
      <c r="L1030" s="1">
        <v>45240</v>
      </c>
      <c r="M1030">
        <v>12371</v>
      </c>
      <c r="N1030" t="s">
        <v>3651</v>
      </c>
      <c r="O1030" s="5">
        <v>45240</v>
      </c>
      <c r="P1030" s="5">
        <v>43777</v>
      </c>
      <c r="Q1030" s="3">
        <v>165.55</v>
      </c>
      <c r="S1030">
        <f t="shared" si="48"/>
        <v>1464</v>
      </c>
      <c r="T1030">
        <f t="shared" si="49"/>
        <v>16.043835616438358</v>
      </c>
      <c r="U1030" s="6">
        <f t="shared" si="50"/>
        <v>0.1559165956809716</v>
      </c>
    </row>
    <row r="1031" spans="1:21" x14ac:dyDescent="0.25">
      <c r="A1031" t="s">
        <v>3652</v>
      </c>
      <c r="B1031" t="s">
        <v>3653</v>
      </c>
      <c r="C1031" t="s">
        <v>10</v>
      </c>
      <c r="D1031">
        <v>19.399999999999999</v>
      </c>
      <c r="E1031">
        <v>19.8</v>
      </c>
      <c r="F1031">
        <v>19.399999999999999</v>
      </c>
      <c r="G1031" s="3">
        <v>19.75</v>
      </c>
      <c r="H1031">
        <v>19.75</v>
      </c>
      <c r="I1031">
        <v>19.8</v>
      </c>
      <c r="J1031">
        <v>7048</v>
      </c>
      <c r="K1031">
        <v>137894.79999999999</v>
      </c>
      <c r="L1031" s="1">
        <v>45240</v>
      </c>
      <c r="M1031">
        <v>39</v>
      </c>
      <c r="N1031" t="s">
        <v>3654</v>
      </c>
      <c r="O1031" s="5">
        <v>45240</v>
      </c>
      <c r="P1031" s="5">
        <v>43777</v>
      </c>
      <c r="Q1031" s="3">
        <v>6.45</v>
      </c>
      <c r="S1031">
        <f t="shared" si="48"/>
        <v>1464</v>
      </c>
      <c r="T1031">
        <f t="shared" si="49"/>
        <v>16.043835616438358</v>
      </c>
      <c r="U1031" s="6">
        <f t="shared" si="50"/>
        <v>0.28896458169521821</v>
      </c>
    </row>
    <row r="1032" spans="1:21" x14ac:dyDescent="0.25">
      <c r="A1032" t="s">
        <v>3655</v>
      </c>
      <c r="B1032" t="s">
        <v>3656</v>
      </c>
      <c r="C1032" t="s">
        <v>14</v>
      </c>
      <c r="D1032">
        <v>1171.9000000000001</v>
      </c>
      <c r="E1032">
        <v>1175.5</v>
      </c>
      <c r="F1032">
        <v>1157.1500000000001</v>
      </c>
      <c r="G1032" s="3">
        <v>1162.55</v>
      </c>
      <c r="H1032">
        <v>1164</v>
      </c>
      <c r="I1032">
        <v>1171.6500000000001</v>
      </c>
      <c r="J1032">
        <v>193172</v>
      </c>
      <c r="K1032">
        <v>225279456.55000001</v>
      </c>
      <c r="L1032" s="1">
        <v>45240</v>
      </c>
      <c r="M1032">
        <v>10586</v>
      </c>
      <c r="N1032" t="s">
        <v>3657</v>
      </c>
      <c r="O1032" s="5">
        <v>45240</v>
      </c>
      <c r="P1032" s="5">
        <v>43777</v>
      </c>
      <c r="Q1032" s="3">
        <v>194.25</v>
      </c>
      <c r="S1032">
        <f t="shared" si="48"/>
        <v>1464</v>
      </c>
      <c r="T1032">
        <f t="shared" si="49"/>
        <v>16.043835616438358</v>
      </c>
      <c r="U1032" s="6">
        <f t="shared" si="50"/>
        <v>0.47190904295687908</v>
      </c>
    </row>
    <row r="1033" spans="1:21" x14ac:dyDescent="0.25">
      <c r="A1033" t="s">
        <v>3658</v>
      </c>
      <c r="B1033" t="s">
        <v>3659</v>
      </c>
      <c r="C1033" t="s">
        <v>14</v>
      </c>
      <c r="D1033">
        <v>57.7</v>
      </c>
      <c r="E1033">
        <v>58.5</v>
      </c>
      <c r="F1033">
        <v>57.1</v>
      </c>
      <c r="G1033" s="3">
        <v>57.25</v>
      </c>
      <c r="H1033">
        <v>57.1</v>
      </c>
      <c r="I1033">
        <v>57.95</v>
      </c>
      <c r="J1033">
        <v>25759</v>
      </c>
      <c r="K1033">
        <v>1486124.45</v>
      </c>
      <c r="L1033" s="1">
        <v>45240</v>
      </c>
      <c r="M1033">
        <v>432</v>
      </c>
      <c r="N1033" t="s">
        <v>3660</v>
      </c>
      <c r="O1033" s="5">
        <v>45240</v>
      </c>
      <c r="P1033" s="5">
        <v>43777</v>
      </c>
      <c r="Q1033" s="3">
        <v>45.75</v>
      </c>
      <c r="S1033">
        <f t="shared" si="48"/>
        <v>1464</v>
      </c>
      <c r="T1033">
        <f t="shared" si="49"/>
        <v>16.043835616438358</v>
      </c>
      <c r="U1033" s="6">
        <f t="shared" si="50"/>
        <v>5.6298304862781201E-2</v>
      </c>
    </row>
    <row r="1034" spans="1:21" x14ac:dyDescent="0.25">
      <c r="A1034" t="s">
        <v>3661</v>
      </c>
      <c r="B1034" t="s">
        <v>3662</v>
      </c>
      <c r="C1034" t="s">
        <v>14</v>
      </c>
      <c r="D1034">
        <v>79</v>
      </c>
      <c r="E1034">
        <v>81.400000000000006</v>
      </c>
      <c r="F1034">
        <v>78</v>
      </c>
      <c r="G1034" s="3">
        <v>78.45</v>
      </c>
      <c r="H1034">
        <v>78.55</v>
      </c>
      <c r="I1034">
        <v>81.349999999999994</v>
      </c>
      <c r="J1034">
        <v>236362</v>
      </c>
      <c r="K1034">
        <v>18719428.5</v>
      </c>
      <c r="L1034" s="1">
        <v>45240</v>
      </c>
      <c r="M1034">
        <v>1774</v>
      </c>
      <c r="N1034" t="s">
        <v>3663</v>
      </c>
      <c r="O1034" s="5">
        <v>45240</v>
      </c>
      <c r="P1034" s="5">
        <v>43777</v>
      </c>
      <c r="Q1034" s="3">
        <v>185.8</v>
      </c>
      <c r="S1034">
        <f t="shared" si="48"/>
        <v>1464</v>
      </c>
      <c r="T1034">
        <f t="shared" si="49"/>
        <v>16.043835616438358</v>
      </c>
      <c r="U1034" s="6">
        <f t="shared" si="50"/>
        <v>-0.20928933480265055</v>
      </c>
    </row>
    <row r="1035" spans="1:21" x14ac:dyDescent="0.25">
      <c r="A1035" t="s">
        <v>3667</v>
      </c>
      <c r="B1035" t="s">
        <v>3668</v>
      </c>
      <c r="C1035" t="s">
        <v>786</v>
      </c>
      <c r="D1035">
        <v>8.9</v>
      </c>
      <c r="E1035">
        <v>9.1</v>
      </c>
      <c r="F1035">
        <v>8.3000000000000007</v>
      </c>
      <c r="G1035" s="3">
        <v>8.5</v>
      </c>
      <c r="H1035">
        <v>8.85</v>
      </c>
      <c r="I1035">
        <v>8.6999999999999993</v>
      </c>
      <c r="J1035">
        <v>21787</v>
      </c>
      <c r="K1035">
        <v>188365.55</v>
      </c>
      <c r="L1035" s="1">
        <v>45240</v>
      </c>
      <c r="M1035">
        <v>35</v>
      </c>
      <c r="N1035" t="s">
        <v>3669</v>
      </c>
      <c r="O1035" s="5">
        <v>45240</v>
      </c>
      <c r="P1035" s="5">
        <v>43777</v>
      </c>
      <c r="Q1035" s="3">
        <v>5.0999999999999996</v>
      </c>
      <c r="S1035">
        <f t="shared" si="48"/>
        <v>1464</v>
      </c>
      <c r="T1035">
        <f t="shared" si="49"/>
        <v>16.043835616438358</v>
      </c>
      <c r="U1035" s="6">
        <f t="shared" si="50"/>
        <v>0.12940666273043178</v>
      </c>
    </row>
    <row r="1036" spans="1:21" x14ac:dyDescent="0.25">
      <c r="A1036" t="s">
        <v>3670</v>
      </c>
      <c r="B1036" t="s">
        <v>3671</v>
      </c>
      <c r="C1036" t="s">
        <v>14</v>
      </c>
      <c r="D1036">
        <v>16.850000000000001</v>
      </c>
      <c r="E1036">
        <v>16.850000000000001</v>
      </c>
      <c r="F1036">
        <v>16</v>
      </c>
      <c r="G1036" s="3">
        <v>16.350000000000001</v>
      </c>
      <c r="H1036">
        <v>16.7</v>
      </c>
      <c r="I1036">
        <v>16.5</v>
      </c>
      <c r="J1036">
        <v>23079</v>
      </c>
      <c r="K1036">
        <v>375652.05</v>
      </c>
      <c r="L1036" s="1">
        <v>45240</v>
      </c>
      <c r="M1036">
        <v>210</v>
      </c>
      <c r="N1036" t="s">
        <v>3672</v>
      </c>
      <c r="O1036" s="5">
        <v>45240</v>
      </c>
      <c r="P1036" s="5">
        <v>43777</v>
      </c>
      <c r="Q1036" s="3">
        <v>6.6</v>
      </c>
      <c r="S1036">
        <f t="shared" si="48"/>
        <v>1464</v>
      </c>
      <c r="T1036">
        <f t="shared" si="49"/>
        <v>16.043835616438358</v>
      </c>
      <c r="U1036" s="6">
        <f t="shared" si="50"/>
        <v>0.23268625827045231</v>
      </c>
    </row>
    <row r="1037" spans="1:21" x14ac:dyDescent="0.25">
      <c r="A1037" t="s">
        <v>3673</v>
      </c>
      <c r="B1037" t="s">
        <v>3674</v>
      </c>
      <c r="C1037" t="s">
        <v>10</v>
      </c>
      <c r="D1037">
        <v>37.700000000000003</v>
      </c>
      <c r="E1037">
        <v>37.700000000000003</v>
      </c>
      <c r="F1037">
        <v>36.549999999999997</v>
      </c>
      <c r="G1037" s="3">
        <v>36.950000000000003</v>
      </c>
      <c r="H1037">
        <v>36.65</v>
      </c>
      <c r="I1037">
        <v>35.950000000000003</v>
      </c>
      <c r="J1037">
        <v>359717</v>
      </c>
      <c r="K1037">
        <v>13389128.6</v>
      </c>
      <c r="L1037" s="1">
        <v>45240</v>
      </c>
      <c r="M1037">
        <v>638</v>
      </c>
      <c r="N1037" t="s">
        <v>3675</v>
      </c>
      <c r="O1037" s="5">
        <v>45240</v>
      </c>
      <c r="P1037" s="5">
        <v>43777</v>
      </c>
      <c r="Q1037" s="3">
        <v>13.65</v>
      </c>
      <c r="S1037">
        <f t="shared" si="48"/>
        <v>1464</v>
      </c>
      <c r="T1037">
        <f t="shared" si="49"/>
        <v>16.043835616438358</v>
      </c>
      <c r="U1037" s="6">
        <f t="shared" si="50"/>
        <v>0.25614338563028127</v>
      </c>
    </row>
    <row r="1038" spans="1:21" x14ac:dyDescent="0.25">
      <c r="A1038" t="s">
        <v>3676</v>
      </c>
      <c r="B1038" t="s">
        <v>3677</v>
      </c>
      <c r="C1038" t="s">
        <v>14</v>
      </c>
      <c r="D1038">
        <v>192.7</v>
      </c>
      <c r="E1038">
        <v>196.5</v>
      </c>
      <c r="F1038">
        <v>192.7</v>
      </c>
      <c r="G1038" s="3">
        <v>195.9</v>
      </c>
      <c r="H1038">
        <v>195.9</v>
      </c>
      <c r="I1038">
        <v>192.7</v>
      </c>
      <c r="J1038">
        <v>6025889</v>
      </c>
      <c r="K1038">
        <v>1174845338.4000001</v>
      </c>
      <c r="L1038" s="1">
        <v>45240</v>
      </c>
      <c r="M1038">
        <v>69971</v>
      </c>
      <c r="N1038" t="s">
        <v>3678</v>
      </c>
      <c r="O1038" s="5">
        <v>45240</v>
      </c>
      <c r="P1038" s="5">
        <v>43777</v>
      </c>
      <c r="Q1038" s="3">
        <v>138.30000000000001</v>
      </c>
      <c r="S1038">
        <f t="shared" si="48"/>
        <v>1464</v>
      </c>
      <c r="T1038">
        <f t="shared" si="49"/>
        <v>16.043835616438358</v>
      </c>
      <c r="U1038" s="6">
        <f t="shared" si="50"/>
        <v>8.7755725996005118E-2</v>
      </c>
    </row>
    <row r="1039" spans="1:21" x14ac:dyDescent="0.25">
      <c r="A1039" t="s">
        <v>3679</v>
      </c>
      <c r="B1039" t="s">
        <v>3680</v>
      </c>
      <c r="C1039" t="s">
        <v>14</v>
      </c>
      <c r="D1039">
        <v>107.4</v>
      </c>
      <c r="E1039">
        <v>109.15</v>
      </c>
      <c r="F1039">
        <v>107.2</v>
      </c>
      <c r="G1039" s="3">
        <v>107.8</v>
      </c>
      <c r="H1039">
        <v>108.15</v>
      </c>
      <c r="I1039">
        <v>107.95</v>
      </c>
      <c r="J1039">
        <v>497909</v>
      </c>
      <c r="K1039">
        <v>53824015.899999999</v>
      </c>
      <c r="L1039" s="1">
        <v>45240</v>
      </c>
      <c r="M1039">
        <v>3605</v>
      </c>
      <c r="N1039" t="s">
        <v>3681</v>
      </c>
      <c r="O1039" s="5">
        <v>45240</v>
      </c>
      <c r="P1039" s="5">
        <v>43777</v>
      </c>
      <c r="Q1039" s="3">
        <v>37.15</v>
      </c>
      <c r="S1039">
        <f t="shared" si="48"/>
        <v>1464</v>
      </c>
      <c r="T1039">
        <f t="shared" si="49"/>
        <v>16.043835616438358</v>
      </c>
      <c r="U1039" s="6">
        <f t="shared" si="50"/>
        <v>0.27461722651108555</v>
      </c>
    </row>
    <row r="1040" spans="1:21" x14ac:dyDescent="0.25">
      <c r="A1040" t="s">
        <v>3682</v>
      </c>
      <c r="B1040" t="s">
        <v>3683</v>
      </c>
      <c r="C1040" t="s">
        <v>14</v>
      </c>
      <c r="D1040">
        <v>549.9</v>
      </c>
      <c r="E1040">
        <v>573.4</v>
      </c>
      <c r="F1040">
        <v>544.1</v>
      </c>
      <c r="G1040" s="3">
        <v>549.54999999999995</v>
      </c>
      <c r="H1040">
        <v>550</v>
      </c>
      <c r="I1040">
        <v>553.1</v>
      </c>
      <c r="J1040">
        <v>144952</v>
      </c>
      <c r="K1040">
        <v>80608697.650000006</v>
      </c>
      <c r="L1040" s="1">
        <v>45240</v>
      </c>
      <c r="M1040">
        <v>9518</v>
      </c>
      <c r="N1040" t="s">
        <v>3684</v>
      </c>
      <c r="O1040" s="5">
        <v>45240</v>
      </c>
      <c r="P1040" s="5">
        <v>43777</v>
      </c>
      <c r="Q1040" s="3">
        <v>65.95</v>
      </c>
      <c r="S1040">
        <f t="shared" si="48"/>
        <v>1464</v>
      </c>
      <c r="T1040">
        <f t="shared" si="49"/>
        <v>16.043835616438358</v>
      </c>
      <c r="U1040" s="6">
        <f t="shared" si="50"/>
        <v>0.56512084042154687</v>
      </c>
    </row>
    <row r="1041" spans="1:21" x14ac:dyDescent="0.25">
      <c r="A1041" t="s">
        <v>3685</v>
      </c>
      <c r="B1041" t="s">
        <v>3686</v>
      </c>
      <c r="C1041" t="s">
        <v>14</v>
      </c>
      <c r="D1041">
        <v>312.14999999999998</v>
      </c>
      <c r="E1041">
        <v>319.89999999999998</v>
      </c>
      <c r="F1041">
        <v>305.60000000000002</v>
      </c>
      <c r="G1041" s="3">
        <v>317.64999999999998</v>
      </c>
      <c r="H1041">
        <v>318</v>
      </c>
      <c r="I1041">
        <v>312.14999999999998</v>
      </c>
      <c r="J1041">
        <v>179653</v>
      </c>
      <c r="K1041">
        <v>55967109.799999997</v>
      </c>
      <c r="L1041" s="1">
        <v>45240</v>
      </c>
      <c r="M1041">
        <v>6212</v>
      </c>
      <c r="N1041" t="s">
        <v>3687</v>
      </c>
      <c r="O1041" s="5">
        <v>45240</v>
      </c>
      <c r="P1041" s="5">
        <v>43777</v>
      </c>
      <c r="Q1041" s="3">
        <v>41.9</v>
      </c>
      <c r="S1041">
        <f t="shared" si="48"/>
        <v>1464</v>
      </c>
      <c r="T1041">
        <f t="shared" si="49"/>
        <v>16.043835616438358</v>
      </c>
      <c r="U1041" s="6">
        <f t="shared" si="50"/>
        <v>0.53829989087859254</v>
      </c>
    </row>
    <row r="1042" spans="1:21" x14ac:dyDescent="0.25">
      <c r="A1042" t="s">
        <v>3688</v>
      </c>
      <c r="B1042" t="s">
        <v>3689</v>
      </c>
      <c r="C1042" t="s">
        <v>14</v>
      </c>
      <c r="D1042">
        <v>204.1</v>
      </c>
      <c r="E1042">
        <v>205</v>
      </c>
      <c r="F1042">
        <v>191</v>
      </c>
      <c r="G1042" s="3">
        <v>194.9</v>
      </c>
      <c r="H1042">
        <v>197.1</v>
      </c>
      <c r="I1042">
        <v>204.55</v>
      </c>
      <c r="J1042">
        <v>36116</v>
      </c>
      <c r="K1042">
        <v>7148281.1500000004</v>
      </c>
      <c r="L1042" s="1">
        <v>45240</v>
      </c>
      <c r="M1042">
        <v>857</v>
      </c>
      <c r="N1042" t="s">
        <v>3690</v>
      </c>
      <c r="O1042" s="5">
        <v>45240</v>
      </c>
      <c r="P1042" s="5">
        <v>43777</v>
      </c>
      <c r="Q1042" s="3">
        <v>85.75</v>
      </c>
      <c r="S1042">
        <f t="shared" si="48"/>
        <v>1464</v>
      </c>
      <c r="T1042">
        <f t="shared" si="49"/>
        <v>16.043835616438358</v>
      </c>
      <c r="U1042" s="6">
        <f t="shared" si="50"/>
        <v>0.21003016155952192</v>
      </c>
    </row>
    <row r="1043" spans="1:21" x14ac:dyDescent="0.25">
      <c r="A1043" t="s">
        <v>3694</v>
      </c>
      <c r="B1043" t="s">
        <v>3695</v>
      </c>
      <c r="C1043" t="s">
        <v>14</v>
      </c>
      <c r="D1043">
        <v>32.35</v>
      </c>
      <c r="E1043">
        <v>32.35</v>
      </c>
      <c r="F1043">
        <v>30.95</v>
      </c>
      <c r="G1043" s="3">
        <v>31.5</v>
      </c>
      <c r="H1043">
        <v>31.95</v>
      </c>
      <c r="I1043">
        <v>33.35</v>
      </c>
      <c r="J1043">
        <v>575539</v>
      </c>
      <c r="K1043">
        <v>18095467.449999999</v>
      </c>
      <c r="L1043" s="1">
        <v>45240</v>
      </c>
      <c r="M1043">
        <v>2687</v>
      </c>
      <c r="N1043" t="s">
        <v>3696</v>
      </c>
      <c r="O1043" s="5">
        <v>45240</v>
      </c>
      <c r="P1043" s="5">
        <v>43777</v>
      </c>
      <c r="Q1043" s="3">
        <v>20.2</v>
      </c>
      <c r="S1043">
        <f t="shared" si="48"/>
        <v>1464</v>
      </c>
      <c r="T1043">
        <f t="shared" si="49"/>
        <v>16.043835616438358</v>
      </c>
      <c r="U1043" s="6">
        <f t="shared" si="50"/>
        <v>0.11232083100461665</v>
      </c>
    </row>
    <row r="1044" spans="1:21" x14ac:dyDescent="0.25">
      <c r="A1044" t="s">
        <v>3697</v>
      </c>
      <c r="B1044" t="s">
        <v>3698</v>
      </c>
      <c r="C1044" t="s">
        <v>14</v>
      </c>
      <c r="D1044">
        <v>7.05</v>
      </c>
      <c r="E1044">
        <v>7.3</v>
      </c>
      <c r="F1044">
        <v>7.05</v>
      </c>
      <c r="G1044" s="3">
        <v>7.1</v>
      </c>
      <c r="H1044">
        <v>7.1</v>
      </c>
      <c r="I1044">
        <v>6.95</v>
      </c>
      <c r="J1044">
        <v>55657</v>
      </c>
      <c r="K1044">
        <v>398121.8</v>
      </c>
      <c r="L1044" s="1">
        <v>45240</v>
      </c>
      <c r="M1044">
        <v>302</v>
      </c>
      <c r="N1044" t="s">
        <v>3699</v>
      </c>
      <c r="O1044" s="5">
        <v>45240</v>
      </c>
      <c r="P1044" s="5">
        <v>43777</v>
      </c>
      <c r="Q1044" s="3">
        <v>13.25</v>
      </c>
      <c r="S1044">
        <f t="shared" si="48"/>
        <v>1464</v>
      </c>
      <c r="T1044">
        <f t="shared" si="49"/>
        <v>16.043835616438358</v>
      </c>
      <c r="U1044" s="6">
        <f t="shared" si="50"/>
        <v>-0.15256389821757876</v>
      </c>
    </row>
    <row r="1045" spans="1:21" x14ac:dyDescent="0.25">
      <c r="A1045" t="s">
        <v>3700</v>
      </c>
      <c r="B1045" t="s">
        <v>3701</v>
      </c>
      <c r="C1045" t="s">
        <v>14</v>
      </c>
      <c r="D1045">
        <v>410</v>
      </c>
      <c r="E1045">
        <v>412.45</v>
      </c>
      <c r="F1045">
        <v>404.7</v>
      </c>
      <c r="G1045" s="3">
        <v>407.4</v>
      </c>
      <c r="H1045">
        <v>406</v>
      </c>
      <c r="I1045">
        <v>407.65</v>
      </c>
      <c r="J1045">
        <v>8580</v>
      </c>
      <c r="K1045">
        <v>3499864.45</v>
      </c>
      <c r="L1045" s="1">
        <v>45240</v>
      </c>
      <c r="M1045">
        <v>719</v>
      </c>
      <c r="N1045" t="s">
        <v>3702</v>
      </c>
      <c r="O1045" s="5">
        <v>45240</v>
      </c>
      <c r="P1045" s="5">
        <v>43777</v>
      </c>
      <c r="Q1045" s="3">
        <v>124.65</v>
      </c>
      <c r="S1045">
        <f t="shared" si="48"/>
        <v>1464</v>
      </c>
      <c r="T1045">
        <f t="shared" si="49"/>
        <v>16.043835616438358</v>
      </c>
      <c r="U1045" s="6">
        <f t="shared" si="50"/>
        <v>0.30643313417352847</v>
      </c>
    </row>
    <row r="1046" spans="1:21" x14ac:dyDescent="0.25">
      <c r="A1046" t="s">
        <v>3703</v>
      </c>
      <c r="B1046" t="s">
        <v>3704</v>
      </c>
      <c r="C1046" t="s">
        <v>14</v>
      </c>
      <c r="D1046">
        <v>214.4</v>
      </c>
      <c r="E1046">
        <v>216.4</v>
      </c>
      <c r="F1046">
        <v>209</v>
      </c>
      <c r="G1046" s="3">
        <v>213.3</v>
      </c>
      <c r="H1046">
        <v>213.4</v>
      </c>
      <c r="I1046">
        <v>213.4</v>
      </c>
      <c r="J1046">
        <v>1109259</v>
      </c>
      <c r="K1046">
        <v>236786762.25</v>
      </c>
      <c r="L1046" s="1">
        <v>45240</v>
      </c>
      <c r="M1046">
        <v>12484</v>
      </c>
      <c r="N1046" t="s">
        <v>3705</v>
      </c>
      <c r="O1046" s="5">
        <v>45240</v>
      </c>
      <c r="P1046" s="5">
        <v>43777</v>
      </c>
      <c r="Q1046" s="3">
        <v>79.650000000000006</v>
      </c>
      <c r="S1046">
        <f t="shared" si="48"/>
        <v>1464</v>
      </c>
      <c r="T1046">
        <f t="shared" si="49"/>
        <v>16.043835616438358</v>
      </c>
      <c r="U1046" s="6">
        <f t="shared" si="50"/>
        <v>0.25328764344400767</v>
      </c>
    </row>
    <row r="1047" spans="1:21" x14ac:dyDescent="0.25">
      <c r="A1047" t="s">
        <v>3709</v>
      </c>
      <c r="B1047" t="s">
        <v>3710</v>
      </c>
      <c r="C1047" t="s">
        <v>14</v>
      </c>
      <c r="D1047">
        <v>216.95</v>
      </c>
      <c r="E1047">
        <v>219</v>
      </c>
      <c r="F1047">
        <v>216.95</v>
      </c>
      <c r="G1047" s="3">
        <v>217.75</v>
      </c>
      <c r="H1047">
        <v>218</v>
      </c>
      <c r="I1047">
        <v>216.95</v>
      </c>
      <c r="J1047">
        <v>80518</v>
      </c>
      <c r="K1047">
        <v>17549546.449999999</v>
      </c>
      <c r="L1047" s="1">
        <v>45240</v>
      </c>
      <c r="M1047">
        <v>2406</v>
      </c>
      <c r="N1047" t="s">
        <v>3711</v>
      </c>
      <c r="O1047" s="5">
        <v>45240</v>
      </c>
      <c r="P1047" s="5">
        <v>43777</v>
      </c>
      <c r="Q1047" s="3">
        <v>191.95</v>
      </c>
      <c r="S1047">
        <f t="shared" si="48"/>
        <v>1464</v>
      </c>
      <c r="T1047">
        <f t="shared" si="49"/>
        <v>16.043835616438358</v>
      </c>
      <c r="U1047" s="6">
        <f t="shared" si="50"/>
        <v>3.1565930610179649E-2</v>
      </c>
    </row>
    <row r="1048" spans="1:21" x14ac:dyDescent="0.25">
      <c r="A1048" t="s">
        <v>3712</v>
      </c>
      <c r="B1048" t="s">
        <v>3713</v>
      </c>
      <c r="C1048" t="s">
        <v>14</v>
      </c>
      <c r="D1048">
        <v>101</v>
      </c>
      <c r="E1048">
        <v>104.2</v>
      </c>
      <c r="F1048">
        <v>100.5</v>
      </c>
      <c r="G1048" s="3">
        <v>103.15</v>
      </c>
      <c r="H1048">
        <v>103.4</v>
      </c>
      <c r="I1048">
        <v>101</v>
      </c>
      <c r="J1048">
        <v>694803</v>
      </c>
      <c r="K1048">
        <v>71487115.200000003</v>
      </c>
      <c r="L1048" s="1">
        <v>45240</v>
      </c>
      <c r="M1048">
        <v>5310</v>
      </c>
      <c r="N1048" t="s">
        <v>3714</v>
      </c>
      <c r="O1048" s="5">
        <v>45240</v>
      </c>
      <c r="P1048" s="5">
        <v>43777</v>
      </c>
      <c r="Q1048" s="3">
        <v>36.549999999999997</v>
      </c>
      <c r="S1048">
        <f t="shared" si="48"/>
        <v>1464</v>
      </c>
      <c r="T1048">
        <f t="shared" si="49"/>
        <v>16.043835616438358</v>
      </c>
      <c r="U1048" s="6">
        <f t="shared" si="50"/>
        <v>0.26721390371078346</v>
      </c>
    </row>
    <row r="1049" spans="1:21" x14ac:dyDescent="0.25">
      <c r="A1049" t="s">
        <v>3715</v>
      </c>
      <c r="B1049" t="s">
        <v>3716</v>
      </c>
      <c r="C1049" t="s">
        <v>14</v>
      </c>
      <c r="D1049">
        <v>80</v>
      </c>
      <c r="E1049">
        <v>80</v>
      </c>
      <c r="F1049">
        <v>76.45</v>
      </c>
      <c r="G1049" s="3">
        <v>79.3</v>
      </c>
      <c r="H1049">
        <v>80</v>
      </c>
      <c r="I1049">
        <v>76.2</v>
      </c>
      <c r="J1049">
        <v>26762</v>
      </c>
      <c r="K1049">
        <v>2119774.1</v>
      </c>
      <c r="L1049" s="1">
        <v>45240</v>
      </c>
      <c r="M1049">
        <v>671</v>
      </c>
      <c r="N1049" t="s">
        <v>3717</v>
      </c>
      <c r="O1049" s="5">
        <v>45240</v>
      </c>
      <c r="P1049" s="5">
        <v>43777</v>
      </c>
      <c r="Q1049" s="3">
        <v>100.75</v>
      </c>
      <c r="S1049">
        <f t="shared" si="48"/>
        <v>1464</v>
      </c>
      <c r="T1049">
        <f t="shared" si="49"/>
        <v>16.043835616438358</v>
      </c>
      <c r="U1049" s="6">
        <f t="shared" si="50"/>
        <v>-5.9244372893920261E-2</v>
      </c>
    </row>
    <row r="1050" spans="1:21" x14ac:dyDescent="0.25">
      <c r="A1050" t="s">
        <v>3718</v>
      </c>
      <c r="B1050" t="s">
        <v>3719</v>
      </c>
      <c r="C1050" t="s">
        <v>14</v>
      </c>
      <c r="D1050">
        <v>42.05</v>
      </c>
      <c r="E1050">
        <v>44.1</v>
      </c>
      <c r="F1050">
        <v>41.9</v>
      </c>
      <c r="G1050" s="3">
        <v>43.65</v>
      </c>
      <c r="H1050">
        <v>43.75</v>
      </c>
      <c r="I1050">
        <v>42.25</v>
      </c>
      <c r="J1050">
        <v>3291953</v>
      </c>
      <c r="K1050">
        <v>143125241.05000001</v>
      </c>
      <c r="L1050" s="1">
        <v>45240</v>
      </c>
      <c r="M1050">
        <v>10471</v>
      </c>
      <c r="N1050" t="s">
        <v>3720</v>
      </c>
      <c r="O1050" s="5">
        <v>45240</v>
      </c>
      <c r="P1050" s="5">
        <v>43777</v>
      </c>
      <c r="Q1050" s="3">
        <v>26.75</v>
      </c>
      <c r="S1050">
        <f t="shared" si="48"/>
        <v>1464</v>
      </c>
      <c r="T1050">
        <f t="shared" si="49"/>
        <v>16.043835616438358</v>
      </c>
      <c r="U1050" s="6">
        <f t="shared" si="50"/>
        <v>0.12396485219109366</v>
      </c>
    </row>
    <row r="1051" spans="1:21" x14ac:dyDescent="0.25">
      <c r="A1051" t="s">
        <v>3721</v>
      </c>
      <c r="B1051" t="s">
        <v>3722</v>
      </c>
      <c r="C1051" t="s">
        <v>14</v>
      </c>
      <c r="D1051">
        <v>6662.75</v>
      </c>
      <c r="E1051">
        <v>6923.95</v>
      </c>
      <c r="F1051">
        <v>6650</v>
      </c>
      <c r="G1051" s="3">
        <v>6674.15</v>
      </c>
      <c r="H1051">
        <v>6670</v>
      </c>
      <c r="I1051">
        <v>6662.75</v>
      </c>
      <c r="J1051">
        <v>32347</v>
      </c>
      <c r="K1051">
        <v>218837896.15000001</v>
      </c>
      <c r="L1051" s="1">
        <v>45240</v>
      </c>
      <c r="M1051">
        <v>8221</v>
      </c>
      <c r="N1051" t="s">
        <v>3723</v>
      </c>
      <c r="O1051" s="5">
        <v>45240</v>
      </c>
      <c r="P1051" s="5">
        <v>43777</v>
      </c>
      <c r="Q1051" s="3">
        <v>1446.8</v>
      </c>
      <c r="S1051">
        <f t="shared" si="48"/>
        <v>1464</v>
      </c>
      <c r="T1051">
        <f t="shared" si="49"/>
        <v>16.043835616438358</v>
      </c>
      <c r="U1051" s="6">
        <f t="shared" si="50"/>
        <v>0.3999305544599574</v>
      </c>
    </row>
    <row r="1052" spans="1:21" x14ac:dyDescent="0.25">
      <c r="A1052" t="s">
        <v>3724</v>
      </c>
      <c r="B1052" t="s">
        <v>3725</v>
      </c>
      <c r="C1052" t="s">
        <v>786</v>
      </c>
      <c r="D1052">
        <v>0.85</v>
      </c>
      <c r="E1052">
        <v>0.85</v>
      </c>
      <c r="F1052">
        <v>0.85</v>
      </c>
      <c r="G1052" s="3">
        <v>0.85</v>
      </c>
      <c r="H1052">
        <v>0.85</v>
      </c>
      <c r="I1052">
        <v>0.9</v>
      </c>
      <c r="J1052">
        <v>28843</v>
      </c>
      <c r="K1052">
        <v>24516.55</v>
      </c>
      <c r="L1052" s="1">
        <v>45240</v>
      </c>
      <c r="M1052">
        <v>20</v>
      </c>
      <c r="N1052" t="s">
        <v>3726</v>
      </c>
      <c r="O1052" s="5">
        <v>45240</v>
      </c>
      <c r="P1052" s="5">
        <v>43777</v>
      </c>
      <c r="Q1052" s="3">
        <v>0.5</v>
      </c>
      <c r="S1052">
        <f t="shared" si="48"/>
        <v>1464</v>
      </c>
      <c r="T1052">
        <f t="shared" si="49"/>
        <v>16.043835616438358</v>
      </c>
      <c r="U1052" s="6">
        <f t="shared" si="50"/>
        <v>0.13450666433729364</v>
      </c>
    </row>
    <row r="1053" spans="1:21" x14ac:dyDescent="0.25">
      <c r="A1053" t="s">
        <v>3733</v>
      </c>
      <c r="B1053" t="s">
        <v>3734</v>
      </c>
      <c r="C1053" t="s">
        <v>14</v>
      </c>
      <c r="D1053">
        <v>32.200000000000003</v>
      </c>
      <c r="E1053">
        <v>33.200000000000003</v>
      </c>
      <c r="F1053">
        <v>32.200000000000003</v>
      </c>
      <c r="G1053" s="3">
        <v>32.5</v>
      </c>
      <c r="H1053">
        <v>32.5</v>
      </c>
      <c r="I1053">
        <v>32.700000000000003</v>
      </c>
      <c r="J1053">
        <v>54653</v>
      </c>
      <c r="K1053">
        <v>1784930.6</v>
      </c>
      <c r="L1053" s="1">
        <v>45240</v>
      </c>
      <c r="M1053">
        <v>439</v>
      </c>
      <c r="N1053" t="s">
        <v>3735</v>
      </c>
      <c r="O1053" s="5">
        <v>45240</v>
      </c>
      <c r="P1053" s="5">
        <v>43777</v>
      </c>
      <c r="Q1053" s="3">
        <v>5.65</v>
      </c>
      <c r="S1053">
        <f t="shared" si="48"/>
        <v>1464</v>
      </c>
      <c r="T1053">
        <f t="shared" si="49"/>
        <v>16.043835616438358</v>
      </c>
      <c r="U1053" s="6">
        <f t="shared" si="50"/>
        <v>0.46087362671146082</v>
      </c>
    </row>
    <row r="1054" spans="1:21" x14ac:dyDescent="0.25">
      <c r="A1054" t="s">
        <v>3742</v>
      </c>
      <c r="B1054" t="s">
        <v>3743</v>
      </c>
      <c r="C1054" t="s">
        <v>14</v>
      </c>
      <c r="D1054">
        <v>37691.550000000003</v>
      </c>
      <c r="E1054">
        <v>38430</v>
      </c>
      <c r="F1054">
        <v>37400</v>
      </c>
      <c r="G1054" s="3">
        <v>38360.65</v>
      </c>
      <c r="H1054">
        <v>38350</v>
      </c>
      <c r="I1054">
        <v>37686.550000000003</v>
      </c>
      <c r="J1054">
        <v>29199</v>
      </c>
      <c r="K1054">
        <v>1110697368.4000001</v>
      </c>
      <c r="L1054" s="1">
        <v>45240</v>
      </c>
      <c r="M1054">
        <v>11680</v>
      </c>
      <c r="N1054" t="s">
        <v>3744</v>
      </c>
      <c r="O1054" s="5">
        <v>45240</v>
      </c>
      <c r="P1054" s="5">
        <v>43777</v>
      </c>
      <c r="Q1054" s="3">
        <v>24403.1</v>
      </c>
      <c r="S1054">
        <f t="shared" si="48"/>
        <v>1464</v>
      </c>
      <c r="T1054">
        <f t="shared" si="49"/>
        <v>16.043835616438358</v>
      </c>
      <c r="U1054" s="6">
        <f t="shared" si="50"/>
        <v>0.11437626485102825</v>
      </c>
    </row>
    <row r="1055" spans="1:21" x14ac:dyDescent="0.25">
      <c r="A1055" t="s">
        <v>3745</v>
      </c>
      <c r="B1055" t="s">
        <v>3746</v>
      </c>
      <c r="C1055" t="s">
        <v>14</v>
      </c>
      <c r="D1055">
        <v>75.849999999999994</v>
      </c>
      <c r="E1055">
        <v>77.400000000000006</v>
      </c>
      <c r="F1055">
        <v>74.75</v>
      </c>
      <c r="G1055" s="3">
        <v>75.8</v>
      </c>
      <c r="H1055">
        <v>75.5</v>
      </c>
      <c r="I1055">
        <v>76.599999999999994</v>
      </c>
      <c r="J1055">
        <v>610199</v>
      </c>
      <c r="K1055">
        <v>46254283.700000003</v>
      </c>
      <c r="L1055" s="1">
        <v>45240</v>
      </c>
      <c r="M1055">
        <v>4443</v>
      </c>
      <c r="N1055" t="s">
        <v>3747</v>
      </c>
      <c r="O1055" s="5">
        <v>45240</v>
      </c>
      <c r="P1055" s="5">
        <v>43777</v>
      </c>
      <c r="Q1055" s="3">
        <v>457.85</v>
      </c>
      <c r="S1055">
        <f t="shared" si="48"/>
        <v>1464</v>
      </c>
      <c r="T1055">
        <f t="shared" si="49"/>
        <v>16.043835616438358</v>
      </c>
      <c r="U1055" s="6">
        <f t="shared" si="50"/>
        <v>-0.42416482440856607</v>
      </c>
    </row>
    <row r="1056" spans="1:21" x14ac:dyDescent="0.25">
      <c r="A1056" t="s">
        <v>3751</v>
      </c>
      <c r="B1056" t="s">
        <v>3752</v>
      </c>
      <c r="C1056" t="s">
        <v>14</v>
      </c>
      <c r="D1056">
        <v>125.5</v>
      </c>
      <c r="E1056">
        <v>143.9</v>
      </c>
      <c r="F1056">
        <v>119.1</v>
      </c>
      <c r="G1056" s="3">
        <v>137.5</v>
      </c>
      <c r="H1056">
        <v>139</v>
      </c>
      <c r="I1056">
        <v>127.95</v>
      </c>
      <c r="J1056">
        <v>132794</v>
      </c>
      <c r="K1056">
        <v>17788708.75</v>
      </c>
      <c r="L1056" s="1">
        <v>45240</v>
      </c>
      <c r="M1056">
        <v>1847</v>
      </c>
      <c r="N1056" t="s">
        <v>3753</v>
      </c>
      <c r="O1056" s="5">
        <v>45240</v>
      </c>
      <c r="P1056" s="5">
        <v>43777</v>
      </c>
      <c r="Q1056" s="3">
        <v>32.450000000000003</v>
      </c>
      <c r="S1056">
        <f t="shared" si="48"/>
        <v>1464</v>
      </c>
      <c r="T1056">
        <f t="shared" si="49"/>
        <v>16.043835616438358</v>
      </c>
      <c r="U1056" s="6">
        <f t="shared" si="50"/>
        <v>0.376691206548327</v>
      </c>
    </row>
    <row r="1057" spans="1:21" x14ac:dyDescent="0.25">
      <c r="A1057" t="s">
        <v>3754</v>
      </c>
      <c r="B1057" t="s">
        <v>3755</v>
      </c>
      <c r="C1057" t="s">
        <v>14</v>
      </c>
      <c r="D1057">
        <v>155.5</v>
      </c>
      <c r="E1057">
        <v>156.94999999999999</v>
      </c>
      <c r="F1057">
        <v>148.5</v>
      </c>
      <c r="G1057" s="3">
        <v>151.05000000000001</v>
      </c>
      <c r="H1057">
        <v>151.94999999999999</v>
      </c>
      <c r="I1057">
        <v>155.4</v>
      </c>
      <c r="J1057">
        <v>20822</v>
      </c>
      <c r="K1057">
        <v>3186809.8</v>
      </c>
      <c r="L1057" s="1">
        <v>45240</v>
      </c>
      <c r="M1057">
        <v>538</v>
      </c>
      <c r="N1057" t="s">
        <v>3756</v>
      </c>
      <c r="O1057" s="5">
        <v>45240</v>
      </c>
      <c r="P1057" s="5">
        <v>43777</v>
      </c>
      <c r="Q1057" s="3">
        <v>20.55</v>
      </c>
      <c r="S1057">
        <f t="shared" si="48"/>
        <v>1464</v>
      </c>
      <c r="T1057">
        <f t="shared" si="49"/>
        <v>16.043835616438358</v>
      </c>
      <c r="U1057" s="6">
        <f t="shared" si="50"/>
        <v>0.52956360545544268</v>
      </c>
    </row>
    <row r="1058" spans="1:21" x14ac:dyDescent="0.25">
      <c r="A1058" t="s">
        <v>3757</v>
      </c>
      <c r="B1058" t="s">
        <v>3758</v>
      </c>
      <c r="C1058" t="s">
        <v>14</v>
      </c>
      <c r="D1058">
        <v>160.9</v>
      </c>
      <c r="E1058">
        <v>161</v>
      </c>
      <c r="F1058">
        <v>153</v>
      </c>
      <c r="G1058" s="3">
        <v>157.69999999999999</v>
      </c>
      <c r="H1058">
        <v>156.1</v>
      </c>
      <c r="I1058">
        <v>156.4</v>
      </c>
      <c r="J1058">
        <v>227256</v>
      </c>
      <c r="K1058">
        <v>35621743.200000003</v>
      </c>
      <c r="L1058" s="1">
        <v>45240</v>
      </c>
      <c r="M1058">
        <v>6171</v>
      </c>
      <c r="N1058" t="s">
        <v>3759</v>
      </c>
      <c r="O1058" s="5">
        <v>45240</v>
      </c>
      <c r="P1058" s="5">
        <v>43777</v>
      </c>
      <c r="Q1058" s="3">
        <v>137</v>
      </c>
      <c r="S1058">
        <f t="shared" si="48"/>
        <v>1464</v>
      </c>
      <c r="T1058">
        <f t="shared" si="49"/>
        <v>16.043835616438358</v>
      </c>
      <c r="U1058" s="6">
        <f t="shared" si="50"/>
        <v>3.5236572732543436E-2</v>
      </c>
    </row>
    <row r="1059" spans="1:21" x14ac:dyDescent="0.25">
      <c r="A1059" t="s">
        <v>3763</v>
      </c>
      <c r="B1059" t="s">
        <v>3764</v>
      </c>
      <c r="C1059" t="s">
        <v>14</v>
      </c>
      <c r="D1059">
        <v>310</v>
      </c>
      <c r="E1059">
        <v>311</v>
      </c>
      <c r="F1059">
        <v>301.85000000000002</v>
      </c>
      <c r="G1059" s="3">
        <v>303.55</v>
      </c>
      <c r="H1059">
        <v>304</v>
      </c>
      <c r="I1059">
        <v>309.39999999999998</v>
      </c>
      <c r="J1059">
        <v>138761</v>
      </c>
      <c r="K1059">
        <v>42332201.049999997</v>
      </c>
      <c r="L1059" s="1">
        <v>45240</v>
      </c>
      <c r="M1059">
        <v>4685</v>
      </c>
      <c r="N1059" t="s">
        <v>3765</v>
      </c>
      <c r="O1059" s="5">
        <v>45240</v>
      </c>
      <c r="P1059" s="5">
        <v>43777</v>
      </c>
      <c r="Q1059" s="3">
        <v>68.55</v>
      </c>
      <c r="S1059">
        <f t="shared" si="48"/>
        <v>1464</v>
      </c>
      <c r="T1059">
        <f t="shared" si="49"/>
        <v>16.043835616438358</v>
      </c>
      <c r="U1059" s="6">
        <f t="shared" si="50"/>
        <v>0.38872696195698353</v>
      </c>
    </row>
    <row r="1060" spans="1:21" x14ac:dyDescent="0.25">
      <c r="A1060" t="s">
        <v>3769</v>
      </c>
      <c r="B1060" t="s">
        <v>3770</v>
      </c>
      <c r="C1060" t="s">
        <v>14</v>
      </c>
      <c r="D1060">
        <v>219.95</v>
      </c>
      <c r="E1060">
        <v>236</v>
      </c>
      <c r="F1060">
        <v>215.2</v>
      </c>
      <c r="G1060" s="3">
        <v>224.85</v>
      </c>
      <c r="H1060">
        <v>225.7</v>
      </c>
      <c r="I1060">
        <v>214.6</v>
      </c>
      <c r="J1060">
        <v>121200</v>
      </c>
      <c r="K1060">
        <v>27498678.899999999</v>
      </c>
      <c r="L1060" s="1">
        <v>45240</v>
      </c>
      <c r="M1060">
        <v>2626</v>
      </c>
      <c r="N1060" t="s">
        <v>3771</v>
      </c>
      <c r="O1060" s="5">
        <v>45240</v>
      </c>
      <c r="P1060" s="5">
        <v>43777</v>
      </c>
      <c r="Q1060" s="3">
        <v>44.9</v>
      </c>
      <c r="S1060">
        <f t="shared" si="48"/>
        <v>1464</v>
      </c>
      <c r="T1060">
        <f t="shared" si="49"/>
        <v>16.043835616438358</v>
      </c>
      <c r="U1060" s="6">
        <f t="shared" si="50"/>
        <v>0.42250594713649914</v>
      </c>
    </row>
    <row r="1061" spans="1:21" x14ac:dyDescent="0.25">
      <c r="A1061" t="s">
        <v>3772</v>
      </c>
      <c r="B1061" t="s">
        <v>3773</v>
      </c>
      <c r="C1061" t="s">
        <v>10</v>
      </c>
      <c r="D1061">
        <v>66</v>
      </c>
      <c r="E1061">
        <v>66</v>
      </c>
      <c r="F1061">
        <v>63.45</v>
      </c>
      <c r="G1061" s="3">
        <v>64.05</v>
      </c>
      <c r="H1061">
        <v>64.400000000000006</v>
      </c>
      <c r="I1061">
        <v>66.099999999999994</v>
      </c>
      <c r="J1061">
        <v>276591</v>
      </c>
      <c r="K1061">
        <v>17875139.600000001</v>
      </c>
      <c r="L1061" s="1">
        <v>45240</v>
      </c>
      <c r="M1061">
        <v>1248</v>
      </c>
      <c r="N1061" t="s">
        <v>3774</v>
      </c>
      <c r="O1061" s="5">
        <v>45240</v>
      </c>
      <c r="P1061" s="5">
        <v>43777</v>
      </c>
      <c r="Q1061" s="3">
        <v>8.9499999999999993</v>
      </c>
      <c r="S1061">
        <f t="shared" si="48"/>
        <v>1464</v>
      </c>
      <c r="T1061">
        <f t="shared" si="49"/>
        <v>16.043835616438358</v>
      </c>
      <c r="U1061" s="6">
        <f t="shared" si="50"/>
        <v>0.52202069227384218</v>
      </c>
    </row>
    <row r="1062" spans="1:21" x14ac:dyDescent="0.25">
      <c r="A1062" t="s">
        <v>3778</v>
      </c>
      <c r="B1062" t="s">
        <v>3779</v>
      </c>
      <c r="C1062" t="s">
        <v>14</v>
      </c>
      <c r="D1062">
        <v>227</v>
      </c>
      <c r="E1062">
        <v>229</v>
      </c>
      <c r="F1062">
        <v>218.35</v>
      </c>
      <c r="G1062" s="3">
        <v>225.65</v>
      </c>
      <c r="H1062">
        <v>224.95</v>
      </c>
      <c r="I1062">
        <v>220.8</v>
      </c>
      <c r="J1062">
        <v>1354820</v>
      </c>
      <c r="K1062">
        <v>305602191.25</v>
      </c>
      <c r="L1062" s="1">
        <v>45240</v>
      </c>
      <c r="M1062">
        <v>14566</v>
      </c>
      <c r="N1062" t="s">
        <v>3780</v>
      </c>
      <c r="O1062" s="5">
        <v>45240</v>
      </c>
      <c r="P1062" s="5">
        <v>43777</v>
      </c>
      <c r="Q1062" s="3">
        <v>134.15</v>
      </c>
      <c r="S1062">
        <f t="shared" si="48"/>
        <v>1464</v>
      </c>
      <c r="T1062">
        <f t="shared" si="49"/>
        <v>16.043835616438358</v>
      </c>
      <c r="U1062" s="6">
        <f t="shared" si="50"/>
        <v>0.13177550153206585</v>
      </c>
    </row>
    <row r="1063" spans="1:21" x14ac:dyDescent="0.25">
      <c r="A1063" t="s">
        <v>3787</v>
      </c>
      <c r="B1063" t="s">
        <v>3788</v>
      </c>
      <c r="C1063" t="s">
        <v>10</v>
      </c>
      <c r="D1063">
        <v>9.9</v>
      </c>
      <c r="E1063">
        <v>10.15</v>
      </c>
      <c r="F1063">
        <v>9.75</v>
      </c>
      <c r="G1063" s="3">
        <v>10.1</v>
      </c>
      <c r="H1063">
        <v>10</v>
      </c>
      <c r="I1063">
        <v>9.9</v>
      </c>
      <c r="J1063">
        <v>239395</v>
      </c>
      <c r="K1063">
        <v>2393205.2999999998</v>
      </c>
      <c r="L1063" s="1">
        <v>45240</v>
      </c>
      <c r="M1063">
        <v>299</v>
      </c>
      <c r="N1063" t="s">
        <v>3789</v>
      </c>
      <c r="O1063" s="5">
        <v>45240</v>
      </c>
      <c r="P1063" s="5">
        <v>43777</v>
      </c>
      <c r="Q1063" s="3">
        <v>2.35</v>
      </c>
      <c r="S1063">
        <f t="shared" si="48"/>
        <v>1464</v>
      </c>
      <c r="T1063">
        <f t="shared" si="49"/>
        <v>16.043835616438358</v>
      </c>
      <c r="U1063" s="6">
        <f t="shared" si="50"/>
        <v>0.38056569948717733</v>
      </c>
    </row>
    <row r="1064" spans="1:21" x14ac:dyDescent="0.25">
      <c r="A1064" t="s">
        <v>3796</v>
      </c>
      <c r="B1064" t="s">
        <v>3797</v>
      </c>
      <c r="C1064" t="s">
        <v>14</v>
      </c>
      <c r="D1064">
        <v>46.7</v>
      </c>
      <c r="E1064">
        <v>47.4</v>
      </c>
      <c r="F1064">
        <v>46.4</v>
      </c>
      <c r="G1064" s="3">
        <v>46.7</v>
      </c>
      <c r="H1064">
        <v>46.8</v>
      </c>
      <c r="I1064">
        <v>47.1</v>
      </c>
      <c r="J1064">
        <v>2039858</v>
      </c>
      <c r="K1064">
        <v>95399256.700000003</v>
      </c>
      <c r="L1064" s="1">
        <v>45240</v>
      </c>
      <c r="M1064">
        <v>6951</v>
      </c>
      <c r="N1064" t="s">
        <v>3798</v>
      </c>
      <c r="O1064" s="5">
        <v>45240</v>
      </c>
      <c r="P1064" s="5">
        <v>43777</v>
      </c>
      <c r="Q1064" s="3">
        <v>16</v>
      </c>
      <c r="S1064">
        <f t="shared" si="48"/>
        <v>1464</v>
      </c>
      <c r="T1064">
        <f t="shared" si="49"/>
        <v>16.043835616438358</v>
      </c>
      <c r="U1064" s="6">
        <f t="shared" si="50"/>
        <v>0.27617389657244562</v>
      </c>
    </row>
    <row r="1065" spans="1:21" x14ac:dyDescent="0.25">
      <c r="A1065" t="s">
        <v>3799</v>
      </c>
      <c r="B1065" t="s">
        <v>3800</v>
      </c>
      <c r="C1065" t="s">
        <v>10</v>
      </c>
      <c r="D1065">
        <v>14.8</v>
      </c>
      <c r="E1065">
        <v>15.15</v>
      </c>
      <c r="F1065">
        <v>14.75</v>
      </c>
      <c r="G1065" s="3">
        <v>15.05</v>
      </c>
      <c r="H1065">
        <v>15.1</v>
      </c>
      <c r="I1065">
        <v>14.8</v>
      </c>
      <c r="J1065">
        <v>61216</v>
      </c>
      <c r="K1065">
        <v>918131.75</v>
      </c>
      <c r="L1065" s="1">
        <v>45240</v>
      </c>
      <c r="M1065">
        <v>132</v>
      </c>
      <c r="N1065" t="s">
        <v>3801</v>
      </c>
      <c r="O1065" s="5">
        <v>45240</v>
      </c>
      <c r="P1065" s="5">
        <v>43777</v>
      </c>
      <c r="Q1065" s="3">
        <v>22.1</v>
      </c>
      <c r="S1065">
        <f t="shared" si="48"/>
        <v>1464</v>
      </c>
      <c r="T1065">
        <f t="shared" si="49"/>
        <v>16.043835616438358</v>
      </c>
      <c r="U1065" s="6">
        <f t="shared" si="50"/>
        <v>-9.4649668285131217E-2</v>
      </c>
    </row>
    <row r="1066" spans="1:21" x14ac:dyDescent="0.25">
      <c r="A1066" t="s">
        <v>3811</v>
      </c>
      <c r="B1066" t="s">
        <v>3812</v>
      </c>
      <c r="C1066" t="s">
        <v>14</v>
      </c>
      <c r="D1066">
        <v>29.9</v>
      </c>
      <c r="E1066">
        <v>30.8</v>
      </c>
      <c r="F1066">
        <v>29.6</v>
      </c>
      <c r="G1066" s="3">
        <v>29.75</v>
      </c>
      <c r="H1066">
        <v>29.8</v>
      </c>
      <c r="I1066">
        <v>29.9</v>
      </c>
      <c r="J1066">
        <v>2679217</v>
      </c>
      <c r="K1066">
        <v>80480513.950000003</v>
      </c>
      <c r="L1066" s="1">
        <v>45240</v>
      </c>
      <c r="M1066">
        <v>6658</v>
      </c>
      <c r="N1066" t="s">
        <v>3813</v>
      </c>
      <c r="O1066" s="5">
        <v>45240</v>
      </c>
      <c r="P1066" s="5">
        <v>43777</v>
      </c>
      <c r="Q1066" s="3">
        <v>35.35</v>
      </c>
      <c r="S1066">
        <f t="shared" si="48"/>
        <v>1464</v>
      </c>
      <c r="T1066">
        <f t="shared" si="49"/>
        <v>16.043835616438358</v>
      </c>
      <c r="U1066" s="6">
        <f t="shared" si="50"/>
        <v>-4.2769214451157556E-2</v>
      </c>
    </row>
    <row r="1067" spans="1:21" x14ac:dyDescent="0.25">
      <c r="A1067" t="s">
        <v>3814</v>
      </c>
      <c r="B1067" t="s">
        <v>3815</v>
      </c>
      <c r="C1067" t="s">
        <v>14</v>
      </c>
      <c r="D1067">
        <v>47.75</v>
      </c>
      <c r="E1067">
        <v>48.7</v>
      </c>
      <c r="F1067">
        <v>47.2</v>
      </c>
      <c r="G1067" s="3">
        <v>47.5</v>
      </c>
      <c r="H1067">
        <v>47.7</v>
      </c>
      <c r="I1067">
        <v>47.6</v>
      </c>
      <c r="J1067">
        <v>201499</v>
      </c>
      <c r="K1067">
        <v>9618351.6500000004</v>
      </c>
      <c r="L1067" s="1">
        <v>45240</v>
      </c>
      <c r="M1067">
        <v>1176</v>
      </c>
      <c r="N1067" t="s">
        <v>3816</v>
      </c>
      <c r="O1067" s="5">
        <v>45240</v>
      </c>
      <c r="P1067" s="5">
        <v>43777</v>
      </c>
      <c r="Q1067" s="3">
        <v>16.25</v>
      </c>
      <c r="S1067">
        <f t="shared" si="48"/>
        <v>1464</v>
      </c>
      <c r="T1067">
        <f t="shared" si="49"/>
        <v>16.043835616438358</v>
      </c>
      <c r="U1067" s="6">
        <f t="shared" si="50"/>
        <v>0.27656874259536668</v>
      </c>
    </row>
    <row r="1068" spans="1:21" x14ac:dyDescent="0.25">
      <c r="A1068" t="s">
        <v>3820</v>
      </c>
      <c r="B1068" t="s">
        <v>3821</v>
      </c>
      <c r="C1068" t="s">
        <v>14</v>
      </c>
      <c r="D1068">
        <v>29.4</v>
      </c>
      <c r="E1068">
        <v>29.7</v>
      </c>
      <c r="F1068">
        <v>28.55</v>
      </c>
      <c r="G1068" s="3">
        <v>28.65</v>
      </c>
      <c r="H1068">
        <v>28.55</v>
      </c>
      <c r="I1068">
        <v>29.4</v>
      </c>
      <c r="J1068">
        <v>68694</v>
      </c>
      <c r="K1068">
        <v>1989133.7</v>
      </c>
      <c r="L1068" s="1">
        <v>45240</v>
      </c>
      <c r="M1068">
        <v>322</v>
      </c>
      <c r="N1068" t="s">
        <v>3822</v>
      </c>
      <c r="O1068" s="5">
        <v>45240</v>
      </c>
      <c r="P1068" s="5">
        <v>43777</v>
      </c>
      <c r="Q1068" s="3">
        <v>9.9499999999999993</v>
      </c>
      <c r="S1068">
        <f t="shared" si="48"/>
        <v>1464</v>
      </c>
      <c r="T1068">
        <f t="shared" si="49"/>
        <v>16.043835616438358</v>
      </c>
      <c r="U1068" s="6">
        <f t="shared" si="50"/>
        <v>0.27255739301365711</v>
      </c>
    </row>
    <row r="1069" spans="1:21" x14ac:dyDescent="0.25">
      <c r="A1069" t="s">
        <v>3823</v>
      </c>
      <c r="B1069" t="s">
        <v>3824</v>
      </c>
      <c r="C1069" t="s">
        <v>14</v>
      </c>
      <c r="D1069">
        <v>959</v>
      </c>
      <c r="E1069">
        <v>983.3</v>
      </c>
      <c r="F1069">
        <v>935.45</v>
      </c>
      <c r="G1069" s="3">
        <v>945.75</v>
      </c>
      <c r="H1069">
        <v>945.75</v>
      </c>
      <c r="I1069">
        <v>986.4</v>
      </c>
      <c r="J1069">
        <v>2235350</v>
      </c>
      <c r="K1069">
        <v>2118362036.1500001</v>
      </c>
      <c r="L1069" s="1">
        <v>45240</v>
      </c>
      <c r="M1069">
        <v>62931</v>
      </c>
      <c r="N1069" t="s">
        <v>3825</v>
      </c>
      <c r="O1069" s="5">
        <v>45240</v>
      </c>
      <c r="P1069" s="5">
        <v>43777</v>
      </c>
      <c r="Q1069" s="3">
        <v>1776.55</v>
      </c>
      <c r="S1069">
        <f t="shared" si="48"/>
        <v>1464</v>
      </c>
      <c r="T1069">
        <f t="shared" si="49"/>
        <v>16.043835616438358</v>
      </c>
      <c r="U1069" s="6">
        <f t="shared" si="50"/>
        <v>-0.15413372591565588</v>
      </c>
    </row>
    <row r="1070" spans="1:21" x14ac:dyDescent="0.25">
      <c r="A1070" t="s">
        <v>3823</v>
      </c>
      <c r="B1070" t="s">
        <v>3824</v>
      </c>
      <c r="C1070" t="s">
        <v>5845</v>
      </c>
      <c r="D1070">
        <v>995</v>
      </c>
      <c r="E1070">
        <v>996</v>
      </c>
      <c r="F1070">
        <v>993</v>
      </c>
      <c r="G1070" s="3">
        <v>993.24</v>
      </c>
      <c r="H1070">
        <v>993</v>
      </c>
      <c r="I1070">
        <v>994.23</v>
      </c>
      <c r="J1070">
        <v>4160</v>
      </c>
      <c r="K1070">
        <v>4132353.77</v>
      </c>
      <c r="L1070" s="1">
        <v>45240</v>
      </c>
      <c r="M1070">
        <v>46</v>
      </c>
      <c r="N1070" t="s">
        <v>6184</v>
      </c>
      <c r="O1070" s="5">
        <v>45240</v>
      </c>
      <c r="P1070" s="5">
        <v>43777</v>
      </c>
      <c r="Q1070" s="3">
        <v>1776.55</v>
      </c>
      <c r="S1070">
        <f t="shared" si="48"/>
        <v>1464</v>
      </c>
      <c r="T1070">
        <f t="shared" si="49"/>
        <v>16.043835616438358</v>
      </c>
      <c r="U1070" s="6">
        <f t="shared" si="50"/>
        <v>-0.14237141328749026</v>
      </c>
    </row>
    <row r="1071" spans="1:21" x14ac:dyDescent="0.25">
      <c r="A1071" t="s">
        <v>3823</v>
      </c>
      <c r="B1071" t="s">
        <v>3824</v>
      </c>
      <c r="C1071" t="s">
        <v>6176</v>
      </c>
      <c r="D1071">
        <v>1015</v>
      </c>
      <c r="E1071">
        <v>1015</v>
      </c>
      <c r="F1071">
        <v>1015</v>
      </c>
      <c r="G1071" s="3">
        <v>1015</v>
      </c>
      <c r="H1071">
        <v>1015</v>
      </c>
      <c r="I1071">
        <v>1015</v>
      </c>
      <c r="J1071">
        <v>90</v>
      </c>
      <c r="K1071">
        <v>91350</v>
      </c>
      <c r="L1071" s="1">
        <v>45240</v>
      </c>
      <c r="M1071">
        <v>2</v>
      </c>
      <c r="N1071" t="s">
        <v>6183</v>
      </c>
      <c r="O1071" s="5">
        <v>45240</v>
      </c>
      <c r="P1071" s="5">
        <v>43777</v>
      </c>
      <c r="Q1071" s="3">
        <v>1776.55</v>
      </c>
      <c r="S1071">
        <f t="shared" si="48"/>
        <v>1464</v>
      </c>
      <c r="T1071">
        <f t="shared" si="49"/>
        <v>16.043835616438358</v>
      </c>
      <c r="U1071" s="6">
        <f t="shared" si="50"/>
        <v>-0.13715711552660315</v>
      </c>
    </row>
    <row r="1072" spans="1:21" x14ac:dyDescent="0.25">
      <c r="A1072" t="s">
        <v>3823</v>
      </c>
      <c r="B1072" t="s">
        <v>3824</v>
      </c>
      <c r="C1072" t="s">
        <v>6182</v>
      </c>
      <c r="D1072">
        <v>999.85</v>
      </c>
      <c r="E1072">
        <v>999.85</v>
      </c>
      <c r="F1072">
        <v>999.85</v>
      </c>
      <c r="G1072" s="3">
        <v>999.85</v>
      </c>
      <c r="H1072">
        <v>999.85</v>
      </c>
      <c r="I1072">
        <v>999.85</v>
      </c>
      <c r="J1072">
        <v>4</v>
      </c>
      <c r="K1072">
        <v>3999.4</v>
      </c>
      <c r="L1072" s="1">
        <v>45240</v>
      </c>
      <c r="M1072">
        <v>1</v>
      </c>
      <c r="N1072" t="s">
        <v>6181</v>
      </c>
      <c r="O1072" s="5">
        <v>45240</v>
      </c>
      <c r="P1072" s="5">
        <v>43777</v>
      </c>
      <c r="Q1072" s="3">
        <v>1776.55</v>
      </c>
      <c r="S1072">
        <f t="shared" si="48"/>
        <v>1464</v>
      </c>
      <c r="T1072">
        <f t="shared" si="49"/>
        <v>16.043835616438358</v>
      </c>
      <c r="U1072" s="6">
        <f t="shared" si="50"/>
        <v>-0.14077623906684256</v>
      </c>
    </row>
    <row r="1073" spans="1:21" x14ac:dyDescent="0.25">
      <c r="A1073" t="s">
        <v>3826</v>
      </c>
      <c r="B1073" t="s">
        <v>3827</v>
      </c>
      <c r="C1073" t="s">
        <v>14</v>
      </c>
      <c r="D1073">
        <v>101.8</v>
      </c>
      <c r="E1073">
        <v>105.3</v>
      </c>
      <c r="F1073">
        <v>101.8</v>
      </c>
      <c r="G1073" s="3">
        <v>102.45</v>
      </c>
      <c r="H1073">
        <v>102.05</v>
      </c>
      <c r="I1073">
        <v>101.7</v>
      </c>
      <c r="J1073">
        <v>805243</v>
      </c>
      <c r="K1073">
        <v>83167447.700000003</v>
      </c>
      <c r="L1073" s="1">
        <v>45240</v>
      </c>
      <c r="M1073">
        <v>8114</v>
      </c>
      <c r="N1073" t="s">
        <v>3828</v>
      </c>
      <c r="O1073" s="5">
        <v>45240</v>
      </c>
      <c r="P1073" s="5">
        <v>43777</v>
      </c>
      <c r="Q1073" s="3">
        <v>27.65</v>
      </c>
      <c r="S1073">
        <f t="shared" si="48"/>
        <v>1464</v>
      </c>
      <c r="T1073">
        <f t="shared" si="49"/>
        <v>16.043835616438358</v>
      </c>
      <c r="U1073" s="6">
        <f t="shared" si="50"/>
        <v>0.34024163765241955</v>
      </c>
    </row>
    <row r="1074" spans="1:21" x14ac:dyDescent="0.25">
      <c r="A1074" t="s">
        <v>3829</v>
      </c>
      <c r="B1074" t="s">
        <v>3830</v>
      </c>
      <c r="C1074" t="s">
        <v>14</v>
      </c>
      <c r="D1074">
        <v>44.3</v>
      </c>
      <c r="E1074">
        <v>44.8</v>
      </c>
      <c r="F1074">
        <v>41.6</v>
      </c>
      <c r="G1074" s="3">
        <v>42.25</v>
      </c>
      <c r="H1074">
        <v>42.6</v>
      </c>
      <c r="I1074">
        <v>43.1</v>
      </c>
      <c r="J1074">
        <v>1782575</v>
      </c>
      <c r="K1074">
        <v>76980732.400000006</v>
      </c>
      <c r="L1074" s="1">
        <v>45240</v>
      </c>
      <c r="M1074">
        <v>5683</v>
      </c>
      <c r="N1074" t="s">
        <v>3831</v>
      </c>
      <c r="O1074" s="5">
        <v>45240</v>
      </c>
      <c r="P1074" s="5">
        <v>43777</v>
      </c>
      <c r="Q1074" s="3">
        <v>5.15</v>
      </c>
      <c r="S1074">
        <f t="shared" si="48"/>
        <v>1464</v>
      </c>
      <c r="T1074">
        <f t="shared" si="49"/>
        <v>16.043835616438358</v>
      </c>
      <c r="U1074" s="6">
        <f t="shared" si="50"/>
        <v>0.56068551828362345</v>
      </c>
    </row>
    <row r="1075" spans="1:21" x14ac:dyDescent="0.25">
      <c r="A1075" t="s">
        <v>3832</v>
      </c>
      <c r="B1075" t="s">
        <v>3833</v>
      </c>
      <c r="C1075" t="s">
        <v>14</v>
      </c>
      <c r="D1075">
        <v>6299</v>
      </c>
      <c r="E1075">
        <v>6310</v>
      </c>
      <c r="F1075">
        <v>6231.45</v>
      </c>
      <c r="G1075" s="3">
        <v>6246.15</v>
      </c>
      <c r="H1075">
        <v>6250</v>
      </c>
      <c r="I1075">
        <v>6319.7</v>
      </c>
      <c r="J1075">
        <v>170878</v>
      </c>
      <c r="K1075">
        <v>1070254317.55</v>
      </c>
      <c r="L1075" s="1">
        <v>45240</v>
      </c>
      <c r="M1075">
        <v>23253</v>
      </c>
      <c r="N1075" t="s">
        <v>3834</v>
      </c>
      <c r="O1075" s="5">
        <v>45240</v>
      </c>
      <c r="P1075" s="5">
        <v>43777</v>
      </c>
      <c r="Q1075" s="3">
        <v>615.04999999999995</v>
      </c>
      <c r="S1075">
        <f t="shared" si="48"/>
        <v>1464</v>
      </c>
      <c r="T1075">
        <f t="shared" si="49"/>
        <v>16.043835616438358</v>
      </c>
      <c r="U1075" s="6">
        <f t="shared" si="50"/>
        <v>0.62175538600967517</v>
      </c>
    </row>
    <row r="1076" spans="1:21" x14ac:dyDescent="0.25">
      <c r="A1076" t="s">
        <v>3835</v>
      </c>
      <c r="B1076" t="s">
        <v>3836</v>
      </c>
      <c r="C1076" t="s">
        <v>14</v>
      </c>
      <c r="D1076">
        <v>193.8</v>
      </c>
      <c r="E1076">
        <v>196.6</v>
      </c>
      <c r="F1076">
        <v>191.7</v>
      </c>
      <c r="G1076" s="3">
        <v>194.7</v>
      </c>
      <c r="H1076">
        <v>194.7</v>
      </c>
      <c r="I1076">
        <v>200.05</v>
      </c>
      <c r="J1076">
        <v>12910371</v>
      </c>
      <c r="K1076">
        <v>2501882694.6500001</v>
      </c>
      <c r="L1076" s="1">
        <v>45240</v>
      </c>
      <c r="M1076">
        <v>43623</v>
      </c>
      <c r="N1076" t="s">
        <v>3837</v>
      </c>
      <c r="O1076" s="5">
        <v>45240</v>
      </c>
      <c r="P1076" s="5">
        <v>43777</v>
      </c>
      <c r="Q1076" s="3">
        <v>283.39999999999998</v>
      </c>
      <c r="S1076">
        <f t="shared" si="48"/>
        <v>1464</v>
      </c>
      <c r="T1076">
        <f t="shared" si="49"/>
        <v>16.043835616438358</v>
      </c>
      <c r="U1076" s="6">
        <f t="shared" si="50"/>
        <v>-9.2506957423248881E-2</v>
      </c>
    </row>
    <row r="1077" spans="1:21" x14ac:dyDescent="0.25">
      <c r="A1077" t="s">
        <v>3838</v>
      </c>
      <c r="B1077" t="s">
        <v>3839</v>
      </c>
      <c r="C1077" t="s">
        <v>14</v>
      </c>
      <c r="D1077">
        <v>276.35000000000002</v>
      </c>
      <c r="E1077">
        <v>288.89999999999998</v>
      </c>
      <c r="F1077">
        <v>276.05</v>
      </c>
      <c r="G1077" s="3">
        <v>287.7</v>
      </c>
      <c r="H1077">
        <v>288.25</v>
      </c>
      <c r="I1077">
        <v>277.3</v>
      </c>
      <c r="J1077">
        <v>26451061</v>
      </c>
      <c r="K1077">
        <v>7506768536.3999996</v>
      </c>
      <c r="L1077" s="1">
        <v>45240</v>
      </c>
      <c r="M1077">
        <v>145338</v>
      </c>
      <c r="N1077" t="s">
        <v>3840</v>
      </c>
      <c r="O1077" s="5">
        <v>45240</v>
      </c>
      <c r="P1077" s="5">
        <v>43777</v>
      </c>
      <c r="Q1077" s="3">
        <v>111.05</v>
      </c>
      <c r="S1077">
        <f t="shared" si="48"/>
        <v>1464</v>
      </c>
      <c r="T1077">
        <f t="shared" si="49"/>
        <v>16.043835616438358</v>
      </c>
      <c r="U1077" s="6">
        <f t="shared" si="50"/>
        <v>0.24451648468006493</v>
      </c>
    </row>
    <row r="1078" spans="1:21" x14ac:dyDescent="0.25">
      <c r="A1078" t="s">
        <v>3838</v>
      </c>
      <c r="B1078" t="s">
        <v>3839</v>
      </c>
      <c r="C1078" t="s">
        <v>6176</v>
      </c>
      <c r="D1078">
        <v>1116</v>
      </c>
      <c r="E1078">
        <v>1125</v>
      </c>
      <c r="F1078">
        <v>1116</v>
      </c>
      <c r="G1078" s="3">
        <v>1116.6600000000001</v>
      </c>
      <c r="H1078">
        <v>1125</v>
      </c>
      <c r="I1078">
        <v>1115</v>
      </c>
      <c r="J1078">
        <v>270</v>
      </c>
      <c r="K1078">
        <v>301500</v>
      </c>
      <c r="L1078" s="1">
        <v>45240</v>
      </c>
      <c r="M1078">
        <v>4</v>
      </c>
      <c r="N1078" t="s">
        <v>6175</v>
      </c>
      <c r="O1078" s="5">
        <v>45240</v>
      </c>
      <c r="P1078" s="5">
        <v>43777</v>
      </c>
      <c r="Q1078" s="3">
        <v>111.05</v>
      </c>
      <c r="S1078">
        <f t="shared" si="48"/>
        <v>1464</v>
      </c>
      <c r="T1078">
        <f t="shared" si="49"/>
        <v>16.043835616438358</v>
      </c>
      <c r="U1078" s="6">
        <f t="shared" si="50"/>
        <v>0.61890431848941407</v>
      </c>
    </row>
    <row r="1079" spans="1:21" x14ac:dyDescent="0.25">
      <c r="A1079" t="s">
        <v>3838</v>
      </c>
      <c r="B1079" t="s">
        <v>3839</v>
      </c>
      <c r="C1079" t="s">
        <v>6174</v>
      </c>
      <c r="D1079">
        <v>1098</v>
      </c>
      <c r="E1079">
        <v>1098</v>
      </c>
      <c r="F1079">
        <v>1098</v>
      </c>
      <c r="G1079" s="3">
        <v>1098</v>
      </c>
      <c r="H1079">
        <v>1098</v>
      </c>
      <c r="I1079">
        <v>1098</v>
      </c>
      <c r="J1079">
        <v>388</v>
      </c>
      <c r="K1079">
        <v>426024</v>
      </c>
      <c r="L1079" s="1">
        <v>45240</v>
      </c>
      <c r="M1079">
        <v>5</v>
      </c>
      <c r="N1079" t="s">
        <v>6173</v>
      </c>
      <c r="O1079" s="5">
        <v>45240</v>
      </c>
      <c r="P1079" s="5">
        <v>43777</v>
      </c>
      <c r="Q1079" s="3">
        <v>111.05</v>
      </c>
      <c r="S1079">
        <f t="shared" si="48"/>
        <v>1464</v>
      </c>
      <c r="T1079">
        <f t="shared" si="49"/>
        <v>16.043835616438358</v>
      </c>
      <c r="U1079" s="6">
        <f t="shared" si="50"/>
        <v>0.6140553702185132</v>
      </c>
    </row>
    <row r="1080" spans="1:21" x14ac:dyDescent="0.25">
      <c r="A1080" t="s">
        <v>3841</v>
      </c>
      <c r="B1080" t="s">
        <v>3842</v>
      </c>
      <c r="C1080" t="s">
        <v>14</v>
      </c>
      <c r="D1080">
        <v>3911.5</v>
      </c>
      <c r="E1080">
        <v>3911.5</v>
      </c>
      <c r="F1080">
        <v>3876.35</v>
      </c>
      <c r="G1080" s="3">
        <v>3889.7</v>
      </c>
      <c r="H1080">
        <v>3886</v>
      </c>
      <c r="I1080">
        <v>3891.05</v>
      </c>
      <c r="J1080">
        <v>6662</v>
      </c>
      <c r="K1080">
        <v>25895088.75</v>
      </c>
      <c r="L1080" s="1">
        <v>45240</v>
      </c>
      <c r="M1080">
        <v>1629</v>
      </c>
      <c r="N1080" t="s">
        <v>3843</v>
      </c>
      <c r="O1080" s="5">
        <v>45240</v>
      </c>
      <c r="P1080" s="5">
        <v>43777</v>
      </c>
      <c r="Q1080" s="3">
        <v>4025.2</v>
      </c>
      <c r="S1080">
        <f t="shared" si="48"/>
        <v>1464</v>
      </c>
      <c r="T1080">
        <f t="shared" si="49"/>
        <v>16.043835616438358</v>
      </c>
      <c r="U1080" s="6">
        <f t="shared" si="50"/>
        <v>-8.5281474755465325E-3</v>
      </c>
    </row>
    <row r="1081" spans="1:21" x14ac:dyDescent="0.25">
      <c r="A1081" t="s">
        <v>3844</v>
      </c>
      <c r="B1081" t="s">
        <v>3845</v>
      </c>
      <c r="C1081" t="s">
        <v>14</v>
      </c>
      <c r="D1081">
        <v>100.85</v>
      </c>
      <c r="E1081">
        <v>101.85</v>
      </c>
      <c r="F1081">
        <v>97</v>
      </c>
      <c r="G1081" s="3">
        <v>99.7</v>
      </c>
      <c r="H1081">
        <v>100</v>
      </c>
      <c r="I1081">
        <v>101.05</v>
      </c>
      <c r="J1081">
        <v>128900</v>
      </c>
      <c r="K1081">
        <v>12810231.75</v>
      </c>
      <c r="L1081" s="1">
        <v>45240</v>
      </c>
      <c r="M1081">
        <v>2213</v>
      </c>
      <c r="N1081" t="s">
        <v>3846</v>
      </c>
      <c r="O1081" s="5">
        <v>45240</v>
      </c>
      <c r="P1081" s="5">
        <v>43777</v>
      </c>
      <c r="Q1081" s="3">
        <v>84.15</v>
      </c>
      <c r="S1081">
        <f t="shared" si="48"/>
        <v>1464</v>
      </c>
      <c r="T1081">
        <f t="shared" si="49"/>
        <v>16.043835616438358</v>
      </c>
      <c r="U1081" s="6">
        <f t="shared" si="50"/>
        <v>4.2499556097967073E-2</v>
      </c>
    </row>
    <row r="1082" spans="1:21" x14ac:dyDescent="0.25">
      <c r="A1082" t="s">
        <v>3847</v>
      </c>
      <c r="B1082" t="s">
        <v>3848</v>
      </c>
      <c r="C1082" t="s">
        <v>14</v>
      </c>
      <c r="D1082">
        <v>32.25</v>
      </c>
      <c r="E1082">
        <v>33</v>
      </c>
      <c r="F1082">
        <v>32.1</v>
      </c>
      <c r="G1082" s="3">
        <v>32.549999999999997</v>
      </c>
      <c r="H1082">
        <v>32.65</v>
      </c>
      <c r="I1082">
        <v>32.299999999999997</v>
      </c>
      <c r="J1082">
        <v>4193775</v>
      </c>
      <c r="K1082">
        <v>136438417.59999999</v>
      </c>
      <c r="L1082" s="1">
        <v>45240</v>
      </c>
      <c r="M1082">
        <v>7724</v>
      </c>
      <c r="N1082" t="s">
        <v>3849</v>
      </c>
      <c r="O1082" s="5">
        <v>45240</v>
      </c>
      <c r="P1082" s="5">
        <v>43777</v>
      </c>
      <c r="Q1082" s="3">
        <v>13.15</v>
      </c>
      <c r="S1082">
        <f t="shared" si="48"/>
        <v>1464</v>
      </c>
      <c r="T1082">
        <f t="shared" si="49"/>
        <v>16.043835616438358</v>
      </c>
      <c r="U1082" s="6">
        <f t="shared" si="50"/>
        <v>0.23247451145872233</v>
      </c>
    </row>
    <row r="1083" spans="1:21" x14ac:dyDescent="0.25">
      <c r="A1083" t="s">
        <v>3850</v>
      </c>
      <c r="B1083" t="s">
        <v>3851</v>
      </c>
      <c r="C1083" t="s">
        <v>14</v>
      </c>
      <c r="D1083">
        <v>2050</v>
      </c>
      <c r="E1083">
        <v>2069.1</v>
      </c>
      <c r="F1083">
        <v>2018</v>
      </c>
      <c r="G1083" s="3">
        <v>2026.65</v>
      </c>
      <c r="H1083">
        <v>2025.1</v>
      </c>
      <c r="I1083">
        <v>2047.7</v>
      </c>
      <c r="J1083">
        <v>28956</v>
      </c>
      <c r="K1083">
        <v>59016174.700000003</v>
      </c>
      <c r="L1083" s="1">
        <v>45240</v>
      </c>
      <c r="M1083">
        <v>5188</v>
      </c>
      <c r="N1083" t="s">
        <v>3852</v>
      </c>
      <c r="O1083" s="5">
        <v>45240</v>
      </c>
      <c r="P1083" s="5">
        <v>43777</v>
      </c>
      <c r="Q1083" s="3">
        <v>39.35</v>
      </c>
      <c r="S1083">
        <f t="shared" si="48"/>
        <v>1464</v>
      </c>
      <c r="T1083">
        <f t="shared" si="49"/>
        <v>16.043835616438358</v>
      </c>
      <c r="U1083" s="6">
        <f t="shared" si="50"/>
        <v>1.1139596372747178</v>
      </c>
    </row>
    <row r="1084" spans="1:21" x14ac:dyDescent="0.25">
      <c r="A1084" t="s">
        <v>3853</v>
      </c>
      <c r="B1084" t="s">
        <v>3854</v>
      </c>
      <c r="C1084" t="s">
        <v>14</v>
      </c>
      <c r="D1084">
        <v>17320.150000000001</v>
      </c>
      <c r="E1084">
        <v>17965.650000000001</v>
      </c>
      <c r="F1084">
        <v>17250.05</v>
      </c>
      <c r="G1084" s="3">
        <v>17810.7</v>
      </c>
      <c r="H1084">
        <v>17700</v>
      </c>
      <c r="I1084">
        <v>17223.95</v>
      </c>
      <c r="J1084">
        <v>13962</v>
      </c>
      <c r="K1084">
        <v>246569072.05000001</v>
      </c>
      <c r="L1084" s="1">
        <v>45240</v>
      </c>
      <c r="M1084">
        <v>6484</v>
      </c>
      <c r="N1084" t="s">
        <v>3855</v>
      </c>
      <c r="O1084" s="5">
        <v>45240</v>
      </c>
      <c r="P1084" s="5">
        <v>43777</v>
      </c>
      <c r="Q1084" s="3">
        <v>11379.9</v>
      </c>
      <c r="S1084">
        <f t="shared" si="48"/>
        <v>1464</v>
      </c>
      <c r="T1084">
        <f t="shared" si="49"/>
        <v>16.043835616438358</v>
      </c>
      <c r="U1084" s="6">
        <f t="shared" si="50"/>
        <v>0.11325542516554687</v>
      </c>
    </row>
    <row r="1085" spans="1:21" x14ac:dyDescent="0.25">
      <c r="A1085" t="s">
        <v>3856</v>
      </c>
      <c r="B1085" t="s">
        <v>3857</v>
      </c>
      <c r="C1085" t="s">
        <v>14</v>
      </c>
      <c r="D1085">
        <v>5168.75</v>
      </c>
      <c r="E1085">
        <v>5244.9</v>
      </c>
      <c r="F1085">
        <v>5148.3500000000004</v>
      </c>
      <c r="G1085" s="3">
        <v>5209.55</v>
      </c>
      <c r="H1085">
        <v>5210</v>
      </c>
      <c r="I1085">
        <v>5168.75</v>
      </c>
      <c r="J1085">
        <v>4141</v>
      </c>
      <c r="K1085">
        <v>21499500.199999999</v>
      </c>
      <c r="L1085" s="1">
        <v>45240</v>
      </c>
      <c r="M1085">
        <v>1311</v>
      </c>
      <c r="N1085" t="s">
        <v>3858</v>
      </c>
      <c r="O1085" s="5">
        <v>45240</v>
      </c>
      <c r="P1085" s="5">
        <v>43777</v>
      </c>
      <c r="Q1085" s="3">
        <v>4357.8500000000004</v>
      </c>
      <c r="S1085">
        <f t="shared" si="48"/>
        <v>1464</v>
      </c>
      <c r="T1085">
        <f t="shared" si="49"/>
        <v>16.043835616438358</v>
      </c>
      <c r="U1085" s="6">
        <f t="shared" si="50"/>
        <v>4.4755256582358349E-2</v>
      </c>
    </row>
    <row r="1086" spans="1:21" x14ac:dyDescent="0.25">
      <c r="A1086" t="s">
        <v>3859</v>
      </c>
      <c r="B1086" t="s">
        <v>3860</v>
      </c>
      <c r="C1086" t="s">
        <v>10</v>
      </c>
      <c r="D1086">
        <v>1317.95</v>
      </c>
      <c r="E1086">
        <v>1317.95</v>
      </c>
      <c r="F1086">
        <v>1240.6500000000001</v>
      </c>
      <c r="G1086" s="3">
        <v>1259.4000000000001</v>
      </c>
      <c r="H1086">
        <v>1260</v>
      </c>
      <c r="I1086">
        <v>1305.95</v>
      </c>
      <c r="J1086">
        <v>25625</v>
      </c>
      <c r="K1086">
        <v>32034284.25</v>
      </c>
      <c r="L1086" s="1">
        <v>45240</v>
      </c>
      <c r="M1086">
        <v>717</v>
      </c>
      <c r="N1086" t="s">
        <v>3861</v>
      </c>
      <c r="O1086" s="5">
        <v>45240</v>
      </c>
      <c r="P1086" s="5">
        <v>43777</v>
      </c>
      <c r="Q1086" s="3">
        <v>181.8</v>
      </c>
      <c r="S1086">
        <f t="shared" si="48"/>
        <v>1464</v>
      </c>
      <c r="T1086">
        <f t="shared" si="49"/>
        <v>16.043835616438358</v>
      </c>
      <c r="U1086" s="6">
        <f t="shared" si="50"/>
        <v>0.51286211652694824</v>
      </c>
    </row>
    <row r="1087" spans="1:21" x14ac:dyDescent="0.25">
      <c r="A1087" t="s">
        <v>3862</v>
      </c>
      <c r="B1087" t="s">
        <v>3863</v>
      </c>
      <c r="C1087" t="s">
        <v>14</v>
      </c>
      <c r="D1087">
        <v>2060.0500000000002</v>
      </c>
      <c r="E1087">
        <v>2060.0500000000002</v>
      </c>
      <c r="F1087">
        <v>2012.2</v>
      </c>
      <c r="G1087" s="3">
        <v>2030.25</v>
      </c>
      <c r="H1087">
        <v>2038</v>
      </c>
      <c r="I1087">
        <v>2064.15</v>
      </c>
      <c r="J1087">
        <v>172634</v>
      </c>
      <c r="K1087">
        <v>350739289.19999999</v>
      </c>
      <c r="L1087" s="1">
        <v>45240</v>
      </c>
      <c r="M1087">
        <v>22345</v>
      </c>
      <c r="N1087" t="s">
        <v>3864</v>
      </c>
      <c r="O1087" s="5">
        <v>45240</v>
      </c>
      <c r="P1087" s="5">
        <v>43777</v>
      </c>
      <c r="Q1087" s="3">
        <v>731.75</v>
      </c>
      <c r="S1087">
        <f t="shared" si="48"/>
        <v>1464</v>
      </c>
      <c r="T1087">
        <f t="shared" si="49"/>
        <v>16.043835616438358</v>
      </c>
      <c r="U1087" s="6">
        <f t="shared" si="50"/>
        <v>0.26268739531382579</v>
      </c>
    </row>
    <row r="1088" spans="1:21" x14ac:dyDescent="0.25">
      <c r="A1088" t="s">
        <v>3865</v>
      </c>
      <c r="B1088" t="s">
        <v>3866</v>
      </c>
      <c r="C1088" t="s">
        <v>14</v>
      </c>
      <c r="D1088">
        <v>2457.5500000000002</v>
      </c>
      <c r="E1088">
        <v>2470</v>
      </c>
      <c r="F1088">
        <v>2418.8000000000002</v>
      </c>
      <c r="G1088" s="3">
        <v>2432.35</v>
      </c>
      <c r="H1088">
        <v>2435.85</v>
      </c>
      <c r="I1088">
        <v>2457.5500000000002</v>
      </c>
      <c r="J1088">
        <v>326200</v>
      </c>
      <c r="K1088">
        <v>793363467.25</v>
      </c>
      <c r="L1088" s="1">
        <v>45240</v>
      </c>
      <c r="M1088">
        <v>24449</v>
      </c>
      <c r="N1088" t="s">
        <v>3867</v>
      </c>
      <c r="O1088" s="5">
        <v>45240</v>
      </c>
      <c r="P1088" s="5">
        <v>43777</v>
      </c>
      <c r="Q1088" s="3">
        <v>1354.15</v>
      </c>
      <c r="S1088">
        <f t="shared" si="48"/>
        <v>1464</v>
      </c>
      <c r="T1088">
        <f t="shared" si="49"/>
        <v>16.043835616438358</v>
      </c>
      <c r="U1088" s="6">
        <f t="shared" si="50"/>
        <v>0.14871891581639751</v>
      </c>
    </row>
    <row r="1089" spans="1:21" x14ac:dyDescent="0.25">
      <c r="A1089" t="s">
        <v>3871</v>
      </c>
      <c r="B1089" t="s">
        <v>3872</v>
      </c>
      <c r="C1089" t="s">
        <v>14</v>
      </c>
      <c r="D1089">
        <v>3675</v>
      </c>
      <c r="E1089">
        <v>3739</v>
      </c>
      <c r="F1089">
        <v>3590.3</v>
      </c>
      <c r="G1089" s="3">
        <v>3687.35</v>
      </c>
      <c r="H1089">
        <v>3692</v>
      </c>
      <c r="I1089">
        <v>3647.85</v>
      </c>
      <c r="J1089">
        <v>674266</v>
      </c>
      <c r="K1089">
        <v>2489388287.8000002</v>
      </c>
      <c r="L1089" s="1">
        <v>45240</v>
      </c>
      <c r="M1089">
        <v>53534</v>
      </c>
      <c r="N1089" t="s">
        <v>3873</v>
      </c>
      <c r="O1089" s="5">
        <v>45240</v>
      </c>
      <c r="P1089" s="5">
        <v>43777</v>
      </c>
      <c r="Q1089" s="3">
        <v>1400.25</v>
      </c>
      <c r="S1089">
        <f t="shared" si="48"/>
        <v>1464</v>
      </c>
      <c r="T1089">
        <f t="shared" si="49"/>
        <v>16.043835616438358</v>
      </c>
      <c r="U1089" s="6">
        <f t="shared" si="50"/>
        <v>0.24883613488370671</v>
      </c>
    </row>
    <row r="1090" spans="1:21" x14ac:dyDescent="0.25">
      <c r="A1090" t="s">
        <v>3874</v>
      </c>
      <c r="B1090" t="s">
        <v>3875</v>
      </c>
      <c r="C1090" t="s">
        <v>14</v>
      </c>
      <c r="D1090">
        <v>2350</v>
      </c>
      <c r="E1090">
        <v>2375.9499999999998</v>
      </c>
      <c r="F1090">
        <v>2298.0500000000002</v>
      </c>
      <c r="G1090" s="3">
        <v>2338</v>
      </c>
      <c r="H1090">
        <v>2326.0500000000002</v>
      </c>
      <c r="I1090">
        <v>2341.6999999999998</v>
      </c>
      <c r="J1090">
        <v>3165</v>
      </c>
      <c r="K1090">
        <v>7404162.5499999998</v>
      </c>
      <c r="L1090" s="1">
        <v>45240</v>
      </c>
      <c r="M1090">
        <v>723</v>
      </c>
      <c r="N1090" t="s">
        <v>3876</v>
      </c>
      <c r="O1090" s="5">
        <v>45240</v>
      </c>
      <c r="P1090" s="5">
        <v>43777</v>
      </c>
      <c r="Q1090" s="3">
        <v>1792.7</v>
      </c>
      <c r="S1090">
        <f t="shared" si="48"/>
        <v>1464</v>
      </c>
      <c r="T1090">
        <f t="shared" si="49"/>
        <v>16.043835616438358</v>
      </c>
      <c r="U1090" s="6">
        <f t="shared" si="50"/>
        <v>6.6762884950898993E-2</v>
      </c>
    </row>
    <row r="1091" spans="1:21" x14ac:dyDescent="0.25">
      <c r="A1091" t="s">
        <v>3877</v>
      </c>
      <c r="B1091" t="s">
        <v>3878</v>
      </c>
      <c r="C1091" t="s">
        <v>14</v>
      </c>
      <c r="D1091">
        <v>9.9</v>
      </c>
      <c r="E1091">
        <v>10.1</v>
      </c>
      <c r="F1091">
        <v>9.9</v>
      </c>
      <c r="G1091" s="3">
        <v>10.050000000000001</v>
      </c>
      <c r="H1091">
        <v>10.1</v>
      </c>
      <c r="I1091">
        <v>9.9499999999999993</v>
      </c>
      <c r="J1091">
        <v>199012</v>
      </c>
      <c r="K1091">
        <v>1997393.6</v>
      </c>
      <c r="L1091" s="1">
        <v>45240</v>
      </c>
      <c r="M1091">
        <v>301</v>
      </c>
      <c r="N1091" t="s">
        <v>3879</v>
      </c>
      <c r="O1091" s="5">
        <v>45240</v>
      </c>
      <c r="P1091" s="5">
        <v>43777</v>
      </c>
      <c r="Q1091" s="3">
        <v>5.6</v>
      </c>
      <c r="S1091">
        <f t="shared" ref="S1091:S1154" si="51">O1091-P1091+1</f>
        <v>1464</v>
      </c>
      <c r="T1091">
        <f t="shared" ref="T1091:T1154" si="52">(S1091/365)*4</f>
        <v>16.043835616438358</v>
      </c>
      <c r="U1091" s="6">
        <f t="shared" ref="U1091:U1154" si="53">(((G1091/Q1091)^(1/T1091))-1)*4</f>
        <v>0.14849191406941475</v>
      </c>
    </row>
    <row r="1092" spans="1:21" x14ac:dyDescent="0.25">
      <c r="A1092" t="s">
        <v>3880</v>
      </c>
      <c r="B1092" t="s">
        <v>3881</v>
      </c>
      <c r="C1092" t="s">
        <v>10</v>
      </c>
      <c r="D1092">
        <v>55.2</v>
      </c>
      <c r="E1092">
        <v>55.25</v>
      </c>
      <c r="F1092">
        <v>51.55</v>
      </c>
      <c r="G1092" s="3">
        <v>52.65</v>
      </c>
      <c r="H1092">
        <v>52.6</v>
      </c>
      <c r="I1092">
        <v>52.9</v>
      </c>
      <c r="J1092">
        <v>21127</v>
      </c>
      <c r="K1092">
        <v>1128982.8</v>
      </c>
      <c r="L1092" s="1">
        <v>45240</v>
      </c>
      <c r="M1092">
        <v>113</v>
      </c>
      <c r="N1092" t="s">
        <v>3882</v>
      </c>
      <c r="O1092" s="5">
        <v>45240</v>
      </c>
      <c r="P1092" s="5">
        <v>43777</v>
      </c>
      <c r="Q1092" s="3">
        <v>27.45</v>
      </c>
      <c r="S1092">
        <f t="shared" si="51"/>
        <v>1464</v>
      </c>
      <c r="T1092">
        <f t="shared" si="52"/>
        <v>16.043835616438358</v>
      </c>
      <c r="U1092" s="6">
        <f t="shared" si="53"/>
        <v>0.16572110988645505</v>
      </c>
    </row>
    <row r="1093" spans="1:21" x14ac:dyDescent="0.25">
      <c r="A1093" t="s">
        <v>3883</v>
      </c>
      <c r="B1093" t="s">
        <v>3884</v>
      </c>
      <c r="C1093" t="s">
        <v>14</v>
      </c>
      <c r="D1093">
        <v>700</v>
      </c>
      <c r="E1093">
        <v>700</v>
      </c>
      <c r="F1093">
        <v>683.05</v>
      </c>
      <c r="G1093" s="3">
        <v>697.25</v>
      </c>
      <c r="H1093">
        <v>697</v>
      </c>
      <c r="I1093">
        <v>692.55</v>
      </c>
      <c r="J1093">
        <v>135506</v>
      </c>
      <c r="K1093">
        <v>93960448.200000003</v>
      </c>
      <c r="L1093" s="1">
        <v>45240</v>
      </c>
      <c r="M1093">
        <v>6275</v>
      </c>
      <c r="N1093" t="s">
        <v>3885</v>
      </c>
      <c r="O1093" s="5">
        <v>45240</v>
      </c>
      <c r="P1093" s="5">
        <v>43777</v>
      </c>
      <c r="Q1093" s="3">
        <v>40.200000000000003</v>
      </c>
      <c r="S1093">
        <f t="shared" si="51"/>
        <v>1464</v>
      </c>
      <c r="T1093">
        <f t="shared" si="52"/>
        <v>16.043835616438358</v>
      </c>
      <c r="U1093" s="6">
        <f t="shared" si="53"/>
        <v>0.778548960263997</v>
      </c>
    </row>
    <row r="1094" spans="1:21" x14ac:dyDescent="0.25">
      <c r="A1094" t="s">
        <v>3892</v>
      </c>
      <c r="B1094" t="s">
        <v>3893</v>
      </c>
      <c r="C1094" t="s">
        <v>14</v>
      </c>
      <c r="D1094">
        <v>305.05</v>
      </c>
      <c r="E1094">
        <v>318</v>
      </c>
      <c r="F1094">
        <v>305.05</v>
      </c>
      <c r="G1094" s="3">
        <v>309.89999999999998</v>
      </c>
      <c r="H1094">
        <v>312.5</v>
      </c>
      <c r="I1094">
        <v>305.05</v>
      </c>
      <c r="J1094">
        <v>93999</v>
      </c>
      <c r="K1094">
        <v>29236165.850000001</v>
      </c>
      <c r="L1094" s="1">
        <v>45240</v>
      </c>
      <c r="M1094">
        <v>5383</v>
      </c>
      <c r="N1094" t="s">
        <v>3894</v>
      </c>
      <c r="O1094" s="5">
        <v>45240</v>
      </c>
      <c r="P1094" s="5">
        <v>43777</v>
      </c>
      <c r="Q1094" s="3">
        <v>176.9</v>
      </c>
      <c r="S1094">
        <f t="shared" si="51"/>
        <v>1464</v>
      </c>
      <c r="T1094">
        <f t="shared" si="52"/>
        <v>16.043835616438358</v>
      </c>
      <c r="U1094" s="6">
        <f t="shared" si="53"/>
        <v>0.14225442038149616</v>
      </c>
    </row>
    <row r="1095" spans="1:21" x14ac:dyDescent="0.25">
      <c r="A1095" t="s">
        <v>3898</v>
      </c>
      <c r="B1095" t="s">
        <v>3899</v>
      </c>
      <c r="C1095" t="s">
        <v>14</v>
      </c>
      <c r="D1095">
        <v>75.900000000000006</v>
      </c>
      <c r="E1095">
        <v>76.400000000000006</v>
      </c>
      <c r="F1095">
        <v>75.5</v>
      </c>
      <c r="G1095" s="3">
        <v>76.25</v>
      </c>
      <c r="H1095">
        <v>76.349999999999994</v>
      </c>
      <c r="I1095">
        <v>76</v>
      </c>
      <c r="J1095">
        <v>19806827</v>
      </c>
      <c r="K1095">
        <v>1504962050.75</v>
      </c>
      <c r="L1095" s="1">
        <v>45240</v>
      </c>
      <c r="M1095">
        <v>41755</v>
      </c>
      <c r="N1095" t="s">
        <v>3900</v>
      </c>
      <c r="O1095" s="5">
        <v>45240</v>
      </c>
      <c r="P1095" s="5">
        <v>43777</v>
      </c>
      <c r="Q1095" s="3">
        <v>61.45</v>
      </c>
      <c r="S1095">
        <f t="shared" si="51"/>
        <v>1464</v>
      </c>
      <c r="T1095">
        <f t="shared" si="52"/>
        <v>16.043835616438358</v>
      </c>
      <c r="U1095" s="6">
        <f t="shared" si="53"/>
        <v>5.4164440915990042E-2</v>
      </c>
    </row>
    <row r="1096" spans="1:21" x14ac:dyDescent="0.25">
      <c r="A1096" t="s">
        <v>3901</v>
      </c>
      <c r="B1096" t="s">
        <v>3902</v>
      </c>
      <c r="C1096" t="s">
        <v>14</v>
      </c>
      <c r="D1096">
        <v>98.9</v>
      </c>
      <c r="E1096">
        <v>102.95</v>
      </c>
      <c r="F1096">
        <v>97.3</v>
      </c>
      <c r="G1096" s="3">
        <v>97.85</v>
      </c>
      <c r="H1096">
        <v>97.9</v>
      </c>
      <c r="I1096">
        <v>100.85</v>
      </c>
      <c r="J1096">
        <v>4553879</v>
      </c>
      <c r="K1096">
        <v>454198051.69999999</v>
      </c>
      <c r="L1096" s="1">
        <v>45240</v>
      </c>
      <c r="M1096">
        <v>14963</v>
      </c>
      <c r="N1096" t="s">
        <v>3903</v>
      </c>
      <c r="O1096" s="5">
        <v>45240</v>
      </c>
      <c r="P1096" s="5">
        <v>43777</v>
      </c>
      <c r="Q1096" s="3">
        <v>28.45</v>
      </c>
      <c r="S1096">
        <f t="shared" si="51"/>
        <v>1464</v>
      </c>
      <c r="T1096">
        <f t="shared" si="52"/>
        <v>16.043835616438358</v>
      </c>
      <c r="U1096" s="6">
        <f t="shared" si="53"/>
        <v>0.32014466100830941</v>
      </c>
    </row>
    <row r="1097" spans="1:21" x14ac:dyDescent="0.25">
      <c r="A1097" t="s">
        <v>3904</v>
      </c>
      <c r="B1097" t="s">
        <v>3905</v>
      </c>
      <c r="C1097" t="s">
        <v>14</v>
      </c>
      <c r="D1097">
        <v>745.25</v>
      </c>
      <c r="E1097">
        <v>750.8</v>
      </c>
      <c r="F1097">
        <v>736.8</v>
      </c>
      <c r="G1097" s="3">
        <v>743.6</v>
      </c>
      <c r="H1097">
        <v>740.35</v>
      </c>
      <c r="I1097">
        <v>745.25</v>
      </c>
      <c r="J1097">
        <v>108799</v>
      </c>
      <c r="K1097">
        <v>80989750.599999994</v>
      </c>
      <c r="L1097" s="1">
        <v>45240</v>
      </c>
      <c r="M1097">
        <v>6841</v>
      </c>
      <c r="N1097" t="s">
        <v>3906</v>
      </c>
      <c r="O1097" s="5">
        <v>45240</v>
      </c>
      <c r="P1097" s="5">
        <v>43777</v>
      </c>
      <c r="Q1097" s="3">
        <v>570.5</v>
      </c>
      <c r="S1097">
        <f t="shared" si="51"/>
        <v>1464</v>
      </c>
      <c r="T1097">
        <f t="shared" si="52"/>
        <v>16.043835616438358</v>
      </c>
      <c r="U1097" s="6">
        <f t="shared" si="53"/>
        <v>6.6615131828410945E-2</v>
      </c>
    </row>
    <row r="1098" spans="1:21" x14ac:dyDescent="0.25">
      <c r="A1098" t="s">
        <v>3907</v>
      </c>
      <c r="B1098" t="s">
        <v>3908</v>
      </c>
      <c r="C1098" t="s">
        <v>14</v>
      </c>
      <c r="D1098">
        <v>42</v>
      </c>
      <c r="E1098">
        <v>42.3</v>
      </c>
      <c r="F1098">
        <v>39.9</v>
      </c>
      <c r="G1098" s="3">
        <v>40.6</v>
      </c>
      <c r="H1098">
        <v>40.1</v>
      </c>
      <c r="I1098">
        <v>40.799999999999997</v>
      </c>
      <c r="J1098">
        <v>126484</v>
      </c>
      <c r="K1098">
        <v>5184790.6500000004</v>
      </c>
      <c r="L1098" s="1">
        <v>45240</v>
      </c>
      <c r="M1098">
        <v>1879</v>
      </c>
      <c r="N1098" t="s">
        <v>3909</v>
      </c>
      <c r="O1098" s="5">
        <v>45240</v>
      </c>
      <c r="P1098" s="5">
        <v>43777</v>
      </c>
      <c r="Q1098" s="3">
        <v>13.95</v>
      </c>
      <c r="S1098">
        <f t="shared" si="51"/>
        <v>1464</v>
      </c>
      <c r="T1098">
        <f t="shared" si="52"/>
        <v>16.043835616438358</v>
      </c>
      <c r="U1098" s="6">
        <f t="shared" si="53"/>
        <v>0.27540985236395077</v>
      </c>
    </row>
    <row r="1099" spans="1:21" x14ac:dyDescent="0.25">
      <c r="A1099" t="s">
        <v>3910</v>
      </c>
      <c r="B1099" t="s">
        <v>3911</v>
      </c>
      <c r="C1099" t="s">
        <v>14</v>
      </c>
      <c r="D1099">
        <v>312.14999999999998</v>
      </c>
      <c r="E1099">
        <v>326</v>
      </c>
      <c r="F1099">
        <v>312</v>
      </c>
      <c r="G1099" s="3">
        <v>316.05</v>
      </c>
      <c r="H1099">
        <v>317.7</v>
      </c>
      <c r="I1099">
        <v>310.55</v>
      </c>
      <c r="J1099">
        <v>888351</v>
      </c>
      <c r="K1099">
        <v>283645305.75</v>
      </c>
      <c r="L1099" s="1">
        <v>45240</v>
      </c>
      <c r="M1099">
        <v>27243</v>
      </c>
      <c r="N1099" t="s">
        <v>3912</v>
      </c>
      <c r="O1099" s="5">
        <v>45240</v>
      </c>
      <c r="P1099" s="5">
        <v>43777</v>
      </c>
      <c r="Q1099" s="3">
        <v>174.75</v>
      </c>
      <c r="S1099">
        <f t="shared" si="51"/>
        <v>1464</v>
      </c>
      <c r="T1099">
        <f t="shared" si="52"/>
        <v>16.043835616438358</v>
      </c>
      <c r="U1099" s="6">
        <f t="shared" si="53"/>
        <v>0.15049323217613875</v>
      </c>
    </row>
    <row r="1100" spans="1:21" x14ac:dyDescent="0.25">
      <c r="A1100" t="s">
        <v>3916</v>
      </c>
      <c r="B1100" t="s">
        <v>3917</v>
      </c>
      <c r="C1100" t="s">
        <v>786</v>
      </c>
      <c r="D1100">
        <v>152.94999999999999</v>
      </c>
      <c r="E1100">
        <v>152.94999999999999</v>
      </c>
      <c r="F1100">
        <v>142.69999999999999</v>
      </c>
      <c r="G1100" s="3">
        <v>148.35</v>
      </c>
      <c r="H1100">
        <v>148.94999999999999</v>
      </c>
      <c r="I1100">
        <v>145.85</v>
      </c>
      <c r="J1100">
        <v>241</v>
      </c>
      <c r="K1100">
        <v>35951.949999999997</v>
      </c>
      <c r="L1100" s="1">
        <v>45240</v>
      </c>
      <c r="M1100">
        <v>15</v>
      </c>
      <c r="N1100" t="s">
        <v>3918</v>
      </c>
      <c r="O1100" s="5">
        <v>45240</v>
      </c>
      <c r="P1100" s="5">
        <v>43777</v>
      </c>
      <c r="Q1100" s="3">
        <v>373</v>
      </c>
      <c r="S1100">
        <f t="shared" si="51"/>
        <v>1464</v>
      </c>
      <c r="T1100">
        <f t="shared" si="52"/>
        <v>16.043835616438358</v>
      </c>
      <c r="U1100" s="6">
        <f t="shared" si="53"/>
        <v>-0.22339086572078326</v>
      </c>
    </row>
    <row r="1101" spans="1:21" x14ac:dyDescent="0.25">
      <c r="A1101" t="s">
        <v>3919</v>
      </c>
      <c r="B1101" t="s">
        <v>3920</v>
      </c>
      <c r="C1101" t="s">
        <v>14</v>
      </c>
      <c r="D1101">
        <v>357.6</v>
      </c>
      <c r="E1101">
        <v>359.5</v>
      </c>
      <c r="F1101">
        <v>353</v>
      </c>
      <c r="G1101" s="3">
        <v>356.95</v>
      </c>
      <c r="H1101">
        <v>356</v>
      </c>
      <c r="I1101">
        <v>353.9</v>
      </c>
      <c r="J1101">
        <v>3329</v>
      </c>
      <c r="K1101">
        <v>1185438.8</v>
      </c>
      <c r="L1101" s="1">
        <v>45240</v>
      </c>
      <c r="M1101">
        <v>238</v>
      </c>
      <c r="N1101" t="s">
        <v>3921</v>
      </c>
      <c r="O1101" s="5">
        <v>45240</v>
      </c>
      <c r="P1101" s="5">
        <v>43777</v>
      </c>
      <c r="Q1101" s="3">
        <v>184.15</v>
      </c>
      <c r="S1101">
        <f t="shared" si="51"/>
        <v>1464</v>
      </c>
      <c r="T1101">
        <f t="shared" si="52"/>
        <v>16.043835616438358</v>
      </c>
      <c r="U1101" s="6">
        <f t="shared" si="53"/>
        <v>0.16845997978030347</v>
      </c>
    </row>
    <row r="1102" spans="1:21" x14ac:dyDescent="0.25">
      <c r="A1102" t="s">
        <v>3922</v>
      </c>
      <c r="B1102" t="s">
        <v>3923</v>
      </c>
      <c r="C1102" t="s">
        <v>14</v>
      </c>
      <c r="D1102">
        <v>549.54999999999995</v>
      </c>
      <c r="E1102">
        <v>574.79999999999995</v>
      </c>
      <c r="F1102">
        <v>546.15</v>
      </c>
      <c r="G1102" s="3">
        <v>568.70000000000005</v>
      </c>
      <c r="H1102">
        <v>569.85</v>
      </c>
      <c r="I1102">
        <v>552.29999999999995</v>
      </c>
      <c r="J1102">
        <v>215104</v>
      </c>
      <c r="K1102">
        <v>121501993.7</v>
      </c>
      <c r="L1102" s="1">
        <v>45240</v>
      </c>
      <c r="M1102">
        <v>10330</v>
      </c>
      <c r="N1102" t="s">
        <v>3924</v>
      </c>
      <c r="O1102" s="5">
        <v>45240</v>
      </c>
      <c r="P1102" s="5">
        <v>43777</v>
      </c>
      <c r="Q1102" s="3">
        <v>168.6</v>
      </c>
      <c r="S1102">
        <f t="shared" si="51"/>
        <v>1464</v>
      </c>
      <c r="T1102">
        <f t="shared" si="52"/>
        <v>16.043835616438358</v>
      </c>
      <c r="U1102" s="6">
        <f t="shared" si="53"/>
        <v>0.31490686997593897</v>
      </c>
    </row>
    <row r="1103" spans="1:21" x14ac:dyDescent="0.25">
      <c r="A1103" t="s">
        <v>3928</v>
      </c>
      <c r="B1103" t="s">
        <v>3929</v>
      </c>
      <c r="C1103" t="s">
        <v>14</v>
      </c>
      <c r="D1103">
        <v>5133.25</v>
      </c>
      <c r="E1103">
        <v>5154.95</v>
      </c>
      <c r="F1103">
        <v>5052.1000000000004</v>
      </c>
      <c r="G1103" s="3">
        <v>5135.8</v>
      </c>
      <c r="H1103">
        <v>5134.5</v>
      </c>
      <c r="I1103">
        <v>5133.3</v>
      </c>
      <c r="J1103">
        <v>283963</v>
      </c>
      <c r="K1103">
        <v>1451551476.4000001</v>
      </c>
      <c r="L1103" s="1">
        <v>45240</v>
      </c>
      <c r="M1103">
        <v>34932</v>
      </c>
      <c r="N1103" t="s">
        <v>3930</v>
      </c>
      <c r="O1103" s="5">
        <v>45240</v>
      </c>
      <c r="P1103" s="5">
        <v>43777</v>
      </c>
      <c r="Q1103" s="3">
        <v>889.35</v>
      </c>
      <c r="S1103">
        <f t="shared" si="51"/>
        <v>1464</v>
      </c>
      <c r="T1103">
        <f t="shared" si="52"/>
        <v>16.043835616438358</v>
      </c>
      <c r="U1103" s="6">
        <f t="shared" si="53"/>
        <v>0.46196243653320845</v>
      </c>
    </row>
    <row r="1104" spans="1:21" x14ac:dyDescent="0.25">
      <c r="A1104" t="s">
        <v>3931</v>
      </c>
      <c r="B1104" t="s">
        <v>3932</v>
      </c>
      <c r="C1104" t="s">
        <v>14</v>
      </c>
      <c r="D1104">
        <v>1479.9</v>
      </c>
      <c r="E1104">
        <v>1494</v>
      </c>
      <c r="F1104">
        <v>1435</v>
      </c>
      <c r="G1104" s="3">
        <v>1440.2</v>
      </c>
      <c r="H1104">
        <v>1445</v>
      </c>
      <c r="I1104">
        <v>1469</v>
      </c>
      <c r="J1104">
        <v>71685</v>
      </c>
      <c r="K1104">
        <v>104471888.25</v>
      </c>
      <c r="L1104" s="1">
        <v>45240</v>
      </c>
      <c r="M1104">
        <v>11580</v>
      </c>
      <c r="N1104" t="s">
        <v>3933</v>
      </c>
      <c r="O1104" s="5">
        <v>45240</v>
      </c>
      <c r="P1104" s="5">
        <v>43777</v>
      </c>
      <c r="Q1104" s="3">
        <v>200.15</v>
      </c>
      <c r="S1104">
        <f t="shared" si="51"/>
        <v>1464</v>
      </c>
      <c r="T1104">
        <f t="shared" si="52"/>
        <v>16.043835616438358</v>
      </c>
      <c r="U1104" s="6">
        <f t="shared" si="53"/>
        <v>0.52355979018361865</v>
      </c>
    </row>
    <row r="1105" spans="1:21" x14ac:dyDescent="0.25">
      <c r="A1105" t="s">
        <v>3934</v>
      </c>
      <c r="B1105" t="s">
        <v>3935</v>
      </c>
      <c r="C1105" t="s">
        <v>14</v>
      </c>
      <c r="D1105">
        <v>1057.45</v>
      </c>
      <c r="E1105">
        <v>1057.45</v>
      </c>
      <c r="F1105">
        <v>1037</v>
      </c>
      <c r="G1105" s="3">
        <v>1039.6500000000001</v>
      </c>
      <c r="H1105">
        <v>1044.5</v>
      </c>
      <c r="I1105">
        <v>1055.45</v>
      </c>
      <c r="J1105">
        <v>48492</v>
      </c>
      <c r="K1105">
        <v>50685631.600000001</v>
      </c>
      <c r="L1105" s="1">
        <v>45240</v>
      </c>
      <c r="M1105">
        <v>6610</v>
      </c>
      <c r="N1105" t="s">
        <v>3936</v>
      </c>
      <c r="O1105" s="5">
        <v>45240</v>
      </c>
      <c r="P1105" s="5">
        <v>43777</v>
      </c>
      <c r="Q1105" s="3">
        <v>493.2</v>
      </c>
      <c r="S1105">
        <f t="shared" si="51"/>
        <v>1464</v>
      </c>
      <c r="T1105">
        <f t="shared" si="52"/>
        <v>16.043835616438358</v>
      </c>
      <c r="U1105" s="6">
        <f t="shared" si="53"/>
        <v>0.19031037572516318</v>
      </c>
    </row>
    <row r="1106" spans="1:21" x14ac:dyDescent="0.25">
      <c r="A1106" t="s">
        <v>3937</v>
      </c>
      <c r="B1106" t="s">
        <v>3938</v>
      </c>
      <c r="C1106" t="s">
        <v>14</v>
      </c>
      <c r="D1106">
        <v>430.9</v>
      </c>
      <c r="E1106">
        <v>434.75</v>
      </c>
      <c r="F1106">
        <v>426.9</v>
      </c>
      <c r="G1106" s="3">
        <v>432.75</v>
      </c>
      <c r="H1106">
        <v>434.25</v>
      </c>
      <c r="I1106">
        <v>430.9</v>
      </c>
      <c r="J1106">
        <v>30181</v>
      </c>
      <c r="K1106">
        <v>13035096.6</v>
      </c>
      <c r="L1106" s="1">
        <v>45240</v>
      </c>
      <c r="M1106">
        <v>3041</v>
      </c>
      <c r="N1106" t="s">
        <v>3939</v>
      </c>
      <c r="O1106" s="5">
        <v>45240</v>
      </c>
      <c r="P1106" s="5">
        <v>43777</v>
      </c>
      <c r="Q1106" s="3">
        <v>123.1</v>
      </c>
      <c r="S1106">
        <f t="shared" si="51"/>
        <v>1464</v>
      </c>
      <c r="T1106">
        <f t="shared" si="52"/>
        <v>16.043835616438358</v>
      </c>
      <c r="U1106" s="6">
        <f t="shared" si="53"/>
        <v>0.326039157578907</v>
      </c>
    </row>
    <row r="1107" spans="1:21" x14ac:dyDescent="0.25">
      <c r="A1107" t="s">
        <v>3943</v>
      </c>
      <c r="B1107" t="s">
        <v>3944</v>
      </c>
      <c r="C1107" t="s">
        <v>14</v>
      </c>
      <c r="D1107">
        <v>210.5</v>
      </c>
      <c r="E1107">
        <v>213</v>
      </c>
      <c r="F1107">
        <v>209.6</v>
      </c>
      <c r="G1107" s="3">
        <v>211.15</v>
      </c>
      <c r="H1107">
        <v>211</v>
      </c>
      <c r="I1107">
        <v>209.8</v>
      </c>
      <c r="J1107">
        <v>12066023</v>
      </c>
      <c r="K1107">
        <v>2547386423.3000002</v>
      </c>
      <c r="L1107" s="1">
        <v>45240</v>
      </c>
      <c r="M1107">
        <v>79765</v>
      </c>
      <c r="N1107" t="s">
        <v>3945</v>
      </c>
      <c r="O1107" s="5">
        <v>45240</v>
      </c>
      <c r="P1107" s="5">
        <v>43777</v>
      </c>
      <c r="Q1107" s="3">
        <v>191.65</v>
      </c>
      <c r="S1107">
        <f t="shared" si="51"/>
        <v>1464</v>
      </c>
      <c r="T1107">
        <f t="shared" si="52"/>
        <v>16.043835616438358</v>
      </c>
      <c r="U1107" s="6">
        <f t="shared" si="53"/>
        <v>2.4231410321647218E-2</v>
      </c>
    </row>
    <row r="1108" spans="1:21" x14ac:dyDescent="0.25">
      <c r="A1108" t="s">
        <v>3949</v>
      </c>
      <c r="B1108" t="s">
        <v>3950</v>
      </c>
      <c r="C1108" t="s">
        <v>14</v>
      </c>
      <c r="D1108">
        <v>3794.25</v>
      </c>
      <c r="E1108">
        <v>3875</v>
      </c>
      <c r="F1108">
        <v>3780.4</v>
      </c>
      <c r="G1108" s="3">
        <v>3832.85</v>
      </c>
      <c r="H1108">
        <v>3816</v>
      </c>
      <c r="I1108">
        <v>3830.65</v>
      </c>
      <c r="J1108">
        <v>21103</v>
      </c>
      <c r="K1108">
        <v>81017416.549999997</v>
      </c>
      <c r="L1108" s="1">
        <v>45240</v>
      </c>
      <c r="M1108">
        <v>4820</v>
      </c>
      <c r="N1108" t="s">
        <v>3951</v>
      </c>
      <c r="O1108" s="5">
        <v>45240</v>
      </c>
      <c r="P1108" s="5">
        <v>43777</v>
      </c>
      <c r="Q1108" s="3">
        <v>702.05</v>
      </c>
      <c r="S1108">
        <f t="shared" si="51"/>
        <v>1464</v>
      </c>
      <c r="T1108">
        <f t="shared" si="52"/>
        <v>16.043835616438358</v>
      </c>
      <c r="U1108" s="6">
        <f t="shared" si="53"/>
        <v>0.44637638087199161</v>
      </c>
    </row>
    <row r="1109" spans="1:21" x14ac:dyDescent="0.25">
      <c r="A1109" t="s">
        <v>3952</v>
      </c>
      <c r="B1109" t="s">
        <v>3953</v>
      </c>
      <c r="C1109" t="s">
        <v>14</v>
      </c>
      <c r="D1109">
        <v>251.5</v>
      </c>
      <c r="E1109">
        <v>276.7</v>
      </c>
      <c r="F1109">
        <v>240.6</v>
      </c>
      <c r="G1109" s="3">
        <v>267.8</v>
      </c>
      <c r="H1109">
        <v>266.5</v>
      </c>
      <c r="I1109">
        <v>245.85</v>
      </c>
      <c r="J1109">
        <v>78367</v>
      </c>
      <c r="K1109">
        <v>20628386.800000001</v>
      </c>
      <c r="L1109" s="1">
        <v>45240</v>
      </c>
      <c r="M1109">
        <v>1981</v>
      </c>
      <c r="N1109" t="s">
        <v>3954</v>
      </c>
      <c r="O1109" s="5">
        <v>45240</v>
      </c>
      <c r="P1109" s="5">
        <v>43777</v>
      </c>
      <c r="Q1109" s="3">
        <v>177.3</v>
      </c>
      <c r="S1109">
        <f t="shared" si="51"/>
        <v>1464</v>
      </c>
      <c r="T1109">
        <f t="shared" si="52"/>
        <v>16.043835616438358</v>
      </c>
      <c r="U1109" s="6">
        <f t="shared" si="53"/>
        <v>0.10415044099188453</v>
      </c>
    </row>
    <row r="1110" spans="1:21" x14ac:dyDescent="0.25">
      <c r="A1110" t="s">
        <v>3955</v>
      </c>
      <c r="B1110" t="s">
        <v>3956</v>
      </c>
      <c r="C1110" t="s">
        <v>14</v>
      </c>
      <c r="D1110">
        <v>405.95</v>
      </c>
      <c r="E1110">
        <v>409</v>
      </c>
      <c r="F1110">
        <v>383.5</v>
      </c>
      <c r="G1110" s="3">
        <v>387.05</v>
      </c>
      <c r="H1110">
        <v>388</v>
      </c>
      <c r="I1110">
        <v>389.1</v>
      </c>
      <c r="J1110">
        <v>184701</v>
      </c>
      <c r="K1110">
        <v>73148351.150000006</v>
      </c>
      <c r="L1110" s="1">
        <v>45240</v>
      </c>
      <c r="M1110">
        <v>5674</v>
      </c>
      <c r="N1110" t="s">
        <v>3957</v>
      </c>
      <c r="O1110" s="5">
        <v>45240</v>
      </c>
      <c r="P1110" s="5">
        <v>43777</v>
      </c>
      <c r="Q1110" s="3">
        <v>78.849999999999994</v>
      </c>
      <c r="S1110">
        <f t="shared" si="51"/>
        <v>1464</v>
      </c>
      <c r="T1110">
        <f t="shared" si="52"/>
        <v>16.043835616438358</v>
      </c>
      <c r="U1110" s="6">
        <f t="shared" si="53"/>
        <v>0.41699934127149785</v>
      </c>
    </row>
    <row r="1111" spans="1:21" x14ac:dyDescent="0.25">
      <c r="A1111" t="s">
        <v>3961</v>
      </c>
      <c r="B1111" t="s">
        <v>3962</v>
      </c>
      <c r="C1111" t="s">
        <v>10</v>
      </c>
      <c r="D1111">
        <v>19.649999999999999</v>
      </c>
      <c r="E1111">
        <v>19.649999999999999</v>
      </c>
      <c r="F1111">
        <v>19.649999999999999</v>
      </c>
      <c r="G1111" s="3">
        <v>19.649999999999999</v>
      </c>
      <c r="H1111">
        <v>19.649999999999999</v>
      </c>
      <c r="I1111">
        <v>20.05</v>
      </c>
      <c r="J1111">
        <v>23496</v>
      </c>
      <c r="K1111">
        <v>461696.4</v>
      </c>
      <c r="L1111" s="1">
        <v>45240</v>
      </c>
      <c r="M1111">
        <v>27</v>
      </c>
      <c r="N1111" t="s">
        <v>3963</v>
      </c>
      <c r="O1111" s="5">
        <v>45240</v>
      </c>
      <c r="P1111" s="5">
        <v>43777</v>
      </c>
      <c r="Q1111" s="3">
        <v>7.6</v>
      </c>
      <c r="S1111">
        <f t="shared" si="51"/>
        <v>1464</v>
      </c>
      <c r="T1111">
        <f t="shared" si="52"/>
        <v>16.043835616438358</v>
      </c>
      <c r="U1111" s="6">
        <f t="shared" si="53"/>
        <v>0.24398512009485263</v>
      </c>
    </row>
    <row r="1112" spans="1:21" x14ac:dyDescent="0.25">
      <c r="A1112" t="s">
        <v>3964</v>
      </c>
      <c r="B1112" t="s">
        <v>3965</v>
      </c>
      <c r="C1112" t="s">
        <v>14</v>
      </c>
      <c r="D1112">
        <v>560</v>
      </c>
      <c r="E1112">
        <v>571.54999999999995</v>
      </c>
      <c r="F1112">
        <v>557.20000000000005</v>
      </c>
      <c r="G1112" s="3">
        <v>566.9</v>
      </c>
      <c r="H1112">
        <v>568</v>
      </c>
      <c r="I1112">
        <v>561.20000000000005</v>
      </c>
      <c r="J1112">
        <v>291371</v>
      </c>
      <c r="K1112">
        <v>165085800.34999999</v>
      </c>
      <c r="L1112" s="1">
        <v>45240</v>
      </c>
      <c r="M1112">
        <v>10427</v>
      </c>
      <c r="N1112" t="s">
        <v>3966</v>
      </c>
      <c r="O1112" s="5">
        <v>45240</v>
      </c>
      <c r="P1112" s="5">
        <v>43777</v>
      </c>
      <c r="Q1112" s="3">
        <v>111.2</v>
      </c>
      <c r="S1112">
        <f t="shared" si="51"/>
        <v>1464</v>
      </c>
      <c r="T1112">
        <f t="shared" si="52"/>
        <v>16.043835616438358</v>
      </c>
      <c r="U1112" s="6">
        <f t="shared" si="53"/>
        <v>0.4274309453356544</v>
      </c>
    </row>
    <row r="1113" spans="1:21" x14ac:dyDescent="0.25">
      <c r="A1113" t="s">
        <v>3967</v>
      </c>
      <c r="B1113" t="s">
        <v>3968</v>
      </c>
      <c r="C1113" t="s">
        <v>10</v>
      </c>
      <c r="D1113">
        <v>160</v>
      </c>
      <c r="E1113">
        <v>160.6</v>
      </c>
      <c r="F1113">
        <v>155</v>
      </c>
      <c r="G1113" s="3">
        <v>157.6</v>
      </c>
      <c r="H1113">
        <v>158</v>
      </c>
      <c r="I1113">
        <v>159.15</v>
      </c>
      <c r="J1113">
        <v>226049</v>
      </c>
      <c r="K1113">
        <v>35753807.200000003</v>
      </c>
      <c r="L1113" s="1">
        <v>45240</v>
      </c>
      <c r="M1113">
        <v>1364</v>
      </c>
      <c r="N1113" t="s">
        <v>3969</v>
      </c>
      <c r="O1113" s="5">
        <v>45240</v>
      </c>
      <c r="P1113" s="5">
        <v>43777</v>
      </c>
      <c r="Q1113" s="3">
        <v>51.9</v>
      </c>
      <c r="S1113">
        <f t="shared" si="51"/>
        <v>1464</v>
      </c>
      <c r="T1113">
        <f t="shared" si="52"/>
        <v>16.043835616438358</v>
      </c>
      <c r="U1113" s="6">
        <f t="shared" si="53"/>
        <v>0.2867377911946507</v>
      </c>
    </row>
    <row r="1114" spans="1:21" x14ac:dyDescent="0.25">
      <c r="A1114" t="s">
        <v>3970</v>
      </c>
      <c r="B1114" t="s">
        <v>3971</v>
      </c>
      <c r="C1114" t="s">
        <v>10</v>
      </c>
      <c r="D1114">
        <v>5.65</v>
      </c>
      <c r="E1114">
        <v>5.65</v>
      </c>
      <c r="F1114">
        <v>5.6</v>
      </c>
      <c r="G1114" s="3">
        <v>5.6</v>
      </c>
      <c r="H1114">
        <v>5.6</v>
      </c>
      <c r="I1114">
        <v>5.65</v>
      </c>
      <c r="J1114">
        <v>138672</v>
      </c>
      <c r="K1114">
        <v>778415.5</v>
      </c>
      <c r="L1114" s="1">
        <v>45240</v>
      </c>
      <c r="M1114">
        <v>504</v>
      </c>
      <c r="N1114" t="s">
        <v>3972</v>
      </c>
      <c r="O1114" s="5">
        <v>45240</v>
      </c>
      <c r="P1114" s="5">
        <v>43777</v>
      </c>
      <c r="Q1114" s="3">
        <v>0.2</v>
      </c>
      <c r="S1114">
        <f t="shared" si="51"/>
        <v>1464</v>
      </c>
      <c r="T1114">
        <f t="shared" si="52"/>
        <v>16.043835616438358</v>
      </c>
      <c r="U1114" s="6">
        <f t="shared" si="53"/>
        <v>0.92334471184154587</v>
      </c>
    </row>
    <row r="1115" spans="1:21" x14ac:dyDescent="0.25">
      <c r="A1115" t="s">
        <v>3973</v>
      </c>
      <c r="B1115" t="s">
        <v>3974</v>
      </c>
      <c r="C1115" t="s">
        <v>10</v>
      </c>
      <c r="D1115">
        <v>28.9</v>
      </c>
      <c r="E1115">
        <v>28.9</v>
      </c>
      <c r="F1115">
        <v>27</v>
      </c>
      <c r="G1115" s="3">
        <v>27.8</v>
      </c>
      <c r="H1115">
        <v>27.8</v>
      </c>
      <c r="I1115">
        <v>28.15</v>
      </c>
      <c r="J1115">
        <v>74050</v>
      </c>
      <c r="K1115">
        <v>2045707.5</v>
      </c>
      <c r="L1115" s="1">
        <v>45240</v>
      </c>
      <c r="M1115">
        <v>259</v>
      </c>
      <c r="N1115" t="s">
        <v>3975</v>
      </c>
      <c r="O1115" s="5">
        <v>45240</v>
      </c>
      <c r="P1115" s="5">
        <v>43777</v>
      </c>
      <c r="Q1115" s="3">
        <v>64</v>
      </c>
      <c r="S1115">
        <f t="shared" si="51"/>
        <v>1464</v>
      </c>
      <c r="T1115">
        <f t="shared" si="52"/>
        <v>16.043835616438358</v>
      </c>
      <c r="U1115" s="6">
        <f t="shared" si="53"/>
        <v>-0.20258219169889058</v>
      </c>
    </row>
    <row r="1116" spans="1:21" x14ac:dyDescent="0.25">
      <c r="A1116" t="s">
        <v>3976</v>
      </c>
      <c r="B1116" t="s">
        <v>3977</v>
      </c>
      <c r="C1116" t="s">
        <v>14</v>
      </c>
      <c r="D1116">
        <v>243</v>
      </c>
      <c r="E1116">
        <v>248.2</v>
      </c>
      <c r="F1116">
        <v>235.1</v>
      </c>
      <c r="G1116" s="3">
        <v>237.2</v>
      </c>
      <c r="H1116">
        <v>236.6</v>
      </c>
      <c r="I1116">
        <v>248.85</v>
      </c>
      <c r="J1116">
        <v>221359</v>
      </c>
      <c r="K1116">
        <v>52970875</v>
      </c>
      <c r="L1116" s="1">
        <v>45240</v>
      </c>
      <c r="M1116">
        <v>7665</v>
      </c>
      <c r="N1116" t="s">
        <v>3978</v>
      </c>
      <c r="O1116" s="5">
        <v>45240</v>
      </c>
      <c r="P1116" s="5">
        <v>43777</v>
      </c>
      <c r="Q1116" s="3">
        <v>30.3</v>
      </c>
      <c r="S1116">
        <f t="shared" si="51"/>
        <v>1464</v>
      </c>
      <c r="T1116">
        <f t="shared" si="52"/>
        <v>16.043835616438358</v>
      </c>
      <c r="U1116" s="6">
        <f t="shared" si="53"/>
        <v>0.54738669645157412</v>
      </c>
    </row>
    <row r="1117" spans="1:21" x14ac:dyDescent="0.25">
      <c r="A1117" t="s">
        <v>3979</v>
      </c>
      <c r="B1117" t="s">
        <v>3980</v>
      </c>
      <c r="C1117" t="s">
        <v>14</v>
      </c>
      <c r="D1117">
        <v>211.8</v>
      </c>
      <c r="E1117">
        <v>228.3</v>
      </c>
      <c r="F1117">
        <v>211.8</v>
      </c>
      <c r="G1117" s="3">
        <v>223.95</v>
      </c>
      <c r="H1117">
        <v>224</v>
      </c>
      <c r="I1117">
        <v>213.9</v>
      </c>
      <c r="J1117">
        <v>6145</v>
      </c>
      <c r="K1117">
        <v>1360958.3</v>
      </c>
      <c r="L1117" s="1">
        <v>45240</v>
      </c>
      <c r="M1117">
        <v>166</v>
      </c>
      <c r="N1117" t="s">
        <v>3981</v>
      </c>
      <c r="O1117" s="5">
        <v>45240</v>
      </c>
      <c r="P1117" s="5">
        <v>43777</v>
      </c>
      <c r="Q1117" s="3">
        <v>29.85</v>
      </c>
      <c r="S1117">
        <f t="shared" si="51"/>
        <v>1464</v>
      </c>
      <c r="T1117">
        <f t="shared" si="52"/>
        <v>16.043835616438358</v>
      </c>
      <c r="U1117" s="6">
        <f t="shared" si="53"/>
        <v>0.53535156086810165</v>
      </c>
    </row>
    <row r="1118" spans="1:21" x14ac:dyDescent="0.25">
      <c r="A1118" t="s">
        <v>3982</v>
      </c>
      <c r="B1118" t="s">
        <v>3983</v>
      </c>
      <c r="C1118" t="s">
        <v>14</v>
      </c>
      <c r="D1118">
        <v>110.6</v>
      </c>
      <c r="E1118">
        <v>116.4</v>
      </c>
      <c r="F1118">
        <v>110.4</v>
      </c>
      <c r="G1118" s="3">
        <v>114.45</v>
      </c>
      <c r="H1118">
        <v>114.2</v>
      </c>
      <c r="I1118">
        <v>110.6</v>
      </c>
      <c r="J1118">
        <v>350406</v>
      </c>
      <c r="K1118">
        <v>39734807.799999997</v>
      </c>
      <c r="L1118" s="1">
        <v>45240</v>
      </c>
      <c r="M1118">
        <v>4883</v>
      </c>
      <c r="N1118" t="s">
        <v>3984</v>
      </c>
      <c r="O1118" s="5">
        <v>45240</v>
      </c>
      <c r="P1118" s="5">
        <v>43777</v>
      </c>
      <c r="Q1118" s="3">
        <v>183.4</v>
      </c>
      <c r="S1118">
        <f t="shared" si="51"/>
        <v>1464</v>
      </c>
      <c r="T1118">
        <f t="shared" si="52"/>
        <v>16.043835616438358</v>
      </c>
      <c r="U1118" s="6">
        <f t="shared" si="53"/>
        <v>-0.11585002734469541</v>
      </c>
    </row>
    <row r="1119" spans="1:21" x14ac:dyDescent="0.25">
      <c r="A1119" t="s">
        <v>3985</v>
      </c>
      <c r="B1119" t="s">
        <v>3986</v>
      </c>
      <c r="C1119" t="s">
        <v>14</v>
      </c>
      <c r="D1119">
        <v>1244</v>
      </c>
      <c r="E1119">
        <v>1264.8</v>
      </c>
      <c r="F1119">
        <v>1220.8</v>
      </c>
      <c r="G1119" s="3">
        <v>1258.8</v>
      </c>
      <c r="H1119">
        <v>1261</v>
      </c>
      <c r="I1119">
        <v>1233.0999999999999</v>
      </c>
      <c r="J1119">
        <v>39679</v>
      </c>
      <c r="K1119">
        <v>49572760.950000003</v>
      </c>
      <c r="L1119" s="1">
        <v>45240</v>
      </c>
      <c r="M1119">
        <v>1692</v>
      </c>
      <c r="N1119" t="s">
        <v>3987</v>
      </c>
      <c r="O1119" s="5">
        <v>45240</v>
      </c>
      <c r="P1119" s="5">
        <v>43777</v>
      </c>
      <c r="Q1119" s="3">
        <v>165.45</v>
      </c>
      <c r="S1119">
        <f t="shared" si="51"/>
        <v>1464</v>
      </c>
      <c r="T1119">
        <f t="shared" si="52"/>
        <v>16.043835616438358</v>
      </c>
      <c r="U1119" s="6">
        <f t="shared" si="53"/>
        <v>0.53931290321734959</v>
      </c>
    </row>
    <row r="1120" spans="1:21" x14ac:dyDescent="0.25">
      <c r="A1120" t="s">
        <v>3988</v>
      </c>
      <c r="B1120" t="s">
        <v>3989</v>
      </c>
      <c r="C1120" t="s">
        <v>10</v>
      </c>
      <c r="D1120">
        <v>163.6</v>
      </c>
      <c r="E1120">
        <v>167</v>
      </c>
      <c r="F1120">
        <v>161</v>
      </c>
      <c r="G1120" s="3">
        <v>163.35</v>
      </c>
      <c r="H1120">
        <v>165</v>
      </c>
      <c r="I1120">
        <v>166.9</v>
      </c>
      <c r="J1120">
        <v>11012</v>
      </c>
      <c r="K1120">
        <v>1796599.5</v>
      </c>
      <c r="L1120" s="1">
        <v>45240</v>
      </c>
      <c r="M1120">
        <v>231</v>
      </c>
      <c r="N1120" t="s">
        <v>3990</v>
      </c>
      <c r="O1120" s="5">
        <v>45240</v>
      </c>
      <c r="P1120" s="5">
        <v>43777</v>
      </c>
      <c r="Q1120" s="3">
        <v>18</v>
      </c>
      <c r="S1120">
        <f t="shared" si="51"/>
        <v>1464</v>
      </c>
      <c r="T1120">
        <f t="shared" si="52"/>
        <v>16.043835616438358</v>
      </c>
      <c r="U1120" s="6">
        <f t="shared" si="53"/>
        <v>0.58946264365078616</v>
      </c>
    </row>
    <row r="1121" spans="1:21" x14ac:dyDescent="0.25">
      <c r="A1121" t="s">
        <v>3991</v>
      </c>
      <c r="B1121" t="s">
        <v>3992</v>
      </c>
      <c r="C1121" t="s">
        <v>14</v>
      </c>
      <c r="D1121">
        <v>865.05</v>
      </c>
      <c r="E1121">
        <v>887.4</v>
      </c>
      <c r="F1121">
        <v>853.2</v>
      </c>
      <c r="G1121" s="3">
        <v>873.15</v>
      </c>
      <c r="H1121">
        <v>865</v>
      </c>
      <c r="I1121">
        <v>868.45</v>
      </c>
      <c r="J1121">
        <v>1949702</v>
      </c>
      <c r="K1121">
        <v>1697738780.0999999</v>
      </c>
      <c r="L1121" s="1">
        <v>45240</v>
      </c>
      <c r="M1121">
        <v>75298</v>
      </c>
      <c r="N1121" t="s">
        <v>3993</v>
      </c>
      <c r="O1121" s="5">
        <v>45240</v>
      </c>
      <c r="P1121" s="5">
        <v>43777</v>
      </c>
      <c r="Q1121" s="3">
        <v>310.3</v>
      </c>
      <c r="S1121">
        <f t="shared" si="51"/>
        <v>1464</v>
      </c>
      <c r="T1121">
        <f t="shared" si="52"/>
        <v>16.043835616438358</v>
      </c>
      <c r="U1121" s="6">
        <f t="shared" si="53"/>
        <v>0.26643327699072739</v>
      </c>
    </row>
    <row r="1122" spans="1:21" x14ac:dyDescent="0.25">
      <c r="A1122" t="s">
        <v>3994</v>
      </c>
      <c r="B1122" t="s">
        <v>3995</v>
      </c>
      <c r="C1122" t="s">
        <v>14</v>
      </c>
      <c r="D1122">
        <v>339.6</v>
      </c>
      <c r="E1122">
        <v>339.75</v>
      </c>
      <c r="F1122">
        <v>316.3</v>
      </c>
      <c r="G1122" s="3">
        <v>319.85000000000002</v>
      </c>
      <c r="H1122">
        <v>322.2</v>
      </c>
      <c r="I1122">
        <v>337.5</v>
      </c>
      <c r="J1122">
        <v>1441577</v>
      </c>
      <c r="K1122">
        <v>464472506.85000002</v>
      </c>
      <c r="L1122" s="1">
        <v>45240</v>
      </c>
      <c r="M1122">
        <v>33086</v>
      </c>
      <c r="N1122" t="s">
        <v>3996</v>
      </c>
      <c r="O1122" s="5">
        <v>45240</v>
      </c>
      <c r="P1122" s="5">
        <v>43777</v>
      </c>
      <c r="Q1122" s="3">
        <v>33.700000000000003</v>
      </c>
      <c r="S1122">
        <f t="shared" si="51"/>
        <v>1464</v>
      </c>
      <c r="T1122">
        <f t="shared" si="52"/>
        <v>16.043835616438358</v>
      </c>
      <c r="U1122" s="6">
        <f t="shared" si="53"/>
        <v>0.60230480677593246</v>
      </c>
    </row>
    <row r="1123" spans="1:21" x14ac:dyDescent="0.25">
      <c r="A1123" t="s">
        <v>3997</v>
      </c>
      <c r="B1123" t="s">
        <v>3998</v>
      </c>
      <c r="C1123" t="s">
        <v>14</v>
      </c>
      <c r="D1123">
        <v>146.1</v>
      </c>
      <c r="E1123">
        <v>153.5</v>
      </c>
      <c r="F1123">
        <v>146.1</v>
      </c>
      <c r="G1123" s="3">
        <v>151</v>
      </c>
      <c r="H1123">
        <v>152.9</v>
      </c>
      <c r="I1123">
        <v>147</v>
      </c>
      <c r="J1123">
        <v>196676</v>
      </c>
      <c r="K1123">
        <v>29249513.649999999</v>
      </c>
      <c r="L1123" s="1">
        <v>45240</v>
      </c>
      <c r="M1123">
        <v>1769</v>
      </c>
      <c r="N1123" t="s">
        <v>3999</v>
      </c>
      <c r="O1123" s="5">
        <v>45240</v>
      </c>
      <c r="P1123" s="5">
        <v>43777</v>
      </c>
      <c r="Q1123" s="3">
        <v>48.65</v>
      </c>
      <c r="S1123">
        <f t="shared" si="51"/>
        <v>1464</v>
      </c>
      <c r="T1123">
        <f t="shared" si="52"/>
        <v>16.043835616438358</v>
      </c>
      <c r="U1123" s="6">
        <f t="shared" si="53"/>
        <v>0.29258965338576814</v>
      </c>
    </row>
    <row r="1124" spans="1:21" x14ac:dyDescent="0.25">
      <c r="A1124" t="s">
        <v>4015</v>
      </c>
      <c r="B1124" t="s">
        <v>4016</v>
      </c>
      <c r="C1124" t="s">
        <v>14</v>
      </c>
      <c r="D1124">
        <v>152.85</v>
      </c>
      <c r="E1124">
        <v>157.6</v>
      </c>
      <c r="F1124">
        <v>151.80000000000001</v>
      </c>
      <c r="G1124" s="3">
        <v>153.30000000000001</v>
      </c>
      <c r="H1124">
        <v>153.05000000000001</v>
      </c>
      <c r="I1124">
        <v>152.75</v>
      </c>
      <c r="J1124">
        <v>791229</v>
      </c>
      <c r="K1124">
        <v>122793276.95</v>
      </c>
      <c r="L1124" s="1">
        <v>45240</v>
      </c>
      <c r="M1124">
        <v>12321</v>
      </c>
      <c r="N1124" t="s">
        <v>4017</v>
      </c>
      <c r="O1124" s="5">
        <v>45240</v>
      </c>
      <c r="P1124" s="5">
        <v>43777</v>
      </c>
      <c r="Q1124" s="3">
        <v>73.2</v>
      </c>
      <c r="S1124">
        <f t="shared" si="51"/>
        <v>1464</v>
      </c>
      <c r="T1124">
        <f t="shared" si="52"/>
        <v>16.043835616438358</v>
      </c>
      <c r="U1124" s="6">
        <f t="shared" si="53"/>
        <v>0.18860698434238188</v>
      </c>
    </row>
    <row r="1125" spans="1:21" x14ac:dyDescent="0.25">
      <c r="A1125" t="s">
        <v>4021</v>
      </c>
      <c r="B1125" t="s">
        <v>4022</v>
      </c>
      <c r="C1125" t="s">
        <v>14</v>
      </c>
      <c r="D1125">
        <v>39.85</v>
      </c>
      <c r="E1125">
        <v>40.200000000000003</v>
      </c>
      <c r="F1125">
        <v>39.5</v>
      </c>
      <c r="G1125" s="3">
        <v>40.1</v>
      </c>
      <c r="H1125">
        <v>40.049999999999997</v>
      </c>
      <c r="I1125">
        <v>39.700000000000003</v>
      </c>
      <c r="J1125">
        <v>1221790</v>
      </c>
      <c r="K1125">
        <v>48718559.5</v>
      </c>
      <c r="L1125" s="1">
        <v>45240</v>
      </c>
      <c r="M1125">
        <v>4005</v>
      </c>
      <c r="N1125" t="s">
        <v>4023</v>
      </c>
      <c r="O1125" s="5">
        <v>45240</v>
      </c>
      <c r="P1125" s="5">
        <v>43777</v>
      </c>
      <c r="Q1125" s="3">
        <v>19.600000000000001</v>
      </c>
      <c r="S1125">
        <f t="shared" si="51"/>
        <v>1464</v>
      </c>
      <c r="T1125">
        <f t="shared" si="52"/>
        <v>16.043835616438358</v>
      </c>
      <c r="U1125" s="6">
        <f t="shared" si="53"/>
        <v>0.18251417306473794</v>
      </c>
    </row>
    <row r="1126" spans="1:21" x14ac:dyDescent="0.25">
      <c r="A1126" t="s">
        <v>4024</v>
      </c>
      <c r="B1126" t="s">
        <v>4025</v>
      </c>
      <c r="C1126" t="s">
        <v>14</v>
      </c>
      <c r="D1126">
        <v>782.85</v>
      </c>
      <c r="E1126">
        <v>787</v>
      </c>
      <c r="F1126">
        <v>772.5</v>
      </c>
      <c r="G1126" s="3">
        <v>778.6</v>
      </c>
      <c r="H1126">
        <v>779.95</v>
      </c>
      <c r="I1126">
        <v>779.4</v>
      </c>
      <c r="J1126">
        <v>36224</v>
      </c>
      <c r="K1126">
        <v>28255276.550000001</v>
      </c>
      <c r="L1126" s="1">
        <v>45240</v>
      </c>
      <c r="M1126">
        <v>5015</v>
      </c>
      <c r="N1126" t="s">
        <v>4026</v>
      </c>
      <c r="O1126" s="5">
        <v>45240</v>
      </c>
      <c r="P1126" s="5">
        <v>43777</v>
      </c>
      <c r="Q1126" s="3">
        <v>540.20000000000005</v>
      </c>
      <c r="S1126">
        <f t="shared" si="51"/>
        <v>1464</v>
      </c>
      <c r="T1126">
        <f t="shared" si="52"/>
        <v>16.043835616438358</v>
      </c>
      <c r="U1126" s="6">
        <f t="shared" si="53"/>
        <v>9.2186039329571479E-2</v>
      </c>
    </row>
    <row r="1127" spans="1:21" x14ac:dyDescent="0.25">
      <c r="A1127" t="s">
        <v>6149</v>
      </c>
      <c r="B1127" t="s">
        <v>7798</v>
      </c>
      <c r="C1127" t="s">
        <v>14</v>
      </c>
      <c r="D1127">
        <v>56.88</v>
      </c>
      <c r="E1127">
        <v>56.88</v>
      </c>
      <c r="F1127">
        <v>55.4</v>
      </c>
      <c r="G1127" s="3">
        <v>55.81</v>
      </c>
      <c r="H1127">
        <v>55.89</v>
      </c>
      <c r="I1127">
        <v>55.77</v>
      </c>
      <c r="J1127">
        <v>434436</v>
      </c>
      <c r="K1127">
        <v>24196157.48</v>
      </c>
      <c r="L1127" s="1">
        <v>45240</v>
      </c>
      <c r="M1127">
        <v>2365</v>
      </c>
      <c r="N1127" t="s">
        <v>6148</v>
      </c>
      <c r="O1127" s="5">
        <v>45240</v>
      </c>
      <c r="P1127" s="5">
        <v>43777</v>
      </c>
      <c r="Q1127" s="3">
        <v>268.11</v>
      </c>
      <c r="S1127">
        <f t="shared" si="51"/>
        <v>1464</v>
      </c>
      <c r="T1127">
        <f t="shared" si="52"/>
        <v>16.043835616438358</v>
      </c>
      <c r="U1127" s="6">
        <f t="shared" si="53"/>
        <v>-0.37275974115669808</v>
      </c>
    </row>
    <row r="1128" spans="1:21" x14ac:dyDescent="0.25">
      <c r="A1128" t="s">
        <v>4027</v>
      </c>
      <c r="B1128" t="s">
        <v>4028</v>
      </c>
      <c r="C1128" t="s">
        <v>14</v>
      </c>
      <c r="D1128">
        <v>144.25</v>
      </c>
      <c r="E1128">
        <v>147.69999999999999</v>
      </c>
      <c r="F1128">
        <v>143.35</v>
      </c>
      <c r="G1128" s="3">
        <v>145.25</v>
      </c>
      <c r="H1128">
        <v>145</v>
      </c>
      <c r="I1128">
        <v>143.9</v>
      </c>
      <c r="J1128">
        <v>1920962</v>
      </c>
      <c r="K1128">
        <v>280391844.14999998</v>
      </c>
      <c r="L1128" s="1">
        <v>45240</v>
      </c>
      <c r="M1128">
        <v>13785</v>
      </c>
      <c r="N1128" t="s">
        <v>4029</v>
      </c>
      <c r="O1128" s="5">
        <v>45240</v>
      </c>
      <c r="P1128" s="5">
        <v>43777</v>
      </c>
      <c r="Q1128" s="3">
        <v>57.6</v>
      </c>
      <c r="S1128">
        <f t="shared" si="51"/>
        <v>1464</v>
      </c>
      <c r="T1128">
        <f t="shared" si="52"/>
        <v>16.043835616438358</v>
      </c>
      <c r="U1128" s="6">
        <f t="shared" si="53"/>
        <v>0.237378412253344</v>
      </c>
    </row>
    <row r="1129" spans="1:21" x14ac:dyDescent="0.25">
      <c r="A1129" t="s">
        <v>4033</v>
      </c>
      <c r="B1129" t="s">
        <v>4034</v>
      </c>
      <c r="C1129" t="s">
        <v>14</v>
      </c>
      <c r="D1129">
        <v>47.1</v>
      </c>
      <c r="E1129">
        <v>47.7</v>
      </c>
      <c r="F1129">
        <v>44.65</v>
      </c>
      <c r="G1129" s="3">
        <v>45</v>
      </c>
      <c r="H1129">
        <v>45</v>
      </c>
      <c r="I1129">
        <v>47.1</v>
      </c>
      <c r="J1129">
        <v>535356</v>
      </c>
      <c r="K1129">
        <v>24354666.199999999</v>
      </c>
      <c r="L1129" s="1">
        <v>45240</v>
      </c>
      <c r="M1129">
        <v>3584</v>
      </c>
      <c r="N1129" t="s">
        <v>4035</v>
      </c>
      <c r="O1129" s="5">
        <v>45240</v>
      </c>
      <c r="P1129" s="5">
        <v>43777</v>
      </c>
      <c r="Q1129" s="3">
        <v>37.1</v>
      </c>
      <c r="S1129">
        <f t="shared" si="51"/>
        <v>1464</v>
      </c>
      <c r="T1129">
        <f t="shared" si="52"/>
        <v>16.043835616438358</v>
      </c>
      <c r="U1129" s="6">
        <f t="shared" si="53"/>
        <v>4.8420239514535446E-2</v>
      </c>
    </row>
    <row r="1130" spans="1:21" x14ac:dyDescent="0.25">
      <c r="A1130" t="s">
        <v>4036</v>
      </c>
      <c r="B1130" t="s">
        <v>4037</v>
      </c>
      <c r="C1130" t="s">
        <v>14</v>
      </c>
      <c r="D1130">
        <v>1150</v>
      </c>
      <c r="E1130">
        <v>1164.95</v>
      </c>
      <c r="F1130">
        <v>1129</v>
      </c>
      <c r="G1130" s="3">
        <v>1134.8</v>
      </c>
      <c r="H1130">
        <v>1138.8499999999999</v>
      </c>
      <c r="I1130">
        <v>1151.45</v>
      </c>
      <c r="J1130">
        <v>3443</v>
      </c>
      <c r="K1130">
        <v>3915837.2</v>
      </c>
      <c r="L1130" s="1">
        <v>45240</v>
      </c>
      <c r="M1130">
        <v>610</v>
      </c>
      <c r="N1130" t="s">
        <v>4038</v>
      </c>
      <c r="O1130" s="5">
        <v>45240</v>
      </c>
      <c r="P1130" s="5">
        <v>43777</v>
      </c>
      <c r="Q1130" s="3">
        <v>528.5</v>
      </c>
      <c r="S1130">
        <f t="shared" si="51"/>
        <v>1464</v>
      </c>
      <c r="T1130">
        <f t="shared" si="52"/>
        <v>16.043835616438358</v>
      </c>
      <c r="U1130" s="6">
        <f t="shared" si="53"/>
        <v>0.19513039932092813</v>
      </c>
    </row>
    <row r="1131" spans="1:21" x14ac:dyDescent="0.25">
      <c r="A1131" t="s">
        <v>4039</v>
      </c>
      <c r="B1131" t="s">
        <v>4040</v>
      </c>
      <c r="C1131" t="s">
        <v>14</v>
      </c>
      <c r="D1131">
        <v>146</v>
      </c>
      <c r="E1131">
        <v>149.5</v>
      </c>
      <c r="F1131">
        <v>145.5</v>
      </c>
      <c r="G1131" s="3">
        <v>147.80000000000001</v>
      </c>
      <c r="H1131">
        <v>148</v>
      </c>
      <c r="I1131">
        <v>146.5</v>
      </c>
      <c r="J1131">
        <v>665971</v>
      </c>
      <c r="K1131">
        <v>98417142.549999997</v>
      </c>
      <c r="L1131" s="1">
        <v>45240</v>
      </c>
      <c r="M1131">
        <v>7429</v>
      </c>
      <c r="N1131" t="s">
        <v>4041</v>
      </c>
      <c r="O1131" s="5">
        <v>45240</v>
      </c>
      <c r="P1131" s="5">
        <v>43777</v>
      </c>
      <c r="Q1131" s="3">
        <v>64.05</v>
      </c>
      <c r="S1131">
        <f t="shared" si="51"/>
        <v>1464</v>
      </c>
      <c r="T1131">
        <f t="shared" si="52"/>
        <v>16.043835616438358</v>
      </c>
      <c r="U1131" s="6">
        <f t="shared" si="53"/>
        <v>0.21400632719596846</v>
      </c>
    </row>
    <row r="1132" spans="1:21" x14ac:dyDescent="0.25">
      <c r="A1132" t="s">
        <v>6143</v>
      </c>
      <c r="B1132" t="s">
        <v>7798</v>
      </c>
      <c r="C1132" t="s">
        <v>14</v>
      </c>
      <c r="D1132">
        <v>50.89</v>
      </c>
      <c r="E1132">
        <v>51.29</v>
      </c>
      <c r="F1132">
        <v>50.76</v>
      </c>
      <c r="G1132" s="3">
        <v>51.08</v>
      </c>
      <c r="H1132">
        <v>51.09</v>
      </c>
      <c r="I1132">
        <v>50.7</v>
      </c>
      <c r="J1132">
        <v>48669</v>
      </c>
      <c r="K1132">
        <v>2485522.81</v>
      </c>
      <c r="L1132" s="1">
        <v>45240</v>
      </c>
      <c r="M1132">
        <v>645</v>
      </c>
      <c r="N1132" t="s">
        <v>6142</v>
      </c>
      <c r="O1132" s="5">
        <v>45240</v>
      </c>
      <c r="P1132" s="5">
        <v>43777</v>
      </c>
      <c r="Q1132" s="3">
        <v>1670.8</v>
      </c>
      <c r="S1132">
        <f t="shared" si="51"/>
        <v>1464</v>
      </c>
      <c r="T1132">
        <f t="shared" si="52"/>
        <v>16.043835616438358</v>
      </c>
      <c r="U1132" s="6">
        <f t="shared" si="53"/>
        <v>-0.78151458075907998</v>
      </c>
    </row>
    <row r="1133" spans="1:21" x14ac:dyDescent="0.25">
      <c r="A1133" t="s">
        <v>6139</v>
      </c>
      <c r="B1133" t="s">
        <v>7798</v>
      </c>
      <c r="C1133" t="s">
        <v>14</v>
      </c>
      <c r="D1133">
        <v>2074</v>
      </c>
      <c r="E1133">
        <v>2074</v>
      </c>
      <c r="F1133">
        <v>2066</v>
      </c>
      <c r="G1133" s="3">
        <v>2073.37</v>
      </c>
      <c r="H1133">
        <v>2074</v>
      </c>
      <c r="I1133">
        <v>2074</v>
      </c>
      <c r="J1133">
        <v>73</v>
      </c>
      <c r="K1133">
        <v>151170.29999999999</v>
      </c>
      <c r="L1133" s="1">
        <v>45240</v>
      </c>
      <c r="M1133">
        <v>21</v>
      </c>
      <c r="N1133" t="s">
        <v>6138</v>
      </c>
      <c r="O1133" s="5">
        <v>45240</v>
      </c>
      <c r="P1133" s="5">
        <v>43777</v>
      </c>
      <c r="Q1133" s="3">
        <v>1225.5</v>
      </c>
      <c r="S1133">
        <f t="shared" si="51"/>
        <v>1464</v>
      </c>
      <c r="T1133">
        <f t="shared" si="52"/>
        <v>16.043835616438358</v>
      </c>
      <c r="U1133" s="6">
        <f t="shared" si="53"/>
        <v>0.13326940396535925</v>
      </c>
    </row>
    <row r="1134" spans="1:21" x14ac:dyDescent="0.25">
      <c r="A1134" t="s">
        <v>4051</v>
      </c>
      <c r="B1134" t="s">
        <v>4052</v>
      </c>
      <c r="C1134" t="s">
        <v>14</v>
      </c>
      <c r="D1134">
        <v>447.5</v>
      </c>
      <c r="E1134">
        <v>469.65</v>
      </c>
      <c r="F1134">
        <v>444.45</v>
      </c>
      <c r="G1134" s="3">
        <v>464.8</v>
      </c>
      <c r="H1134">
        <v>467.05</v>
      </c>
      <c r="I1134">
        <v>447.7</v>
      </c>
      <c r="J1134">
        <v>2369320</v>
      </c>
      <c r="K1134">
        <v>1094610313.75</v>
      </c>
      <c r="L1134" s="1">
        <v>45240</v>
      </c>
      <c r="M1134">
        <v>58427</v>
      </c>
      <c r="N1134" t="s">
        <v>4053</v>
      </c>
      <c r="O1134" s="5">
        <v>45240</v>
      </c>
      <c r="P1134" s="5">
        <v>43777</v>
      </c>
      <c r="Q1134" s="3">
        <v>526.95000000000005</v>
      </c>
      <c r="S1134">
        <f t="shared" si="51"/>
        <v>1464</v>
      </c>
      <c r="T1134">
        <f t="shared" si="52"/>
        <v>16.043835616438358</v>
      </c>
      <c r="U1134" s="6">
        <f t="shared" si="53"/>
        <v>-3.1166836575335921E-2</v>
      </c>
    </row>
    <row r="1135" spans="1:21" x14ac:dyDescent="0.25">
      <c r="A1135" t="s">
        <v>4054</v>
      </c>
      <c r="B1135" t="s">
        <v>4055</v>
      </c>
      <c r="C1135" t="s">
        <v>14</v>
      </c>
      <c r="D1135">
        <v>323.7</v>
      </c>
      <c r="E1135">
        <v>332.5</v>
      </c>
      <c r="F1135">
        <v>316.35000000000002</v>
      </c>
      <c r="G1135" s="3">
        <v>328.55</v>
      </c>
      <c r="H1135">
        <v>329</v>
      </c>
      <c r="I1135">
        <v>323.75</v>
      </c>
      <c r="J1135">
        <v>207110</v>
      </c>
      <c r="K1135">
        <v>67777483.099999994</v>
      </c>
      <c r="L1135" s="1">
        <v>45240</v>
      </c>
      <c r="M1135">
        <v>15905</v>
      </c>
      <c r="N1135" t="s">
        <v>4056</v>
      </c>
      <c r="O1135" s="5">
        <v>45240</v>
      </c>
      <c r="P1135" s="5">
        <v>43777</v>
      </c>
      <c r="Q1135" s="3">
        <v>139.55000000000001</v>
      </c>
      <c r="S1135">
        <f t="shared" si="51"/>
        <v>1464</v>
      </c>
      <c r="T1135">
        <f t="shared" si="52"/>
        <v>16.043835616438358</v>
      </c>
      <c r="U1135" s="6">
        <f t="shared" si="53"/>
        <v>0.21928115198166509</v>
      </c>
    </row>
    <row r="1136" spans="1:21" x14ac:dyDescent="0.25">
      <c r="A1136" t="s">
        <v>4069</v>
      </c>
      <c r="B1136" t="s">
        <v>4070</v>
      </c>
      <c r="C1136" t="s">
        <v>14</v>
      </c>
      <c r="D1136">
        <v>1375</v>
      </c>
      <c r="E1136">
        <v>1397</v>
      </c>
      <c r="F1136">
        <v>1372.25</v>
      </c>
      <c r="G1136" s="3">
        <v>1394.2</v>
      </c>
      <c r="H1136">
        <v>1390</v>
      </c>
      <c r="I1136">
        <v>1382.45</v>
      </c>
      <c r="J1136">
        <v>214799</v>
      </c>
      <c r="K1136">
        <v>298648028.94999999</v>
      </c>
      <c r="L1136" s="1">
        <v>45240</v>
      </c>
      <c r="M1136">
        <v>9495</v>
      </c>
      <c r="N1136" t="s">
        <v>4071</v>
      </c>
      <c r="O1136" s="5">
        <v>45240</v>
      </c>
      <c r="P1136" s="5">
        <v>43777</v>
      </c>
      <c r="Q1136" s="3">
        <v>330.4</v>
      </c>
      <c r="S1136">
        <f t="shared" si="51"/>
        <v>1464</v>
      </c>
      <c r="T1136">
        <f t="shared" si="52"/>
        <v>16.043835616438358</v>
      </c>
      <c r="U1136" s="6">
        <f t="shared" si="53"/>
        <v>0.37555885144886325</v>
      </c>
    </row>
    <row r="1137" spans="1:21" x14ac:dyDescent="0.25">
      <c r="A1137" t="s">
        <v>4072</v>
      </c>
      <c r="B1137" t="s">
        <v>4073</v>
      </c>
      <c r="C1137" t="s">
        <v>14</v>
      </c>
      <c r="D1137">
        <v>14.25</v>
      </c>
      <c r="E1137">
        <v>14.25</v>
      </c>
      <c r="F1137">
        <v>13.85</v>
      </c>
      <c r="G1137" s="3">
        <v>13.95</v>
      </c>
      <c r="H1137">
        <v>14</v>
      </c>
      <c r="I1137">
        <v>14.05</v>
      </c>
      <c r="J1137">
        <v>441663</v>
      </c>
      <c r="K1137">
        <v>6165105.4000000004</v>
      </c>
      <c r="L1137" s="1">
        <v>45240</v>
      </c>
      <c r="M1137">
        <v>847</v>
      </c>
      <c r="N1137" t="s">
        <v>4074</v>
      </c>
      <c r="O1137" s="5">
        <v>45240</v>
      </c>
      <c r="P1137" s="5">
        <v>43777</v>
      </c>
      <c r="Q1137" s="3">
        <v>29.8</v>
      </c>
      <c r="S1137">
        <f t="shared" si="51"/>
        <v>1464</v>
      </c>
      <c r="T1137">
        <f t="shared" si="52"/>
        <v>16.043835616438358</v>
      </c>
      <c r="U1137" s="6">
        <f t="shared" si="53"/>
        <v>-0.18483211095886576</v>
      </c>
    </row>
    <row r="1138" spans="1:21" x14ac:dyDescent="0.25">
      <c r="A1138" t="s">
        <v>4072</v>
      </c>
      <c r="B1138" t="s">
        <v>4073</v>
      </c>
      <c r="C1138" t="s">
        <v>5847</v>
      </c>
      <c r="D1138">
        <v>92.75</v>
      </c>
      <c r="E1138">
        <v>94.75</v>
      </c>
      <c r="F1138">
        <v>92.75</v>
      </c>
      <c r="G1138" s="3">
        <v>93</v>
      </c>
      <c r="H1138">
        <v>93</v>
      </c>
      <c r="I1138">
        <v>92.75</v>
      </c>
      <c r="J1138">
        <v>790</v>
      </c>
      <c r="K1138">
        <v>73467.149999999994</v>
      </c>
      <c r="L1138" s="1">
        <v>45240</v>
      </c>
      <c r="M1138">
        <v>12</v>
      </c>
      <c r="N1138" t="s">
        <v>6135</v>
      </c>
      <c r="O1138" s="5">
        <v>45240</v>
      </c>
      <c r="P1138" s="5">
        <v>43777</v>
      </c>
      <c r="Q1138" s="3">
        <v>29.8</v>
      </c>
      <c r="S1138">
        <f t="shared" si="51"/>
        <v>1464</v>
      </c>
      <c r="T1138">
        <f t="shared" si="52"/>
        <v>16.043835616438358</v>
      </c>
      <c r="U1138" s="6">
        <f t="shared" si="53"/>
        <v>0.29405156795698062</v>
      </c>
    </row>
    <row r="1139" spans="1:21" x14ac:dyDescent="0.25">
      <c r="A1139" t="s">
        <v>4078</v>
      </c>
      <c r="B1139" t="s">
        <v>4079</v>
      </c>
      <c r="C1139" t="s">
        <v>14</v>
      </c>
      <c r="D1139">
        <v>145.69999999999999</v>
      </c>
      <c r="E1139">
        <v>146.30000000000001</v>
      </c>
      <c r="F1139">
        <v>140.25</v>
      </c>
      <c r="G1139" s="3">
        <v>144.1</v>
      </c>
      <c r="H1139">
        <v>143.80000000000001</v>
      </c>
      <c r="I1139">
        <v>146.35</v>
      </c>
      <c r="J1139">
        <v>1716902</v>
      </c>
      <c r="K1139">
        <v>247302036.75</v>
      </c>
      <c r="L1139" s="1">
        <v>45240</v>
      </c>
      <c r="M1139">
        <v>23153</v>
      </c>
      <c r="N1139" t="s">
        <v>4080</v>
      </c>
      <c r="O1139" s="5">
        <v>45240</v>
      </c>
      <c r="P1139" s="5">
        <v>43777</v>
      </c>
      <c r="Q1139" s="3">
        <v>103.95</v>
      </c>
      <c r="S1139">
        <f t="shared" si="51"/>
        <v>1464</v>
      </c>
      <c r="T1139">
        <f t="shared" si="52"/>
        <v>16.043835616438358</v>
      </c>
      <c r="U1139" s="6">
        <f t="shared" si="53"/>
        <v>8.2260718918195863E-2</v>
      </c>
    </row>
    <row r="1140" spans="1:21" x14ac:dyDescent="0.25">
      <c r="A1140" t="s">
        <v>4084</v>
      </c>
      <c r="B1140" t="s">
        <v>4085</v>
      </c>
      <c r="C1140" t="s">
        <v>14</v>
      </c>
      <c r="D1140">
        <v>431</v>
      </c>
      <c r="E1140">
        <v>436.25</v>
      </c>
      <c r="F1140">
        <v>429.55</v>
      </c>
      <c r="G1140" s="3">
        <v>434.6</v>
      </c>
      <c r="H1140">
        <v>434</v>
      </c>
      <c r="I1140">
        <v>429.95</v>
      </c>
      <c r="J1140">
        <v>209949</v>
      </c>
      <c r="K1140">
        <v>90944601.200000003</v>
      </c>
      <c r="L1140" s="1">
        <v>45240</v>
      </c>
      <c r="M1140">
        <v>6966</v>
      </c>
      <c r="N1140" t="s">
        <v>4086</v>
      </c>
      <c r="O1140" s="5">
        <v>45240</v>
      </c>
      <c r="P1140" s="5">
        <v>43777</v>
      </c>
      <c r="Q1140" s="3">
        <v>674.9</v>
      </c>
      <c r="S1140">
        <f t="shared" si="51"/>
        <v>1464</v>
      </c>
      <c r="T1140">
        <f t="shared" si="52"/>
        <v>16.043835616438358</v>
      </c>
      <c r="U1140" s="6">
        <f t="shared" si="53"/>
        <v>-0.10824245214807648</v>
      </c>
    </row>
    <row r="1141" spans="1:21" x14ac:dyDescent="0.25">
      <c r="A1141" t="s">
        <v>4096</v>
      </c>
      <c r="B1141" t="s">
        <v>4097</v>
      </c>
      <c r="C1141" t="s">
        <v>10</v>
      </c>
      <c r="D1141">
        <v>59</v>
      </c>
      <c r="E1141">
        <v>59.25</v>
      </c>
      <c r="F1141">
        <v>59</v>
      </c>
      <c r="G1141" s="3">
        <v>59.25</v>
      </c>
      <c r="H1141">
        <v>59.25</v>
      </c>
      <c r="I1141">
        <v>59.45</v>
      </c>
      <c r="J1141">
        <v>104621</v>
      </c>
      <c r="K1141">
        <v>6179935.8499999996</v>
      </c>
      <c r="L1141" s="1">
        <v>45240</v>
      </c>
      <c r="M1141">
        <v>193</v>
      </c>
      <c r="N1141" t="s">
        <v>4098</v>
      </c>
      <c r="O1141" s="5">
        <v>45240</v>
      </c>
      <c r="P1141" s="5">
        <v>43777</v>
      </c>
      <c r="Q1141" s="3">
        <v>17</v>
      </c>
      <c r="S1141">
        <f t="shared" si="51"/>
        <v>1464</v>
      </c>
      <c r="T1141">
        <f t="shared" si="52"/>
        <v>16.043835616438358</v>
      </c>
      <c r="U1141" s="6">
        <f t="shared" si="53"/>
        <v>0.3237179957522871</v>
      </c>
    </row>
    <row r="1142" spans="1:21" x14ac:dyDescent="0.25">
      <c r="A1142" t="s">
        <v>4099</v>
      </c>
      <c r="B1142" t="s">
        <v>4100</v>
      </c>
      <c r="C1142" t="s">
        <v>14</v>
      </c>
      <c r="D1142">
        <v>52.9</v>
      </c>
      <c r="E1142">
        <v>52.9</v>
      </c>
      <c r="F1142">
        <v>51.75</v>
      </c>
      <c r="G1142" s="3">
        <v>52.2</v>
      </c>
      <c r="H1142">
        <v>52</v>
      </c>
      <c r="I1142">
        <v>52.9</v>
      </c>
      <c r="J1142">
        <v>3829</v>
      </c>
      <c r="K1142">
        <v>200207.4</v>
      </c>
      <c r="L1142" s="1">
        <v>45240</v>
      </c>
      <c r="M1142">
        <v>182</v>
      </c>
      <c r="N1142" t="s">
        <v>4101</v>
      </c>
      <c r="O1142" s="5">
        <v>45240</v>
      </c>
      <c r="P1142" s="5">
        <v>43777</v>
      </c>
      <c r="Q1142" s="3">
        <v>42.9</v>
      </c>
      <c r="S1142">
        <f t="shared" si="51"/>
        <v>1464</v>
      </c>
      <c r="T1142">
        <f t="shared" si="52"/>
        <v>16.043835616438358</v>
      </c>
      <c r="U1142" s="6">
        <f t="shared" si="53"/>
        <v>4.9218995922285735E-2</v>
      </c>
    </row>
    <row r="1143" spans="1:21" x14ac:dyDescent="0.25">
      <c r="A1143" t="s">
        <v>4102</v>
      </c>
      <c r="B1143" t="s">
        <v>4103</v>
      </c>
      <c r="C1143" t="s">
        <v>14</v>
      </c>
      <c r="D1143">
        <v>218.8</v>
      </c>
      <c r="E1143">
        <v>220.5</v>
      </c>
      <c r="F1143">
        <v>214.25</v>
      </c>
      <c r="G1143" s="3">
        <v>217.6</v>
      </c>
      <c r="H1143">
        <v>217.5</v>
      </c>
      <c r="I1143">
        <v>218.8</v>
      </c>
      <c r="J1143">
        <v>819249</v>
      </c>
      <c r="K1143">
        <v>178233454.94999999</v>
      </c>
      <c r="L1143" s="1">
        <v>45240</v>
      </c>
      <c r="M1143">
        <v>13125</v>
      </c>
      <c r="N1143" t="s">
        <v>4104</v>
      </c>
      <c r="O1143" s="5">
        <v>45240</v>
      </c>
      <c r="P1143" s="5">
        <v>43777</v>
      </c>
      <c r="Q1143" s="3">
        <v>167.35</v>
      </c>
      <c r="S1143">
        <f t="shared" si="51"/>
        <v>1464</v>
      </c>
      <c r="T1143">
        <f t="shared" si="52"/>
        <v>16.043835616438358</v>
      </c>
      <c r="U1143" s="6">
        <f t="shared" si="53"/>
        <v>6.6002036711194201E-2</v>
      </c>
    </row>
    <row r="1144" spans="1:21" x14ac:dyDescent="0.25">
      <c r="A1144" t="s">
        <v>4105</v>
      </c>
      <c r="B1144" t="s">
        <v>4106</v>
      </c>
      <c r="C1144" t="s">
        <v>14</v>
      </c>
      <c r="D1144">
        <v>14.65</v>
      </c>
      <c r="E1144">
        <v>16.2</v>
      </c>
      <c r="F1144">
        <v>14.45</v>
      </c>
      <c r="G1144" s="3">
        <v>15.65</v>
      </c>
      <c r="H1144">
        <v>15.7</v>
      </c>
      <c r="I1144">
        <v>14.45</v>
      </c>
      <c r="J1144">
        <v>1345542</v>
      </c>
      <c r="K1144">
        <v>20679879.5</v>
      </c>
      <c r="L1144" s="1">
        <v>45240</v>
      </c>
      <c r="M1144">
        <v>3378</v>
      </c>
      <c r="N1144" t="s">
        <v>4107</v>
      </c>
      <c r="O1144" s="5">
        <v>45240</v>
      </c>
      <c r="P1144" s="5">
        <v>43777</v>
      </c>
      <c r="Q1144" s="3">
        <v>15.5</v>
      </c>
      <c r="S1144">
        <f t="shared" si="51"/>
        <v>1464</v>
      </c>
      <c r="T1144">
        <f t="shared" si="52"/>
        <v>16.043835616438358</v>
      </c>
      <c r="U1144" s="6">
        <f t="shared" si="53"/>
        <v>2.4018656176370001E-3</v>
      </c>
    </row>
    <row r="1145" spans="1:21" x14ac:dyDescent="0.25">
      <c r="A1145" t="s">
        <v>4111</v>
      </c>
      <c r="B1145" t="s">
        <v>4112</v>
      </c>
      <c r="C1145" t="s">
        <v>14</v>
      </c>
      <c r="D1145">
        <v>39.450000000000003</v>
      </c>
      <c r="E1145">
        <v>39.799999999999997</v>
      </c>
      <c r="F1145">
        <v>38.799999999999997</v>
      </c>
      <c r="G1145" s="3">
        <v>39.5</v>
      </c>
      <c r="H1145">
        <v>39.450000000000003</v>
      </c>
      <c r="I1145">
        <v>39.5</v>
      </c>
      <c r="J1145">
        <v>7020778</v>
      </c>
      <c r="K1145">
        <v>277002499.39999998</v>
      </c>
      <c r="L1145" s="1">
        <v>45240</v>
      </c>
      <c r="M1145">
        <v>10426</v>
      </c>
      <c r="N1145" t="s">
        <v>4113</v>
      </c>
      <c r="O1145" s="5">
        <v>45240</v>
      </c>
      <c r="P1145" s="5">
        <v>43777</v>
      </c>
      <c r="Q1145" s="3">
        <v>47.65</v>
      </c>
      <c r="S1145">
        <f t="shared" si="51"/>
        <v>1464</v>
      </c>
      <c r="T1145">
        <f t="shared" si="52"/>
        <v>16.043835616438358</v>
      </c>
      <c r="U1145" s="6">
        <f t="shared" si="53"/>
        <v>-4.6495023954966186E-2</v>
      </c>
    </row>
    <row r="1146" spans="1:21" x14ac:dyDescent="0.25">
      <c r="A1146" t="s">
        <v>4114</v>
      </c>
      <c r="B1146" t="s">
        <v>4115</v>
      </c>
      <c r="C1146" t="s">
        <v>14</v>
      </c>
      <c r="D1146">
        <v>1020</v>
      </c>
      <c r="E1146">
        <v>1024.6500000000001</v>
      </c>
      <c r="F1146">
        <v>970.55</v>
      </c>
      <c r="G1146" s="3">
        <v>986.2</v>
      </c>
      <c r="H1146">
        <v>986</v>
      </c>
      <c r="I1146">
        <v>1022.2</v>
      </c>
      <c r="J1146">
        <v>1736004</v>
      </c>
      <c r="K1146">
        <v>1715162933.3</v>
      </c>
      <c r="L1146" s="1">
        <v>45240</v>
      </c>
      <c r="M1146">
        <v>59445</v>
      </c>
      <c r="N1146" t="s">
        <v>4116</v>
      </c>
      <c r="O1146" s="5">
        <v>45240</v>
      </c>
      <c r="P1146" s="5">
        <v>43777</v>
      </c>
      <c r="Q1146" s="3">
        <v>796.2</v>
      </c>
      <c r="S1146">
        <f t="shared" si="51"/>
        <v>1464</v>
      </c>
      <c r="T1146">
        <f t="shared" si="52"/>
        <v>16.043835616438358</v>
      </c>
      <c r="U1146" s="6">
        <f t="shared" si="53"/>
        <v>5.3713455485601358E-2</v>
      </c>
    </row>
    <row r="1147" spans="1:21" x14ac:dyDescent="0.25">
      <c r="A1147" t="s">
        <v>4117</v>
      </c>
      <c r="B1147" t="s">
        <v>4118</v>
      </c>
      <c r="C1147" t="s">
        <v>14</v>
      </c>
      <c r="D1147">
        <v>216</v>
      </c>
      <c r="E1147">
        <v>220.4</v>
      </c>
      <c r="F1147">
        <v>197.9</v>
      </c>
      <c r="G1147" s="3">
        <v>202.5</v>
      </c>
      <c r="H1147">
        <v>202.1</v>
      </c>
      <c r="I1147">
        <v>216.55</v>
      </c>
      <c r="J1147">
        <v>813149</v>
      </c>
      <c r="K1147">
        <v>167717112.55000001</v>
      </c>
      <c r="L1147" s="1">
        <v>45240</v>
      </c>
      <c r="M1147">
        <v>15900</v>
      </c>
      <c r="N1147" t="s">
        <v>4119</v>
      </c>
      <c r="O1147" s="5">
        <v>45240</v>
      </c>
      <c r="P1147" s="5">
        <v>43777</v>
      </c>
      <c r="Q1147" s="3">
        <v>187.8</v>
      </c>
      <c r="S1147">
        <f t="shared" si="51"/>
        <v>1464</v>
      </c>
      <c r="T1147">
        <f t="shared" si="52"/>
        <v>16.043835616438358</v>
      </c>
      <c r="U1147" s="6">
        <f t="shared" si="53"/>
        <v>1.8833300923691176E-2</v>
      </c>
    </row>
    <row r="1148" spans="1:21" x14ac:dyDescent="0.25">
      <c r="A1148" t="s">
        <v>4120</v>
      </c>
      <c r="B1148" t="s">
        <v>4121</v>
      </c>
      <c r="C1148" t="s">
        <v>14</v>
      </c>
      <c r="D1148">
        <v>264.8</v>
      </c>
      <c r="E1148">
        <v>267.8</v>
      </c>
      <c r="F1148">
        <v>260.5</v>
      </c>
      <c r="G1148" s="3">
        <v>265.75</v>
      </c>
      <c r="H1148">
        <v>265.55</v>
      </c>
      <c r="I1148">
        <v>264.89999999999998</v>
      </c>
      <c r="J1148">
        <v>47694</v>
      </c>
      <c r="K1148">
        <v>12585692.199999999</v>
      </c>
      <c r="L1148" s="1">
        <v>45240</v>
      </c>
      <c r="M1148">
        <v>1550</v>
      </c>
      <c r="N1148" t="s">
        <v>4122</v>
      </c>
      <c r="O1148" s="5">
        <v>45240</v>
      </c>
      <c r="P1148" s="5">
        <v>43777</v>
      </c>
      <c r="Q1148" s="3">
        <v>149.65</v>
      </c>
      <c r="S1148">
        <f t="shared" si="51"/>
        <v>1464</v>
      </c>
      <c r="T1148">
        <f t="shared" si="52"/>
        <v>16.043835616438358</v>
      </c>
      <c r="U1148" s="6">
        <f t="shared" si="53"/>
        <v>0.14576506553902835</v>
      </c>
    </row>
    <row r="1149" spans="1:21" x14ac:dyDescent="0.25">
      <c r="A1149" t="s">
        <v>4123</v>
      </c>
      <c r="B1149" t="s">
        <v>4124</v>
      </c>
      <c r="C1149" t="s">
        <v>14</v>
      </c>
      <c r="D1149">
        <v>691</v>
      </c>
      <c r="E1149">
        <v>699</v>
      </c>
      <c r="F1149">
        <v>679.1</v>
      </c>
      <c r="G1149" s="3">
        <v>687.8</v>
      </c>
      <c r="H1149">
        <v>686</v>
      </c>
      <c r="I1149">
        <v>679.55</v>
      </c>
      <c r="J1149">
        <v>318179</v>
      </c>
      <c r="K1149">
        <v>218805665.65000001</v>
      </c>
      <c r="L1149" s="1">
        <v>45240</v>
      </c>
      <c r="M1149">
        <v>9947</v>
      </c>
      <c r="N1149" t="s">
        <v>4125</v>
      </c>
      <c r="O1149" s="5">
        <v>45240</v>
      </c>
      <c r="P1149" s="5">
        <v>43777</v>
      </c>
      <c r="Q1149" s="3">
        <v>46</v>
      </c>
      <c r="S1149">
        <f t="shared" si="51"/>
        <v>1464</v>
      </c>
      <c r="T1149">
        <f t="shared" si="52"/>
        <v>16.043835616438358</v>
      </c>
      <c r="U1149" s="6">
        <f t="shared" si="53"/>
        <v>0.7345468035773326</v>
      </c>
    </row>
    <row r="1150" spans="1:21" x14ac:dyDescent="0.25">
      <c r="A1150" t="s">
        <v>4129</v>
      </c>
      <c r="B1150" t="s">
        <v>4130</v>
      </c>
      <c r="C1150" t="s">
        <v>14</v>
      </c>
      <c r="D1150">
        <v>26.25</v>
      </c>
      <c r="E1150">
        <v>26.5</v>
      </c>
      <c r="F1150">
        <v>25.9</v>
      </c>
      <c r="G1150" s="3">
        <v>26.2</v>
      </c>
      <c r="H1150">
        <v>26.25</v>
      </c>
      <c r="I1150">
        <v>26.35</v>
      </c>
      <c r="J1150">
        <v>1007164</v>
      </c>
      <c r="K1150">
        <v>26387561</v>
      </c>
      <c r="L1150" s="1">
        <v>45240</v>
      </c>
      <c r="M1150">
        <v>3023</v>
      </c>
      <c r="N1150" t="s">
        <v>4131</v>
      </c>
      <c r="O1150" s="5">
        <v>45240</v>
      </c>
      <c r="P1150" s="5">
        <v>43777</v>
      </c>
      <c r="Q1150" s="3">
        <v>2.6</v>
      </c>
      <c r="S1150">
        <f t="shared" si="51"/>
        <v>1464</v>
      </c>
      <c r="T1150">
        <f t="shared" si="52"/>
        <v>16.043835616438358</v>
      </c>
      <c r="U1150" s="6">
        <f t="shared" si="53"/>
        <v>0.61951790195052858</v>
      </c>
    </row>
    <row r="1151" spans="1:21" x14ac:dyDescent="0.25">
      <c r="A1151" t="s">
        <v>4132</v>
      </c>
      <c r="B1151" t="s">
        <v>4133</v>
      </c>
      <c r="C1151" t="s">
        <v>14</v>
      </c>
      <c r="D1151">
        <v>295.89999999999998</v>
      </c>
      <c r="E1151">
        <v>296.3</v>
      </c>
      <c r="F1151">
        <v>290.2</v>
      </c>
      <c r="G1151" s="3">
        <v>295.5</v>
      </c>
      <c r="H1151">
        <v>295.7</v>
      </c>
      <c r="I1151">
        <v>291.3</v>
      </c>
      <c r="J1151">
        <v>1266</v>
      </c>
      <c r="K1151">
        <v>372751.45</v>
      </c>
      <c r="L1151" s="1">
        <v>45240</v>
      </c>
      <c r="M1151">
        <v>89</v>
      </c>
      <c r="N1151" t="s">
        <v>4134</v>
      </c>
      <c r="O1151" s="5">
        <v>45240</v>
      </c>
      <c r="P1151" s="5">
        <v>43777</v>
      </c>
      <c r="Q1151" s="3">
        <v>211.1</v>
      </c>
      <c r="S1151">
        <f t="shared" si="51"/>
        <v>1464</v>
      </c>
      <c r="T1151">
        <f t="shared" si="52"/>
        <v>16.043835616438358</v>
      </c>
      <c r="U1151" s="6">
        <f t="shared" si="53"/>
        <v>8.4739603257316887E-2</v>
      </c>
    </row>
    <row r="1152" spans="1:21" x14ac:dyDescent="0.25">
      <c r="A1152" t="s">
        <v>4135</v>
      </c>
      <c r="B1152" t="s">
        <v>4136</v>
      </c>
      <c r="C1152" t="s">
        <v>14</v>
      </c>
      <c r="D1152">
        <v>1225</v>
      </c>
      <c r="E1152">
        <v>1259</v>
      </c>
      <c r="F1152">
        <v>1200</v>
      </c>
      <c r="G1152" s="3">
        <v>1212.3499999999999</v>
      </c>
      <c r="H1152">
        <v>1209</v>
      </c>
      <c r="I1152">
        <v>1215.4000000000001</v>
      </c>
      <c r="J1152">
        <v>19524</v>
      </c>
      <c r="K1152">
        <v>23984236.800000001</v>
      </c>
      <c r="L1152" s="1">
        <v>45240</v>
      </c>
      <c r="M1152">
        <v>2208</v>
      </c>
      <c r="N1152" t="s">
        <v>4137</v>
      </c>
      <c r="O1152" s="5">
        <v>45240</v>
      </c>
      <c r="P1152" s="5">
        <v>43777</v>
      </c>
      <c r="Q1152" s="3">
        <v>877.25</v>
      </c>
      <c r="S1152">
        <f t="shared" si="51"/>
        <v>1464</v>
      </c>
      <c r="T1152">
        <f t="shared" si="52"/>
        <v>16.043835616438358</v>
      </c>
      <c r="U1152" s="6">
        <f t="shared" si="53"/>
        <v>8.1478734336409175E-2</v>
      </c>
    </row>
    <row r="1153" spans="1:21" x14ac:dyDescent="0.25">
      <c r="A1153" t="s">
        <v>4141</v>
      </c>
      <c r="B1153" t="s">
        <v>4142</v>
      </c>
      <c r="C1153" t="s">
        <v>14</v>
      </c>
      <c r="D1153">
        <v>3335</v>
      </c>
      <c r="E1153">
        <v>3398.9</v>
      </c>
      <c r="F1153">
        <v>3282.5</v>
      </c>
      <c r="G1153" s="3">
        <v>3343.55</v>
      </c>
      <c r="H1153">
        <v>3349.95</v>
      </c>
      <c r="I1153">
        <v>3344.25</v>
      </c>
      <c r="J1153">
        <v>56217</v>
      </c>
      <c r="K1153">
        <v>188096719.34999999</v>
      </c>
      <c r="L1153" s="1">
        <v>45240</v>
      </c>
      <c r="M1153">
        <v>11326</v>
      </c>
      <c r="N1153" t="s">
        <v>4143</v>
      </c>
      <c r="O1153" s="5">
        <v>45240</v>
      </c>
      <c r="P1153" s="5">
        <v>43777</v>
      </c>
      <c r="Q1153" s="3">
        <v>950.3</v>
      </c>
      <c r="S1153">
        <f t="shared" si="51"/>
        <v>1464</v>
      </c>
      <c r="T1153">
        <f t="shared" si="52"/>
        <v>16.043835616438358</v>
      </c>
      <c r="U1153" s="6">
        <f t="shared" si="53"/>
        <v>0.32626768530444927</v>
      </c>
    </row>
    <row r="1154" spans="1:21" x14ac:dyDescent="0.25">
      <c r="A1154" t="s">
        <v>4147</v>
      </c>
      <c r="B1154" t="s">
        <v>4148</v>
      </c>
      <c r="C1154" t="s">
        <v>14</v>
      </c>
      <c r="D1154">
        <v>1890</v>
      </c>
      <c r="E1154">
        <v>1898.5</v>
      </c>
      <c r="F1154">
        <v>1870.55</v>
      </c>
      <c r="G1154" s="3">
        <v>1889.3</v>
      </c>
      <c r="H1154">
        <v>1890.9</v>
      </c>
      <c r="I1154">
        <v>1884.15</v>
      </c>
      <c r="J1154">
        <v>130158</v>
      </c>
      <c r="K1154">
        <v>245701388.30000001</v>
      </c>
      <c r="L1154" s="1">
        <v>45240</v>
      </c>
      <c r="M1154">
        <v>13048</v>
      </c>
      <c r="N1154" t="s">
        <v>4149</v>
      </c>
      <c r="O1154" s="5">
        <v>45240</v>
      </c>
      <c r="P1154" s="5">
        <v>43777</v>
      </c>
      <c r="Q1154" s="3">
        <v>808</v>
      </c>
      <c r="S1154">
        <f t="shared" si="51"/>
        <v>1464</v>
      </c>
      <c r="T1154">
        <f t="shared" si="52"/>
        <v>16.043835616438358</v>
      </c>
      <c r="U1154" s="6">
        <f t="shared" si="53"/>
        <v>0.21747576460268991</v>
      </c>
    </row>
    <row r="1155" spans="1:21" x14ac:dyDescent="0.25">
      <c r="A1155" t="s">
        <v>4153</v>
      </c>
      <c r="B1155" t="s">
        <v>4154</v>
      </c>
      <c r="C1155" t="s">
        <v>14</v>
      </c>
      <c r="D1155">
        <v>828.9</v>
      </c>
      <c r="E1155">
        <v>834</v>
      </c>
      <c r="F1155">
        <v>810</v>
      </c>
      <c r="G1155" s="3">
        <v>813.95</v>
      </c>
      <c r="H1155">
        <v>814.55</v>
      </c>
      <c r="I1155">
        <v>825.8</v>
      </c>
      <c r="J1155">
        <v>15427</v>
      </c>
      <c r="K1155">
        <v>12711047.300000001</v>
      </c>
      <c r="L1155" s="1">
        <v>45240</v>
      </c>
      <c r="M1155">
        <v>2411</v>
      </c>
      <c r="N1155" t="s">
        <v>4155</v>
      </c>
      <c r="O1155" s="5">
        <v>45240</v>
      </c>
      <c r="P1155" s="5">
        <v>43777</v>
      </c>
      <c r="Q1155" s="3">
        <v>511.4</v>
      </c>
      <c r="S1155">
        <f t="shared" ref="S1155:S1218" si="54">O1155-P1155+1</f>
        <v>1464</v>
      </c>
      <c r="T1155">
        <f t="shared" ref="T1155:T1218" si="55">(S1155/365)*4</f>
        <v>16.043835616438358</v>
      </c>
      <c r="U1155" s="6">
        <f t="shared" ref="U1155:U1218" si="56">(((G1155/Q1155)^(1/T1155))-1)*4</f>
        <v>0.11756380239025521</v>
      </c>
    </row>
    <row r="1156" spans="1:21" x14ac:dyDescent="0.25">
      <c r="A1156" t="s">
        <v>4156</v>
      </c>
      <c r="B1156" t="s">
        <v>4157</v>
      </c>
      <c r="C1156" t="s">
        <v>14</v>
      </c>
      <c r="D1156">
        <v>238.9</v>
      </c>
      <c r="E1156">
        <v>240.8</v>
      </c>
      <c r="F1156">
        <v>236.8</v>
      </c>
      <c r="G1156" s="3">
        <v>239.85</v>
      </c>
      <c r="H1156">
        <v>240.2</v>
      </c>
      <c r="I1156">
        <v>239.6</v>
      </c>
      <c r="J1156">
        <v>5675622</v>
      </c>
      <c r="K1156">
        <v>1356791142.2</v>
      </c>
      <c r="L1156" s="1">
        <v>45240</v>
      </c>
      <c r="M1156">
        <v>36920</v>
      </c>
      <c r="N1156" t="s">
        <v>4158</v>
      </c>
      <c r="O1156" s="5">
        <v>45240</v>
      </c>
      <c r="P1156" s="5">
        <v>43777</v>
      </c>
      <c r="Q1156" s="3">
        <v>323.89999999999998</v>
      </c>
      <c r="S1156">
        <f t="shared" si="54"/>
        <v>1464</v>
      </c>
      <c r="T1156">
        <f t="shared" si="55"/>
        <v>16.043835616438358</v>
      </c>
      <c r="U1156" s="6">
        <f t="shared" si="56"/>
        <v>-7.4203172924491856E-2</v>
      </c>
    </row>
    <row r="1157" spans="1:21" x14ac:dyDescent="0.25">
      <c r="A1157" t="s">
        <v>4159</v>
      </c>
      <c r="B1157" t="s">
        <v>4160</v>
      </c>
      <c r="C1157" t="s">
        <v>14</v>
      </c>
      <c r="D1157">
        <v>127.65</v>
      </c>
      <c r="E1157">
        <v>129.30000000000001</v>
      </c>
      <c r="F1157">
        <v>127</v>
      </c>
      <c r="G1157" s="3">
        <v>127.65</v>
      </c>
      <c r="H1157">
        <v>127.5</v>
      </c>
      <c r="I1157">
        <v>127.65</v>
      </c>
      <c r="J1157">
        <v>1693222</v>
      </c>
      <c r="K1157">
        <v>216868004.09999999</v>
      </c>
      <c r="L1157" s="1">
        <v>45240</v>
      </c>
      <c r="M1157">
        <v>10482</v>
      </c>
      <c r="N1157" t="s">
        <v>4161</v>
      </c>
      <c r="O1157" s="5">
        <v>45240</v>
      </c>
      <c r="P1157" s="5">
        <v>43777</v>
      </c>
      <c r="Q1157" s="3">
        <v>52.05</v>
      </c>
      <c r="S1157">
        <f t="shared" si="54"/>
        <v>1464</v>
      </c>
      <c r="T1157">
        <f t="shared" si="55"/>
        <v>16.043835616438358</v>
      </c>
      <c r="U1157" s="6">
        <f t="shared" si="56"/>
        <v>0.23003018625596727</v>
      </c>
    </row>
    <row r="1158" spans="1:21" x14ac:dyDescent="0.25">
      <c r="A1158" t="s">
        <v>4162</v>
      </c>
      <c r="B1158" t="s">
        <v>4163</v>
      </c>
      <c r="C1158" t="s">
        <v>10</v>
      </c>
      <c r="D1158">
        <v>1.8</v>
      </c>
      <c r="E1158">
        <v>1.8</v>
      </c>
      <c r="F1158">
        <v>1.75</v>
      </c>
      <c r="G1158" s="3">
        <v>1.75</v>
      </c>
      <c r="H1158">
        <v>1.75</v>
      </c>
      <c r="I1158">
        <v>1.75</v>
      </c>
      <c r="J1158">
        <v>2577798</v>
      </c>
      <c r="K1158">
        <v>4564173</v>
      </c>
      <c r="L1158" s="1">
        <v>45240</v>
      </c>
      <c r="M1158">
        <v>2036</v>
      </c>
      <c r="N1158" t="s">
        <v>4164</v>
      </c>
      <c r="O1158" s="5">
        <v>45240</v>
      </c>
      <c r="P1158" s="5">
        <v>43777</v>
      </c>
      <c r="Q1158" s="3">
        <v>0.7</v>
      </c>
      <c r="S1158">
        <f t="shared" si="54"/>
        <v>1464</v>
      </c>
      <c r="T1158">
        <f t="shared" si="55"/>
        <v>16.043835616438358</v>
      </c>
      <c r="U1158" s="6">
        <f t="shared" si="56"/>
        <v>0.2350962768152618</v>
      </c>
    </row>
    <row r="1159" spans="1:21" x14ac:dyDescent="0.25">
      <c r="A1159" t="s">
        <v>4165</v>
      </c>
      <c r="B1159" t="s">
        <v>4166</v>
      </c>
      <c r="C1159" t="s">
        <v>14</v>
      </c>
      <c r="D1159">
        <v>317.89999999999998</v>
      </c>
      <c r="E1159">
        <v>326.89999999999998</v>
      </c>
      <c r="F1159">
        <v>317.14999999999998</v>
      </c>
      <c r="G1159" s="3">
        <v>325.7</v>
      </c>
      <c r="H1159">
        <v>326</v>
      </c>
      <c r="I1159">
        <v>318</v>
      </c>
      <c r="J1159">
        <v>11467991</v>
      </c>
      <c r="K1159">
        <v>3691924056.75</v>
      </c>
      <c r="L1159" s="1">
        <v>45240</v>
      </c>
      <c r="M1159">
        <v>86102</v>
      </c>
      <c r="N1159" t="s">
        <v>4167</v>
      </c>
      <c r="O1159" s="5">
        <v>45240</v>
      </c>
      <c r="P1159" s="5">
        <v>43777</v>
      </c>
      <c r="Q1159" s="3">
        <v>138.75</v>
      </c>
      <c r="S1159">
        <f t="shared" si="54"/>
        <v>1464</v>
      </c>
      <c r="T1159">
        <f t="shared" si="55"/>
        <v>16.043835616438358</v>
      </c>
      <c r="U1159" s="6">
        <f t="shared" si="56"/>
        <v>0.21850197076387268</v>
      </c>
    </row>
    <row r="1160" spans="1:21" x14ac:dyDescent="0.25">
      <c r="A1160" t="s">
        <v>4165</v>
      </c>
      <c r="B1160" t="s">
        <v>4166</v>
      </c>
      <c r="C1160" t="s">
        <v>6130</v>
      </c>
      <c r="D1160">
        <v>1221.95</v>
      </c>
      <c r="E1160">
        <v>1221.95</v>
      </c>
      <c r="F1160">
        <v>1217.1500000000001</v>
      </c>
      <c r="G1160" s="3">
        <v>1220.28</v>
      </c>
      <c r="H1160">
        <v>1220.0999999999999</v>
      </c>
      <c r="I1160">
        <v>1219</v>
      </c>
      <c r="J1160">
        <v>3433</v>
      </c>
      <c r="K1160">
        <v>4187834.21</v>
      </c>
      <c r="L1160" s="1">
        <v>45240</v>
      </c>
      <c r="M1160">
        <v>22</v>
      </c>
      <c r="N1160" t="s">
        <v>6129</v>
      </c>
      <c r="O1160" s="5">
        <v>45240</v>
      </c>
      <c r="P1160" s="5">
        <v>43777</v>
      </c>
      <c r="Q1160" s="3">
        <v>138.75</v>
      </c>
      <c r="S1160">
        <f t="shared" si="54"/>
        <v>1464</v>
      </c>
      <c r="T1160">
        <f t="shared" si="55"/>
        <v>16.043835616438358</v>
      </c>
      <c r="U1160" s="6">
        <f t="shared" si="56"/>
        <v>0.58050020393041546</v>
      </c>
    </row>
    <row r="1161" spans="1:21" x14ac:dyDescent="0.25">
      <c r="A1161" t="s">
        <v>4168</v>
      </c>
      <c r="B1161" t="s">
        <v>4169</v>
      </c>
      <c r="C1161" t="s">
        <v>14</v>
      </c>
      <c r="D1161">
        <v>153.94999999999999</v>
      </c>
      <c r="E1161">
        <v>155.19999999999999</v>
      </c>
      <c r="F1161">
        <v>152.19999999999999</v>
      </c>
      <c r="G1161" s="3">
        <v>154.55000000000001</v>
      </c>
      <c r="H1161">
        <v>154.19999999999999</v>
      </c>
      <c r="I1161">
        <v>154.55000000000001</v>
      </c>
      <c r="J1161">
        <v>858851</v>
      </c>
      <c r="K1161">
        <v>131683248.7</v>
      </c>
      <c r="L1161" s="1">
        <v>45240</v>
      </c>
      <c r="M1161">
        <v>10977</v>
      </c>
      <c r="N1161" t="s">
        <v>4170</v>
      </c>
      <c r="O1161" s="5">
        <v>45240</v>
      </c>
      <c r="P1161" s="5">
        <v>43777</v>
      </c>
      <c r="Q1161" s="3">
        <v>114.25</v>
      </c>
      <c r="S1161">
        <f t="shared" si="54"/>
        <v>1464</v>
      </c>
      <c r="T1161">
        <f t="shared" si="55"/>
        <v>16.043835616438358</v>
      </c>
      <c r="U1161" s="6">
        <f t="shared" si="56"/>
        <v>7.6039507552660979E-2</v>
      </c>
    </row>
    <row r="1162" spans="1:21" x14ac:dyDescent="0.25">
      <c r="A1162" t="s">
        <v>4174</v>
      </c>
      <c r="B1162" t="s">
        <v>4175</v>
      </c>
      <c r="C1162" t="s">
        <v>14</v>
      </c>
      <c r="D1162">
        <v>566.70000000000005</v>
      </c>
      <c r="E1162">
        <v>575</v>
      </c>
      <c r="F1162">
        <v>557.1</v>
      </c>
      <c r="G1162" s="3">
        <v>568.45000000000005</v>
      </c>
      <c r="H1162">
        <v>567</v>
      </c>
      <c r="I1162">
        <v>559.45000000000005</v>
      </c>
      <c r="J1162">
        <v>91592</v>
      </c>
      <c r="K1162">
        <v>51944249.25</v>
      </c>
      <c r="L1162" s="1">
        <v>45240</v>
      </c>
      <c r="M1162">
        <v>5378</v>
      </c>
      <c r="N1162" t="s">
        <v>4176</v>
      </c>
      <c r="O1162" s="5">
        <v>45240</v>
      </c>
      <c r="P1162" s="5">
        <v>43777</v>
      </c>
      <c r="Q1162" s="3">
        <v>49.45</v>
      </c>
      <c r="S1162">
        <f t="shared" si="54"/>
        <v>1464</v>
      </c>
      <c r="T1162">
        <f t="shared" si="55"/>
        <v>16.043835616438358</v>
      </c>
      <c r="U1162" s="6">
        <f t="shared" si="56"/>
        <v>0.65759545191062951</v>
      </c>
    </row>
    <row r="1163" spans="1:21" x14ac:dyDescent="0.25">
      <c r="A1163" t="s">
        <v>4177</v>
      </c>
      <c r="B1163" t="s">
        <v>4178</v>
      </c>
      <c r="C1163" t="s">
        <v>10</v>
      </c>
      <c r="D1163">
        <v>36.549999999999997</v>
      </c>
      <c r="E1163">
        <v>36.549999999999997</v>
      </c>
      <c r="F1163">
        <v>35.85</v>
      </c>
      <c r="G1163" s="3">
        <v>35.85</v>
      </c>
      <c r="H1163">
        <v>35.85</v>
      </c>
      <c r="I1163">
        <v>36.549999999999997</v>
      </c>
      <c r="J1163">
        <v>1457</v>
      </c>
      <c r="K1163">
        <v>52881.9</v>
      </c>
      <c r="L1163" s="1">
        <v>45240</v>
      </c>
      <c r="M1163">
        <v>11</v>
      </c>
      <c r="N1163" t="s">
        <v>4179</v>
      </c>
      <c r="O1163" s="5">
        <v>45240</v>
      </c>
      <c r="P1163" s="5">
        <v>43777</v>
      </c>
      <c r="Q1163" s="3">
        <v>1.7</v>
      </c>
      <c r="S1163">
        <f t="shared" si="54"/>
        <v>1464</v>
      </c>
      <c r="T1163">
        <f t="shared" si="55"/>
        <v>16.043835616438358</v>
      </c>
      <c r="U1163" s="6">
        <f t="shared" si="56"/>
        <v>0.83711493126077752</v>
      </c>
    </row>
    <row r="1164" spans="1:21" x14ac:dyDescent="0.25">
      <c r="A1164" t="s">
        <v>4180</v>
      </c>
      <c r="B1164" t="s">
        <v>4181</v>
      </c>
      <c r="C1164" t="s">
        <v>14</v>
      </c>
      <c r="D1164">
        <v>905</v>
      </c>
      <c r="E1164">
        <v>913.5</v>
      </c>
      <c r="F1164">
        <v>903</v>
      </c>
      <c r="G1164" s="3">
        <v>905.55</v>
      </c>
      <c r="H1164">
        <v>906.7</v>
      </c>
      <c r="I1164">
        <v>909.1</v>
      </c>
      <c r="J1164">
        <v>53790</v>
      </c>
      <c r="K1164">
        <v>48862992.25</v>
      </c>
      <c r="L1164" s="1">
        <v>45240</v>
      </c>
      <c r="M1164">
        <v>6983</v>
      </c>
      <c r="N1164" t="s">
        <v>4182</v>
      </c>
      <c r="O1164" s="5">
        <v>45240</v>
      </c>
      <c r="P1164" s="5">
        <v>43777</v>
      </c>
      <c r="Q1164" s="3">
        <v>550.75</v>
      </c>
      <c r="S1164">
        <f t="shared" si="54"/>
        <v>1464</v>
      </c>
      <c r="T1164">
        <f t="shared" si="55"/>
        <v>16.043835616438358</v>
      </c>
      <c r="U1164" s="6">
        <f t="shared" si="56"/>
        <v>0.12591696863402557</v>
      </c>
    </row>
    <row r="1165" spans="1:21" x14ac:dyDescent="0.25">
      <c r="A1165" t="s">
        <v>4186</v>
      </c>
      <c r="B1165" t="s">
        <v>4187</v>
      </c>
      <c r="C1165" t="s">
        <v>14</v>
      </c>
      <c r="D1165">
        <v>2305.5500000000002</v>
      </c>
      <c r="E1165">
        <v>2316.35</v>
      </c>
      <c r="F1165">
        <v>2298.0500000000002</v>
      </c>
      <c r="G1165" s="3">
        <v>2314.9</v>
      </c>
      <c r="H1165">
        <v>2315.9</v>
      </c>
      <c r="I1165">
        <v>2310.5500000000002</v>
      </c>
      <c r="J1165">
        <v>3867477</v>
      </c>
      <c r="K1165">
        <v>8928695452.3500004</v>
      </c>
      <c r="L1165" s="1">
        <v>45240</v>
      </c>
      <c r="M1165">
        <v>144846</v>
      </c>
      <c r="N1165" t="s">
        <v>4188</v>
      </c>
      <c r="O1165" s="5">
        <v>45240</v>
      </c>
      <c r="P1165" s="5">
        <v>43777</v>
      </c>
      <c r="Q1165" s="3">
        <v>1445.5</v>
      </c>
      <c r="S1165">
        <f t="shared" si="54"/>
        <v>1464</v>
      </c>
      <c r="T1165">
        <f t="shared" si="55"/>
        <v>16.043835616438358</v>
      </c>
      <c r="U1165" s="6">
        <f t="shared" si="56"/>
        <v>0.11914614872827833</v>
      </c>
    </row>
    <row r="1166" spans="1:21" x14ac:dyDescent="0.25">
      <c r="A1166" t="s">
        <v>4189</v>
      </c>
      <c r="B1166" t="s">
        <v>4190</v>
      </c>
      <c r="C1166" t="s">
        <v>14</v>
      </c>
      <c r="D1166">
        <v>219.9</v>
      </c>
      <c r="E1166">
        <v>226.5</v>
      </c>
      <c r="F1166">
        <v>218.55</v>
      </c>
      <c r="G1166" s="3">
        <v>222.75</v>
      </c>
      <c r="H1166">
        <v>222.95</v>
      </c>
      <c r="I1166">
        <v>220.35</v>
      </c>
      <c r="J1166">
        <v>3900738</v>
      </c>
      <c r="K1166">
        <v>863692438.5</v>
      </c>
      <c r="L1166" s="1">
        <v>45240</v>
      </c>
      <c r="M1166">
        <v>14661</v>
      </c>
      <c r="N1166" t="s">
        <v>4191</v>
      </c>
      <c r="O1166" s="5">
        <v>45240</v>
      </c>
      <c r="P1166" s="5">
        <v>43777</v>
      </c>
      <c r="Q1166" s="3">
        <v>55.35</v>
      </c>
      <c r="S1166">
        <f t="shared" si="54"/>
        <v>1464</v>
      </c>
      <c r="T1166">
        <f t="shared" si="55"/>
        <v>16.043835616438358</v>
      </c>
      <c r="U1166" s="6">
        <f t="shared" si="56"/>
        <v>0.36265113208665944</v>
      </c>
    </row>
    <row r="1167" spans="1:21" x14ac:dyDescent="0.25">
      <c r="A1167" t="s">
        <v>4192</v>
      </c>
      <c r="B1167" t="s">
        <v>4193</v>
      </c>
      <c r="C1167" t="s">
        <v>14</v>
      </c>
      <c r="D1167">
        <v>176</v>
      </c>
      <c r="E1167">
        <v>180</v>
      </c>
      <c r="F1167">
        <v>175.25</v>
      </c>
      <c r="G1167" s="3">
        <v>177.3</v>
      </c>
      <c r="H1167">
        <v>176.9</v>
      </c>
      <c r="I1167">
        <v>178.1</v>
      </c>
      <c r="J1167">
        <v>897958</v>
      </c>
      <c r="K1167">
        <v>159517838.44999999</v>
      </c>
      <c r="L1167" s="1">
        <v>45240</v>
      </c>
      <c r="M1167">
        <v>6028</v>
      </c>
      <c r="N1167" t="s">
        <v>4194</v>
      </c>
      <c r="O1167" s="5">
        <v>45240</v>
      </c>
      <c r="P1167" s="5">
        <v>43777</v>
      </c>
      <c r="Q1167" s="3">
        <v>46.75</v>
      </c>
      <c r="S1167">
        <f t="shared" si="54"/>
        <v>1464</v>
      </c>
      <c r="T1167">
        <f t="shared" si="55"/>
        <v>16.043835616438358</v>
      </c>
      <c r="U1167" s="6">
        <f t="shared" si="56"/>
        <v>0.34654395503228219</v>
      </c>
    </row>
    <row r="1168" spans="1:21" x14ac:dyDescent="0.25">
      <c r="A1168" t="s">
        <v>4195</v>
      </c>
      <c r="B1168" t="s">
        <v>4196</v>
      </c>
      <c r="C1168" t="s">
        <v>10</v>
      </c>
      <c r="D1168">
        <v>468.5</v>
      </c>
      <c r="E1168">
        <v>473.4</v>
      </c>
      <c r="F1168">
        <v>453</v>
      </c>
      <c r="G1168" s="3">
        <v>458.1</v>
      </c>
      <c r="H1168">
        <v>472.35</v>
      </c>
      <c r="I1168">
        <v>450.9</v>
      </c>
      <c r="J1168">
        <v>16575</v>
      </c>
      <c r="K1168">
        <v>7707748.5499999998</v>
      </c>
      <c r="L1168" s="1">
        <v>45240</v>
      </c>
      <c r="M1168">
        <v>245</v>
      </c>
      <c r="N1168" t="s">
        <v>4197</v>
      </c>
      <c r="O1168" s="5">
        <v>45240</v>
      </c>
      <c r="P1168" s="5">
        <v>43777</v>
      </c>
      <c r="Q1168" s="3">
        <v>82.8</v>
      </c>
      <c r="S1168">
        <f t="shared" si="54"/>
        <v>1464</v>
      </c>
      <c r="T1168">
        <f t="shared" si="55"/>
        <v>16.043835616438358</v>
      </c>
      <c r="U1168" s="6">
        <f t="shared" si="56"/>
        <v>0.45006389847449224</v>
      </c>
    </row>
    <row r="1169" spans="1:21" x14ac:dyDescent="0.25">
      <c r="A1169" t="s">
        <v>4198</v>
      </c>
      <c r="B1169" t="s">
        <v>4199</v>
      </c>
      <c r="C1169" t="s">
        <v>14</v>
      </c>
      <c r="D1169">
        <v>49.6</v>
      </c>
      <c r="E1169">
        <v>50.55</v>
      </c>
      <c r="F1169">
        <v>49.2</v>
      </c>
      <c r="G1169" s="3">
        <v>50.3</v>
      </c>
      <c r="H1169">
        <v>50.35</v>
      </c>
      <c r="I1169">
        <v>49.65</v>
      </c>
      <c r="J1169">
        <v>7404867</v>
      </c>
      <c r="K1169">
        <v>370709967.5</v>
      </c>
      <c r="L1169" s="1">
        <v>45240</v>
      </c>
      <c r="M1169">
        <v>14963</v>
      </c>
      <c r="N1169" t="s">
        <v>4200</v>
      </c>
      <c r="O1169" s="5">
        <v>45240</v>
      </c>
      <c r="P1169" s="5">
        <v>43777</v>
      </c>
      <c r="Q1169" s="3">
        <v>8.1</v>
      </c>
      <c r="S1169">
        <f t="shared" si="54"/>
        <v>1464</v>
      </c>
      <c r="T1169">
        <f t="shared" si="55"/>
        <v>16.043835616438358</v>
      </c>
      <c r="U1169" s="6">
        <f t="shared" si="56"/>
        <v>0.48221047152666685</v>
      </c>
    </row>
    <row r="1170" spans="1:21" x14ac:dyDescent="0.25">
      <c r="A1170" t="s">
        <v>4201</v>
      </c>
      <c r="B1170" t="s">
        <v>4202</v>
      </c>
      <c r="C1170" t="s">
        <v>14</v>
      </c>
      <c r="D1170">
        <v>438.75</v>
      </c>
      <c r="E1170">
        <v>450.35</v>
      </c>
      <c r="F1170">
        <v>431.3</v>
      </c>
      <c r="G1170" s="3">
        <v>433.8</v>
      </c>
      <c r="H1170">
        <v>431.3</v>
      </c>
      <c r="I1170">
        <v>442.05</v>
      </c>
      <c r="J1170">
        <v>164924</v>
      </c>
      <c r="K1170">
        <v>72262125.25</v>
      </c>
      <c r="L1170" s="1">
        <v>45240</v>
      </c>
      <c r="M1170">
        <v>6369</v>
      </c>
      <c r="N1170" t="s">
        <v>4203</v>
      </c>
      <c r="O1170" s="5">
        <v>45240</v>
      </c>
      <c r="P1170" s="5">
        <v>43777</v>
      </c>
      <c r="Q1170" s="3">
        <v>300.14999999999998</v>
      </c>
      <c r="S1170">
        <f t="shared" si="54"/>
        <v>1464</v>
      </c>
      <c r="T1170">
        <f t="shared" si="55"/>
        <v>16.043835616438358</v>
      </c>
      <c r="U1170" s="6">
        <f t="shared" si="56"/>
        <v>9.288580149146064E-2</v>
      </c>
    </row>
    <row r="1171" spans="1:21" x14ac:dyDescent="0.25">
      <c r="A1171" t="s">
        <v>4204</v>
      </c>
      <c r="B1171" t="s">
        <v>4205</v>
      </c>
      <c r="C1171" t="s">
        <v>14</v>
      </c>
      <c r="D1171">
        <v>215.1</v>
      </c>
      <c r="E1171">
        <v>218.85</v>
      </c>
      <c r="F1171">
        <v>209.8</v>
      </c>
      <c r="G1171" s="3">
        <v>210.25</v>
      </c>
      <c r="H1171">
        <v>209.8</v>
      </c>
      <c r="I1171">
        <v>214.1</v>
      </c>
      <c r="J1171">
        <v>39640</v>
      </c>
      <c r="K1171">
        <v>8418616.5</v>
      </c>
      <c r="L1171" s="1">
        <v>45240</v>
      </c>
      <c r="M1171">
        <v>1601</v>
      </c>
      <c r="N1171" t="s">
        <v>4206</v>
      </c>
      <c r="O1171" s="5">
        <v>45240</v>
      </c>
      <c r="P1171" s="5">
        <v>43777</v>
      </c>
      <c r="Q1171" s="3">
        <v>23.5</v>
      </c>
      <c r="S1171">
        <f t="shared" si="54"/>
        <v>1464</v>
      </c>
      <c r="T1171">
        <f t="shared" si="55"/>
        <v>16.043835616438358</v>
      </c>
      <c r="U1171" s="6">
        <f t="shared" si="56"/>
        <v>0.58539484692444876</v>
      </c>
    </row>
    <row r="1172" spans="1:21" x14ac:dyDescent="0.25">
      <c r="A1172" t="s">
        <v>4207</v>
      </c>
      <c r="B1172" t="s">
        <v>4208</v>
      </c>
      <c r="C1172" t="s">
        <v>14</v>
      </c>
      <c r="D1172">
        <v>759.75</v>
      </c>
      <c r="E1172">
        <v>768.95</v>
      </c>
      <c r="F1172">
        <v>744</v>
      </c>
      <c r="G1172" s="3">
        <v>761.55</v>
      </c>
      <c r="H1172">
        <v>765</v>
      </c>
      <c r="I1172">
        <v>752.7</v>
      </c>
      <c r="J1172">
        <v>9781</v>
      </c>
      <c r="K1172">
        <v>7414015.7000000002</v>
      </c>
      <c r="L1172" s="1">
        <v>45240</v>
      </c>
      <c r="M1172">
        <v>516</v>
      </c>
      <c r="N1172" t="s">
        <v>4209</v>
      </c>
      <c r="O1172" s="5">
        <v>45240</v>
      </c>
      <c r="P1172" s="5">
        <v>43777</v>
      </c>
      <c r="Q1172" s="3">
        <v>640.15</v>
      </c>
      <c r="S1172">
        <f t="shared" si="54"/>
        <v>1464</v>
      </c>
      <c r="T1172">
        <f t="shared" si="55"/>
        <v>16.043835616438358</v>
      </c>
      <c r="U1172" s="6">
        <f t="shared" si="56"/>
        <v>4.3529862531038077E-2</v>
      </c>
    </row>
    <row r="1173" spans="1:21" x14ac:dyDescent="0.25">
      <c r="A1173" t="s">
        <v>4210</v>
      </c>
      <c r="B1173" t="s">
        <v>4211</v>
      </c>
      <c r="C1173" t="s">
        <v>14</v>
      </c>
      <c r="D1173">
        <v>310.5</v>
      </c>
      <c r="E1173">
        <v>341</v>
      </c>
      <c r="F1173">
        <v>310.5</v>
      </c>
      <c r="G1173" s="3">
        <v>339.35</v>
      </c>
      <c r="H1173">
        <v>340</v>
      </c>
      <c r="I1173">
        <v>323.8</v>
      </c>
      <c r="J1173">
        <v>248728</v>
      </c>
      <c r="K1173">
        <v>83243653.099999994</v>
      </c>
      <c r="L1173" s="1">
        <v>45240</v>
      </c>
      <c r="M1173">
        <v>14215</v>
      </c>
      <c r="N1173" t="s">
        <v>4212</v>
      </c>
      <c r="O1173" s="5">
        <v>45240</v>
      </c>
      <c r="P1173" s="5">
        <v>43777</v>
      </c>
      <c r="Q1173" s="3">
        <v>91.9</v>
      </c>
      <c r="S1173">
        <f t="shared" si="54"/>
        <v>1464</v>
      </c>
      <c r="T1173">
        <f t="shared" si="55"/>
        <v>16.043835616438358</v>
      </c>
      <c r="U1173" s="6">
        <f t="shared" si="56"/>
        <v>0.33931704394795492</v>
      </c>
    </row>
    <row r="1174" spans="1:21" x14ac:dyDescent="0.25">
      <c r="A1174" t="s">
        <v>4213</v>
      </c>
      <c r="B1174" t="s">
        <v>4214</v>
      </c>
      <c r="C1174" t="s">
        <v>14</v>
      </c>
      <c r="D1174">
        <v>106</v>
      </c>
      <c r="E1174">
        <v>108</v>
      </c>
      <c r="F1174">
        <v>99</v>
      </c>
      <c r="G1174" s="3">
        <v>102.4</v>
      </c>
      <c r="H1174">
        <v>102.6</v>
      </c>
      <c r="I1174">
        <v>112.2</v>
      </c>
      <c r="J1174">
        <v>804143</v>
      </c>
      <c r="K1174">
        <v>82254128.950000003</v>
      </c>
      <c r="L1174" s="1">
        <v>45240</v>
      </c>
      <c r="M1174">
        <v>9211</v>
      </c>
      <c r="N1174" t="s">
        <v>4215</v>
      </c>
      <c r="O1174" s="5">
        <v>45240</v>
      </c>
      <c r="P1174" s="5">
        <v>43777</v>
      </c>
      <c r="Q1174" s="3">
        <v>249</v>
      </c>
      <c r="S1174">
        <f t="shared" si="54"/>
        <v>1464</v>
      </c>
      <c r="T1174">
        <f t="shared" si="55"/>
        <v>16.043835616438358</v>
      </c>
      <c r="U1174" s="6">
        <f t="shared" si="56"/>
        <v>-0.21551160745899622</v>
      </c>
    </row>
    <row r="1175" spans="1:21" x14ac:dyDescent="0.25">
      <c r="A1175" t="s">
        <v>4216</v>
      </c>
      <c r="B1175" t="s">
        <v>4217</v>
      </c>
      <c r="C1175" t="s">
        <v>10</v>
      </c>
      <c r="D1175">
        <v>1.95</v>
      </c>
      <c r="E1175">
        <v>2</v>
      </c>
      <c r="F1175">
        <v>1.95</v>
      </c>
      <c r="G1175" s="3">
        <v>2</v>
      </c>
      <c r="H1175">
        <v>2</v>
      </c>
      <c r="I1175">
        <v>2</v>
      </c>
      <c r="J1175">
        <v>399284</v>
      </c>
      <c r="K1175">
        <v>786708.15</v>
      </c>
      <c r="L1175" s="1">
        <v>45240</v>
      </c>
      <c r="M1175">
        <v>384</v>
      </c>
      <c r="N1175" t="s">
        <v>4218</v>
      </c>
      <c r="O1175" s="5">
        <v>45240</v>
      </c>
      <c r="P1175" s="5">
        <v>43777</v>
      </c>
      <c r="Q1175" s="3">
        <v>6.2</v>
      </c>
      <c r="S1175">
        <f t="shared" si="54"/>
        <v>1464</v>
      </c>
      <c r="T1175">
        <f t="shared" si="55"/>
        <v>16.043835616438358</v>
      </c>
      <c r="U1175" s="6">
        <f t="shared" si="56"/>
        <v>-0.27236146336946598</v>
      </c>
    </row>
    <row r="1176" spans="1:21" x14ac:dyDescent="0.25">
      <c r="A1176" t="s">
        <v>4225</v>
      </c>
      <c r="B1176" t="s">
        <v>4226</v>
      </c>
      <c r="C1176" t="s">
        <v>14</v>
      </c>
      <c r="D1176">
        <v>89.2</v>
      </c>
      <c r="E1176">
        <v>90.85</v>
      </c>
      <c r="F1176">
        <v>87.5</v>
      </c>
      <c r="G1176" s="3">
        <v>87.9</v>
      </c>
      <c r="H1176">
        <v>88</v>
      </c>
      <c r="I1176">
        <v>90.15</v>
      </c>
      <c r="J1176">
        <v>503305</v>
      </c>
      <c r="K1176">
        <v>44705256.200000003</v>
      </c>
      <c r="L1176" s="1">
        <v>45240</v>
      </c>
      <c r="M1176">
        <v>4528</v>
      </c>
      <c r="N1176" t="s">
        <v>4227</v>
      </c>
      <c r="O1176" s="5">
        <v>45240</v>
      </c>
      <c r="P1176" s="5">
        <v>43777</v>
      </c>
      <c r="Q1176" s="3">
        <v>47</v>
      </c>
      <c r="S1176">
        <f t="shared" si="54"/>
        <v>1464</v>
      </c>
      <c r="T1176">
        <f t="shared" si="55"/>
        <v>16.043835616438358</v>
      </c>
      <c r="U1176" s="6">
        <f t="shared" si="56"/>
        <v>0.1591707521812511</v>
      </c>
    </row>
    <row r="1177" spans="1:21" x14ac:dyDescent="0.25">
      <c r="A1177" t="s">
        <v>4228</v>
      </c>
      <c r="B1177" t="s">
        <v>4229</v>
      </c>
      <c r="C1177" t="s">
        <v>14</v>
      </c>
      <c r="D1177">
        <v>1050</v>
      </c>
      <c r="E1177">
        <v>1057.2</v>
      </c>
      <c r="F1177">
        <v>1033</v>
      </c>
      <c r="G1177" s="3">
        <v>1042.95</v>
      </c>
      <c r="H1177">
        <v>1046</v>
      </c>
      <c r="I1177">
        <v>1050.1500000000001</v>
      </c>
      <c r="J1177">
        <v>164298</v>
      </c>
      <c r="K1177">
        <v>171906465.94999999</v>
      </c>
      <c r="L1177" s="1">
        <v>45240</v>
      </c>
      <c r="M1177">
        <v>7103</v>
      </c>
      <c r="N1177" t="s">
        <v>4230</v>
      </c>
      <c r="O1177" s="5">
        <v>45240</v>
      </c>
      <c r="P1177" s="5">
        <v>43777</v>
      </c>
      <c r="Q1177" s="3">
        <v>319.75</v>
      </c>
      <c r="S1177">
        <f t="shared" si="54"/>
        <v>1464</v>
      </c>
      <c r="T1177">
        <f t="shared" si="55"/>
        <v>16.043835616438358</v>
      </c>
      <c r="U1177" s="6">
        <f t="shared" si="56"/>
        <v>0.30589187399012108</v>
      </c>
    </row>
    <row r="1178" spans="1:21" x14ac:dyDescent="0.25">
      <c r="A1178" t="s">
        <v>4237</v>
      </c>
      <c r="B1178" t="s">
        <v>4238</v>
      </c>
      <c r="C1178" t="s">
        <v>14</v>
      </c>
      <c r="D1178">
        <v>440</v>
      </c>
      <c r="E1178">
        <v>440.25</v>
      </c>
      <c r="F1178">
        <v>435.5</v>
      </c>
      <c r="G1178" s="3">
        <v>438.75</v>
      </c>
      <c r="H1178">
        <v>439.5</v>
      </c>
      <c r="I1178">
        <v>439.4</v>
      </c>
      <c r="J1178">
        <v>414742</v>
      </c>
      <c r="K1178">
        <v>181570446.69999999</v>
      </c>
      <c r="L1178" s="1">
        <v>45240</v>
      </c>
      <c r="M1178">
        <v>9618</v>
      </c>
      <c r="N1178" t="s">
        <v>4239</v>
      </c>
      <c r="O1178" s="5">
        <v>45240</v>
      </c>
      <c r="P1178" s="5">
        <v>43777</v>
      </c>
      <c r="Q1178" s="3">
        <v>287.3</v>
      </c>
      <c r="S1178">
        <f t="shared" si="54"/>
        <v>1464</v>
      </c>
      <c r="T1178">
        <f t="shared" si="55"/>
        <v>16.043835616438358</v>
      </c>
      <c r="U1178" s="6">
        <f t="shared" si="56"/>
        <v>0.10696673057190242</v>
      </c>
    </row>
    <row r="1179" spans="1:21" x14ac:dyDescent="0.25">
      <c r="A1179" t="s">
        <v>4240</v>
      </c>
      <c r="B1179" t="s">
        <v>4241</v>
      </c>
      <c r="C1179" t="s">
        <v>10</v>
      </c>
      <c r="D1179">
        <v>19.2</v>
      </c>
      <c r="E1179">
        <v>19.2</v>
      </c>
      <c r="F1179">
        <v>19.05</v>
      </c>
      <c r="G1179" s="3">
        <v>19.05</v>
      </c>
      <c r="H1179">
        <v>19.05</v>
      </c>
      <c r="I1179">
        <v>19.2</v>
      </c>
      <c r="J1179">
        <v>3496</v>
      </c>
      <c r="K1179">
        <v>66804.7</v>
      </c>
      <c r="L1179" s="1">
        <v>45240</v>
      </c>
      <c r="M1179">
        <v>34</v>
      </c>
      <c r="N1179" t="s">
        <v>4242</v>
      </c>
      <c r="O1179" s="5">
        <v>45240</v>
      </c>
      <c r="P1179" s="5">
        <v>43777</v>
      </c>
      <c r="Q1179" s="3">
        <v>6.3</v>
      </c>
      <c r="S1179">
        <f t="shared" si="54"/>
        <v>1464</v>
      </c>
      <c r="T1179">
        <f t="shared" si="55"/>
        <v>16.043835616438358</v>
      </c>
      <c r="U1179" s="6">
        <f t="shared" si="56"/>
        <v>0.28560935466307225</v>
      </c>
    </row>
    <row r="1180" spans="1:21" x14ac:dyDescent="0.25">
      <c r="A1180" t="s">
        <v>4243</v>
      </c>
      <c r="B1180" t="s">
        <v>4244</v>
      </c>
      <c r="C1180" t="s">
        <v>14</v>
      </c>
      <c r="D1180">
        <v>76.8</v>
      </c>
      <c r="E1180">
        <v>77.3</v>
      </c>
      <c r="F1180">
        <v>74.7</v>
      </c>
      <c r="G1180" s="3">
        <v>75.3</v>
      </c>
      <c r="H1180">
        <v>75.099999999999994</v>
      </c>
      <c r="I1180">
        <v>76.8</v>
      </c>
      <c r="J1180">
        <v>126184</v>
      </c>
      <c r="K1180">
        <v>9611917.75</v>
      </c>
      <c r="L1180" s="1">
        <v>45240</v>
      </c>
      <c r="M1180">
        <v>2710</v>
      </c>
      <c r="N1180" t="s">
        <v>4245</v>
      </c>
      <c r="O1180" s="5">
        <v>45240</v>
      </c>
      <c r="P1180" s="5">
        <v>43777</v>
      </c>
      <c r="Q1180" s="3">
        <v>41.45</v>
      </c>
      <c r="S1180">
        <f t="shared" si="54"/>
        <v>1464</v>
      </c>
      <c r="T1180">
        <f t="shared" si="55"/>
        <v>16.043835616438358</v>
      </c>
      <c r="U1180" s="6">
        <f t="shared" si="56"/>
        <v>0.15164412941346495</v>
      </c>
    </row>
    <row r="1181" spans="1:21" x14ac:dyDescent="0.25">
      <c r="A1181" t="s">
        <v>4246</v>
      </c>
      <c r="B1181" t="s">
        <v>4247</v>
      </c>
      <c r="C1181" t="s">
        <v>14</v>
      </c>
      <c r="D1181">
        <v>693.6</v>
      </c>
      <c r="E1181">
        <v>713.9</v>
      </c>
      <c r="F1181">
        <v>685</v>
      </c>
      <c r="G1181" s="3">
        <v>703.95</v>
      </c>
      <c r="H1181">
        <v>700</v>
      </c>
      <c r="I1181">
        <v>687.75</v>
      </c>
      <c r="J1181">
        <v>809039</v>
      </c>
      <c r="K1181">
        <v>567109023.45000005</v>
      </c>
      <c r="L1181" s="1">
        <v>45240</v>
      </c>
      <c r="M1181">
        <v>22227</v>
      </c>
      <c r="N1181" t="s">
        <v>4248</v>
      </c>
      <c r="O1181" s="5">
        <v>45240</v>
      </c>
      <c r="P1181" s="5">
        <v>43777</v>
      </c>
      <c r="Q1181" s="3">
        <v>289.64999999999998</v>
      </c>
      <c r="S1181">
        <f t="shared" si="54"/>
        <v>1464</v>
      </c>
      <c r="T1181">
        <f t="shared" si="55"/>
        <v>16.043835616438358</v>
      </c>
      <c r="U1181" s="6">
        <f t="shared" si="56"/>
        <v>0.22764391187056976</v>
      </c>
    </row>
    <row r="1182" spans="1:21" x14ac:dyDescent="0.25">
      <c r="A1182" t="s">
        <v>4249</v>
      </c>
      <c r="B1182" t="s">
        <v>4250</v>
      </c>
      <c r="C1182" t="s">
        <v>786</v>
      </c>
      <c r="D1182">
        <v>1.75</v>
      </c>
      <c r="E1182">
        <v>1.8</v>
      </c>
      <c r="F1182">
        <v>1.75</v>
      </c>
      <c r="G1182" s="3">
        <v>1.8</v>
      </c>
      <c r="H1182">
        <v>1.8</v>
      </c>
      <c r="I1182">
        <v>1.75</v>
      </c>
      <c r="J1182">
        <v>85807</v>
      </c>
      <c r="K1182">
        <v>153599.29999999999</v>
      </c>
      <c r="L1182" s="1">
        <v>45240</v>
      </c>
      <c r="M1182">
        <v>26</v>
      </c>
      <c r="N1182" t="s">
        <v>4251</v>
      </c>
      <c r="O1182" s="5">
        <v>45240</v>
      </c>
      <c r="P1182" s="5">
        <v>43777</v>
      </c>
      <c r="Q1182" s="3">
        <v>3.85</v>
      </c>
      <c r="S1182">
        <f t="shared" si="54"/>
        <v>1464</v>
      </c>
      <c r="T1182">
        <f t="shared" si="55"/>
        <v>16.043835616438358</v>
      </c>
      <c r="U1182" s="6">
        <f t="shared" si="56"/>
        <v>-0.18513115167260841</v>
      </c>
    </row>
    <row r="1183" spans="1:21" x14ac:dyDescent="0.25">
      <c r="A1183" t="s">
        <v>6118</v>
      </c>
      <c r="B1183" t="s">
        <v>7798</v>
      </c>
      <c r="C1183" t="s">
        <v>5788</v>
      </c>
      <c r="D1183">
        <v>79</v>
      </c>
      <c r="E1183">
        <v>82.3</v>
      </c>
      <c r="F1183">
        <v>75</v>
      </c>
      <c r="G1183" s="3">
        <v>82.3</v>
      </c>
      <c r="H1183">
        <v>82.3</v>
      </c>
      <c r="I1183">
        <v>78.400000000000006</v>
      </c>
      <c r="J1183">
        <v>30000</v>
      </c>
      <c r="K1183">
        <v>2389600</v>
      </c>
      <c r="L1183" s="1">
        <v>45240</v>
      </c>
      <c r="M1183">
        <v>15</v>
      </c>
      <c r="N1183" t="s">
        <v>6117</v>
      </c>
      <c r="O1183" s="5">
        <v>45240</v>
      </c>
      <c r="P1183" s="5">
        <v>43777</v>
      </c>
      <c r="Q1183" s="3">
        <v>17</v>
      </c>
      <c r="S1183">
        <f t="shared" si="54"/>
        <v>1464</v>
      </c>
      <c r="T1183">
        <f t="shared" si="55"/>
        <v>16.043835616438358</v>
      </c>
      <c r="U1183" s="6">
        <f t="shared" si="56"/>
        <v>0.4131882964472311</v>
      </c>
    </row>
    <row r="1184" spans="1:21" x14ac:dyDescent="0.25">
      <c r="A1184" t="s">
        <v>4252</v>
      </c>
      <c r="B1184" t="s">
        <v>4253</v>
      </c>
      <c r="C1184" t="s">
        <v>14</v>
      </c>
      <c r="D1184">
        <v>795.1</v>
      </c>
      <c r="E1184">
        <v>809</v>
      </c>
      <c r="F1184">
        <v>786.05</v>
      </c>
      <c r="G1184" s="3">
        <v>792.2</v>
      </c>
      <c r="H1184">
        <v>787.65</v>
      </c>
      <c r="I1184">
        <v>794.65</v>
      </c>
      <c r="J1184">
        <v>6354</v>
      </c>
      <c r="K1184">
        <v>5065110.6500000004</v>
      </c>
      <c r="L1184" s="1">
        <v>45240</v>
      </c>
      <c r="M1184">
        <v>1154</v>
      </c>
      <c r="N1184" t="s">
        <v>4254</v>
      </c>
      <c r="O1184" s="5">
        <v>45240</v>
      </c>
      <c r="P1184" s="5">
        <v>43777</v>
      </c>
      <c r="Q1184" s="3">
        <v>250.7</v>
      </c>
      <c r="S1184">
        <f t="shared" si="54"/>
        <v>1464</v>
      </c>
      <c r="T1184">
        <f t="shared" si="55"/>
        <v>16.043835616438358</v>
      </c>
      <c r="U1184" s="6">
        <f t="shared" si="56"/>
        <v>0.29738926761281093</v>
      </c>
    </row>
    <row r="1185" spans="1:21" x14ac:dyDescent="0.25">
      <c r="A1185" t="s">
        <v>4255</v>
      </c>
      <c r="B1185" t="s">
        <v>4256</v>
      </c>
      <c r="C1185" t="s">
        <v>14</v>
      </c>
      <c r="D1185">
        <v>284.3</v>
      </c>
      <c r="E1185">
        <v>289.2</v>
      </c>
      <c r="F1185">
        <v>283</v>
      </c>
      <c r="G1185" s="3">
        <v>284.89999999999998</v>
      </c>
      <c r="H1185">
        <v>285</v>
      </c>
      <c r="I1185">
        <v>286.8</v>
      </c>
      <c r="J1185">
        <v>66006</v>
      </c>
      <c r="K1185">
        <v>18852084.399999999</v>
      </c>
      <c r="L1185" s="1">
        <v>45240</v>
      </c>
      <c r="M1185">
        <v>2389</v>
      </c>
      <c r="N1185" t="s">
        <v>4257</v>
      </c>
      <c r="O1185" s="5">
        <v>45240</v>
      </c>
      <c r="P1185" s="5">
        <v>43777</v>
      </c>
      <c r="Q1185" s="3">
        <v>77</v>
      </c>
      <c r="S1185">
        <f t="shared" si="54"/>
        <v>1464</v>
      </c>
      <c r="T1185">
        <f t="shared" si="55"/>
        <v>16.043835616438358</v>
      </c>
      <c r="U1185" s="6">
        <f t="shared" si="56"/>
        <v>0.33985850418434627</v>
      </c>
    </row>
    <row r="1186" spans="1:21" x14ac:dyDescent="0.25">
      <c r="A1186" t="s">
        <v>4261</v>
      </c>
      <c r="B1186" t="s">
        <v>4262</v>
      </c>
      <c r="C1186" t="s">
        <v>10</v>
      </c>
      <c r="D1186">
        <v>1.05</v>
      </c>
      <c r="E1186">
        <v>1.05</v>
      </c>
      <c r="F1186">
        <v>1</v>
      </c>
      <c r="G1186" s="3">
        <v>1.05</v>
      </c>
      <c r="H1186">
        <v>1.05</v>
      </c>
      <c r="I1186">
        <v>1.05</v>
      </c>
      <c r="J1186">
        <v>30394</v>
      </c>
      <c r="K1186">
        <v>31663.7</v>
      </c>
      <c r="L1186" s="1">
        <v>45240</v>
      </c>
      <c r="M1186">
        <v>50</v>
      </c>
      <c r="N1186" t="s">
        <v>4263</v>
      </c>
      <c r="O1186" s="5">
        <v>45240</v>
      </c>
      <c r="P1186" s="5">
        <v>43777</v>
      </c>
      <c r="Q1186" s="3">
        <v>2</v>
      </c>
      <c r="S1186">
        <f t="shared" si="54"/>
        <v>1464</v>
      </c>
      <c r="T1186">
        <f t="shared" si="55"/>
        <v>16.043835616438358</v>
      </c>
      <c r="U1186" s="6">
        <f t="shared" si="56"/>
        <v>-0.15746585997214035</v>
      </c>
    </row>
    <row r="1187" spans="1:21" x14ac:dyDescent="0.25">
      <c r="A1187" t="s">
        <v>4270</v>
      </c>
      <c r="B1187" t="s">
        <v>4271</v>
      </c>
      <c r="C1187" t="s">
        <v>14</v>
      </c>
      <c r="D1187">
        <v>456.35</v>
      </c>
      <c r="E1187">
        <v>456.5</v>
      </c>
      <c r="F1187">
        <v>448</v>
      </c>
      <c r="G1187" s="3">
        <v>452.4</v>
      </c>
      <c r="H1187">
        <v>450.3</v>
      </c>
      <c r="I1187">
        <v>456.55</v>
      </c>
      <c r="J1187">
        <v>18246</v>
      </c>
      <c r="K1187">
        <v>8236418.9500000002</v>
      </c>
      <c r="L1187" s="1">
        <v>45240</v>
      </c>
      <c r="M1187">
        <v>2117</v>
      </c>
      <c r="N1187" t="s">
        <v>4272</v>
      </c>
      <c r="O1187" s="5">
        <v>45240</v>
      </c>
      <c r="P1187" s="5">
        <v>43777</v>
      </c>
      <c r="Q1187" s="3">
        <v>63.1</v>
      </c>
      <c r="S1187">
        <f t="shared" si="54"/>
        <v>1464</v>
      </c>
      <c r="T1187">
        <f t="shared" si="55"/>
        <v>16.043835616438358</v>
      </c>
      <c r="U1187" s="6">
        <f t="shared" si="56"/>
        <v>0.52253805902965844</v>
      </c>
    </row>
    <row r="1188" spans="1:21" x14ac:dyDescent="0.25">
      <c r="A1188" t="s">
        <v>4279</v>
      </c>
      <c r="B1188" t="s">
        <v>4280</v>
      </c>
      <c r="C1188" t="s">
        <v>14</v>
      </c>
      <c r="D1188">
        <v>1441.1</v>
      </c>
      <c r="E1188">
        <v>1467.95</v>
      </c>
      <c r="F1188">
        <v>1425.05</v>
      </c>
      <c r="G1188" s="3">
        <v>1458.35</v>
      </c>
      <c r="H1188">
        <v>1460.05</v>
      </c>
      <c r="I1188">
        <v>1431.45</v>
      </c>
      <c r="J1188">
        <v>9097</v>
      </c>
      <c r="K1188">
        <v>13263839.4</v>
      </c>
      <c r="L1188" s="1">
        <v>45240</v>
      </c>
      <c r="M1188">
        <v>1975</v>
      </c>
      <c r="N1188" t="s">
        <v>4281</v>
      </c>
      <c r="O1188" s="5">
        <v>45240</v>
      </c>
      <c r="P1188" s="5">
        <v>43777</v>
      </c>
      <c r="Q1188" s="3">
        <v>290</v>
      </c>
      <c r="S1188">
        <f t="shared" si="54"/>
        <v>1464</v>
      </c>
      <c r="T1188">
        <f t="shared" si="55"/>
        <v>16.043835616438358</v>
      </c>
      <c r="U1188" s="6">
        <f t="shared" si="56"/>
        <v>0.42365950498377547</v>
      </c>
    </row>
    <row r="1189" spans="1:21" x14ac:dyDescent="0.25">
      <c r="A1189" t="s">
        <v>4282</v>
      </c>
      <c r="B1189" t="s">
        <v>4283</v>
      </c>
      <c r="C1189" t="s">
        <v>14</v>
      </c>
      <c r="D1189">
        <v>21.25</v>
      </c>
      <c r="E1189">
        <v>21.65</v>
      </c>
      <c r="F1189">
        <v>20.25</v>
      </c>
      <c r="G1189" s="3">
        <v>20.5</v>
      </c>
      <c r="H1189">
        <v>20.55</v>
      </c>
      <c r="I1189">
        <v>21.2</v>
      </c>
      <c r="J1189">
        <v>149791559</v>
      </c>
      <c r="K1189">
        <v>3134134508.8499999</v>
      </c>
      <c r="L1189" s="1">
        <v>45240</v>
      </c>
      <c r="M1189">
        <v>109220</v>
      </c>
      <c r="N1189" t="s">
        <v>4284</v>
      </c>
      <c r="O1189" s="5">
        <v>45240</v>
      </c>
      <c r="P1189" s="5">
        <v>43777</v>
      </c>
      <c r="Q1189" s="3">
        <v>4.8</v>
      </c>
      <c r="S1189">
        <f t="shared" si="54"/>
        <v>1464</v>
      </c>
      <c r="T1189">
        <f t="shared" si="55"/>
        <v>16.043835616438358</v>
      </c>
      <c r="U1189" s="6">
        <f t="shared" si="56"/>
        <v>0.37884286510580978</v>
      </c>
    </row>
    <row r="1190" spans="1:21" x14ac:dyDescent="0.25">
      <c r="A1190" t="s">
        <v>4285</v>
      </c>
      <c r="B1190" t="s">
        <v>4286</v>
      </c>
      <c r="C1190" t="s">
        <v>10</v>
      </c>
      <c r="D1190">
        <v>85.7</v>
      </c>
      <c r="E1190">
        <v>85.7</v>
      </c>
      <c r="F1190">
        <v>85.7</v>
      </c>
      <c r="G1190" s="3">
        <v>85.7</v>
      </c>
      <c r="H1190">
        <v>85.7</v>
      </c>
      <c r="I1190">
        <v>81.650000000000006</v>
      </c>
      <c r="J1190">
        <v>60203</v>
      </c>
      <c r="K1190">
        <v>5159397.0999999996</v>
      </c>
      <c r="L1190" s="1">
        <v>45240</v>
      </c>
      <c r="M1190">
        <v>308</v>
      </c>
      <c r="N1190" t="s">
        <v>4287</v>
      </c>
      <c r="O1190" s="5">
        <v>45240</v>
      </c>
      <c r="P1190" s="5">
        <v>43777</v>
      </c>
      <c r="Q1190" s="3">
        <v>92.25</v>
      </c>
      <c r="S1190">
        <f t="shared" si="54"/>
        <v>1464</v>
      </c>
      <c r="T1190">
        <f t="shared" si="55"/>
        <v>16.043835616438358</v>
      </c>
      <c r="U1190" s="6">
        <f t="shared" si="56"/>
        <v>-1.8319976095338308E-2</v>
      </c>
    </row>
    <row r="1191" spans="1:21" x14ac:dyDescent="0.25">
      <c r="A1191" t="s">
        <v>4288</v>
      </c>
      <c r="B1191" t="s">
        <v>4289</v>
      </c>
      <c r="C1191" t="s">
        <v>14</v>
      </c>
      <c r="D1191">
        <v>206</v>
      </c>
      <c r="E1191">
        <v>211.75</v>
      </c>
      <c r="F1191">
        <v>202.2</v>
      </c>
      <c r="G1191" s="3">
        <v>206</v>
      </c>
      <c r="H1191">
        <v>205</v>
      </c>
      <c r="I1191">
        <v>207.9</v>
      </c>
      <c r="J1191">
        <v>26659</v>
      </c>
      <c r="K1191">
        <v>5533068.7000000002</v>
      </c>
      <c r="L1191" s="1">
        <v>45240</v>
      </c>
      <c r="M1191">
        <v>357</v>
      </c>
      <c r="N1191" t="s">
        <v>4290</v>
      </c>
      <c r="O1191" s="5">
        <v>45240</v>
      </c>
      <c r="P1191" s="5">
        <v>43777</v>
      </c>
      <c r="Q1191" s="3">
        <v>75.25</v>
      </c>
      <c r="S1191">
        <f t="shared" si="54"/>
        <v>1464</v>
      </c>
      <c r="T1191">
        <f t="shared" si="55"/>
        <v>16.043835616438358</v>
      </c>
      <c r="U1191" s="6">
        <f t="shared" si="56"/>
        <v>0.25912464604867846</v>
      </c>
    </row>
    <row r="1192" spans="1:21" x14ac:dyDescent="0.25">
      <c r="A1192" t="s">
        <v>4297</v>
      </c>
      <c r="B1192" t="s">
        <v>4298</v>
      </c>
      <c r="C1192" t="s">
        <v>10</v>
      </c>
      <c r="D1192">
        <v>60.3</v>
      </c>
      <c r="E1192">
        <v>60.35</v>
      </c>
      <c r="F1192">
        <v>60</v>
      </c>
      <c r="G1192" s="3">
        <v>60.35</v>
      </c>
      <c r="H1192">
        <v>60.35</v>
      </c>
      <c r="I1192">
        <v>59.2</v>
      </c>
      <c r="J1192">
        <v>42836</v>
      </c>
      <c r="K1192">
        <v>2584281.35</v>
      </c>
      <c r="L1192" s="1">
        <v>45240</v>
      </c>
      <c r="M1192">
        <v>90</v>
      </c>
      <c r="N1192" t="s">
        <v>4299</v>
      </c>
      <c r="O1192" s="5">
        <v>45240</v>
      </c>
      <c r="P1192" s="5">
        <v>43777</v>
      </c>
      <c r="Q1192" s="3">
        <v>22.4</v>
      </c>
      <c r="S1192">
        <f t="shared" si="54"/>
        <v>1464</v>
      </c>
      <c r="T1192">
        <f t="shared" si="55"/>
        <v>16.043835616438358</v>
      </c>
      <c r="U1192" s="6">
        <f t="shared" si="56"/>
        <v>0.25488981041754322</v>
      </c>
    </row>
    <row r="1193" spans="1:21" x14ac:dyDescent="0.25">
      <c r="A1193" t="s">
        <v>4300</v>
      </c>
      <c r="B1193" t="s">
        <v>4301</v>
      </c>
      <c r="C1193" t="s">
        <v>14</v>
      </c>
      <c r="D1193">
        <v>175.75</v>
      </c>
      <c r="E1193">
        <v>177.95</v>
      </c>
      <c r="F1193">
        <v>175.05</v>
      </c>
      <c r="G1193" s="3">
        <v>176.35</v>
      </c>
      <c r="H1193">
        <v>176.55</v>
      </c>
      <c r="I1193">
        <v>177</v>
      </c>
      <c r="J1193">
        <v>37992</v>
      </c>
      <c r="K1193">
        <v>6698921.3499999996</v>
      </c>
      <c r="L1193" s="1">
        <v>45240</v>
      </c>
      <c r="M1193">
        <v>960</v>
      </c>
      <c r="N1193" t="s">
        <v>4302</v>
      </c>
      <c r="O1193" s="5">
        <v>45240</v>
      </c>
      <c r="P1193" s="5">
        <v>43777</v>
      </c>
      <c r="Q1193" s="3">
        <v>103.75</v>
      </c>
      <c r="S1193">
        <f t="shared" si="54"/>
        <v>1464</v>
      </c>
      <c r="T1193">
        <f t="shared" si="55"/>
        <v>16.043835616438358</v>
      </c>
      <c r="U1193" s="6">
        <f t="shared" si="56"/>
        <v>0.13447013453371159</v>
      </c>
    </row>
    <row r="1194" spans="1:21" x14ac:dyDescent="0.25">
      <c r="A1194" t="s">
        <v>4303</v>
      </c>
      <c r="B1194" t="s">
        <v>4304</v>
      </c>
      <c r="C1194" t="s">
        <v>14</v>
      </c>
      <c r="D1194">
        <v>487</v>
      </c>
      <c r="E1194">
        <v>497.5</v>
      </c>
      <c r="F1194">
        <v>485</v>
      </c>
      <c r="G1194" s="3">
        <v>487.4</v>
      </c>
      <c r="H1194">
        <v>487.7</v>
      </c>
      <c r="I1194">
        <v>487.6</v>
      </c>
      <c r="J1194">
        <v>42895</v>
      </c>
      <c r="K1194">
        <v>20988594.300000001</v>
      </c>
      <c r="L1194" s="1">
        <v>45240</v>
      </c>
      <c r="M1194">
        <v>4064</v>
      </c>
      <c r="N1194" t="s">
        <v>4305</v>
      </c>
      <c r="O1194" s="5">
        <v>45240</v>
      </c>
      <c r="P1194" s="5">
        <v>43777</v>
      </c>
      <c r="Q1194" s="3">
        <v>49.8</v>
      </c>
      <c r="S1194">
        <f t="shared" si="54"/>
        <v>1464</v>
      </c>
      <c r="T1194">
        <f t="shared" si="55"/>
        <v>16.043835616438358</v>
      </c>
      <c r="U1194" s="6">
        <f t="shared" si="56"/>
        <v>0.61112434056592058</v>
      </c>
    </row>
    <row r="1195" spans="1:21" x14ac:dyDescent="0.25">
      <c r="A1195" t="s">
        <v>4309</v>
      </c>
      <c r="B1195" t="s">
        <v>4310</v>
      </c>
      <c r="C1195" t="s">
        <v>14</v>
      </c>
      <c r="D1195">
        <v>8.0500000000000007</v>
      </c>
      <c r="E1195">
        <v>8.5</v>
      </c>
      <c r="F1195">
        <v>7.9</v>
      </c>
      <c r="G1195" s="3">
        <v>8.5</v>
      </c>
      <c r="H1195">
        <v>8.5</v>
      </c>
      <c r="I1195">
        <v>8.1</v>
      </c>
      <c r="J1195">
        <v>221104980</v>
      </c>
      <c r="K1195">
        <v>1858934554.5999999</v>
      </c>
      <c r="L1195" s="1">
        <v>45240</v>
      </c>
      <c r="M1195">
        <v>47483</v>
      </c>
      <c r="N1195" t="s">
        <v>4311</v>
      </c>
      <c r="O1195" s="5">
        <v>45240</v>
      </c>
      <c r="P1195" s="5">
        <v>43777</v>
      </c>
      <c r="Q1195" s="3">
        <v>1.65</v>
      </c>
      <c r="S1195">
        <f t="shared" si="54"/>
        <v>1464</v>
      </c>
      <c r="T1195">
        <f t="shared" si="55"/>
        <v>16.043835616438358</v>
      </c>
      <c r="U1195" s="6">
        <f t="shared" si="56"/>
        <v>0.43031242895065791</v>
      </c>
    </row>
    <row r="1196" spans="1:21" x14ac:dyDescent="0.25">
      <c r="A1196" t="s">
        <v>4312</v>
      </c>
      <c r="B1196" t="s">
        <v>4313</v>
      </c>
      <c r="C1196" t="s">
        <v>14</v>
      </c>
      <c r="D1196">
        <v>220.85</v>
      </c>
      <c r="E1196">
        <v>220.85</v>
      </c>
      <c r="F1196">
        <v>217</v>
      </c>
      <c r="G1196" s="3">
        <v>218.1</v>
      </c>
      <c r="H1196">
        <v>217.1</v>
      </c>
      <c r="I1196">
        <v>218.95</v>
      </c>
      <c r="J1196">
        <v>5977</v>
      </c>
      <c r="K1196">
        <v>1304833.55</v>
      </c>
      <c r="L1196" s="1">
        <v>45240</v>
      </c>
      <c r="M1196">
        <v>313</v>
      </c>
      <c r="N1196" t="s">
        <v>4314</v>
      </c>
      <c r="O1196" s="5">
        <v>45240</v>
      </c>
      <c r="P1196" s="5">
        <v>43777</v>
      </c>
      <c r="Q1196" s="3">
        <v>186.4</v>
      </c>
      <c r="S1196">
        <f t="shared" si="54"/>
        <v>1464</v>
      </c>
      <c r="T1196">
        <f t="shared" si="55"/>
        <v>16.043835616438358</v>
      </c>
      <c r="U1196" s="6">
        <f t="shared" si="56"/>
        <v>3.9349701975728735E-2</v>
      </c>
    </row>
    <row r="1197" spans="1:21" x14ac:dyDescent="0.25">
      <c r="A1197" t="s">
        <v>4315</v>
      </c>
      <c r="B1197" t="s">
        <v>4316</v>
      </c>
      <c r="C1197" t="s">
        <v>10</v>
      </c>
      <c r="D1197">
        <v>12.5</v>
      </c>
      <c r="E1197">
        <v>12.5</v>
      </c>
      <c r="F1197">
        <v>12.5</v>
      </c>
      <c r="G1197" s="3">
        <v>12.5</v>
      </c>
      <c r="H1197">
        <v>12.5</v>
      </c>
      <c r="I1197">
        <v>12.75</v>
      </c>
      <c r="J1197">
        <v>15396</v>
      </c>
      <c r="K1197">
        <v>192450</v>
      </c>
      <c r="L1197" s="1">
        <v>45240</v>
      </c>
      <c r="M1197">
        <v>58</v>
      </c>
      <c r="N1197" t="s">
        <v>4317</v>
      </c>
      <c r="O1197" s="5">
        <v>45240</v>
      </c>
      <c r="P1197" s="5">
        <v>43777</v>
      </c>
      <c r="Q1197" s="3">
        <v>2.0499999999999998</v>
      </c>
      <c r="S1197">
        <f t="shared" si="54"/>
        <v>1464</v>
      </c>
      <c r="T1197">
        <f t="shared" si="55"/>
        <v>16.043835616438358</v>
      </c>
      <c r="U1197" s="6">
        <f t="shared" si="56"/>
        <v>0.47711421361900541</v>
      </c>
    </row>
    <row r="1198" spans="1:21" x14ac:dyDescent="0.25">
      <c r="A1198" t="s">
        <v>4318</v>
      </c>
      <c r="B1198" t="s">
        <v>4319</v>
      </c>
      <c r="C1198" t="s">
        <v>14</v>
      </c>
      <c r="D1198">
        <v>122</v>
      </c>
      <c r="E1198">
        <v>125.75</v>
      </c>
      <c r="F1198">
        <v>121.6</v>
      </c>
      <c r="G1198" s="3">
        <v>124.65</v>
      </c>
      <c r="H1198">
        <v>124.25</v>
      </c>
      <c r="I1198">
        <v>123.3</v>
      </c>
      <c r="J1198">
        <v>97384</v>
      </c>
      <c r="K1198">
        <v>12011036</v>
      </c>
      <c r="L1198" s="1">
        <v>45240</v>
      </c>
      <c r="M1198">
        <v>2841</v>
      </c>
      <c r="N1198" t="s">
        <v>4320</v>
      </c>
      <c r="O1198" s="5">
        <v>45240</v>
      </c>
      <c r="P1198" s="5">
        <v>43777</v>
      </c>
      <c r="Q1198" s="3">
        <v>80.349999999999994</v>
      </c>
      <c r="S1198">
        <f t="shared" si="54"/>
        <v>1464</v>
      </c>
      <c r="T1198">
        <f t="shared" si="55"/>
        <v>16.043835616438358</v>
      </c>
      <c r="U1198" s="6">
        <f t="shared" si="56"/>
        <v>0.11099146810811344</v>
      </c>
    </row>
    <row r="1199" spans="1:21" x14ac:dyDescent="0.25">
      <c r="A1199" t="s">
        <v>4321</v>
      </c>
      <c r="B1199" t="s">
        <v>4322</v>
      </c>
      <c r="C1199" t="s">
        <v>14</v>
      </c>
      <c r="D1199">
        <v>265</v>
      </c>
      <c r="E1199">
        <v>267.35000000000002</v>
      </c>
      <c r="F1199">
        <v>263.05</v>
      </c>
      <c r="G1199" s="3">
        <v>264.25</v>
      </c>
      <c r="H1199">
        <v>264.14999999999998</v>
      </c>
      <c r="I1199">
        <v>266.25</v>
      </c>
      <c r="J1199">
        <v>72191</v>
      </c>
      <c r="K1199">
        <v>19125669.649999999</v>
      </c>
      <c r="L1199" s="1">
        <v>45240</v>
      </c>
      <c r="M1199">
        <v>2715</v>
      </c>
      <c r="N1199" t="s">
        <v>4323</v>
      </c>
      <c r="O1199" s="5">
        <v>45240</v>
      </c>
      <c r="P1199" s="5">
        <v>43777</v>
      </c>
      <c r="Q1199" s="3">
        <v>177.8</v>
      </c>
      <c r="S1199">
        <f t="shared" si="54"/>
        <v>1464</v>
      </c>
      <c r="T1199">
        <f t="shared" si="55"/>
        <v>16.043835616438358</v>
      </c>
      <c r="U1199" s="6">
        <f t="shared" si="56"/>
        <v>0.10001842118212423</v>
      </c>
    </row>
    <row r="1200" spans="1:21" x14ac:dyDescent="0.25">
      <c r="A1200" t="s">
        <v>4324</v>
      </c>
      <c r="B1200" t="s">
        <v>4325</v>
      </c>
      <c r="C1200" t="s">
        <v>14</v>
      </c>
      <c r="D1200">
        <v>348</v>
      </c>
      <c r="E1200">
        <v>348.8</v>
      </c>
      <c r="F1200">
        <v>335</v>
      </c>
      <c r="G1200" s="3">
        <v>344.5</v>
      </c>
      <c r="H1200">
        <v>345</v>
      </c>
      <c r="I1200">
        <v>347</v>
      </c>
      <c r="J1200">
        <v>95718</v>
      </c>
      <c r="K1200">
        <v>32939378.050000001</v>
      </c>
      <c r="L1200" s="1">
        <v>45240</v>
      </c>
      <c r="M1200">
        <v>3440</v>
      </c>
      <c r="N1200" t="s">
        <v>4326</v>
      </c>
      <c r="O1200" s="5">
        <v>45240</v>
      </c>
      <c r="P1200" s="5">
        <v>43777</v>
      </c>
      <c r="Q1200" s="3">
        <v>108.55</v>
      </c>
      <c r="S1200">
        <f t="shared" si="54"/>
        <v>1464</v>
      </c>
      <c r="T1200">
        <f t="shared" si="55"/>
        <v>16.043835616438358</v>
      </c>
      <c r="U1200" s="6">
        <f t="shared" si="56"/>
        <v>0.29854824001678981</v>
      </c>
    </row>
    <row r="1201" spans="1:21" x14ac:dyDescent="0.25">
      <c r="A1201" t="s">
        <v>4333</v>
      </c>
      <c r="B1201" t="s">
        <v>4334</v>
      </c>
      <c r="C1201" t="s">
        <v>14</v>
      </c>
      <c r="D1201">
        <v>157.6</v>
      </c>
      <c r="E1201">
        <v>158.94999999999999</v>
      </c>
      <c r="F1201">
        <v>155.30000000000001</v>
      </c>
      <c r="G1201" s="3">
        <v>156.19999999999999</v>
      </c>
      <c r="H1201">
        <v>156.30000000000001</v>
      </c>
      <c r="I1201">
        <v>160.69999999999999</v>
      </c>
      <c r="J1201">
        <v>10860264</v>
      </c>
      <c r="K1201">
        <v>1701953985.75</v>
      </c>
      <c r="L1201" s="1">
        <v>45240</v>
      </c>
      <c r="M1201">
        <v>71684</v>
      </c>
      <c r="N1201" t="s">
        <v>4335</v>
      </c>
      <c r="O1201" s="5">
        <v>45240</v>
      </c>
      <c r="P1201" s="5">
        <v>43777</v>
      </c>
      <c r="Q1201" s="3">
        <v>23.85</v>
      </c>
      <c r="S1201">
        <f t="shared" si="54"/>
        <v>1464</v>
      </c>
      <c r="T1201">
        <f t="shared" si="55"/>
        <v>16.043835616438358</v>
      </c>
      <c r="U1201" s="6">
        <f t="shared" si="56"/>
        <v>0.49710113559106528</v>
      </c>
    </row>
    <row r="1202" spans="1:21" x14ac:dyDescent="0.25">
      <c r="A1202" t="s">
        <v>4342</v>
      </c>
      <c r="B1202" t="s">
        <v>4343</v>
      </c>
      <c r="C1202" t="s">
        <v>10</v>
      </c>
      <c r="D1202">
        <v>18.649999999999999</v>
      </c>
      <c r="E1202">
        <v>18.649999999999999</v>
      </c>
      <c r="F1202">
        <v>18.649999999999999</v>
      </c>
      <c r="G1202" s="3">
        <v>18.649999999999999</v>
      </c>
      <c r="H1202">
        <v>18.649999999999999</v>
      </c>
      <c r="I1202">
        <v>18.3</v>
      </c>
      <c r="J1202">
        <v>280069</v>
      </c>
      <c r="K1202">
        <v>5223286.8499999996</v>
      </c>
      <c r="L1202" s="1">
        <v>45240</v>
      </c>
      <c r="M1202">
        <v>126</v>
      </c>
      <c r="N1202" t="s">
        <v>4344</v>
      </c>
      <c r="O1202" s="5">
        <v>45240</v>
      </c>
      <c r="P1202" s="5">
        <v>43777</v>
      </c>
      <c r="Q1202" s="3">
        <v>124.95</v>
      </c>
      <c r="S1202">
        <f t="shared" si="54"/>
        <v>1464</v>
      </c>
      <c r="T1202">
        <f t="shared" si="55"/>
        <v>16.043835616438358</v>
      </c>
      <c r="U1202" s="6">
        <f t="shared" si="56"/>
        <v>-0.44718606132497474</v>
      </c>
    </row>
    <row r="1203" spans="1:21" x14ac:dyDescent="0.25">
      <c r="A1203" t="s">
        <v>4345</v>
      </c>
      <c r="B1203" t="s">
        <v>4346</v>
      </c>
      <c r="C1203" t="s">
        <v>10</v>
      </c>
      <c r="D1203">
        <v>4</v>
      </c>
      <c r="E1203">
        <v>4</v>
      </c>
      <c r="F1203">
        <v>4</v>
      </c>
      <c r="G1203" s="3">
        <v>4</v>
      </c>
      <c r="H1203">
        <v>4</v>
      </c>
      <c r="I1203">
        <v>4.05</v>
      </c>
      <c r="J1203">
        <v>64604</v>
      </c>
      <c r="K1203">
        <v>258416</v>
      </c>
      <c r="L1203" s="1">
        <v>45240</v>
      </c>
      <c r="M1203">
        <v>77</v>
      </c>
      <c r="N1203" t="s">
        <v>4347</v>
      </c>
      <c r="O1203" s="5">
        <v>45240</v>
      </c>
      <c r="P1203" s="5">
        <v>43777</v>
      </c>
      <c r="Q1203" s="3">
        <v>40.25</v>
      </c>
      <c r="S1203">
        <f t="shared" si="54"/>
        <v>1464</v>
      </c>
      <c r="T1203">
        <f t="shared" si="55"/>
        <v>16.043835616438358</v>
      </c>
      <c r="U1203" s="6">
        <f t="shared" si="56"/>
        <v>-0.53612588738952693</v>
      </c>
    </row>
    <row r="1204" spans="1:21" x14ac:dyDescent="0.25">
      <c r="A1204" t="s">
        <v>4351</v>
      </c>
      <c r="B1204" t="s">
        <v>4352</v>
      </c>
      <c r="C1204" t="s">
        <v>14</v>
      </c>
      <c r="D1204">
        <v>4200</v>
      </c>
      <c r="E1204">
        <v>4255</v>
      </c>
      <c r="F1204">
        <v>4131.3500000000004</v>
      </c>
      <c r="G1204" s="3">
        <v>4158.05</v>
      </c>
      <c r="H1204">
        <v>4235.1000000000004</v>
      </c>
      <c r="I1204">
        <v>4172.1499999999996</v>
      </c>
      <c r="J1204">
        <v>23538</v>
      </c>
      <c r="K1204">
        <v>98562312.200000003</v>
      </c>
      <c r="L1204" s="1">
        <v>45240</v>
      </c>
      <c r="M1204">
        <v>7025</v>
      </c>
      <c r="N1204" t="s">
        <v>4353</v>
      </c>
      <c r="O1204" s="5">
        <v>45240</v>
      </c>
      <c r="P1204" s="5">
        <v>43777</v>
      </c>
      <c r="Q1204" s="3">
        <v>552.4</v>
      </c>
      <c r="S1204">
        <f t="shared" si="54"/>
        <v>1464</v>
      </c>
      <c r="T1204">
        <f t="shared" si="55"/>
        <v>16.043835616438358</v>
      </c>
      <c r="U1204" s="6">
        <f t="shared" si="56"/>
        <v>0.53628200059656717</v>
      </c>
    </row>
    <row r="1205" spans="1:21" x14ac:dyDescent="0.25">
      <c r="A1205" t="s">
        <v>4354</v>
      </c>
      <c r="B1205" t="s">
        <v>4355</v>
      </c>
      <c r="C1205" t="s">
        <v>14</v>
      </c>
      <c r="D1205">
        <v>26</v>
      </c>
      <c r="E1205">
        <v>26.75</v>
      </c>
      <c r="F1205">
        <v>26</v>
      </c>
      <c r="G1205" s="3">
        <v>26.55</v>
      </c>
      <c r="H1205">
        <v>26.5</v>
      </c>
      <c r="I1205">
        <v>26</v>
      </c>
      <c r="J1205">
        <v>18703</v>
      </c>
      <c r="K1205">
        <v>495131.2</v>
      </c>
      <c r="L1205" s="1">
        <v>45240</v>
      </c>
      <c r="M1205">
        <v>198</v>
      </c>
      <c r="N1205" t="s">
        <v>4356</v>
      </c>
      <c r="O1205" s="5">
        <v>45240</v>
      </c>
      <c r="P1205" s="5">
        <v>43777</v>
      </c>
      <c r="Q1205" s="3">
        <v>64.099999999999994</v>
      </c>
      <c r="S1205">
        <f t="shared" si="54"/>
        <v>1464</v>
      </c>
      <c r="T1205">
        <f t="shared" si="55"/>
        <v>16.043835616438358</v>
      </c>
      <c r="U1205" s="6">
        <f t="shared" si="56"/>
        <v>-0.21382428914352669</v>
      </c>
    </row>
    <row r="1206" spans="1:21" x14ac:dyDescent="0.25">
      <c r="A1206" t="s">
        <v>4357</v>
      </c>
      <c r="B1206" t="s">
        <v>4358</v>
      </c>
      <c r="C1206" t="s">
        <v>14</v>
      </c>
      <c r="D1206">
        <v>257.39999999999998</v>
      </c>
      <c r="E1206">
        <v>265.5</v>
      </c>
      <c r="F1206">
        <v>256.10000000000002</v>
      </c>
      <c r="G1206" s="3">
        <v>260.7</v>
      </c>
      <c r="H1206">
        <v>259</v>
      </c>
      <c r="I1206">
        <v>259.5</v>
      </c>
      <c r="J1206">
        <v>180205</v>
      </c>
      <c r="K1206">
        <v>47162225.200000003</v>
      </c>
      <c r="L1206" s="1">
        <v>45240</v>
      </c>
      <c r="M1206">
        <v>9705</v>
      </c>
      <c r="N1206" t="s">
        <v>4359</v>
      </c>
      <c r="O1206" s="5">
        <v>45240</v>
      </c>
      <c r="P1206" s="5">
        <v>43777</v>
      </c>
      <c r="Q1206" s="3">
        <v>575.04999999999995</v>
      </c>
      <c r="S1206">
        <f t="shared" si="54"/>
        <v>1464</v>
      </c>
      <c r="T1206">
        <f t="shared" si="55"/>
        <v>16.043835616438358</v>
      </c>
      <c r="U1206" s="6">
        <f t="shared" si="56"/>
        <v>-0.19244772939586774</v>
      </c>
    </row>
    <row r="1207" spans="1:21" x14ac:dyDescent="0.25">
      <c r="A1207" t="s">
        <v>4366</v>
      </c>
      <c r="B1207" t="s">
        <v>4367</v>
      </c>
      <c r="C1207" t="s">
        <v>14</v>
      </c>
      <c r="D1207">
        <v>87.15</v>
      </c>
      <c r="E1207">
        <v>88.65</v>
      </c>
      <c r="F1207">
        <v>86.6</v>
      </c>
      <c r="G1207" s="3">
        <v>88.1</v>
      </c>
      <c r="H1207">
        <v>88</v>
      </c>
      <c r="I1207">
        <v>87.15</v>
      </c>
      <c r="J1207">
        <v>14776717</v>
      </c>
      <c r="K1207">
        <v>1296781237.7</v>
      </c>
      <c r="L1207" s="1">
        <v>45240</v>
      </c>
      <c r="M1207">
        <v>34758</v>
      </c>
      <c r="N1207" t="s">
        <v>4368</v>
      </c>
      <c r="O1207" s="5">
        <v>45240</v>
      </c>
      <c r="P1207" s="5">
        <v>43777</v>
      </c>
      <c r="Q1207" s="3">
        <v>38.700000000000003</v>
      </c>
      <c r="S1207">
        <f t="shared" si="54"/>
        <v>1464</v>
      </c>
      <c r="T1207">
        <f t="shared" si="55"/>
        <v>16.043835616438358</v>
      </c>
      <c r="U1207" s="6">
        <f t="shared" si="56"/>
        <v>0.21044541965643848</v>
      </c>
    </row>
    <row r="1208" spans="1:21" x14ac:dyDescent="0.25">
      <c r="A1208" t="s">
        <v>4369</v>
      </c>
      <c r="B1208" t="s">
        <v>4370</v>
      </c>
      <c r="C1208" t="s">
        <v>14</v>
      </c>
      <c r="D1208">
        <v>380</v>
      </c>
      <c r="E1208">
        <v>398.6</v>
      </c>
      <c r="F1208">
        <v>373.05</v>
      </c>
      <c r="G1208" s="3">
        <v>389.45</v>
      </c>
      <c r="H1208">
        <v>389</v>
      </c>
      <c r="I1208">
        <v>378.25</v>
      </c>
      <c r="J1208">
        <v>75852</v>
      </c>
      <c r="K1208">
        <v>29585528.100000001</v>
      </c>
      <c r="L1208" s="1">
        <v>45240</v>
      </c>
      <c r="M1208">
        <v>4272</v>
      </c>
      <c r="N1208" t="s">
        <v>4371</v>
      </c>
      <c r="O1208" s="5">
        <v>45240</v>
      </c>
      <c r="P1208" s="5">
        <v>43777</v>
      </c>
      <c r="Q1208" s="3">
        <v>51.9</v>
      </c>
      <c r="S1208">
        <f t="shared" si="54"/>
        <v>1464</v>
      </c>
      <c r="T1208">
        <f t="shared" si="55"/>
        <v>16.043835616438358</v>
      </c>
      <c r="U1208" s="6">
        <f t="shared" si="56"/>
        <v>0.53540208384947441</v>
      </c>
    </row>
    <row r="1209" spans="1:21" x14ac:dyDescent="0.25">
      <c r="A1209" t="s">
        <v>4372</v>
      </c>
      <c r="B1209" t="s">
        <v>4373</v>
      </c>
      <c r="C1209" t="s">
        <v>14</v>
      </c>
      <c r="D1209">
        <v>30.75</v>
      </c>
      <c r="E1209">
        <v>31.9</v>
      </c>
      <c r="F1209">
        <v>30.75</v>
      </c>
      <c r="G1209" s="3">
        <v>31.05</v>
      </c>
      <c r="H1209">
        <v>31.25</v>
      </c>
      <c r="I1209">
        <v>31.45</v>
      </c>
      <c r="J1209">
        <v>1193019</v>
      </c>
      <c r="K1209">
        <v>37234383.450000003</v>
      </c>
      <c r="L1209" s="1">
        <v>45240</v>
      </c>
      <c r="M1209">
        <v>5449</v>
      </c>
      <c r="N1209" t="s">
        <v>4374</v>
      </c>
      <c r="O1209" s="5">
        <v>45240</v>
      </c>
      <c r="P1209" s="5">
        <v>43777</v>
      </c>
      <c r="Q1209" s="3">
        <v>8.6</v>
      </c>
      <c r="S1209">
        <f t="shared" si="54"/>
        <v>1464</v>
      </c>
      <c r="T1209">
        <f t="shared" si="55"/>
        <v>16.043835616438358</v>
      </c>
      <c r="U1209" s="6">
        <f t="shared" si="56"/>
        <v>0.33323733266197753</v>
      </c>
    </row>
    <row r="1210" spans="1:21" x14ac:dyDescent="0.25">
      <c r="A1210" t="s">
        <v>4375</v>
      </c>
      <c r="B1210" t="s">
        <v>4376</v>
      </c>
      <c r="C1210" t="s">
        <v>10</v>
      </c>
      <c r="D1210">
        <v>351.95</v>
      </c>
      <c r="E1210">
        <v>351.95</v>
      </c>
      <c r="F1210">
        <v>342.35</v>
      </c>
      <c r="G1210" s="3">
        <v>346.3</v>
      </c>
      <c r="H1210">
        <v>347.5</v>
      </c>
      <c r="I1210">
        <v>354.7</v>
      </c>
      <c r="J1210">
        <v>74636</v>
      </c>
      <c r="K1210">
        <v>25937931.75</v>
      </c>
      <c r="L1210" s="1">
        <v>45240</v>
      </c>
      <c r="M1210">
        <v>2977</v>
      </c>
      <c r="N1210" t="s">
        <v>4377</v>
      </c>
      <c r="O1210" s="5">
        <v>45240</v>
      </c>
      <c r="P1210" s="5">
        <v>43777</v>
      </c>
      <c r="Q1210" s="3">
        <v>240</v>
      </c>
      <c r="S1210">
        <f t="shared" si="54"/>
        <v>1464</v>
      </c>
      <c r="T1210">
        <f t="shared" si="55"/>
        <v>16.043835616438358</v>
      </c>
      <c r="U1210" s="6">
        <f t="shared" si="56"/>
        <v>9.2468794975093083E-2</v>
      </c>
    </row>
    <row r="1211" spans="1:21" x14ac:dyDescent="0.25">
      <c r="A1211" t="s">
        <v>4378</v>
      </c>
      <c r="B1211" t="s">
        <v>4379</v>
      </c>
      <c r="C1211" t="s">
        <v>10</v>
      </c>
      <c r="D1211">
        <v>16.7</v>
      </c>
      <c r="E1211">
        <v>16.7</v>
      </c>
      <c r="F1211">
        <v>16.100000000000001</v>
      </c>
      <c r="G1211" s="3">
        <v>16.25</v>
      </c>
      <c r="H1211">
        <v>16.399999999999999</v>
      </c>
      <c r="I1211">
        <v>16.25</v>
      </c>
      <c r="J1211">
        <v>118387</v>
      </c>
      <c r="K1211">
        <v>1930350.1</v>
      </c>
      <c r="L1211" s="1">
        <v>45240</v>
      </c>
      <c r="M1211">
        <v>315</v>
      </c>
      <c r="N1211" t="s">
        <v>4380</v>
      </c>
      <c r="O1211" s="5">
        <v>45240</v>
      </c>
      <c r="P1211" s="5">
        <v>43777</v>
      </c>
      <c r="Q1211" s="3">
        <v>7.1</v>
      </c>
      <c r="S1211">
        <f t="shared" si="54"/>
        <v>1464</v>
      </c>
      <c r="T1211">
        <f t="shared" si="55"/>
        <v>16.043835616438358</v>
      </c>
      <c r="U1211" s="6">
        <f t="shared" si="56"/>
        <v>0.21185366300985464</v>
      </c>
    </row>
    <row r="1212" spans="1:21" x14ac:dyDescent="0.25">
      <c r="A1212" t="s">
        <v>4381</v>
      </c>
      <c r="B1212" t="s">
        <v>4382</v>
      </c>
      <c r="C1212" t="s">
        <v>14</v>
      </c>
      <c r="D1212">
        <v>45.65</v>
      </c>
      <c r="E1212">
        <v>46.2</v>
      </c>
      <c r="F1212">
        <v>45.1</v>
      </c>
      <c r="G1212" s="3">
        <v>45.8</v>
      </c>
      <c r="H1212">
        <v>45.8</v>
      </c>
      <c r="I1212">
        <v>45.9</v>
      </c>
      <c r="J1212">
        <v>419830</v>
      </c>
      <c r="K1212">
        <v>19233280.399999999</v>
      </c>
      <c r="L1212" s="1">
        <v>45240</v>
      </c>
      <c r="M1212">
        <v>2353</v>
      </c>
      <c r="N1212" t="s">
        <v>4383</v>
      </c>
      <c r="O1212" s="5">
        <v>45240</v>
      </c>
      <c r="P1212" s="5">
        <v>43777</v>
      </c>
      <c r="Q1212" s="3">
        <v>126.4</v>
      </c>
      <c r="S1212">
        <f t="shared" si="54"/>
        <v>1464</v>
      </c>
      <c r="T1212">
        <f t="shared" si="55"/>
        <v>16.043835616438358</v>
      </c>
      <c r="U1212" s="6">
        <f t="shared" si="56"/>
        <v>-0.2452573247911074</v>
      </c>
    </row>
    <row r="1213" spans="1:21" x14ac:dyDescent="0.25">
      <c r="A1213" t="s">
        <v>4384</v>
      </c>
      <c r="B1213" t="s">
        <v>4385</v>
      </c>
      <c r="C1213" t="s">
        <v>14</v>
      </c>
      <c r="D1213">
        <v>290.35000000000002</v>
      </c>
      <c r="E1213">
        <v>304</v>
      </c>
      <c r="F1213">
        <v>290.35000000000002</v>
      </c>
      <c r="G1213" s="3">
        <v>294.39999999999998</v>
      </c>
      <c r="H1213">
        <v>293</v>
      </c>
      <c r="I1213">
        <v>298.35000000000002</v>
      </c>
      <c r="J1213">
        <v>5440</v>
      </c>
      <c r="K1213">
        <v>1636481.75</v>
      </c>
      <c r="L1213" s="1">
        <v>45240</v>
      </c>
      <c r="M1213">
        <v>409</v>
      </c>
      <c r="N1213" t="s">
        <v>4386</v>
      </c>
      <c r="O1213" s="5">
        <v>45240</v>
      </c>
      <c r="P1213" s="5">
        <v>43777</v>
      </c>
      <c r="Q1213" s="3">
        <v>66.5</v>
      </c>
      <c r="S1213">
        <f t="shared" si="54"/>
        <v>1464</v>
      </c>
      <c r="T1213">
        <f t="shared" si="55"/>
        <v>16.043835616438358</v>
      </c>
      <c r="U1213" s="6">
        <f t="shared" si="56"/>
        <v>0.38865980792077703</v>
      </c>
    </row>
    <row r="1214" spans="1:21" x14ac:dyDescent="0.25">
      <c r="A1214" t="s">
        <v>4387</v>
      </c>
      <c r="B1214" t="s">
        <v>4388</v>
      </c>
      <c r="C1214" t="s">
        <v>14</v>
      </c>
      <c r="D1214">
        <v>14.85</v>
      </c>
      <c r="E1214">
        <v>15.7</v>
      </c>
      <c r="F1214">
        <v>14.85</v>
      </c>
      <c r="G1214" s="3">
        <v>15.5</v>
      </c>
      <c r="H1214">
        <v>15.55</v>
      </c>
      <c r="I1214">
        <v>14.8</v>
      </c>
      <c r="J1214">
        <v>251041</v>
      </c>
      <c r="K1214">
        <v>3872940.95</v>
      </c>
      <c r="L1214" s="1">
        <v>45240</v>
      </c>
      <c r="M1214">
        <v>731</v>
      </c>
      <c r="N1214" t="s">
        <v>4389</v>
      </c>
      <c r="O1214" s="5">
        <v>45240</v>
      </c>
      <c r="P1214" s="5">
        <v>43777</v>
      </c>
      <c r="Q1214" s="3">
        <v>2.5499999999999998</v>
      </c>
      <c r="S1214">
        <f t="shared" si="54"/>
        <v>1464</v>
      </c>
      <c r="T1214">
        <f t="shared" si="55"/>
        <v>16.043835616438358</v>
      </c>
      <c r="U1214" s="6">
        <f t="shared" si="56"/>
        <v>0.47623745632536707</v>
      </c>
    </row>
    <row r="1215" spans="1:21" x14ac:dyDescent="0.25">
      <c r="A1215" t="s">
        <v>4390</v>
      </c>
      <c r="B1215" t="s">
        <v>4391</v>
      </c>
      <c r="C1215" t="s">
        <v>14</v>
      </c>
      <c r="D1215">
        <v>373.15</v>
      </c>
      <c r="E1215">
        <v>375.4</v>
      </c>
      <c r="F1215">
        <v>370</v>
      </c>
      <c r="G1215" s="3">
        <v>373.35</v>
      </c>
      <c r="H1215">
        <v>374</v>
      </c>
      <c r="I1215">
        <v>373.05</v>
      </c>
      <c r="J1215">
        <v>37968</v>
      </c>
      <c r="K1215">
        <v>14162194.050000001</v>
      </c>
      <c r="L1215" s="1">
        <v>45240</v>
      </c>
      <c r="M1215">
        <v>2949</v>
      </c>
      <c r="N1215" t="s">
        <v>4392</v>
      </c>
      <c r="O1215" s="5">
        <v>45240</v>
      </c>
      <c r="P1215" s="5">
        <v>43777</v>
      </c>
      <c r="Q1215" s="3">
        <v>127.45</v>
      </c>
      <c r="S1215">
        <f t="shared" si="54"/>
        <v>1464</v>
      </c>
      <c r="T1215">
        <f t="shared" si="55"/>
        <v>16.043835616438358</v>
      </c>
      <c r="U1215" s="6">
        <f t="shared" si="56"/>
        <v>0.27714331023270677</v>
      </c>
    </row>
    <row r="1216" spans="1:21" x14ac:dyDescent="0.25">
      <c r="A1216" t="s">
        <v>4393</v>
      </c>
      <c r="B1216" t="s">
        <v>4394</v>
      </c>
      <c r="C1216" t="s">
        <v>10</v>
      </c>
      <c r="D1216">
        <v>3.35</v>
      </c>
      <c r="E1216">
        <v>3.45</v>
      </c>
      <c r="F1216">
        <v>3.3</v>
      </c>
      <c r="G1216" s="3">
        <v>3.35</v>
      </c>
      <c r="H1216">
        <v>3.35</v>
      </c>
      <c r="I1216">
        <v>3.35</v>
      </c>
      <c r="J1216">
        <v>49931</v>
      </c>
      <c r="K1216">
        <v>168887.1</v>
      </c>
      <c r="L1216" s="1">
        <v>45240</v>
      </c>
      <c r="M1216">
        <v>72</v>
      </c>
      <c r="N1216" t="s">
        <v>4395</v>
      </c>
      <c r="O1216" s="5">
        <v>45240</v>
      </c>
      <c r="P1216" s="5">
        <v>43777</v>
      </c>
      <c r="Q1216" s="3">
        <v>3.75</v>
      </c>
      <c r="S1216">
        <f t="shared" si="54"/>
        <v>1464</v>
      </c>
      <c r="T1216">
        <f t="shared" si="55"/>
        <v>16.043835616438358</v>
      </c>
      <c r="U1216" s="6">
        <f t="shared" si="56"/>
        <v>-2.8023204044340222E-2</v>
      </c>
    </row>
    <row r="1217" spans="1:21" x14ac:dyDescent="0.25">
      <c r="A1217" t="s">
        <v>4402</v>
      </c>
      <c r="B1217" t="s">
        <v>4403</v>
      </c>
      <c r="C1217" t="s">
        <v>786</v>
      </c>
      <c r="D1217">
        <v>6.55</v>
      </c>
      <c r="E1217">
        <v>6.95</v>
      </c>
      <c r="F1217">
        <v>6.5</v>
      </c>
      <c r="G1217" s="3">
        <v>6.95</v>
      </c>
      <c r="H1217">
        <v>6.95</v>
      </c>
      <c r="I1217">
        <v>6.75</v>
      </c>
      <c r="J1217">
        <v>3496</v>
      </c>
      <c r="K1217">
        <v>23260.7</v>
      </c>
      <c r="L1217" s="1">
        <v>45240</v>
      </c>
      <c r="M1217">
        <v>8</v>
      </c>
      <c r="N1217" t="s">
        <v>4404</v>
      </c>
      <c r="O1217" s="5">
        <v>45240</v>
      </c>
      <c r="P1217" s="5">
        <v>43777</v>
      </c>
      <c r="Q1217" s="3">
        <v>15.95</v>
      </c>
      <c r="S1217">
        <f t="shared" si="54"/>
        <v>1464</v>
      </c>
      <c r="T1217">
        <f t="shared" si="55"/>
        <v>16.043835616438358</v>
      </c>
      <c r="U1217" s="6">
        <f t="shared" si="56"/>
        <v>-0.20184130459774252</v>
      </c>
    </row>
    <row r="1218" spans="1:21" x14ac:dyDescent="0.25">
      <c r="A1218" t="s">
        <v>4405</v>
      </c>
      <c r="B1218" t="s">
        <v>4406</v>
      </c>
      <c r="C1218" t="s">
        <v>14</v>
      </c>
      <c r="D1218">
        <v>1008</v>
      </c>
      <c r="E1218">
        <v>1008</v>
      </c>
      <c r="F1218">
        <v>985.4</v>
      </c>
      <c r="G1218" s="3">
        <v>998.15</v>
      </c>
      <c r="H1218">
        <v>994</v>
      </c>
      <c r="I1218">
        <v>1008</v>
      </c>
      <c r="J1218">
        <v>1392</v>
      </c>
      <c r="K1218">
        <v>1390249.05</v>
      </c>
      <c r="L1218" s="1">
        <v>45240</v>
      </c>
      <c r="M1218">
        <v>265</v>
      </c>
      <c r="N1218" t="s">
        <v>4407</v>
      </c>
      <c r="O1218" s="5">
        <v>45240</v>
      </c>
      <c r="P1218" s="5">
        <v>43777</v>
      </c>
      <c r="Q1218" s="3">
        <v>601.20000000000005</v>
      </c>
      <c r="S1218">
        <f t="shared" si="54"/>
        <v>1464</v>
      </c>
      <c r="T1218">
        <f t="shared" si="55"/>
        <v>16.043835616438358</v>
      </c>
      <c r="U1218" s="6">
        <f t="shared" si="56"/>
        <v>0.12841593106912885</v>
      </c>
    </row>
    <row r="1219" spans="1:21" x14ac:dyDescent="0.25">
      <c r="A1219" t="s">
        <v>4408</v>
      </c>
      <c r="B1219" t="s">
        <v>4409</v>
      </c>
      <c r="C1219" t="s">
        <v>14</v>
      </c>
      <c r="D1219">
        <v>423.75</v>
      </c>
      <c r="E1219">
        <v>423.75</v>
      </c>
      <c r="F1219">
        <v>402.15</v>
      </c>
      <c r="G1219" s="3">
        <v>409.7</v>
      </c>
      <c r="H1219">
        <v>408.6</v>
      </c>
      <c r="I1219">
        <v>425.25</v>
      </c>
      <c r="J1219">
        <v>188949</v>
      </c>
      <c r="K1219">
        <v>78304962.049999997</v>
      </c>
      <c r="L1219" s="1">
        <v>45240</v>
      </c>
      <c r="M1219">
        <v>10150</v>
      </c>
      <c r="N1219" t="s">
        <v>4410</v>
      </c>
      <c r="O1219" s="5">
        <v>45240</v>
      </c>
      <c r="P1219" s="5">
        <v>43777</v>
      </c>
      <c r="Q1219" s="3">
        <v>239.45</v>
      </c>
      <c r="S1219">
        <f t="shared" ref="S1219:S1282" si="57">O1219-P1219+1</f>
        <v>1464</v>
      </c>
      <c r="T1219">
        <f t="shared" ref="T1219:T1282" si="58">(S1219/365)*4</f>
        <v>16.043835616438358</v>
      </c>
      <c r="U1219" s="6">
        <f t="shared" ref="U1219:U1282" si="59">(((G1219/Q1219)^(1/T1219))-1)*4</f>
        <v>0.13616976228638844</v>
      </c>
    </row>
    <row r="1220" spans="1:21" x14ac:dyDescent="0.25">
      <c r="A1220" t="s">
        <v>4414</v>
      </c>
      <c r="B1220" t="s">
        <v>4415</v>
      </c>
      <c r="C1220" t="s">
        <v>14</v>
      </c>
      <c r="D1220">
        <v>311</v>
      </c>
      <c r="E1220">
        <v>314.10000000000002</v>
      </c>
      <c r="F1220">
        <v>304.95</v>
      </c>
      <c r="G1220" s="3">
        <v>309.8</v>
      </c>
      <c r="H1220">
        <v>308</v>
      </c>
      <c r="I1220">
        <v>310.5</v>
      </c>
      <c r="J1220">
        <v>24430</v>
      </c>
      <c r="K1220">
        <v>7561567.9500000002</v>
      </c>
      <c r="L1220" s="1">
        <v>45240</v>
      </c>
      <c r="M1220">
        <v>1504</v>
      </c>
      <c r="N1220" t="s">
        <v>4416</v>
      </c>
      <c r="O1220" s="5">
        <v>45240</v>
      </c>
      <c r="P1220" s="5">
        <v>43777</v>
      </c>
      <c r="Q1220" s="3">
        <v>53.55</v>
      </c>
      <c r="S1220">
        <f t="shared" si="57"/>
        <v>1464</v>
      </c>
      <c r="T1220">
        <f t="shared" si="58"/>
        <v>16.043835616438358</v>
      </c>
      <c r="U1220" s="6">
        <f t="shared" si="59"/>
        <v>0.46246614739784597</v>
      </c>
    </row>
    <row r="1221" spans="1:21" x14ac:dyDescent="0.25">
      <c r="A1221" t="s">
        <v>4417</v>
      </c>
      <c r="B1221" t="s">
        <v>4418</v>
      </c>
      <c r="C1221" t="s">
        <v>14</v>
      </c>
      <c r="D1221">
        <v>116</v>
      </c>
      <c r="E1221">
        <v>116.3</v>
      </c>
      <c r="F1221">
        <v>114.1</v>
      </c>
      <c r="G1221" s="3">
        <v>114.6</v>
      </c>
      <c r="H1221">
        <v>114.35</v>
      </c>
      <c r="I1221">
        <v>115.7</v>
      </c>
      <c r="J1221">
        <v>108858</v>
      </c>
      <c r="K1221">
        <v>12527132.1</v>
      </c>
      <c r="L1221" s="1">
        <v>45240</v>
      </c>
      <c r="M1221">
        <v>698</v>
      </c>
      <c r="N1221" t="s">
        <v>4419</v>
      </c>
      <c r="O1221" s="5">
        <v>45240</v>
      </c>
      <c r="P1221" s="5">
        <v>43777</v>
      </c>
      <c r="Q1221" s="3">
        <v>41.85</v>
      </c>
      <c r="S1221">
        <f t="shared" si="57"/>
        <v>1464</v>
      </c>
      <c r="T1221">
        <f t="shared" si="58"/>
        <v>16.043835616438358</v>
      </c>
      <c r="U1221" s="6">
        <f t="shared" si="59"/>
        <v>0.25920315685287054</v>
      </c>
    </row>
    <row r="1222" spans="1:21" x14ac:dyDescent="0.25">
      <c r="A1222" t="s">
        <v>4420</v>
      </c>
      <c r="B1222" t="s">
        <v>4421</v>
      </c>
      <c r="C1222" t="s">
        <v>14</v>
      </c>
      <c r="D1222">
        <v>747</v>
      </c>
      <c r="E1222">
        <v>754.15</v>
      </c>
      <c r="F1222">
        <v>726</v>
      </c>
      <c r="G1222" s="3">
        <v>728.2</v>
      </c>
      <c r="H1222">
        <v>728.75</v>
      </c>
      <c r="I1222">
        <v>750.1</v>
      </c>
      <c r="J1222">
        <v>106304</v>
      </c>
      <c r="K1222">
        <v>78365368.150000006</v>
      </c>
      <c r="L1222" s="1">
        <v>45240</v>
      </c>
      <c r="M1222">
        <v>14307</v>
      </c>
      <c r="N1222" t="s">
        <v>4422</v>
      </c>
      <c r="O1222" s="5">
        <v>45240</v>
      </c>
      <c r="P1222" s="5">
        <v>43777</v>
      </c>
      <c r="Q1222" s="3">
        <v>73.400000000000006</v>
      </c>
      <c r="S1222">
        <f t="shared" si="57"/>
        <v>1464</v>
      </c>
      <c r="T1222">
        <f t="shared" si="58"/>
        <v>16.043835616438358</v>
      </c>
      <c r="U1222" s="6">
        <f t="shared" si="59"/>
        <v>0.61502946407830006</v>
      </c>
    </row>
    <row r="1223" spans="1:21" x14ac:dyDescent="0.25">
      <c r="A1223" t="s">
        <v>4423</v>
      </c>
      <c r="B1223" t="s">
        <v>4424</v>
      </c>
      <c r="C1223" t="s">
        <v>14</v>
      </c>
      <c r="D1223">
        <v>24.2</v>
      </c>
      <c r="E1223">
        <v>24.5</v>
      </c>
      <c r="F1223">
        <v>23.75</v>
      </c>
      <c r="G1223" s="3">
        <v>24.15</v>
      </c>
      <c r="H1223">
        <v>24.35</v>
      </c>
      <c r="I1223">
        <v>24</v>
      </c>
      <c r="J1223">
        <v>16758</v>
      </c>
      <c r="K1223">
        <v>404565.4</v>
      </c>
      <c r="L1223" s="1">
        <v>45240</v>
      </c>
      <c r="M1223">
        <v>220</v>
      </c>
      <c r="N1223" t="s">
        <v>4425</v>
      </c>
      <c r="O1223" s="5">
        <v>45240</v>
      </c>
      <c r="P1223" s="5">
        <v>43777</v>
      </c>
      <c r="Q1223" s="3">
        <v>146.6</v>
      </c>
      <c r="S1223">
        <f t="shared" si="57"/>
        <v>1464</v>
      </c>
      <c r="T1223">
        <f t="shared" si="58"/>
        <v>16.043835616438358</v>
      </c>
      <c r="U1223" s="6">
        <f t="shared" si="59"/>
        <v>-0.42527460830762465</v>
      </c>
    </row>
    <row r="1224" spans="1:21" x14ac:dyDescent="0.25">
      <c r="A1224" t="s">
        <v>4426</v>
      </c>
      <c r="B1224" t="s">
        <v>4427</v>
      </c>
      <c r="C1224" t="s">
        <v>14</v>
      </c>
      <c r="D1224">
        <v>7751.05</v>
      </c>
      <c r="E1224">
        <v>7847.1</v>
      </c>
      <c r="F1224">
        <v>7691</v>
      </c>
      <c r="G1224" s="3">
        <v>7754.35</v>
      </c>
      <c r="H1224">
        <v>7787.1</v>
      </c>
      <c r="I1224">
        <v>7795</v>
      </c>
      <c r="J1224">
        <v>25830</v>
      </c>
      <c r="K1224">
        <v>200068402.15000001</v>
      </c>
      <c r="L1224" s="1">
        <v>45240</v>
      </c>
      <c r="M1224">
        <v>7540</v>
      </c>
      <c r="N1224" t="s">
        <v>4428</v>
      </c>
      <c r="O1224" s="5">
        <v>45240</v>
      </c>
      <c r="P1224" s="5">
        <v>43777</v>
      </c>
      <c r="Q1224" s="3">
        <v>6466.9</v>
      </c>
      <c r="S1224">
        <f t="shared" si="57"/>
        <v>1464</v>
      </c>
      <c r="T1224">
        <f t="shared" si="58"/>
        <v>16.043835616438358</v>
      </c>
      <c r="U1224" s="6">
        <f t="shared" si="59"/>
        <v>4.5522351694079255E-2</v>
      </c>
    </row>
    <row r="1225" spans="1:21" x14ac:dyDescent="0.25">
      <c r="A1225" t="s">
        <v>4435</v>
      </c>
      <c r="B1225" t="s">
        <v>4436</v>
      </c>
      <c r="C1225" t="s">
        <v>14</v>
      </c>
      <c r="D1225">
        <v>216</v>
      </c>
      <c r="E1225">
        <v>223.5</v>
      </c>
      <c r="F1225">
        <v>210.05</v>
      </c>
      <c r="G1225" s="3">
        <v>215.5</v>
      </c>
      <c r="H1225">
        <v>212.55</v>
      </c>
      <c r="I1225">
        <v>214.25</v>
      </c>
      <c r="J1225">
        <v>221728</v>
      </c>
      <c r="K1225">
        <v>47654208.25</v>
      </c>
      <c r="L1225" s="1">
        <v>45240</v>
      </c>
      <c r="M1225">
        <v>8266</v>
      </c>
      <c r="N1225" t="s">
        <v>4437</v>
      </c>
      <c r="O1225" s="5">
        <v>45240</v>
      </c>
      <c r="P1225" s="5">
        <v>43777</v>
      </c>
      <c r="Q1225" s="3">
        <v>187.8</v>
      </c>
      <c r="S1225">
        <f t="shared" si="57"/>
        <v>1464</v>
      </c>
      <c r="T1225">
        <f t="shared" si="58"/>
        <v>16.043835616438358</v>
      </c>
      <c r="U1225" s="6">
        <f t="shared" si="59"/>
        <v>3.4449356503292172E-2</v>
      </c>
    </row>
    <row r="1226" spans="1:21" x14ac:dyDescent="0.25">
      <c r="A1226" t="s">
        <v>4438</v>
      </c>
      <c r="B1226" t="s">
        <v>4439</v>
      </c>
      <c r="C1226" t="s">
        <v>14</v>
      </c>
      <c r="D1226">
        <v>338.05</v>
      </c>
      <c r="E1226">
        <v>343</v>
      </c>
      <c r="F1226">
        <v>331.9</v>
      </c>
      <c r="G1226" s="3">
        <v>334.6</v>
      </c>
      <c r="H1226">
        <v>334</v>
      </c>
      <c r="I1226">
        <v>338.55</v>
      </c>
      <c r="J1226">
        <v>189991</v>
      </c>
      <c r="K1226">
        <v>64024838.200000003</v>
      </c>
      <c r="L1226" s="1">
        <v>45240</v>
      </c>
      <c r="M1226">
        <v>8045</v>
      </c>
      <c r="N1226" t="s">
        <v>4440</v>
      </c>
      <c r="O1226" s="5">
        <v>45240</v>
      </c>
      <c r="P1226" s="5">
        <v>43777</v>
      </c>
      <c r="Q1226" s="3">
        <v>411</v>
      </c>
      <c r="S1226">
        <f t="shared" si="57"/>
        <v>1464</v>
      </c>
      <c r="T1226">
        <f t="shared" si="58"/>
        <v>16.043835616438358</v>
      </c>
      <c r="U1226" s="6">
        <f t="shared" si="59"/>
        <v>-5.0946653428483923E-2</v>
      </c>
    </row>
    <row r="1227" spans="1:21" x14ac:dyDescent="0.25">
      <c r="A1227" t="s">
        <v>4441</v>
      </c>
      <c r="B1227" t="s">
        <v>4442</v>
      </c>
      <c r="C1227" t="s">
        <v>14</v>
      </c>
      <c r="D1227">
        <v>46.15</v>
      </c>
      <c r="E1227">
        <v>47.1</v>
      </c>
      <c r="F1227">
        <v>46.15</v>
      </c>
      <c r="G1227" s="3">
        <v>46.75</v>
      </c>
      <c r="H1227">
        <v>46.9</v>
      </c>
      <c r="I1227">
        <v>46.65</v>
      </c>
      <c r="J1227">
        <v>45520</v>
      </c>
      <c r="K1227">
        <v>2123265</v>
      </c>
      <c r="L1227" s="1">
        <v>45240</v>
      </c>
      <c r="M1227">
        <v>577</v>
      </c>
      <c r="N1227" t="s">
        <v>4443</v>
      </c>
      <c r="O1227" s="5">
        <v>45240</v>
      </c>
      <c r="P1227" s="5">
        <v>43777</v>
      </c>
      <c r="Q1227" s="3">
        <v>23.35</v>
      </c>
      <c r="S1227">
        <f t="shared" si="57"/>
        <v>1464</v>
      </c>
      <c r="T1227">
        <f t="shared" si="58"/>
        <v>16.043835616438358</v>
      </c>
      <c r="U1227" s="6">
        <f t="shared" si="59"/>
        <v>0.17687931589020423</v>
      </c>
    </row>
    <row r="1228" spans="1:21" x14ac:dyDescent="0.25">
      <c r="A1228" t="s">
        <v>4447</v>
      </c>
      <c r="B1228" t="s">
        <v>4448</v>
      </c>
      <c r="C1228" t="s">
        <v>14</v>
      </c>
      <c r="D1228">
        <v>1181.95</v>
      </c>
      <c r="E1228">
        <v>1181.95</v>
      </c>
      <c r="F1228">
        <v>1162.05</v>
      </c>
      <c r="G1228" s="3">
        <v>1171.2</v>
      </c>
      <c r="H1228">
        <v>1167.05</v>
      </c>
      <c r="I1228">
        <v>1180.3</v>
      </c>
      <c r="J1228">
        <v>5027</v>
      </c>
      <c r="K1228">
        <v>5891151.5499999998</v>
      </c>
      <c r="L1228" s="1">
        <v>45240</v>
      </c>
      <c r="M1228">
        <v>1234</v>
      </c>
      <c r="N1228" t="s">
        <v>4449</v>
      </c>
      <c r="O1228" s="5">
        <v>45240</v>
      </c>
      <c r="P1228" s="5">
        <v>43777</v>
      </c>
      <c r="Q1228" s="3">
        <v>632.70000000000005</v>
      </c>
      <c r="S1228">
        <f t="shared" si="57"/>
        <v>1464</v>
      </c>
      <c r="T1228">
        <f t="shared" si="58"/>
        <v>16.043835616438358</v>
      </c>
      <c r="U1228" s="6">
        <f t="shared" si="59"/>
        <v>0.15651067206398483</v>
      </c>
    </row>
    <row r="1229" spans="1:21" x14ac:dyDescent="0.25">
      <c r="A1229" t="s">
        <v>4450</v>
      </c>
      <c r="B1229" t="s">
        <v>4451</v>
      </c>
      <c r="C1229" t="s">
        <v>14</v>
      </c>
      <c r="D1229">
        <v>416.5</v>
      </c>
      <c r="E1229">
        <v>418.9</v>
      </c>
      <c r="F1229">
        <v>405</v>
      </c>
      <c r="G1229" s="3">
        <v>415.35</v>
      </c>
      <c r="H1229">
        <v>418</v>
      </c>
      <c r="I1229">
        <v>419.35</v>
      </c>
      <c r="J1229">
        <v>70786</v>
      </c>
      <c r="K1229">
        <v>29188893.800000001</v>
      </c>
      <c r="L1229" s="1">
        <v>45240</v>
      </c>
      <c r="M1229">
        <v>4662</v>
      </c>
      <c r="N1229" t="s">
        <v>4452</v>
      </c>
      <c r="O1229" s="5">
        <v>45240</v>
      </c>
      <c r="P1229" s="5">
        <v>43777</v>
      </c>
      <c r="Q1229" s="3">
        <v>85.55</v>
      </c>
      <c r="S1229">
        <f t="shared" si="57"/>
        <v>1464</v>
      </c>
      <c r="T1229">
        <f t="shared" si="58"/>
        <v>16.043835616438358</v>
      </c>
      <c r="U1229" s="6">
        <f t="shared" si="59"/>
        <v>0.41397583190080933</v>
      </c>
    </row>
    <row r="1230" spans="1:21" x14ac:dyDescent="0.25">
      <c r="A1230" t="s">
        <v>4453</v>
      </c>
      <c r="B1230" t="s">
        <v>4454</v>
      </c>
      <c r="C1230" t="s">
        <v>14</v>
      </c>
      <c r="D1230">
        <v>117.4</v>
      </c>
      <c r="E1230">
        <v>118.35</v>
      </c>
      <c r="F1230">
        <v>115.25</v>
      </c>
      <c r="G1230" s="3">
        <v>115.6</v>
      </c>
      <c r="H1230">
        <v>115.95</v>
      </c>
      <c r="I1230">
        <v>117.45</v>
      </c>
      <c r="J1230">
        <v>547676</v>
      </c>
      <c r="K1230">
        <v>63882417.5</v>
      </c>
      <c r="L1230" s="1">
        <v>45240</v>
      </c>
      <c r="M1230">
        <v>5906</v>
      </c>
      <c r="N1230" t="s">
        <v>4455</v>
      </c>
      <c r="O1230" s="5">
        <v>45240</v>
      </c>
      <c r="P1230" s="5">
        <v>43777</v>
      </c>
      <c r="Q1230" s="3">
        <v>79.45</v>
      </c>
      <c r="S1230">
        <f t="shared" si="57"/>
        <v>1464</v>
      </c>
      <c r="T1230">
        <f t="shared" si="58"/>
        <v>16.043835616438358</v>
      </c>
      <c r="U1230" s="6">
        <f t="shared" si="59"/>
        <v>9.4597110748294355E-2</v>
      </c>
    </row>
    <row r="1231" spans="1:21" x14ac:dyDescent="0.25">
      <c r="A1231" t="s">
        <v>4456</v>
      </c>
      <c r="B1231" t="s">
        <v>4457</v>
      </c>
      <c r="C1231" t="s">
        <v>14</v>
      </c>
      <c r="D1231">
        <v>259.45</v>
      </c>
      <c r="E1231">
        <v>264</v>
      </c>
      <c r="F1231">
        <v>257.14999999999998</v>
      </c>
      <c r="G1231" s="3">
        <v>261.85000000000002</v>
      </c>
      <c r="H1231">
        <v>261.89999999999998</v>
      </c>
      <c r="I1231">
        <v>259.89999999999998</v>
      </c>
      <c r="J1231">
        <v>282705</v>
      </c>
      <c r="K1231">
        <v>73588467.450000003</v>
      </c>
      <c r="L1231" s="1">
        <v>45240</v>
      </c>
      <c r="M1231">
        <v>4922</v>
      </c>
      <c r="N1231" t="s">
        <v>4458</v>
      </c>
      <c r="O1231" s="5">
        <v>45240</v>
      </c>
      <c r="P1231" s="5">
        <v>43777</v>
      </c>
      <c r="Q1231" s="3">
        <v>236.6</v>
      </c>
      <c r="S1231">
        <f t="shared" si="57"/>
        <v>1464</v>
      </c>
      <c r="T1231">
        <f t="shared" si="58"/>
        <v>16.043835616438358</v>
      </c>
      <c r="U1231" s="6">
        <f t="shared" si="59"/>
        <v>2.536101381446354E-2</v>
      </c>
    </row>
    <row r="1232" spans="1:21" x14ac:dyDescent="0.25">
      <c r="A1232" t="s">
        <v>6098</v>
      </c>
      <c r="B1232" t="s">
        <v>7798</v>
      </c>
      <c r="C1232" t="s">
        <v>14</v>
      </c>
      <c r="D1232">
        <v>173.17</v>
      </c>
      <c r="E1232">
        <v>173.45</v>
      </c>
      <c r="F1232">
        <v>172.52</v>
      </c>
      <c r="G1232" s="3">
        <v>173.44</v>
      </c>
      <c r="H1232">
        <v>173.45</v>
      </c>
      <c r="I1232">
        <v>173.33</v>
      </c>
      <c r="J1232">
        <v>39752</v>
      </c>
      <c r="K1232">
        <v>6883394.0599999996</v>
      </c>
      <c r="L1232" s="1">
        <v>45240</v>
      </c>
      <c r="M1232">
        <v>49</v>
      </c>
      <c r="N1232" t="s">
        <v>6097</v>
      </c>
      <c r="O1232" s="5">
        <v>45240</v>
      </c>
      <c r="P1232" s="5">
        <v>43777</v>
      </c>
      <c r="Q1232" s="3">
        <v>101.5</v>
      </c>
      <c r="S1232">
        <f t="shared" si="57"/>
        <v>1464</v>
      </c>
      <c r="T1232">
        <f t="shared" si="58"/>
        <v>16.043835616438358</v>
      </c>
      <c r="U1232" s="6">
        <f t="shared" si="59"/>
        <v>0.13583266133015393</v>
      </c>
    </row>
    <row r="1233" spans="1:21" x14ac:dyDescent="0.25">
      <c r="A1233" t="s">
        <v>4477</v>
      </c>
      <c r="B1233" t="s">
        <v>4478</v>
      </c>
      <c r="C1233" t="s">
        <v>14</v>
      </c>
      <c r="D1233">
        <v>1351.8</v>
      </c>
      <c r="E1233">
        <v>1360</v>
      </c>
      <c r="F1233">
        <v>1341</v>
      </c>
      <c r="G1233" s="3">
        <v>1355.4</v>
      </c>
      <c r="H1233">
        <v>1355</v>
      </c>
      <c r="I1233">
        <v>1350.7</v>
      </c>
      <c r="J1233">
        <v>639801</v>
      </c>
      <c r="K1233">
        <v>865599871.04999995</v>
      </c>
      <c r="L1233" s="1">
        <v>45240</v>
      </c>
      <c r="M1233">
        <v>38157</v>
      </c>
      <c r="N1233" t="s">
        <v>4479</v>
      </c>
      <c r="O1233" s="5">
        <v>45240</v>
      </c>
      <c r="P1233" s="5">
        <v>43777</v>
      </c>
      <c r="Q1233" s="3">
        <v>982.2</v>
      </c>
      <c r="S1233">
        <f t="shared" si="57"/>
        <v>1464</v>
      </c>
      <c r="T1233">
        <f t="shared" si="58"/>
        <v>16.043835616438358</v>
      </c>
      <c r="U1233" s="6">
        <f t="shared" si="59"/>
        <v>8.1105565929985524E-2</v>
      </c>
    </row>
    <row r="1234" spans="1:21" x14ac:dyDescent="0.25">
      <c r="A1234" t="s">
        <v>4480</v>
      </c>
      <c r="B1234" t="s">
        <v>4481</v>
      </c>
      <c r="C1234" t="s">
        <v>14</v>
      </c>
      <c r="D1234">
        <v>577.79999999999995</v>
      </c>
      <c r="E1234">
        <v>581</v>
      </c>
      <c r="F1234">
        <v>575.4</v>
      </c>
      <c r="G1234" s="3">
        <v>579.5</v>
      </c>
      <c r="H1234">
        <v>580.25</v>
      </c>
      <c r="I1234">
        <v>578.35</v>
      </c>
      <c r="J1234">
        <v>6773038</v>
      </c>
      <c r="K1234">
        <v>3919567928.9000001</v>
      </c>
      <c r="L1234" s="1">
        <v>45240</v>
      </c>
      <c r="M1234">
        <v>119792</v>
      </c>
      <c r="N1234" t="s">
        <v>4482</v>
      </c>
      <c r="O1234" s="5">
        <v>45240</v>
      </c>
      <c r="P1234" s="5">
        <v>43777</v>
      </c>
      <c r="Q1234" s="3">
        <v>316</v>
      </c>
      <c r="S1234">
        <f t="shared" si="57"/>
        <v>1464</v>
      </c>
      <c r="T1234">
        <f t="shared" si="58"/>
        <v>16.043835616438358</v>
      </c>
      <c r="U1234" s="6">
        <f t="shared" si="59"/>
        <v>0.15408534615119418</v>
      </c>
    </row>
    <row r="1235" spans="1:21" x14ac:dyDescent="0.25">
      <c r="A1235" t="s">
        <v>4483</v>
      </c>
      <c r="B1235" t="s">
        <v>4484</v>
      </c>
      <c r="C1235" t="s">
        <v>14</v>
      </c>
      <c r="D1235">
        <v>2779.65</v>
      </c>
      <c r="E1235">
        <v>2797.15</v>
      </c>
      <c r="F1235">
        <v>2723.05</v>
      </c>
      <c r="G1235" s="3">
        <v>2748.45</v>
      </c>
      <c r="H1235">
        <v>2745</v>
      </c>
      <c r="I1235">
        <v>2773.4</v>
      </c>
      <c r="J1235">
        <v>234460</v>
      </c>
      <c r="K1235">
        <v>644556425.29999995</v>
      </c>
      <c r="L1235" s="1">
        <v>45240</v>
      </c>
      <c r="M1235">
        <v>19957</v>
      </c>
      <c r="N1235" t="s">
        <v>4485</v>
      </c>
      <c r="O1235" s="5">
        <v>45240</v>
      </c>
      <c r="P1235" s="5">
        <v>43777</v>
      </c>
      <c r="Q1235" s="3">
        <v>4282.75</v>
      </c>
      <c r="S1235">
        <f t="shared" si="57"/>
        <v>1464</v>
      </c>
      <c r="T1235">
        <f t="shared" si="58"/>
        <v>16.043835616438358</v>
      </c>
      <c r="U1235" s="6">
        <f t="shared" si="59"/>
        <v>-0.10907189253021565</v>
      </c>
    </row>
    <row r="1236" spans="1:21" x14ac:dyDescent="0.25">
      <c r="A1236" t="s">
        <v>4486</v>
      </c>
      <c r="B1236" t="s">
        <v>4487</v>
      </c>
      <c r="C1236" t="s">
        <v>14</v>
      </c>
      <c r="D1236">
        <v>249.25</v>
      </c>
      <c r="E1236">
        <v>253</v>
      </c>
      <c r="F1236">
        <v>242</v>
      </c>
      <c r="G1236" s="3">
        <v>248</v>
      </c>
      <c r="H1236">
        <v>248.8</v>
      </c>
      <c r="I1236">
        <v>249.25</v>
      </c>
      <c r="J1236">
        <v>25564</v>
      </c>
      <c r="K1236">
        <v>6318551.8499999996</v>
      </c>
      <c r="L1236" s="1">
        <v>45240</v>
      </c>
      <c r="M1236">
        <v>902</v>
      </c>
      <c r="N1236" t="s">
        <v>4488</v>
      </c>
      <c r="O1236" s="5">
        <v>45240</v>
      </c>
      <c r="P1236" s="5">
        <v>43777</v>
      </c>
      <c r="Q1236" s="3">
        <v>71.599999999999994</v>
      </c>
      <c r="S1236">
        <f t="shared" si="57"/>
        <v>1464</v>
      </c>
      <c r="T1236">
        <f t="shared" si="58"/>
        <v>16.043835616438358</v>
      </c>
      <c r="U1236" s="6">
        <f t="shared" si="59"/>
        <v>0.32204240077458568</v>
      </c>
    </row>
    <row r="1237" spans="1:21" x14ac:dyDescent="0.25">
      <c r="A1237" t="s">
        <v>4489</v>
      </c>
      <c r="B1237" t="s">
        <v>4490</v>
      </c>
      <c r="C1237" t="s">
        <v>14</v>
      </c>
      <c r="D1237">
        <v>331.95</v>
      </c>
      <c r="E1237">
        <v>343.25</v>
      </c>
      <c r="F1237">
        <v>327.8</v>
      </c>
      <c r="G1237" s="3">
        <v>332.05</v>
      </c>
      <c r="H1237">
        <v>332.5</v>
      </c>
      <c r="I1237">
        <v>331.6</v>
      </c>
      <c r="J1237">
        <v>658927</v>
      </c>
      <c r="K1237">
        <v>220978899.75</v>
      </c>
      <c r="L1237" s="1">
        <v>45240</v>
      </c>
      <c r="M1237">
        <v>13083</v>
      </c>
      <c r="N1237" t="s">
        <v>4491</v>
      </c>
      <c r="O1237" s="5">
        <v>45240</v>
      </c>
      <c r="P1237" s="5">
        <v>43777</v>
      </c>
      <c r="Q1237" s="3">
        <v>69.25</v>
      </c>
      <c r="S1237">
        <f t="shared" si="57"/>
        <v>1464</v>
      </c>
      <c r="T1237">
        <f t="shared" si="58"/>
        <v>16.043835616438358</v>
      </c>
      <c r="U1237" s="6">
        <f t="shared" si="59"/>
        <v>0.41054968675460035</v>
      </c>
    </row>
    <row r="1238" spans="1:21" x14ac:dyDescent="0.25">
      <c r="A1238" t="s">
        <v>4492</v>
      </c>
      <c r="B1238" t="s">
        <v>4493</v>
      </c>
      <c r="C1238" t="s">
        <v>14</v>
      </c>
      <c r="D1238">
        <v>131.9</v>
      </c>
      <c r="E1238">
        <v>133.6</v>
      </c>
      <c r="F1238">
        <v>130.75</v>
      </c>
      <c r="G1238" s="3">
        <v>131.65</v>
      </c>
      <c r="H1238">
        <v>131.4</v>
      </c>
      <c r="I1238">
        <v>131.65</v>
      </c>
      <c r="J1238">
        <v>1237621</v>
      </c>
      <c r="K1238">
        <v>163409844.30000001</v>
      </c>
      <c r="L1238" s="1">
        <v>45240</v>
      </c>
      <c r="M1238">
        <v>8142</v>
      </c>
      <c r="N1238" t="s">
        <v>4494</v>
      </c>
      <c r="O1238" s="5">
        <v>45240</v>
      </c>
      <c r="P1238" s="5">
        <v>43777</v>
      </c>
      <c r="Q1238" s="3">
        <v>57.6</v>
      </c>
      <c r="S1238">
        <f t="shared" si="57"/>
        <v>1464</v>
      </c>
      <c r="T1238">
        <f t="shared" si="58"/>
        <v>16.043835616438358</v>
      </c>
      <c r="U1238" s="6">
        <f t="shared" si="59"/>
        <v>0.21149302455033503</v>
      </c>
    </row>
    <row r="1239" spans="1:21" x14ac:dyDescent="0.25">
      <c r="A1239" t="s">
        <v>4498</v>
      </c>
      <c r="B1239" t="s">
        <v>4499</v>
      </c>
      <c r="C1239" t="s">
        <v>14</v>
      </c>
      <c r="D1239">
        <v>275</v>
      </c>
      <c r="E1239">
        <v>301.14999999999998</v>
      </c>
      <c r="F1239">
        <v>275</v>
      </c>
      <c r="G1239" s="3">
        <v>294.5</v>
      </c>
      <c r="H1239">
        <v>297</v>
      </c>
      <c r="I1239">
        <v>287.8</v>
      </c>
      <c r="J1239">
        <v>552313</v>
      </c>
      <c r="K1239">
        <v>162216076.19999999</v>
      </c>
      <c r="L1239" s="1">
        <v>45240</v>
      </c>
      <c r="M1239">
        <v>12043</v>
      </c>
      <c r="N1239" t="s">
        <v>4500</v>
      </c>
      <c r="O1239" s="5">
        <v>45240</v>
      </c>
      <c r="P1239" s="5">
        <v>43777</v>
      </c>
      <c r="Q1239" s="3">
        <v>115.75</v>
      </c>
      <c r="S1239">
        <f t="shared" si="57"/>
        <v>1464</v>
      </c>
      <c r="T1239">
        <f t="shared" si="58"/>
        <v>16.043835616438358</v>
      </c>
      <c r="U1239" s="6">
        <f t="shared" si="59"/>
        <v>0.23973296459443816</v>
      </c>
    </row>
    <row r="1240" spans="1:21" x14ac:dyDescent="0.25">
      <c r="A1240" t="s">
        <v>4501</v>
      </c>
      <c r="B1240" t="s">
        <v>4502</v>
      </c>
      <c r="C1240" t="s">
        <v>14</v>
      </c>
      <c r="D1240">
        <v>806</v>
      </c>
      <c r="E1240">
        <v>829</v>
      </c>
      <c r="F1240">
        <v>785</v>
      </c>
      <c r="G1240" s="3">
        <v>820.4</v>
      </c>
      <c r="H1240">
        <v>822.45</v>
      </c>
      <c r="I1240">
        <v>821.7</v>
      </c>
      <c r="J1240">
        <v>167314</v>
      </c>
      <c r="K1240">
        <v>135930981.59999999</v>
      </c>
      <c r="L1240" s="1">
        <v>45240</v>
      </c>
      <c r="M1240">
        <v>7618</v>
      </c>
      <c r="N1240" t="s">
        <v>4503</v>
      </c>
      <c r="O1240" s="5">
        <v>45240</v>
      </c>
      <c r="P1240" s="5">
        <v>43777</v>
      </c>
      <c r="Q1240" s="3">
        <v>429.9</v>
      </c>
      <c r="S1240">
        <f t="shared" si="57"/>
        <v>1464</v>
      </c>
      <c r="T1240">
        <f t="shared" si="58"/>
        <v>16.043835616438358</v>
      </c>
      <c r="U1240" s="6">
        <f t="shared" si="59"/>
        <v>0.16440733385080364</v>
      </c>
    </row>
    <row r="1241" spans="1:21" x14ac:dyDescent="0.25">
      <c r="A1241" t="s">
        <v>6090</v>
      </c>
      <c r="B1241" t="s">
        <v>7798</v>
      </c>
      <c r="C1241" t="s">
        <v>5788</v>
      </c>
      <c r="D1241">
        <v>23.35</v>
      </c>
      <c r="E1241">
        <v>23.35</v>
      </c>
      <c r="F1241">
        <v>21.7</v>
      </c>
      <c r="G1241" s="3">
        <v>21.7</v>
      </c>
      <c r="H1241">
        <v>21.7</v>
      </c>
      <c r="I1241">
        <v>22.8</v>
      </c>
      <c r="J1241">
        <v>100000</v>
      </c>
      <c r="K1241">
        <v>2283750</v>
      </c>
      <c r="L1241" s="1">
        <v>45240</v>
      </c>
      <c r="M1241">
        <v>7</v>
      </c>
      <c r="N1241" t="s">
        <v>6089</v>
      </c>
      <c r="O1241" s="5">
        <v>45240</v>
      </c>
      <c r="P1241" s="5">
        <v>43777</v>
      </c>
      <c r="Q1241" s="3">
        <v>55</v>
      </c>
      <c r="S1241">
        <f t="shared" si="57"/>
        <v>1464</v>
      </c>
      <c r="T1241">
        <f t="shared" si="58"/>
        <v>16.043835616438358</v>
      </c>
      <c r="U1241" s="6">
        <f t="shared" si="59"/>
        <v>-0.22527750637776789</v>
      </c>
    </row>
    <row r="1242" spans="1:21" x14ac:dyDescent="0.25">
      <c r="A1242" t="s">
        <v>4507</v>
      </c>
      <c r="B1242" t="s">
        <v>4508</v>
      </c>
      <c r="C1242" t="s">
        <v>14</v>
      </c>
      <c r="D1242">
        <v>19.45</v>
      </c>
      <c r="E1242">
        <v>21</v>
      </c>
      <c r="F1242">
        <v>19.399999999999999</v>
      </c>
      <c r="G1242" s="3">
        <v>19.850000000000001</v>
      </c>
      <c r="H1242">
        <v>19.899999999999999</v>
      </c>
      <c r="I1242">
        <v>19.45</v>
      </c>
      <c r="J1242">
        <v>915260</v>
      </c>
      <c r="K1242">
        <v>18662434.100000001</v>
      </c>
      <c r="L1242" s="1">
        <v>45240</v>
      </c>
      <c r="M1242">
        <v>2201</v>
      </c>
      <c r="N1242" t="s">
        <v>4509</v>
      </c>
      <c r="O1242" s="5">
        <v>45240</v>
      </c>
      <c r="P1242" s="5">
        <v>43777</v>
      </c>
      <c r="Q1242" s="3">
        <v>42</v>
      </c>
      <c r="S1242">
        <f t="shared" si="57"/>
        <v>1464</v>
      </c>
      <c r="T1242">
        <f t="shared" si="58"/>
        <v>16.043835616438358</v>
      </c>
      <c r="U1242" s="6">
        <f t="shared" si="59"/>
        <v>-0.1825573199890802</v>
      </c>
    </row>
    <row r="1243" spans="1:21" x14ac:dyDescent="0.25">
      <c r="A1243" t="s">
        <v>4516</v>
      </c>
      <c r="B1243" t="s">
        <v>4517</v>
      </c>
      <c r="C1243" t="s">
        <v>14</v>
      </c>
      <c r="D1243">
        <v>449.75</v>
      </c>
      <c r="E1243">
        <v>459.9</v>
      </c>
      <c r="F1243">
        <v>443.35</v>
      </c>
      <c r="G1243" s="3">
        <v>453</v>
      </c>
      <c r="H1243">
        <v>457</v>
      </c>
      <c r="I1243">
        <v>450.4</v>
      </c>
      <c r="J1243">
        <v>68208</v>
      </c>
      <c r="K1243">
        <v>30731117.550000001</v>
      </c>
      <c r="L1243" s="1">
        <v>45240</v>
      </c>
      <c r="M1243">
        <v>5157</v>
      </c>
      <c r="N1243" t="s">
        <v>4518</v>
      </c>
      <c r="O1243" s="5">
        <v>45240</v>
      </c>
      <c r="P1243" s="5">
        <v>43777</v>
      </c>
      <c r="Q1243" s="3">
        <v>164.25</v>
      </c>
      <c r="S1243">
        <f t="shared" si="57"/>
        <v>1464</v>
      </c>
      <c r="T1243">
        <f t="shared" si="58"/>
        <v>16.043835616438358</v>
      </c>
      <c r="U1243" s="6">
        <f t="shared" si="59"/>
        <v>0.26110077093482253</v>
      </c>
    </row>
    <row r="1244" spans="1:21" x14ac:dyDescent="0.25">
      <c r="A1244" t="s">
        <v>4531</v>
      </c>
      <c r="B1244" t="s">
        <v>4532</v>
      </c>
      <c r="C1244" t="s">
        <v>14</v>
      </c>
      <c r="D1244">
        <v>98.1</v>
      </c>
      <c r="E1244">
        <v>100.35</v>
      </c>
      <c r="F1244">
        <v>97.25</v>
      </c>
      <c r="G1244" s="3">
        <v>97.7</v>
      </c>
      <c r="H1244">
        <v>97.75</v>
      </c>
      <c r="I1244">
        <v>98.2</v>
      </c>
      <c r="J1244">
        <v>974561</v>
      </c>
      <c r="K1244">
        <v>96135728</v>
      </c>
      <c r="L1244" s="1">
        <v>45240</v>
      </c>
      <c r="M1244">
        <v>8620</v>
      </c>
      <c r="N1244" t="s">
        <v>4533</v>
      </c>
      <c r="O1244" s="5">
        <v>45240</v>
      </c>
      <c r="P1244" s="5">
        <v>43777</v>
      </c>
      <c r="Q1244" s="3">
        <v>70.75</v>
      </c>
      <c r="S1244">
        <f t="shared" si="57"/>
        <v>1464</v>
      </c>
      <c r="T1244">
        <f t="shared" si="58"/>
        <v>16.043835616438358</v>
      </c>
      <c r="U1244" s="6">
        <f t="shared" si="59"/>
        <v>8.1281616502938192E-2</v>
      </c>
    </row>
    <row r="1245" spans="1:21" x14ac:dyDescent="0.25">
      <c r="A1245" t="s">
        <v>4537</v>
      </c>
      <c r="B1245" t="s">
        <v>4538</v>
      </c>
      <c r="C1245" t="s">
        <v>14</v>
      </c>
      <c r="D1245">
        <v>331.6</v>
      </c>
      <c r="E1245">
        <v>335</v>
      </c>
      <c r="F1245">
        <v>329.1</v>
      </c>
      <c r="G1245" s="3">
        <v>331.1</v>
      </c>
      <c r="H1245">
        <v>331</v>
      </c>
      <c r="I1245">
        <v>331.6</v>
      </c>
      <c r="J1245">
        <v>48789</v>
      </c>
      <c r="K1245">
        <v>16202102.300000001</v>
      </c>
      <c r="L1245" s="1">
        <v>45240</v>
      </c>
      <c r="M1245">
        <v>3251</v>
      </c>
      <c r="N1245" t="s">
        <v>4539</v>
      </c>
      <c r="O1245" s="5">
        <v>45240</v>
      </c>
      <c r="P1245" s="5">
        <v>43777</v>
      </c>
      <c r="Q1245" s="3">
        <v>178.05</v>
      </c>
      <c r="S1245">
        <f t="shared" si="57"/>
        <v>1464</v>
      </c>
      <c r="T1245">
        <f t="shared" si="58"/>
        <v>16.043835616438358</v>
      </c>
      <c r="U1245" s="6">
        <f t="shared" si="59"/>
        <v>0.15769435143894039</v>
      </c>
    </row>
    <row r="1246" spans="1:21" x14ac:dyDescent="0.25">
      <c r="A1246" t="s">
        <v>4540</v>
      </c>
      <c r="B1246" t="s">
        <v>4541</v>
      </c>
      <c r="C1246" t="s">
        <v>10</v>
      </c>
      <c r="D1246">
        <v>6.65</v>
      </c>
      <c r="E1246">
        <v>6.65</v>
      </c>
      <c r="F1246">
        <v>6.6</v>
      </c>
      <c r="G1246" s="3">
        <v>6.65</v>
      </c>
      <c r="H1246">
        <v>6.65</v>
      </c>
      <c r="I1246">
        <v>6.7</v>
      </c>
      <c r="J1246">
        <v>19783</v>
      </c>
      <c r="K1246">
        <v>131121.29999999999</v>
      </c>
      <c r="L1246" s="1">
        <v>45240</v>
      </c>
      <c r="M1246">
        <v>41</v>
      </c>
      <c r="N1246" t="s">
        <v>4542</v>
      </c>
      <c r="O1246" s="5">
        <v>45240</v>
      </c>
      <c r="P1246" s="5">
        <v>43777</v>
      </c>
      <c r="Q1246" s="3">
        <v>14.95</v>
      </c>
      <c r="S1246">
        <f t="shared" si="57"/>
        <v>1464</v>
      </c>
      <c r="T1246">
        <f t="shared" si="58"/>
        <v>16.043835616438358</v>
      </c>
      <c r="U1246" s="6">
        <f t="shared" si="59"/>
        <v>-0.19695601747727975</v>
      </c>
    </row>
    <row r="1247" spans="1:21" x14ac:dyDescent="0.25">
      <c r="A1247" t="s">
        <v>6084</v>
      </c>
      <c r="B1247" t="s">
        <v>7798</v>
      </c>
      <c r="C1247" t="s">
        <v>14</v>
      </c>
      <c r="D1247">
        <v>219.5</v>
      </c>
      <c r="E1247">
        <v>219.99</v>
      </c>
      <c r="F1247">
        <v>219.01</v>
      </c>
      <c r="G1247" s="3">
        <v>219.23</v>
      </c>
      <c r="H1247">
        <v>219.02</v>
      </c>
      <c r="I1247">
        <v>219.62</v>
      </c>
      <c r="J1247">
        <v>4896</v>
      </c>
      <c r="K1247">
        <v>1075751.23</v>
      </c>
      <c r="L1247" s="1">
        <v>45240</v>
      </c>
      <c r="M1247">
        <v>18</v>
      </c>
      <c r="N1247" t="s">
        <v>6083</v>
      </c>
      <c r="O1247" s="5">
        <v>45240</v>
      </c>
      <c r="P1247" s="5">
        <v>43777</v>
      </c>
      <c r="Q1247" s="3">
        <v>186</v>
      </c>
      <c r="S1247">
        <f t="shared" si="57"/>
        <v>1464</v>
      </c>
      <c r="T1247">
        <f t="shared" si="58"/>
        <v>16.043835616438358</v>
      </c>
      <c r="U1247" s="6">
        <f t="shared" si="59"/>
        <v>4.1192058744663029E-2</v>
      </c>
    </row>
    <row r="1248" spans="1:21" x14ac:dyDescent="0.25">
      <c r="A1248" t="s">
        <v>6082</v>
      </c>
      <c r="B1248" t="s">
        <v>7798</v>
      </c>
      <c r="C1248" t="s">
        <v>14</v>
      </c>
      <c r="D1248">
        <v>54.05</v>
      </c>
      <c r="E1248">
        <v>54.05</v>
      </c>
      <c r="F1248">
        <v>52.61</v>
      </c>
      <c r="G1248" s="3">
        <v>52.78</v>
      </c>
      <c r="H1248">
        <v>52.79</v>
      </c>
      <c r="I1248">
        <v>52.46</v>
      </c>
      <c r="J1248">
        <v>850442</v>
      </c>
      <c r="K1248">
        <v>44866700.030000001</v>
      </c>
      <c r="L1248" s="1">
        <v>45240</v>
      </c>
      <c r="M1248">
        <v>4767</v>
      </c>
      <c r="N1248" t="s">
        <v>6081</v>
      </c>
      <c r="O1248" s="5">
        <v>45240</v>
      </c>
      <c r="P1248" s="5">
        <v>43777</v>
      </c>
      <c r="Q1248" s="3">
        <v>3436.8</v>
      </c>
      <c r="S1248">
        <f t="shared" si="57"/>
        <v>1464</v>
      </c>
      <c r="T1248">
        <f t="shared" si="58"/>
        <v>16.043835616438358</v>
      </c>
      <c r="U1248" s="6">
        <f t="shared" si="59"/>
        <v>-0.91670981339452595</v>
      </c>
    </row>
    <row r="1249" spans="1:21" x14ac:dyDescent="0.25">
      <c r="A1249" t="s">
        <v>6080</v>
      </c>
      <c r="B1249" t="s">
        <v>7798</v>
      </c>
      <c r="C1249" t="s">
        <v>14</v>
      </c>
      <c r="D1249">
        <v>202.59</v>
      </c>
      <c r="E1249">
        <v>202.95</v>
      </c>
      <c r="F1249">
        <v>201.35</v>
      </c>
      <c r="G1249" s="3">
        <v>202.65</v>
      </c>
      <c r="H1249">
        <v>202.9</v>
      </c>
      <c r="I1249">
        <v>202.81</v>
      </c>
      <c r="J1249">
        <v>123701</v>
      </c>
      <c r="K1249">
        <v>25017319.32</v>
      </c>
      <c r="L1249" s="1">
        <v>45240</v>
      </c>
      <c r="M1249">
        <v>2126</v>
      </c>
      <c r="N1249" t="s">
        <v>6079</v>
      </c>
      <c r="O1249" s="5">
        <v>45240</v>
      </c>
      <c r="P1249" s="5">
        <v>43777</v>
      </c>
      <c r="Q1249" s="3">
        <v>122.63</v>
      </c>
      <c r="S1249">
        <f t="shared" si="57"/>
        <v>1464</v>
      </c>
      <c r="T1249">
        <f t="shared" si="58"/>
        <v>16.043835616438358</v>
      </c>
      <c r="U1249" s="6">
        <f t="shared" si="59"/>
        <v>0.1272151251863507</v>
      </c>
    </row>
    <row r="1250" spans="1:21" x14ac:dyDescent="0.25">
      <c r="A1250" t="s">
        <v>6078</v>
      </c>
      <c r="B1250" t="s">
        <v>7798</v>
      </c>
      <c r="C1250" t="s">
        <v>14</v>
      </c>
      <c r="D1250">
        <v>443.15</v>
      </c>
      <c r="E1250">
        <v>443.7</v>
      </c>
      <c r="F1250">
        <v>440</v>
      </c>
      <c r="G1250" s="3">
        <v>442.64</v>
      </c>
      <c r="H1250">
        <v>443.7</v>
      </c>
      <c r="I1250">
        <v>441.28</v>
      </c>
      <c r="J1250">
        <v>10487</v>
      </c>
      <c r="K1250">
        <v>4629717.75</v>
      </c>
      <c r="L1250" s="1">
        <v>45240</v>
      </c>
      <c r="M1250">
        <v>287</v>
      </c>
      <c r="N1250" t="s">
        <v>6077</v>
      </c>
      <c r="O1250" s="5">
        <v>45240</v>
      </c>
      <c r="P1250" s="5">
        <v>43777</v>
      </c>
      <c r="Q1250" s="3">
        <v>309.22000000000003</v>
      </c>
      <c r="S1250">
        <f t="shared" si="57"/>
        <v>1464</v>
      </c>
      <c r="T1250">
        <f t="shared" si="58"/>
        <v>16.043835616438358</v>
      </c>
      <c r="U1250" s="6">
        <f t="shared" si="59"/>
        <v>9.0438162910924547E-2</v>
      </c>
    </row>
    <row r="1251" spans="1:21" x14ac:dyDescent="0.25">
      <c r="A1251" t="s">
        <v>6076</v>
      </c>
      <c r="B1251" t="s">
        <v>7798</v>
      </c>
      <c r="C1251" t="s">
        <v>14</v>
      </c>
      <c r="D1251">
        <v>483.48</v>
      </c>
      <c r="E1251">
        <v>483.48</v>
      </c>
      <c r="F1251">
        <v>476.81</v>
      </c>
      <c r="G1251" s="3">
        <v>481.13</v>
      </c>
      <c r="H1251">
        <v>481.3</v>
      </c>
      <c r="I1251">
        <v>480.51</v>
      </c>
      <c r="J1251">
        <v>7789</v>
      </c>
      <c r="K1251">
        <v>3737818.01</v>
      </c>
      <c r="L1251" s="1">
        <v>45240</v>
      </c>
      <c r="M1251">
        <v>373</v>
      </c>
      <c r="N1251" t="s">
        <v>6075</v>
      </c>
      <c r="O1251" s="5">
        <v>45240</v>
      </c>
      <c r="P1251" s="5">
        <v>43777</v>
      </c>
      <c r="Q1251" s="3">
        <v>292.33999999999997</v>
      </c>
      <c r="S1251">
        <f t="shared" si="57"/>
        <v>1464</v>
      </c>
      <c r="T1251">
        <f t="shared" si="58"/>
        <v>16.043835616438358</v>
      </c>
      <c r="U1251" s="6">
        <f t="shared" si="59"/>
        <v>0.12616346558811298</v>
      </c>
    </row>
    <row r="1252" spans="1:21" x14ac:dyDescent="0.25">
      <c r="A1252" t="s">
        <v>4543</v>
      </c>
      <c r="B1252" t="s">
        <v>4544</v>
      </c>
      <c r="C1252" t="s">
        <v>10</v>
      </c>
      <c r="D1252">
        <v>24.65</v>
      </c>
      <c r="E1252">
        <v>24.65</v>
      </c>
      <c r="F1252">
        <v>24.65</v>
      </c>
      <c r="G1252" s="3">
        <v>24.65</v>
      </c>
      <c r="H1252">
        <v>24.65</v>
      </c>
      <c r="I1252">
        <v>25.15</v>
      </c>
      <c r="J1252">
        <v>4136</v>
      </c>
      <c r="K1252">
        <v>101952.4</v>
      </c>
      <c r="L1252" s="1">
        <v>45240</v>
      </c>
      <c r="M1252">
        <v>9</v>
      </c>
      <c r="N1252" t="s">
        <v>4545</v>
      </c>
      <c r="O1252" s="5">
        <v>45240</v>
      </c>
      <c r="P1252" s="5">
        <v>43777</v>
      </c>
      <c r="Q1252" s="3">
        <v>176</v>
      </c>
      <c r="S1252">
        <f t="shared" si="57"/>
        <v>1464</v>
      </c>
      <c r="T1252">
        <f t="shared" si="58"/>
        <v>16.043835616438358</v>
      </c>
      <c r="U1252" s="6">
        <f t="shared" si="59"/>
        <v>-0.46125076333559001</v>
      </c>
    </row>
    <row r="1253" spans="1:21" x14ac:dyDescent="0.25">
      <c r="A1253" t="s">
        <v>4546</v>
      </c>
      <c r="B1253" t="s">
        <v>4547</v>
      </c>
      <c r="C1253" t="s">
        <v>14</v>
      </c>
      <c r="D1253">
        <v>1070.9000000000001</v>
      </c>
      <c r="E1253">
        <v>1106</v>
      </c>
      <c r="F1253">
        <v>1067.05</v>
      </c>
      <c r="G1253" s="3">
        <v>1090.25</v>
      </c>
      <c r="H1253">
        <v>1088</v>
      </c>
      <c r="I1253">
        <v>1074.7</v>
      </c>
      <c r="J1253">
        <v>80655</v>
      </c>
      <c r="K1253">
        <v>87473939</v>
      </c>
      <c r="L1253" s="1">
        <v>45240</v>
      </c>
      <c r="M1253">
        <v>5820</v>
      </c>
      <c r="N1253" t="s">
        <v>4548</v>
      </c>
      <c r="O1253" s="5">
        <v>45240</v>
      </c>
      <c r="P1253" s="5">
        <v>43777</v>
      </c>
      <c r="Q1253" s="3">
        <v>1232.55</v>
      </c>
      <c r="S1253">
        <f t="shared" si="57"/>
        <v>1464</v>
      </c>
      <c r="T1253">
        <f t="shared" si="58"/>
        <v>16.043835616438358</v>
      </c>
      <c r="U1253" s="6">
        <f t="shared" si="59"/>
        <v>-3.0469106523061562E-2</v>
      </c>
    </row>
    <row r="1254" spans="1:21" x14ac:dyDescent="0.25">
      <c r="A1254" t="s">
        <v>6072</v>
      </c>
      <c r="B1254" t="s">
        <v>7798</v>
      </c>
      <c r="C1254" t="s">
        <v>5953</v>
      </c>
      <c r="D1254">
        <v>6059</v>
      </c>
      <c r="E1254">
        <v>6125</v>
      </c>
      <c r="F1254">
        <v>6035.11</v>
      </c>
      <c r="G1254" s="3">
        <v>6094.6</v>
      </c>
      <c r="H1254">
        <v>6093</v>
      </c>
      <c r="I1254">
        <v>6000</v>
      </c>
      <c r="J1254">
        <v>242</v>
      </c>
      <c r="K1254">
        <v>1472590.15</v>
      </c>
      <c r="L1254" s="1">
        <v>45240</v>
      </c>
      <c r="M1254">
        <v>109</v>
      </c>
      <c r="N1254" t="s">
        <v>6071</v>
      </c>
      <c r="O1254" s="5">
        <v>45240</v>
      </c>
      <c r="P1254" s="5">
        <v>43777</v>
      </c>
      <c r="Q1254" s="3">
        <v>3720</v>
      </c>
      <c r="S1254">
        <f t="shared" si="57"/>
        <v>1464</v>
      </c>
      <c r="T1254">
        <f t="shared" si="58"/>
        <v>16.043835616438358</v>
      </c>
      <c r="U1254" s="6">
        <f t="shared" si="59"/>
        <v>0.12499589440652858</v>
      </c>
    </row>
    <row r="1255" spans="1:21" x14ac:dyDescent="0.25">
      <c r="A1255" t="s">
        <v>6070</v>
      </c>
      <c r="B1255" t="s">
        <v>7798</v>
      </c>
      <c r="C1255" t="s">
        <v>5953</v>
      </c>
      <c r="D1255">
        <v>6050</v>
      </c>
      <c r="E1255">
        <v>6099</v>
      </c>
      <c r="F1255">
        <v>5990</v>
      </c>
      <c r="G1255" s="3">
        <v>6061.42</v>
      </c>
      <c r="H1255">
        <v>6090</v>
      </c>
      <c r="I1255">
        <v>6035</v>
      </c>
      <c r="J1255">
        <v>108</v>
      </c>
      <c r="K1255">
        <v>655558.91</v>
      </c>
      <c r="L1255" s="1">
        <v>45240</v>
      </c>
      <c r="M1255">
        <v>48</v>
      </c>
      <c r="N1255" t="s">
        <v>6069</v>
      </c>
      <c r="O1255" s="5">
        <v>45240</v>
      </c>
      <c r="P1255" s="5">
        <v>43777</v>
      </c>
      <c r="Q1255" s="3">
        <v>3650</v>
      </c>
      <c r="S1255">
        <f t="shared" si="57"/>
        <v>1464</v>
      </c>
      <c r="T1255">
        <f t="shared" si="58"/>
        <v>16.043835616438358</v>
      </c>
      <c r="U1255" s="6">
        <f t="shared" si="59"/>
        <v>0.12847795123181172</v>
      </c>
    </row>
    <row r="1256" spans="1:21" x14ac:dyDescent="0.25">
      <c r="A1256" t="s">
        <v>6050</v>
      </c>
      <c r="B1256" t="s">
        <v>7798</v>
      </c>
      <c r="C1256" t="s">
        <v>5953</v>
      </c>
      <c r="D1256">
        <v>6080</v>
      </c>
      <c r="E1256">
        <v>6095</v>
      </c>
      <c r="F1256">
        <v>6050</v>
      </c>
      <c r="G1256" s="3">
        <v>6077.13</v>
      </c>
      <c r="H1256">
        <v>6050</v>
      </c>
      <c r="I1256">
        <v>6010</v>
      </c>
      <c r="J1256">
        <v>71</v>
      </c>
      <c r="K1256">
        <v>431893</v>
      </c>
      <c r="L1256" s="1">
        <v>45240</v>
      </c>
      <c r="M1256">
        <v>18</v>
      </c>
      <c r="N1256" t="s">
        <v>6049</v>
      </c>
      <c r="O1256" s="5">
        <v>45240</v>
      </c>
      <c r="P1256" s="5">
        <v>43777</v>
      </c>
      <c r="Q1256" s="3">
        <v>3685</v>
      </c>
      <c r="S1256">
        <f t="shared" si="57"/>
        <v>1464</v>
      </c>
      <c r="T1256">
        <f t="shared" si="58"/>
        <v>16.043835616438358</v>
      </c>
      <c r="U1256" s="6">
        <f t="shared" si="59"/>
        <v>0.1266886679979855</v>
      </c>
    </row>
    <row r="1257" spans="1:21" x14ac:dyDescent="0.25">
      <c r="A1257" t="s">
        <v>6040</v>
      </c>
      <c r="B1257" t="s">
        <v>7798</v>
      </c>
      <c r="C1257" t="s">
        <v>5953</v>
      </c>
      <c r="D1257">
        <v>6099</v>
      </c>
      <c r="E1257">
        <v>6099</v>
      </c>
      <c r="F1257">
        <v>6089</v>
      </c>
      <c r="G1257" s="3">
        <v>6090</v>
      </c>
      <c r="H1257">
        <v>6090</v>
      </c>
      <c r="I1257">
        <v>6009.99</v>
      </c>
      <c r="J1257">
        <v>4</v>
      </c>
      <c r="K1257">
        <v>24377</v>
      </c>
      <c r="L1257" s="1">
        <v>45240</v>
      </c>
      <c r="M1257">
        <v>4</v>
      </c>
      <c r="N1257" t="s">
        <v>6039</v>
      </c>
      <c r="O1257" s="5">
        <v>45240</v>
      </c>
      <c r="P1257" s="5">
        <v>43777</v>
      </c>
      <c r="Q1257" s="3">
        <v>3675</v>
      </c>
      <c r="S1257">
        <f t="shared" si="57"/>
        <v>1464</v>
      </c>
      <c r="T1257">
        <f t="shared" si="58"/>
        <v>16.043835616438358</v>
      </c>
      <c r="U1257" s="6">
        <f t="shared" si="59"/>
        <v>0.12793194925868434</v>
      </c>
    </row>
    <row r="1258" spans="1:21" x14ac:dyDescent="0.25">
      <c r="A1258" t="s">
        <v>6028</v>
      </c>
      <c r="B1258" t="s">
        <v>7798</v>
      </c>
      <c r="C1258" t="s">
        <v>5953</v>
      </c>
      <c r="D1258">
        <v>6040</v>
      </c>
      <c r="E1258">
        <v>6050</v>
      </c>
      <c r="F1258">
        <v>6018</v>
      </c>
      <c r="G1258" s="3">
        <v>6035</v>
      </c>
      <c r="H1258">
        <v>6049.95</v>
      </c>
      <c r="I1258">
        <v>6003.42</v>
      </c>
      <c r="J1258">
        <v>51</v>
      </c>
      <c r="K1258">
        <v>308237.15000000002</v>
      </c>
      <c r="L1258" s="1">
        <v>45240</v>
      </c>
      <c r="M1258">
        <v>18</v>
      </c>
      <c r="N1258" t="s">
        <v>6027</v>
      </c>
      <c r="O1258" s="5">
        <v>45240</v>
      </c>
      <c r="P1258" s="5">
        <v>43777</v>
      </c>
      <c r="Q1258" s="3">
        <v>3631</v>
      </c>
      <c r="S1258">
        <f t="shared" si="57"/>
        <v>1464</v>
      </c>
      <c r="T1258">
        <f t="shared" si="58"/>
        <v>16.043835616438358</v>
      </c>
      <c r="U1258" s="6">
        <f t="shared" si="59"/>
        <v>0.12869689769703729</v>
      </c>
    </row>
    <row r="1259" spans="1:21" x14ac:dyDescent="0.25">
      <c r="A1259" t="s">
        <v>6026</v>
      </c>
      <c r="B1259" t="s">
        <v>7798</v>
      </c>
      <c r="C1259" t="s">
        <v>5953</v>
      </c>
      <c r="D1259">
        <v>5997.57</v>
      </c>
      <c r="E1259">
        <v>6065</v>
      </c>
      <c r="F1259">
        <v>5997.23</v>
      </c>
      <c r="G1259" s="3">
        <v>6049.75</v>
      </c>
      <c r="H1259">
        <v>6049.75</v>
      </c>
      <c r="I1259">
        <v>5980</v>
      </c>
      <c r="J1259">
        <v>48</v>
      </c>
      <c r="K1259">
        <v>289162.37</v>
      </c>
      <c r="L1259" s="1">
        <v>45240</v>
      </c>
      <c r="M1259">
        <v>16</v>
      </c>
      <c r="N1259" t="s">
        <v>6025</v>
      </c>
      <c r="O1259" s="5">
        <v>45240</v>
      </c>
      <c r="P1259" s="5">
        <v>43777</v>
      </c>
      <c r="Q1259" s="3">
        <v>3635</v>
      </c>
      <c r="S1259">
        <f t="shared" si="57"/>
        <v>1464</v>
      </c>
      <c r="T1259">
        <f t="shared" si="58"/>
        <v>16.043835616438358</v>
      </c>
      <c r="U1259" s="6">
        <f t="shared" si="59"/>
        <v>0.12904176521415955</v>
      </c>
    </row>
    <row r="1260" spans="1:21" x14ac:dyDescent="0.25">
      <c r="A1260" t="s">
        <v>6020</v>
      </c>
      <c r="B1260" t="s">
        <v>7798</v>
      </c>
      <c r="C1260" t="s">
        <v>5953</v>
      </c>
      <c r="D1260">
        <v>5997.76</v>
      </c>
      <c r="E1260">
        <v>6046</v>
      </c>
      <c r="F1260">
        <v>5997.76</v>
      </c>
      <c r="G1260" s="3">
        <v>6046</v>
      </c>
      <c r="H1260">
        <v>6046</v>
      </c>
      <c r="I1260">
        <v>5952</v>
      </c>
      <c r="J1260">
        <v>158</v>
      </c>
      <c r="K1260">
        <v>950703.32</v>
      </c>
      <c r="L1260" s="1">
        <v>45240</v>
      </c>
      <c r="M1260">
        <v>28</v>
      </c>
      <c r="N1260" t="s">
        <v>6019</v>
      </c>
      <c r="O1260" s="5">
        <v>45240</v>
      </c>
      <c r="P1260" s="5">
        <v>43777</v>
      </c>
      <c r="Q1260" s="3">
        <v>3650</v>
      </c>
      <c r="S1260">
        <f t="shared" si="57"/>
        <v>1464</v>
      </c>
      <c r="T1260">
        <f t="shared" si="58"/>
        <v>16.043835616438358</v>
      </c>
      <c r="U1260" s="6">
        <f t="shared" si="59"/>
        <v>0.12782254542165017</v>
      </c>
    </row>
    <row r="1261" spans="1:21" x14ac:dyDescent="0.25">
      <c r="A1261" t="s">
        <v>6010</v>
      </c>
      <c r="B1261" t="s">
        <v>7798</v>
      </c>
      <c r="C1261" t="s">
        <v>5953</v>
      </c>
      <c r="D1261">
        <v>6090</v>
      </c>
      <c r="E1261">
        <v>6090</v>
      </c>
      <c r="F1261">
        <v>6000.01</v>
      </c>
      <c r="G1261" s="3">
        <v>6050</v>
      </c>
      <c r="H1261">
        <v>6050</v>
      </c>
      <c r="I1261">
        <v>5951.11</v>
      </c>
      <c r="J1261">
        <v>126</v>
      </c>
      <c r="K1261">
        <v>763483.15</v>
      </c>
      <c r="L1261" s="1">
        <v>45240</v>
      </c>
      <c r="M1261">
        <v>25</v>
      </c>
      <c r="N1261" t="s">
        <v>6009</v>
      </c>
      <c r="O1261" s="5">
        <v>45240</v>
      </c>
      <c r="P1261" s="5">
        <v>43777</v>
      </c>
      <c r="Q1261" s="3">
        <v>3663.02</v>
      </c>
      <c r="S1261">
        <f t="shared" si="57"/>
        <v>1464</v>
      </c>
      <c r="T1261">
        <f t="shared" si="58"/>
        <v>16.043835616438358</v>
      </c>
      <c r="U1261" s="6">
        <f t="shared" si="59"/>
        <v>0.12707664340036207</v>
      </c>
    </row>
    <row r="1262" spans="1:21" x14ac:dyDescent="0.25">
      <c r="A1262" t="s">
        <v>6008</v>
      </c>
      <c r="B1262" t="s">
        <v>7798</v>
      </c>
      <c r="C1262" t="s">
        <v>5953</v>
      </c>
      <c r="D1262">
        <v>6023.99</v>
      </c>
      <c r="E1262">
        <v>6050</v>
      </c>
      <c r="F1262">
        <v>6015</v>
      </c>
      <c r="G1262" s="3">
        <v>6045.56</v>
      </c>
      <c r="H1262">
        <v>6049.99</v>
      </c>
      <c r="I1262">
        <v>6023.99</v>
      </c>
      <c r="J1262">
        <v>91</v>
      </c>
      <c r="K1262">
        <v>549478.56000000006</v>
      </c>
      <c r="L1262" s="1">
        <v>45240</v>
      </c>
      <c r="M1262">
        <v>26</v>
      </c>
      <c r="N1262" t="s">
        <v>6007</v>
      </c>
      <c r="O1262" s="5">
        <v>45240</v>
      </c>
      <c r="P1262" s="5">
        <v>43777</v>
      </c>
      <c r="Q1262" s="3">
        <v>3650</v>
      </c>
      <c r="S1262">
        <f t="shared" si="57"/>
        <v>1464</v>
      </c>
      <c r="T1262">
        <f t="shared" si="58"/>
        <v>16.043835616438358</v>
      </c>
      <c r="U1262" s="6">
        <f t="shared" si="59"/>
        <v>0.12780382083810782</v>
      </c>
    </row>
    <row r="1263" spans="1:21" x14ac:dyDescent="0.25">
      <c r="A1263" t="s">
        <v>6000</v>
      </c>
      <c r="B1263" t="s">
        <v>7798</v>
      </c>
      <c r="C1263" t="s">
        <v>5953</v>
      </c>
      <c r="D1263">
        <v>6048</v>
      </c>
      <c r="E1263">
        <v>6048</v>
      </c>
      <c r="F1263">
        <v>6000</v>
      </c>
      <c r="G1263" s="3">
        <v>6034.94</v>
      </c>
      <c r="H1263">
        <v>6034.6</v>
      </c>
      <c r="I1263">
        <v>5988.7</v>
      </c>
      <c r="J1263">
        <v>149</v>
      </c>
      <c r="K1263">
        <v>899612.46</v>
      </c>
      <c r="L1263" s="1">
        <v>45240</v>
      </c>
      <c r="M1263">
        <v>22</v>
      </c>
      <c r="N1263" t="s">
        <v>5999</v>
      </c>
      <c r="O1263" s="5">
        <v>45240</v>
      </c>
      <c r="P1263" s="5">
        <v>43777</v>
      </c>
      <c r="Q1263" s="3">
        <v>3607.54</v>
      </c>
      <c r="S1263">
        <f t="shared" si="57"/>
        <v>1464</v>
      </c>
      <c r="T1263">
        <f t="shared" si="58"/>
        <v>16.043835616438358</v>
      </c>
      <c r="U1263" s="6">
        <f t="shared" si="59"/>
        <v>0.1303627416319797</v>
      </c>
    </row>
    <row r="1264" spans="1:21" x14ac:dyDescent="0.25">
      <c r="A1264" t="s">
        <v>5998</v>
      </c>
      <c r="B1264" t="s">
        <v>7798</v>
      </c>
      <c r="C1264" t="s">
        <v>5953</v>
      </c>
      <c r="D1264">
        <v>6029.99</v>
      </c>
      <c r="E1264">
        <v>6032</v>
      </c>
      <c r="F1264">
        <v>5880</v>
      </c>
      <c r="G1264" s="3">
        <v>5972.2</v>
      </c>
      <c r="H1264">
        <v>6000</v>
      </c>
      <c r="I1264">
        <v>5964</v>
      </c>
      <c r="J1264">
        <v>95</v>
      </c>
      <c r="K1264">
        <v>568624.06000000006</v>
      </c>
      <c r="L1264" s="1">
        <v>45240</v>
      </c>
      <c r="M1264">
        <v>29</v>
      </c>
      <c r="N1264" t="s">
        <v>5997</v>
      </c>
      <c r="O1264" s="5">
        <v>45240</v>
      </c>
      <c r="P1264" s="5">
        <v>43777</v>
      </c>
      <c r="Q1264" s="3">
        <v>3601</v>
      </c>
      <c r="S1264">
        <f t="shared" si="57"/>
        <v>1464</v>
      </c>
      <c r="T1264">
        <f t="shared" si="58"/>
        <v>16.043835616438358</v>
      </c>
      <c r="U1264" s="6">
        <f t="shared" si="59"/>
        <v>0.12814006034415293</v>
      </c>
    </row>
    <row r="1265" spans="1:21" x14ac:dyDescent="0.25">
      <c r="A1265" t="s">
        <v>5988</v>
      </c>
      <c r="B1265" t="s">
        <v>7798</v>
      </c>
      <c r="C1265" t="s">
        <v>5953</v>
      </c>
      <c r="D1265">
        <v>6100</v>
      </c>
      <c r="E1265">
        <v>6270</v>
      </c>
      <c r="F1265">
        <v>6051</v>
      </c>
      <c r="G1265" s="3">
        <v>6099</v>
      </c>
      <c r="H1265">
        <v>6099</v>
      </c>
      <c r="I1265">
        <v>6030</v>
      </c>
      <c r="J1265">
        <v>44</v>
      </c>
      <c r="K1265">
        <v>269956.7</v>
      </c>
      <c r="L1265" s="1">
        <v>45240</v>
      </c>
      <c r="M1265">
        <v>14</v>
      </c>
      <c r="N1265" t="s">
        <v>5987</v>
      </c>
      <c r="O1265" s="5">
        <v>45240</v>
      </c>
      <c r="P1265" s="5">
        <v>43777</v>
      </c>
      <c r="Q1265" s="3">
        <v>3695</v>
      </c>
      <c r="S1265">
        <f t="shared" si="57"/>
        <v>1464</v>
      </c>
      <c r="T1265">
        <f t="shared" si="58"/>
        <v>16.043835616438358</v>
      </c>
      <c r="U1265" s="6">
        <f t="shared" si="59"/>
        <v>0.12691560058395623</v>
      </c>
    </row>
    <row r="1266" spans="1:21" x14ac:dyDescent="0.25">
      <c r="A1266" t="s">
        <v>5986</v>
      </c>
      <c r="B1266" t="s">
        <v>7798</v>
      </c>
      <c r="C1266" t="s">
        <v>5953</v>
      </c>
      <c r="D1266">
        <v>6083.99</v>
      </c>
      <c r="E1266">
        <v>6084</v>
      </c>
      <c r="F1266">
        <v>6021</v>
      </c>
      <c r="G1266" s="3">
        <v>6069.83</v>
      </c>
      <c r="H1266">
        <v>6078</v>
      </c>
      <c r="I1266">
        <v>6007.72</v>
      </c>
      <c r="J1266">
        <v>222</v>
      </c>
      <c r="K1266">
        <v>1349203.71</v>
      </c>
      <c r="L1266" s="1">
        <v>45240</v>
      </c>
      <c r="M1266">
        <v>45</v>
      </c>
      <c r="N1266" t="s">
        <v>5985</v>
      </c>
      <c r="O1266" s="5">
        <v>45240</v>
      </c>
      <c r="P1266" s="5">
        <v>43777</v>
      </c>
      <c r="Q1266" s="3">
        <v>3645.93</v>
      </c>
      <c r="S1266">
        <f t="shared" si="57"/>
        <v>1464</v>
      </c>
      <c r="T1266">
        <f t="shared" si="58"/>
        <v>16.043835616438358</v>
      </c>
      <c r="U1266" s="6">
        <f t="shared" si="59"/>
        <v>0.12912187785307427</v>
      </c>
    </row>
    <row r="1267" spans="1:21" x14ac:dyDescent="0.25">
      <c r="A1267" t="s">
        <v>5984</v>
      </c>
      <c r="B1267" t="s">
        <v>7798</v>
      </c>
      <c r="C1267" t="s">
        <v>5953</v>
      </c>
      <c r="D1267">
        <v>6100</v>
      </c>
      <c r="E1267">
        <v>6100</v>
      </c>
      <c r="F1267">
        <v>6100</v>
      </c>
      <c r="G1267" s="3">
        <v>6100</v>
      </c>
      <c r="H1267">
        <v>6100</v>
      </c>
      <c r="I1267">
        <v>6000</v>
      </c>
      <c r="J1267">
        <v>3</v>
      </c>
      <c r="K1267">
        <v>18300</v>
      </c>
      <c r="L1267" s="1">
        <v>45240</v>
      </c>
      <c r="M1267">
        <v>1</v>
      </c>
      <c r="N1267" t="s">
        <v>5983</v>
      </c>
      <c r="O1267" s="5">
        <v>45240</v>
      </c>
      <c r="P1267" s="5">
        <v>43777</v>
      </c>
      <c r="Q1267" s="3">
        <v>3625.01</v>
      </c>
      <c r="S1267">
        <f t="shared" si="57"/>
        <v>1464</v>
      </c>
      <c r="T1267">
        <f t="shared" si="58"/>
        <v>16.043835616438358</v>
      </c>
      <c r="U1267" s="6">
        <f t="shared" si="59"/>
        <v>0.13187984769443428</v>
      </c>
    </row>
    <row r="1268" spans="1:21" x14ac:dyDescent="0.25">
      <c r="A1268" t="s">
        <v>5972</v>
      </c>
      <c r="B1268" t="s">
        <v>7798</v>
      </c>
      <c r="C1268" t="s">
        <v>5953</v>
      </c>
      <c r="D1268">
        <v>6010</v>
      </c>
      <c r="E1268">
        <v>6068</v>
      </c>
      <c r="F1268">
        <v>6010</v>
      </c>
      <c r="G1268" s="3">
        <v>6060</v>
      </c>
      <c r="H1268">
        <v>6060</v>
      </c>
      <c r="I1268">
        <v>6000</v>
      </c>
      <c r="J1268">
        <v>28</v>
      </c>
      <c r="K1268">
        <v>169284.02</v>
      </c>
      <c r="L1268" s="1">
        <v>45240</v>
      </c>
      <c r="M1268">
        <v>17</v>
      </c>
      <c r="N1268" t="s">
        <v>5971</v>
      </c>
      <c r="O1268" s="5">
        <v>45240</v>
      </c>
      <c r="P1268" s="5">
        <v>43777</v>
      </c>
      <c r="Q1268" s="3">
        <v>3605</v>
      </c>
      <c r="S1268">
        <f t="shared" si="57"/>
        <v>1464</v>
      </c>
      <c r="T1268">
        <f t="shared" si="58"/>
        <v>16.043835616438358</v>
      </c>
      <c r="U1268" s="6">
        <f t="shared" si="59"/>
        <v>0.13161106647462706</v>
      </c>
    </row>
    <row r="1269" spans="1:21" x14ac:dyDescent="0.25">
      <c r="A1269" t="s">
        <v>5970</v>
      </c>
      <c r="B1269" t="s">
        <v>7798</v>
      </c>
      <c r="C1269" t="s">
        <v>5953</v>
      </c>
      <c r="D1269">
        <v>6023</v>
      </c>
      <c r="E1269">
        <v>6083</v>
      </c>
      <c r="F1269">
        <v>6023</v>
      </c>
      <c r="G1269" s="3">
        <v>6083</v>
      </c>
      <c r="H1269">
        <v>6083</v>
      </c>
      <c r="I1269">
        <v>6023</v>
      </c>
      <c r="J1269">
        <v>25</v>
      </c>
      <c r="K1269">
        <v>151807.79999999999</v>
      </c>
      <c r="L1269" s="1">
        <v>45240</v>
      </c>
      <c r="M1269">
        <v>10</v>
      </c>
      <c r="N1269" t="s">
        <v>5969</v>
      </c>
      <c r="O1269" s="5">
        <v>45240</v>
      </c>
      <c r="P1269" s="5">
        <v>43777</v>
      </c>
      <c r="Q1269" s="3">
        <v>3598.55</v>
      </c>
      <c r="S1269">
        <f t="shared" si="57"/>
        <v>1464</v>
      </c>
      <c r="T1269">
        <f t="shared" si="58"/>
        <v>16.043835616438358</v>
      </c>
      <c r="U1269" s="6">
        <f t="shared" si="59"/>
        <v>0.13304801596079763</v>
      </c>
    </row>
    <row r="1270" spans="1:21" x14ac:dyDescent="0.25">
      <c r="A1270" t="s">
        <v>5968</v>
      </c>
      <c r="B1270" t="s">
        <v>7798</v>
      </c>
      <c r="C1270" t="s">
        <v>5953</v>
      </c>
      <c r="D1270">
        <v>6006</v>
      </c>
      <c r="E1270">
        <v>6055</v>
      </c>
      <c r="F1270">
        <v>5994.41</v>
      </c>
      <c r="G1270" s="3">
        <v>6055</v>
      </c>
      <c r="H1270">
        <v>6055</v>
      </c>
      <c r="I1270">
        <v>5994.41</v>
      </c>
      <c r="J1270">
        <v>46</v>
      </c>
      <c r="K1270">
        <v>276222.3</v>
      </c>
      <c r="L1270" s="1">
        <v>45240</v>
      </c>
      <c r="M1270">
        <v>18</v>
      </c>
      <c r="N1270" t="s">
        <v>5967</v>
      </c>
      <c r="O1270" s="5">
        <v>45240</v>
      </c>
      <c r="P1270" s="5">
        <v>43777</v>
      </c>
      <c r="Q1270" s="3">
        <v>3605</v>
      </c>
      <c r="S1270">
        <f t="shared" si="57"/>
        <v>1464</v>
      </c>
      <c r="T1270">
        <f t="shared" si="58"/>
        <v>16.043835616438358</v>
      </c>
      <c r="U1270" s="6">
        <f t="shared" si="59"/>
        <v>0.1313985088623566</v>
      </c>
    </row>
    <row r="1271" spans="1:21" x14ac:dyDescent="0.25">
      <c r="A1271" t="s">
        <v>5966</v>
      </c>
      <c r="B1271" t="s">
        <v>7798</v>
      </c>
      <c r="C1271" t="s">
        <v>5953</v>
      </c>
      <c r="D1271">
        <v>6070</v>
      </c>
      <c r="E1271">
        <v>6080</v>
      </c>
      <c r="F1271">
        <v>6070</v>
      </c>
      <c r="G1271" s="3">
        <v>6080</v>
      </c>
      <c r="H1271">
        <v>6080</v>
      </c>
      <c r="I1271">
        <v>6090</v>
      </c>
      <c r="J1271">
        <v>171</v>
      </c>
      <c r="K1271">
        <v>1039395</v>
      </c>
      <c r="L1271" s="1">
        <v>45240</v>
      </c>
      <c r="M1271">
        <v>14</v>
      </c>
      <c r="N1271" t="s">
        <v>5965</v>
      </c>
      <c r="O1271" s="5">
        <v>45240</v>
      </c>
      <c r="P1271" s="5">
        <v>43777</v>
      </c>
      <c r="Q1271" s="3">
        <v>3651</v>
      </c>
      <c r="S1271">
        <f t="shared" si="57"/>
        <v>1464</v>
      </c>
      <c r="T1271">
        <f t="shared" si="58"/>
        <v>16.043835616438358</v>
      </c>
      <c r="U1271" s="6">
        <f t="shared" si="59"/>
        <v>0.12919509168309506</v>
      </c>
    </row>
    <row r="1272" spans="1:21" x14ac:dyDescent="0.25">
      <c r="A1272" t="s">
        <v>5964</v>
      </c>
      <c r="B1272" t="s">
        <v>7798</v>
      </c>
      <c r="C1272" t="s">
        <v>5953</v>
      </c>
      <c r="D1272">
        <v>5980</v>
      </c>
      <c r="E1272">
        <v>6028.4</v>
      </c>
      <c r="F1272">
        <v>5980</v>
      </c>
      <c r="G1272" s="3">
        <v>6021.1</v>
      </c>
      <c r="H1272">
        <v>6028.4</v>
      </c>
      <c r="I1272">
        <v>5984.92</v>
      </c>
      <c r="J1272">
        <v>135</v>
      </c>
      <c r="K1272">
        <v>810450.6</v>
      </c>
      <c r="L1272" s="1">
        <v>45240</v>
      </c>
      <c r="M1272">
        <v>34</v>
      </c>
      <c r="N1272" t="s">
        <v>5963</v>
      </c>
      <c r="O1272" s="5">
        <v>45240</v>
      </c>
      <c r="P1272" s="5">
        <v>43777</v>
      </c>
      <c r="Q1272" s="3">
        <v>3775</v>
      </c>
      <c r="S1272">
        <f t="shared" si="57"/>
        <v>1464</v>
      </c>
      <c r="T1272">
        <f t="shared" si="58"/>
        <v>16.043835616438358</v>
      </c>
      <c r="U1272" s="6">
        <f t="shared" si="59"/>
        <v>0.11810861997586208</v>
      </c>
    </row>
    <row r="1273" spans="1:21" x14ac:dyDescent="0.25">
      <c r="A1273" t="s">
        <v>5962</v>
      </c>
      <c r="B1273" t="s">
        <v>7798</v>
      </c>
      <c r="C1273" t="s">
        <v>5953</v>
      </c>
      <c r="D1273">
        <v>6050</v>
      </c>
      <c r="E1273">
        <v>6100</v>
      </c>
      <c r="F1273">
        <v>5999</v>
      </c>
      <c r="G1273" s="3">
        <v>6012.09</v>
      </c>
      <c r="H1273">
        <v>6005</v>
      </c>
      <c r="I1273">
        <v>6024.99</v>
      </c>
      <c r="J1273">
        <v>299</v>
      </c>
      <c r="K1273">
        <v>1802861.48</v>
      </c>
      <c r="L1273" s="1">
        <v>45240</v>
      </c>
      <c r="M1273">
        <v>81</v>
      </c>
      <c r="N1273" t="s">
        <v>5961</v>
      </c>
      <c r="O1273" s="5">
        <v>45240</v>
      </c>
      <c r="P1273" s="5">
        <v>43777</v>
      </c>
      <c r="Q1273" s="3">
        <v>3675</v>
      </c>
      <c r="S1273">
        <f t="shared" si="57"/>
        <v>1464</v>
      </c>
      <c r="T1273">
        <f t="shared" si="58"/>
        <v>16.043835616438358</v>
      </c>
      <c r="U1273" s="6">
        <f t="shared" si="59"/>
        <v>0.12462049399903208</v>
      </c>
    </row>
    <row r="1274" spans="1:21" x14ac:dyDescent="0.25">
      <c r="A1274" t="s">
        <v>5960</v>
      </c>
      <c r="B1274" t="s">
        <v>7798</v>
      </c>
      <c r="C1274" t="s">
        <v>5953</v>
      </c>
      <c r="D1274">
        <v>6024</v>
      </c>
      <c r="E1274">
        <v>6024.99</v>
      </c>
      <c r="F1274">
        <v>5965.01</v>
      </c>
      <c r="G1274" s="3">
        <v>6024.46</v>
      </c>
      <c r="H1274">
        <v>6024</v>
      </c>
      <c r="I1274">
        <v>5951</v>
      </c>
      <c r="J1274">
        <v>65</v>
      </c>
      <c r="K1274">
        <v>390334.03</v>
      </c>
      <c r="L1274" s="1">
        <v>45240</v>
      </c>
      <c r="M1274">
        <v>29</v>
      </c>
      <c r="N1274" t="s">
        <v>5959</v>
      </c>
      <c r="O1274" s="5">
        <v>45240</v>
      </c>
      <c r="P1274" s="5">
        <v>43777</v>
      </c>
      <c r="Q1274" s="3">
        <v>3670</v>
      </c>
      <c r="S1274">
        <f t="shared" si="57"/>
        <v>1464</v>
      </c>
      <c r="T1274">
        <f t="shared" si="58"/>
        <v>16.043835616438358</v>
      </c>
      <c r="U1274" s="6">
        <f t="shared" si="59"/>
        <v>0.12549901360030713</v>
      </c>
    </row>
    <row r="1275" spans="1:21" x14ac:dyDescent="0.25">
      <c r="A1275" t="s">
        <v>4552</v>
      </c>
      <c r="B1275" t="s">
        <v>4553</v>
      </c>
      <c r="C1275" t="s">
        <v>10</v>
      </c>
      <c r="D1275">
        <v>15</v>
      </c>
      <c r="E1275">
        <v>15.35</v>
      </c>
      <c r="F1275">
        <v>14.8</v>
      </c>
      <c r="G1275" s="3">
        <v>15.05</v>
      </c>
      <c r="H1275">
        <v>15.25</v>
      </c>
      <c r="I1275">
        <v>15.15</v>
      </c>
      <c r="J1275">
        <v>10009</v>
      </c>
      <c r="K1275">
        <v>150544.79999999999</v>
      </c>
      <c r="L1275" s="1">
        <v>45240</v>
      </c>
      <c r="M1275">
        <v>62</v>
      </c>
      <c r="N1275" t="s">
        <v>4554</v>
      </c>
      <c r="O1275" s="5">
        <v>45240</v>
      </c>
      <c r="P1275" s="5">
        <v>43777</v>
      </c>
      <c r="Q1275" s="3">
        <v>7.7</v>
      </c>
      <c r="S1275">
        <f t="shared" si="57"/>
        <v>1464</v>
      </c>
      <c r="T1275">
        <f t="shared" si="58"/>
        <v>16.043835616438358</v>
      </c>
      <c r="U1275" s="6">
        <f t="shared" si="59"/>
        <v>0.17062029073556229</v>
      </c>
    </row>
    <row r="1276" spans="1:21" x14ac:dyDescent="0.25">
      <c r="A1276" t="s">
        <v>4558</v>
      </c>
      <c r="B1276" t="s">
        <v>4559</v>
      </c>
      <c r="C1276" t="s">
        <v>10</v>
      </c>
      <c r="D1276">
        <v>51</v>
      </c>
      <c r="E1276">
        <v>51.5</v>
      </c>
      <c r="F1276">
        <v>50</v>
      </c>
      <c r="G1276" s="3">
        <v>51.5</v>
      </c>
      <c r="H1276">
        <v>51.5</v>
      </c>
      <c r="I1276">
        <v>50.5</v>
      </c>
      <c r="J1276">
        <v>2699</v>
      </c>
      <c r="K1276">
        <v>135222</v>
      </c>
      <c r="L1276" s="1">
        <v>45240</v>
      </c>
      <c r="M1276">
        <v>15</v>
      </c>
      <c r="N1276" t="s">
        <v>4560</v>
      </c>
      <c r="O1276" s="5">
        <v>45240</v>
      </c>
      <c r="P1276" s="5">
        <v>43777</v>
      </c>
      <c r="Q1276" s="3">
        <v>8.8000000000000007</v>
      </c>
      <c r="S1276">
        <f t="shared" si="57"/>
        <v>1464</v>
      </c>
      <c r="T1276">
        <f t="shared" si="58"/>
        <v>16.043835616438358</v>
      </c>
      <c r="U1276" s="6">
        <f t="shared" si="59"/>
        <v>0.46567120419627805</v>
      </c>
    </row>
    <row r="1277" spans="1:21" x14ac:dyDescent="0.25">
      <c r="A1277" t="s">
        <v>4564</v>
      </c>
      <c r="B1277" t="s">
        <v>4565</v>
      </c>
      <c r="C1277" t="s">
        <v>14</v>
      </c>
      <c r="D1277">
        <v>1066.1500000000001</v>
      </c>
      <c r="E1277">
        <v>1069.7</v>
      </c>
      <c r="F1277">
        <v>1050.0999999999999</v>
      </c>
      <c r="G1277" s="3">
        <v>1058.8499999999999</v>
      </c>
      <c r="H1277">
        <v>1055.2</v>
      </c>
      <c r="I1277">
        <v>1066.1500000000001</v>
      </c>
      <c r="J1277">
        <v>60476</v>
      </c>
      <c r="K1277">
        <v>64122244.049999997</v>
      </c>
      <c r="L1277" s="1">
        <v>45240</v>
      </c>
      <c r="M1277">
        <v>4462</v>
      </c>
      <c r="N1277" t="s">
        <v>4566</v>
      </c>
      <c r="O1277" s="5">
        <v>45240</v>
      </c>
      <c r="P1277" s="5">
        <v>43777</v>
      </c>
      <c r="Q1277" s="3">
        <v>251.8</v>
      </c>
      <c r="S1277">
        <f t="shared" si="57"/>
        <v>1464</v>
      </c>
      <c r="T1277">
        <f t="shared" si="58"/>
        <v>16.043835616438358</v>
      </c>
      <c r="U1277" s="6">
        <f t="shared" si="59"/>
        <v>0.37461302243483097</v>
      </c>
    </row>
    <row r="1278" spans="1:21" x14ac:dyDescent="0.25">
      <c r="A1278" t="s">
        <v>4567</v>
      </c>
      <c r="B1278" t="s">
        <v>4568</v>
      </c>
      <c r="C1278" t="s">
        <v>14</v>
      </c>
      <c r="D1278">
        <v>286.7</v>
      </c>
      <c r="E1278">
        <v>293.95</v>
      </c>
      <c r="F1278">
        <v>286</v>
      </c>
      <c r="G1278" s="3">
        <v>288.64999999999998</v>
      </c>
      <c r="H1278">
        <v>289</v>
      </c>
      <c r="I1278">
        <v>286.60000000000002</v>
      </c>
      <c r="J1278">
        <v>404617</v>
      </c>
      <c r="K1278">
        <v>117049094</v>
      </c>
      <c r="L1278" s="1">
        <v>45240</v>
      </c>
      <c r="M1278">
        <v>6963</v>
      </c>
      <c r="N1278" t="s">
        <v>4569</v>
      </c>
      <c r="O1278" s="5">
        <v>45240</v>
      </c>
      <c r="P1278" s="5">
        <v>43777</v>
      </c>
      <c r="Q1278" s="3">
        <v>106.5</v>
      </c>
      <c r="S1278">
        <f t="shared" si="57"/>
        <v>1464</v>
      </c>
      <c r="T1278">
        <f t="shared" si="58"/>
        <v>16.043835616438358</v>
      </c>
      <c r="U1278" s="6">
        <f t="shared" si="59"/>
        <v>0.25647334857124093</v>
      </c>
    </row>
    <row r="1279" spans="1:21" x14ac:dyDescent="0.25">
      <c r="A1279" t="s">
        <v>4570</v>
      </c>
      <c r="B1279" t="s">
        <v>4571</v>
      </c>
      <c r="C1279" t="s">
        <v>14</v>
      </c>
      <c r="D1279">
        <v>172</v>
      </c>
      <c r="E1279">
        <v>175</v>
      </c>
      <c r="F1279">
        <v>169.05</v>
      </c>
      <c r="G1279" s="3">
        <v>173.4</v>
      </c>
      <c r="H1279">
        <v>171.5</v>
      </c>
      <c r="I1279">
        <v>175.15</v>
      </c>
      <c r="J1279">
        <v>218035</v>
      </c>
      <c r="K1279">
        <v>37523246.25</v>
      </c>
      <c r="L1279" s="1">
        <v>45240</v>
      </c>
      <c r="M1279">
        <v>4495</v>
      </c>
      <c r="N1279" t="s">
        <v>4572</v>
      </c>
      <c r="O1279" s="5">
        <v>45240</v>
      </c>
      <c r="P1279" s="5">
        <v>43777</v>
      </c>
      <c r="Q1279" s="3">
        <v>96.3</v>
      </c>
      <c r="S1279">
        <f t="shared" si="57"/>
        <v>1464</v>
      </c>
      <c r="T1279">
        <f t="shared" si="58"/>
        <v>16.043835616438358</v>
      </c>
      <c r="U1279" s="6">
        <f t="shared" si="59"/>
        <v>0.14935219808785583</v>
      </c>
    </row>
    <row r="1280" spans="1:21" x14ac:dyDescent="0.25">
      <c r="A1280" t="s">
        <v>4573</v>
      </c>
      <c r="B1280" t="s">
        <v>4574</v>
      </c>
      <c r="C1280" t="s">
        <v>14</v>
      </c>
      <c r="D1280">
        <v>719.05</v>
      </c>
      <c r="E1280">
        <v>747</v>
      </c>
      <c r="F1280">
        <v>718</v>
      </c>
      <c r="G1280" s="3">
        <v>736.05</v>
      </c>
      <c r="H1280">
        <v>738</v>
      </c>
      <c r="I1280">
        <v>713.85</v>
      </c>
      <c r="J1280">
        <v>87970</v>
      </c>
      <c r="K1280">
        <v>64384638.450000003</v>
      </c>
      <c r="L1280" s="1">
        <v>45240</v>
      </c>
      <c r="M1280">
        <v>6334</v>
      </c>
      <c r="N1280" t="s">
        <v>4575</v>
      </c>
      <c r="O1280" s="5">
        <v>45240</v>
      </c>
      <c r="P1280" s="5">
        <v>43777</v>
      </c>
      <c r="Q1280" s="3">
        <v>351.7</v>
      </c>
      <c r="S1280">
        <f t="shared" si="57"/>
        <v>1464</v>
      </c>
      <c r="T1280">
        <f t="shared" si="58"/>
        <v>16.043835616438358</v>
      </c>
      <c r="U1280" s="6">
        <f t="shared" si="59"/>
        <v>0.18842897489385546</v>
      </c>
    </row>
    <row r="1281" spans="1:21" x14ac:dyDescent="0.25">
      <c r="A1281" t="s">
        <v>4579</v>
      </c>
      <c r="B1281" t="s">
        <v>4580</v>
      </c>
      <c r="C1281" t="s">
        <v>14</v>
      </c>
      <c r="D1281">
        <v>459.65</v>
      </c>
      <c r="E1281">
        <v>468.5</v>
      </c>
      <c r="F1281">
        <v>454.15</v>
      </c>
      <c r="G1281" s="3">
        <v>456.9</v>
      </c>
      <c r="H1281">
        <v>458</v>
      </c>
      <c r="I1281">
        <v>458.3</v>
      </c>
      <c r="J1281">
        <v>78594</v>
      </c>
      <c r="K1281">
        <v>36155914.100000001</v>
      </c>
      <c r="L1281" s="1">
        <v>45240</v>
      </c>
      <c r="M1281">
        <v>6069</v>
      </c>
      <c r="N1281" t="s">
        <v>4581</v>
      </c>
      <c r="O1281" s="5">
        <v>45240</v>
      </c>
      <c r="P1281" s="5">
        <v>43777</v>
      </c>
      <c r="Q1281" s="3">
        <v>102.45</v>
      </c>
      <c r="S1281">
        <f t="shared" si="57"/>
        <v>1464</v>
      </c>
      <c r="T1281">
        <f t="shared" si="58"/>
        <v>16.043835616438358</v>
      </c>
      <c r="U1281" s="6">
        <f t="shared" si="59"/>
        <v>0.39067141237680492</v>
      </c>
    </row>
    <row r="1282" spans="1:21" x14ac:dyDescent="0.25">
      <c r="A1282" t="s">
        <v>4582</v>
      </c>
      <c r="B1282" t="s">
        <v>4583</v>
      </c>
      <c r="C1282" t="s">
        <v>14</v>
      </c>
      <c r="D1282">
        <v>414</v>
      </c>
      <c r="E1282">
        <v>418.95</v>
      </c>
      <c r="F1282">
        <v>407.65</v>
      </c>
      <c r="G1282" s="3">
        <v>415.35</v>
      </c>
      <c r="H1282">
        <v>418</v>
      </c>
      <c r="I1282">
        <v>410.7</v>
      </c>
      <c r="J1282">
        <v>61841</v>
      </c>
      <c r="K1282">
        <v>25625306.399999999</v>
      </c>
      <c r="L1282" s="1">
        <v>45240</v>
      </c>
      <c r="M1282">
        <v>5438</v>
      </c>
      <c r="N1282" t="s">
        <v>4584</v>
      </c>
      <c r="O1282" s="5">
        <v>45240</v>
      </c>
      <c r="P1282" s="5">
        <v>43777</v>
      </c>
      <c r="Q1282" s="3">
        <v>273.25</v>
      </c>
      <c r="S1282">
        <f t="shared" si="57"/>
        <v>1464</v>
      </c>
      <c r="T1282">
        <f t="shared" si="58"/>
        <v>16.043835616438358</v>
      </c>
      <c r="U1282" s="6">
        <f t="shared" si="59"/>
        <v>0.1057718688961371</v>
      </c>
    </row>
    <row r="1283" spans="1:21" x14ac:dyDescent="0.25">
      <c r="A1283" t="s">
        <v>4585</v>
      </c>
      <c r="B1283" t="s">
        <v>4586</v>
      </c>
      <c r="C1283" t="s">
        <v>14</v>
      </c>
      <c r="D1283">
        <v>1025.95</v>
      </c>
      <c r="E1283">
        <v>1158.75</v>
      </c>
      <c r="F1283">
        <v>1025.05</v>
      </c>
      <c r="G1283" s="3">
        <v>1100.75</v>
      </c>
      <c r="H1283">
        <v>1100</v>
      </c>
      <c r="I1283">
        <v>973.8</v>
      </c>
      <c r="J1283">
        <v>573419</v>
      </c>
      <c r="K1283">
        <v>628359497.45000005</v>
      </c>
      <c r="L1283" s="1">
        <v>45240</v>
      </c>
      <c r="M1283">
        <v>35477</v>
      </c>
      <c r="N1283" t="s">
        <v>4587</v>
      </c>
      <c r="O1283" s="5">
        <v>45240</v>
      </c>
      <c r="P1283" s="5">
        <v>43777</v>
      </c>
      <c r="Q1283" s="3">
        <v>1095</v>
      </c>
      <c r="S1283">
        <f t="shared" ref="S1283:S1346" si="60">O1283-P1283+1</f>
        <v>1464</v>
      </c>
      <c r="T1283">
        <f t="shared" ref="T1283:T1346" si="61">(S1283/365)*4</f>
        <v>16.043835616438358</v>
      </c>
      <c r="U1283" s="6">
        <f t="shared" ref="U1283:U1346" si="62">(((G1283/Q1283)^(1/T1283))-1)*4</f>
        <v>1.3059862892985663E-3</v>
      </c>
    </row>
    <row r="1284" spans="1:21" x14ac:dyDescent="0.25">
      <c r="A1284" t="s">
        <v>5947</v>
      </c>
      <c r="B1284" t="s">
        <v>7798</v>
      </c>
      <c r="C1284" t="s">
        <v>14</v>
      </c>
      <c r="D1284">
        <v>433.01</v>
      </c>
      <c r="E1284">
        <v>433.07</v>
      </c>
      <c r="F1284">
        <v>431</v>
      </c>
      <c r="G1284" s="3">
        <v>432</v>
      </c>
      <c r="H1284">
        <v>433.07</v>
      </c>
      <c r="I1284">
        <v>432.87</v>
      </c>
      <c r="J1284">
        <v>644</v>
      </c>
      <c r="K1284">
        <v>278056.96999999997</v>
      </c>
      <c r="L1284" s="1">
        <v>45240</v>
      </c>
      <c r="M1284">
        <v>66</v>
      </c>
      <c r="N1284" t="s">
        <v>5946</v>
      </c>
      <c r="O1284" s="5">
        <v>45240</v>
      </c>
      <c r="P1284" s="5">
        <v>43777</v>
      </c>
      <c r="Q1284" s="3">
        <v>260.61</v>
      </c>
      <c r="S1284">
        <f t="shared" si="60"/>
        <v>1464</v>
      </c>
      <c r="T1284">
        <f t="shared" si="61"/>
        <v>16.043835616438358</v>
      </c>
      <c r="U1284" s="6">
        <f t="shared" si="62"/>
        <v>0.12801057866655263</v>
      </c>
    </row>
    <row r="1285" spans="1:21" x14ac:dyDescent="0.25">
      <c r="A1285" t="s">
        <v>4591</v>
      </c>
      <c r="B1285" t="s">
        <v>4592</v>
      </c>
      <c r="C1285" t="s">
        <v>14</v>
      </c>
      <c r="D1285">
        <v>140.1</v>
      </c>
      <c r="E1285">
        <v>145.65</v>
      </c>
      <c r="F1285">
        <v>140.1</v>
      </c>
      <c r="G1285" s="3">
        <v>142.80000000000001</v>
      </c>
      <c r="H1285">
        <v>143.19999999999999</v>
      </c>
      <c r="I1285">
        <v>142</v>
      </c>
      <c r="J1285">
        <v>51521</v>
      </c>
      <c r="K1285">
        <v>7377518.7999999998</v>
      </c>
      <c r="L1285" s="1">
        <v>45240</v>
      </c>
      <c r="M1285">
        <v>1952</v>
      </c>
      <c r="N1285" t="s">
        <v>4593</v>
      </c>
      <c r="O1285" s="5">
        <v>45240</v>
      </c>
      <c r="P1285" s="5">
        <v>43777</v>
      </c>
      <c r="Q1285" s="3">
        <v>175.45</v>
      </c>
      <c r="S1285">
        <f t="shared" si="60"/>
        <v>1464</v>
      </c>
      <c r="T1285">
        <f t="shared" si="61"/>
        <v>16.043835616438358</v>
      </c>
      <c r="U1285" s="6">
        <f t="shared" si="62"/>
        <v>-5.1008588581685554E-2</v>
      </c>
    </row>
    <row r="1286" spans="1:21" x14ac:dyDescent="0.25">
      <c r="A1286" t="s">
        <v>4594</v>
      </c>
      <c r="B1286" t="s">
        <v>4595</v>
      </c>
      <c r="C1286" t="s">
        <v>14</v>
      </c>
      <c r="D1286">
        <v>357.9</v>
      </c>
      <c r="E1286">
        <v>384</v>
      </c>
      <c r="F1286">
        <v>348.7</v>
      </c>
      <c r="G1286" s="3">
        <v>373.75</v>
      </c>
      <c r="H1286">
        <v>376.5</v>
      </c>
      <c r="I1286">
        <v>357.3</v>
      </c>
      <c r="J1286">
        <v>1661664</v>
      </c>
      <c r="K1286">
        <v>617688468.54999995</v>
      </c>
      <c r="L1286" s="1">
        <v>45240</v>
      </c>
      <c r="M1286">
        <v>30635</v>
      </c>
      <c r="N1286" t="s">
        <v>4596</v>
      </c>
      <c r="O1286" s="5">
        <v>45240</v>
      </c>
      <c r="P1286" s="5">
        <v>43777</v>
      </c>
      <c r="Q1286" s="3">
        <v>321.5</v>
      </c>
      <c r="S1286">
        <f t="shared" si="60"/>
        <v>1464</v>
      </c>
      <c r="T1286">
        <f t="shared" si="61"/>
        <v>16.043835616438358</v>
      </c>
      <c r="U1286" s="6">
        <f t="shared" si="62"/>
        <v>3.7721285092586321E-2</v>
      </c>
    </row>
    <row r="1287" spans="1:21" x14ac:dyDescent="0.25">
      <c r="A1287" t="s">
        <v>4600</v>
      </c>
      <c r="B1287" t="s">
        <v>4601</v>
      </c>
      <c r="C1287" t="s">
        <v>10</v>
      </c>
      <c r="D1287">
        <v>31.25</v>
      </c>
      <c r="E1287">
        <v>31.6</v>
      </c>
      <c r="F1287">
        <v>30.1</v>
      </c>
      <c r="G1287" s="3">
        <v>30.15</v>
      </c>
      <c r="H1287">
        <v>30.1</v>
      </c>
      <c r="I1287">
        <v>31.65</v>
      </c>
      <c r="J1287">
        <v>113350</v>
      </c>
      <c r="K1287">
        <v>3462041.45</v>
      </c>
      <c r="L1287" s="1">
        <v>45240</v>
      </c>
      <c r="M1287">
        <v>422</v>
      </c>
      <c r="N1287" t="s">
        <v>4602</v>
      </c>
      <c r="O1287" s="5">
        <v>45240</v>
      </c>
      <c r="P1287" s="5">
        <v>43777</v>
      </c>
      <c r="Q1287" s="3">
        <v>26.4</v>
      </c>
      <c r="S1287">
        <f t="shared" si="60"/>
        <v>1464</v>
      </c>
      <c r="T1287">
        <f t="shared" si="61"/>
        <v>16.043835616438358</v>
      </c>
      <c r="U1287" s="6">
        <f t="shared" si="62"/>
        <v>3.3251953919490873E-2</v>
      </c>
    </row>
    <row r="1288" spans="1:21" x14ac:dyDescent="0.25">
      <c r="A1288" t="s">
        <v>4603</v>
      </c>
      <c r="B1288" t="s">
        <v>4604</v>
      </c>
      <c r="C1288" t="s">
        <v>14</v>
      </c>
      <c r="D1288">
        <v>81</v>
      </c>
      <c r="E1288">
        <v>81</v>
      </c>
      <c r="F1288">
        <v>77</v>
      </c>
      <c r="G1288" s="3">
        <v>77.349999999999994</v>
      </c>
      <c r="H1288">
        <v>77</v>
      </c>
      <c r="I1288">
        <v>78.900000000000006</v>
      </c>
      <c r="J1288">
        <v>3794</v>
      </c>
      <c r="K1288">
        <v>294850.45</v>
      </c>
      <c r="L1288" s="1">
        <v>45240</v>
      </c>
      <c r="M1288">
        <v>134</v>
      </c>
      <c r="N1288" t="s">
        <v>4605</v>
      </c>
      <c r="O1288" s="5">
        <v>45240</v>
      </c>
      <c r="P1288" s="5">
        <v>43777</v>
      </c>
      <c r="Q1288" s="3">
        <v>34.15</v>
      </c>
      <c r="S1288">
        <f t="shared" si="60"/>
        <v>1464</v>
      </c>
      <c r="T1288">
        <f t="shared" si="61"/>
        <v>16.043835616438358</v>
      </c>
      <c r="U1288" s="6">
        <f t="shared" si="62"/>
        <v>0.20911904079445609</v>
      </c>
    </row>
    <row r="1289" spans="1:21" x14ac:dyDescent="0.25">
      <c r="A1289" t="s">
        <v>4606</v>
      </c>
      <c r="B1289" t="s">
        <v>4607</v>
      </c>
      <c r="C1289" t="s">
        <v>14</v>
      </c>
      <c r="D1289">
        <v>125.05</v>
      </c>
      <c r="E1289">
        <v>129.35</v>
      </c>
      <c r="F1289">
        <v>125.05</v>
      </c>
      <c r="G1289" s="3">
        <v>128.19999999999999</v>
      </c>
      <c r="H1289">
        <v>128.19999999999999</v>
      </c>
      <c r="I1289">
        <v>127.85</v>
      </c>
      <c r="J1289">
        <v>3236</v>
      </c>
      <c r="K1289">
        <v>413125.1</v>
      </c>
      <c r="L1289" s="1">
        <v>45240</v>
      </c>
      <c r="M1289">
        <v>94</v>
      </c>
      <c r="N1289" t="s">
        <v>4608</v>
      </c>
      <c r="O1289" s="5">
        <v>45240</v>
      </c>
      <c r="P1289" s="5">
        <v>43777</v>
      </c>
      <c r="Q1289" s="3">
        <v>112.8</v>
      </c>
      <c r="S1289">
        <f t="shared" si="60"/>
        <v>1464</v>
      </c>
      <c r="T1289">
        <f t="shared" si="61"/>
        <v>16.043835616438358</v>
      </c>
      <c r="U1289" s="6">
        <f t="shared" si="62"/>
        <v>3.2033977808317182E-2</v>
      </c>
    </row>
    <row r="1290" spans="1:21" x14ac:dyDescent="0.25">
      <c r="A1290" t="s">
        <v>4609</v>
      </c>
      <c r="B1290" t="s">
        <v>4610</v>
      </c>
      <c r="C1290" t="s">
        <v>14</v>
      </c>
      <c r="D1290">
        <v>147</v>
      </c>
      <c r="E1290">
        <v>150.1</v>
      </c>
      <c r="F1290">
        <v>145.9</v>
      </c>
      <c r="G1290" s="3">
        <v>149.19999999999999</v>
      </c>
      <c r="H1290">
        <v>149</v>
      </c>
      <c r="I1290">
        <v>148.4</v>
      </c>
      <c r="J1290">
        <v>202496</v>
      </c>
      <c r="K1290">
        <v>29943624.149999999</v>
      </c>
      <c r="L1290" s="1">
        <v>45240</v>
      </c>
      <c r="M1290">
        <v>2660</v>
      </c>
      <c r="N1290" t="s">
        <v>4611</v>
      </c>
      <c r="O1290" s="5">
        <v>45240</v>
      </c>
      <c r="P1290" s="5">
        <v>43777</v>
      </c>
      <c r="Q1290" s="3">
        <v>124.45</v>
      </c>
      <c r="S1290">
        <f t="shared" si="60"/>
        <v>1464</v>
      </c>
      <c r="T1290">
        <f t="shared" si="61"/>
        <v>16.043835616438358</v>
      </c>
      <c r="U1290" s="6">
        <f t="shared" si="62"/>
        <v>4.5478613736847251E-2</v>
      </c>
    </row>
    <row r="1291" spans="1:21" x14ac:dyDescent="0.25">
      <c r="A1291" t="s">
        <v>4612</v>
      </c>
      <c r="B1291" t="s">
        <v>4613</v>
      </c>
      <c r="C1291" t="s">
        <v>14</v>
      </c>
      <c r="D1291">
        <v>650.75</v>
      </c>
      <c r="E1291">
        <v>658.35</v>
      </c>
      <c r="F1291">
        <v>644</v>
      </c>
      <c r="G1291" s="3">
        <v>656.15</v>
      </c>
      <c r="H1291">
        <v>657.85</v>
      </c>
      <c r="I1291">
        <v>651.65</v>
      </c>
      <c r="J1291">
        <v>24996</v>
      </c>
      <c r="K1291">
        <v>16310827.75</v>
      </c>
      <c r="L1291" s="1">
        <v>45240</v>
      </c>
      <c r="M1291">
        <v>3093</v>
      </c>
      <c r="N1291" t="s">
        <v>4614</v>
      </c>
      <c r="O1291" s="5">
        <v>45240</v>
      </c>
      <c r="P1291" s="5">
        <v>43777</v>
      </c>
      <c r="Q1291" s="3">
        <v>368.85</v>
      </c>
      <c r="S1291">
        <f t="shared" si="60"/>
        <v>1464</v>
      </c>
      <c r="T1291">
        <f t="shared" si="61"/>
        <v>16.043835616438358</v>
      </c>
      <c r="U1291" s="6">
        <f t="shared" si="62"/>
        <v>0.14621537706794996</v>
      </c>
    </row>
    <row r="1292" spans="1:21" x14ac:dyDescent="0.25">
      <c r="A1292" t="s">
        <v>4618</v>
      </c>
      <c r="B1292" t="s">
        <v>4619</v>
      </c>
      <c r="C1292" t="s">
        <v>14</v>
      </c>
      <c r="D1292">
        <v>85.8</v>
      </c>
      <c r="E1292">
        <v>86.4</v>
      </c>
      <c r="F1292">
        <v>85.2</v>
      </c>
      <c r="G1292" s="3">
        <v>85.45</v>
      </c>
      <c r="H1292">
        <v>85.6</v>
      </c>
      <c r="I1292">
        <v>86.15</v>
      </c>
      <c r="J1292">
        <v>204266</v>
      </c>
      <c r="K1292">
        <v>17518388.550000001</v>
      </c>
      <c r="L1292" s="1">
        <v>45240</v>
      </c>
      <c r="M1292">
        <v>2306</v>
      </c>
      <c r="N1292" t="s">
        <v>4620</v>
      </c>
      <c r="O1292" s="5">
        <v>45240</v>
      </c>
      <c r="P1292" s="5">
        <v>43777</v>
      </c>
      <c r="Q1292" s="3">
        <v>20.65</v>
      </c>
      <c r="S1292">
        <f t="shared" si="60"/>
        <v>1464</v>
      </c>
      <c r="T1292">
        <f t="shared" si="61"/>
        <v>16.043835616438358</v>
      </c>
      <c r="U1292" s="6">
        <f t="shared" si="62"/>
        <v>0.37022870734584767</v>
      </c>
    </row>
    <row r="1293" spans="1:21" x14ac:dyDescent="0.25">
      <c r="A1293" t="s">
        <v>4621</v>
      </c>
      <c r="B1293" t="s">
        <v>4622</v>
      </c>
      <c r="C1293" t="s">
        <v>14</v>
      </c>
      <c r="D1293">
        <v>25960.5</v>
      </c>
      <c r="E1293">
        <v>26471.95</v>
      </c>
      <c r="F1293">
        <v>25758.05</v>
      </c>
      <c r="G1293" s="3">
        <v>26358.5</v>
      </c>
      <c r="H1293">
        <v>26301</v>
      </c>
      <c r="I1293">
        <v>25951.4</v>
      </c>
      <c r="J1293">
        <v>41966</v>
      </c>
      <c r="K1293">
        <v>1100582142.8499999</v>
      </c>
      <c r="L1293" s="1">
        <v>45240</v>
      </c>
      <c r="M1293">
        <v>17016</v>
      </c>
      <c r="N1293" t="s">
        <v>4623</v>
      </c>
      <c r="O1293" s="5">
        <v>45240</v>
      </c>
      <c r="P1293" s="5">
        <v>43777</v>
      </c>
      <c r="Q1293" s="3">
        <v>19985.95</v>
      </c>
      <c r="S1293">
        <f t="shared" si="60"/>
        <v>1464</v>
      </c>
      <c r="T1293">
        <f t="shared" si="61"/>
        <v>16.043835616438358</v>
      </c>
      <c r="U1293" s="6">
        <f t="shared" si="62"/>
        <v>6.9599858599876718E-2</v>
      </c>
    </row>
    <row r="1294" spans="1:21" x14ac:dyDescent="0.25">
      <c r="A1294" t="s">
        <v>4624</v>
      </c>
      <c r="B1294" t="s">
        <v>4625</v>
      </c>
      <c r="C1294" t="s">
        <v>14</v>
      </c>
      <c r="D1294">
        <v>192.85</v>
      </c>
      <c r="E1294">
        <v>193.1</v>
      </c>
      <c r="F1294">
        <v>189.45</v>
      </c>
      <c r="G1294" s="3">
        <v>190.65</v>
      </c>
      <c r="H1294">
        <v>191.05</v>
      </c>
      <c r="I1294">
        <v>193.1</v>
      </c>
      <c r="J1294">
        <v>27292</v>
      </c>
      <c r="K1294">
        <v>5219966.5</v>
      </c>
      <c r="L1294" s="1">
        <v>45240</v>
      </c>
      <c r="M1294">
        <v>1070</v>
      </c>
      <c r="N1294" t="s">
        <v>4626</v>
      </c>
      <c r="O1294" s="5">
        <v>45240</v>
      </c>
      <c r="P1294" s="5">
        <v>43777</v>
      </c>
      <c r="Q1294" s="3">
        <v>96.45</v>
      </c>
      <c r="S1294">
        <f t="shared" si="60"/>
        <v>1464</v>
      </c>
      <c r="T1294">
        <f t="shared" si="61"/>
        <v>16.043835616438358</v>
      </c>
      <c r="U1294" s="6">
        <f t="shared" si="62"/>
        <v>0.17354756240352387</v>
      </c>
    </row>
    <row r="1295" spans="1:21" x14ac:dyDescent="0.25">
      <c r="A1295" t="s">
        <v>4627</v>
      </c>
      <c r="B1295" t="s">
        <v>4628</v>
      </c>
      <c r="C1295" t="s">
        <v>10</v>
      </c>
      <c r="D1295">
        <v>29.7</v>
      </c>
      <c r="E1295">
        <v>29.7</v>
      </c>
      <c r="F1295">
        <v>29.7</v>
      </c>
      <c r="G1295" s="3">
        <v>29.7</v>
      </c>
      <c r="H1295">
        <v>29.7</v>
      </c>
      <c r="I1295">
        <v>29.15</v>
      </c>
      <c r="J1295">
        <v>95369</v>
      </c>
      <c r="K1295">
        <v>2832459.3</v>
      </c>
      <c r="L1295" s="1">
        <v>45240</v>
      </c>
      <c r="M1295">
        <v>59</v>
      </c>
      <c r="N1295" t="s">
        <v>4629</v>
      </c>
      <c r="O1295" s="5">
        <v>45240</v>
      </c>
      <c r="P1295" s="5">
        <v>43777</v>
      </c>
      <c r="Q1295" s="3">
        <v>4.0999999999999996</v>
      </c>
      <c r="S1295">
        <f t="shared" si="60"/>
        <v>1464</v>
      </c>
      <c r="T1295">
        <f t="shared" si="61"/>
        <v>16.043835616438358</v>
      </c>
      <c r="U1295" s="6">
        <f t="shared" si="62"/>
        <v>0.52544639691100414</v>
      </c>
    </row>
    <row r="1296" spans="1:21" x14ac:dyDescent="0.25">
      <c r="A1296" t="s">
        <v>4630</v>
      </c>
      <c r="B1296" t="s">
        <v>4631</v>
      </c>
      <c r="C1296" t="s">
        <v>14</v>
      </c>
      <c r="D1296">
        <v>1</v>
      </c>
      <c r="E1296">
        <v>1</v>
      </c>
      <c r="F1296">
        <v>0.9</v>
      </c>
      <c r="G1296" s="3">
        <v>0.95</v>
      </c>
      <c r="H1296">
        <v>0.95</v>
      </c>
      <c r="I1296">
        <v>0.95</v>
      </c>
      <c r="J1296">
        <v>1631720</v>
      </c>
      <c r="K1296">
        <v>1561185.5</v>
      </c>
      <c r="L1296" s="1">
        <v>45240</v>
      </c>
      <c r="M1296">
        <v>773</v>
      </c>
      <c r="N1296" t="s">
        <v>4632</v>
      </c>
      <c r="O1296" s="5">
        <v>45240</v>
      </c>
      <c r="P1296" s="5">
        <v>43777</v>
      </c>
      <c r="Q1296" s="3">
        <v>54.85</v>
      </c>
      <c r="S1296">
        <f t="shared" si="60"/>
        <v>1464</v>
      </c>
      <c r="T1296">
        <f t="shared" si="61"/>
        <v>16.043835616438358</v>
      </c>
      <c r="U1296" s="6">
        <f t="shared" si="62"/>
        <v>-0.89350991552327264</v>
      </c>
    </row>
    <row r="1297" spans="1:21" x14ac:dyDescent="0.25">
      <c r="A1297" t="s">
        <v>4633</v>
      </c>
      <c r="B1297" t="s">
        <v>4634</v>
      </c>
      <c r="C1297" t="s">
        <v>10</v>
      </c>
      <c r="D1297">
        <v>275.35000000000002</v>
      </c>
      <c r="E1297">
        <v>275.35000000000002</v>
      </c>
      <c r="F1297">
        <v>275.35000000000002</v>
      </c>
      <c r="G1297" s="3">
        <v>275.35000000000002</v>
      </c>
      <c r="H1297">
        <v>275.35000000000002</v>
      </c>
      <c r="I1297">
        <v>280.95</v>
      </c>
      <c r="J1297">
        <v>3248</v>
      </c>
      <c r="K1297">
        <v>894336.8</v>
      </c>
      <c r="L1297" s="1">
        <v>45240</v>
      </c>
      <c r="M1297">
        <v>62</v>
      </c>
      <c r="N1297" t="s">
        <v>4635</v>
      </c>
      <c r="O1297" s="5">
        <v>45240</v>
      </c>
      <c r="P1297" s="5">
        <v>43777</v>
      </c>
      <c r="Q1297" s="3">
        <v>126.6</v>
      </c>
      <c r="S1297">
        <f t="shared" si="60"/>
        <v>1464</v>
      </c>
      <c r="T1297">
        <f t="shared" si="61"/>
        <v>16.043835616438358</v>
      </c>
      <c r="U1297" s="6">
        <f t="shared" si="62"/>
        <v>0.198489557852362</v>
      </c>
    </row>
    <row r="1298" spans="1:21" x14ac:dyDescent="0.25">
      <c r="A1298" t="s">
        <v>4636</v>
      </c>
      <c r="B1298" t="s">
        <v>4637</v>
      </c>
      <c r="C1298" t="s">
        <v>14</v>
      </c>
      <c r="D1298">
        <v>296.8</v>
      </c>
      <c r="E1298">
        <v>299</v>
      </c>
      <c r="F1298">
        <v>289.14999999999998</v>
      </c>
      <c r="G1298" s="3">
        <v>290.7</v>
      </c>
      <c r="H1298">
        <v>291</v>
      </c>
      <c r="I1298">
        <v>295.60000000000002</v>
      </c>
      <c r="J1298">
        <v>60727</v>
      </c>
      <c r="K1298">
        <v>17802216.800000001</v>
      </c>
      <c r="L1298" s="1">
        <v>45240</v>
      </c>
      <c r="M1298">
        <v>3170</v>
      </c>
      <c r="N1298" t="s">
        <v>4638</v>
      </c>
      <c r="O1298" s="5">
        <v>45240</v>
      </c>
      <c r="P1298" s="5">
        <v>43777</v>
      </c>
      <c r="Q1298" s="3">
        <v>78.7</v>
      </c>
      <c r="S1298">
        <f t="shared" si="60"/>
        <v>1464</v>
      </c>
      <c r="T1298">
        <f t="shared" si="61"/>
        <v>16.043835616438358</v>
      </c>
      <c r="U1298" s="6">
        <f t="shared" si="62"/>
        <v>0.33940296068169751</v>
      </c>
    </row>
    <row r="1299" spans="1:21" x14ac:dyDescent="0.25">
      <c r="A1299" t="s">
        <v>4639</v>
      </c>
      <c r="B1299" t="s">
        <v>4640</v>
      </c>
      <c r="C1299" t="s">
        <v>14</v>
      </c>
      <c r="D1299">
        <v>1035</v>
      </c>
      <c r="E1299">
        <v>1052.5999999999999</v>
      </c>
      <c r="F1299">
        <v>1002</v>
      </c>
      <c r="G1299" s="3">
        <v>1037.4000000000001</v>
      </c>
      <c r="H1299">
        <v>1035</v>
      </c>
      <c r="I1299">
        <v>1033.8499999999999</v>
      </c>
      <c r="J1299">
        <v>80992</v>
      </c>
      <c r="K1299">
        <v>84271427.049999997</v>
      </c>
      <c r="L1299" s="1">
        <v>45240</v>
      </c>
      <c r="M1299">
        <v>3033</v>
      </c>
      <c r="N1299" t="s">
        <v>4641</v>
      </c>
      <c r="O1299" s="5">
        <v>45240</v>
      </c>
      <c r="P1299" s="5">
        <v>43777</v>
      </c>
      <c r="Q1299" s="3">
        <v>746</v>
      </c>
      <c r="S1299">
        <f t="shared" si="60"/>
        <v>1464</v>
      </c>
      <c r="T1299">
        <f t="shared" si="61"/>
        <v>16.043835616438358</v>
      </c>
      <c r="U1299" s="6">
        <f t="shared" si="62"/>
        <v>8.3062239029102258E-2</v>
      </c>
    </row>
    <row r="1300" spans="1:21" x14ac:dyDescent="0.25">
      <c r="A1300" t="s">
        <v>5921</v>
      </c>
      <c r="B1300" t="s">
        <v>7798</v>
      </c>
      <c r="C1300" t="s">
        <v>5788</v>
      </c>
      <c r="D1300">
        <v>90</v>
      </c>
      <c r="E1300">
        <v>92.9</v>
      </c>
      <c r="F1300">
        <v>90</v>
      </c>
      <c r="G1300" s="3">
        <v>92.4</v>
      </c>
      <c r="H1300">
        <v>92.4</v>
      </c>
      <c r="I1300">
        <v>93.9</v>
      </c>
      <c r="J1300">
        <v>26000</v>
      </c>
      <c r="K1300">
        <v>2396000</v>
      </c>
      <c r="L1300" s="1">
        <v>45240</v>
      </c>
      <c r="M1300">
        <v>11</v>
      </c>
      <c r="N1300" t="s">
        <v>5920</v>
      </c>
      <c r="O1300" s="5">
        <v>45240</v>
      </c>
      <c r="P1300" s="5">
        <v>43777</v>
      </c>
      <c r="Q1300" s="3">
        <v>136</v>
      </c>
      <c r="S1300">
        <f t="shared" si="60"/>
        <v>1464</v>
      </c>
      <c r="T1300">
        <f t="shared" si="61"/>
        <v>16.043835616438358</v>
      </c>
      <c r="U1300" s="6">
        <f t="shared" si="62"/>
        <v>-9.5216373632856843E-2</v>
      </c>
    </row>
    <row r="1301" spans="1:21" x14ac:dyDescent="0.25">
      <c r="A1301" t="s">
        <v>4648</v>
      </c>
      <c r="B1301" t="s">
        <v>4649</v>
      </c>
      <c r="C1301" t="s">
        <v>14</v>
      </c>
      <c r="D1301">
        <v>19.75</v>
      </c>
      <c r="E1301">
        <v>20.100000000000001</v>
      </c>
      <c r="F1301">
        <v>19.399999999999999</v>
      </c>
      <c r="G1301" s="3">
        <v>19.75</v>
      </c>
      <c r="H1301">
        <v>19.8</v>
      </c>
      <c r="I1301">
        <v>20.5</v>
      </c>
      <c r="J1301">
        <v>474863</v>
      </c>
      <c r="K1301">
        <v>9410753.3499999996</v>
      </c>
      <c r="L1301" s="1">
        <v>45240</v>
      </c>
      <c r="M1301">
        <v>2609</v>
      </c>
      <c r="N1301" t="s">
        <v>4650</v>
      </c>
      <c r="O1301" s="5">
        <v>45240</v>
      </c>
      <c r="P1301" s="5">
        <v>43777</v>
      </c>
      <c r="Q1301" s="3">
        <v>3.05</v>
      </c>
      <c r="S1301">
        <f t="shared" si="60"/>
        <v>1464</v>
      </c>
      <c r="T1301">
        <f t="shared" si="61"/>
        <v>16.043835616438358</v>
      </c>
      <c r="U1301" s="6">
        <f t="shared" si="62"/>
        <v>0.49392333323406135</v>
      </c>
    </row>
    <row r="1302" spans="1:21" x14ac:dyDescent="0.25">
      <c r="A1302" t="s">
        <v>4660</v>
      </c>
      <c r="B1302" t="s">
        <v>4661</v>
      </c>
      <c r="C1302" t="s">
        <v>14</v>
      </c>
      <c r="D1302">
        <v>3385</v>
      </c>
      <c r="E1302">
        <v>3419.6</v>
      </c>
      <c r="F1302">
        <v>3377.05</v>
      </c>
      <c r="G1302" s="3">
        <v>3407.35</v>
      </c>
      <c r="H1302">
        <v>3408</v>
      </c>
      <c r="I1302">
        <v>3389.35</v>
      </c>
      <c r="J1302">
        <v>268510</v>
      </c>
      <c r="K1302">
        <v>912414826.75</v>
      </c>
      <c r="L1302" s="1">
        <v>45240</v>
      </c>
      <c r="M1302">
        <v>16738</v>
      </c>
      <c r="N1302" t="s">
        <v>4662</v>
      </c>
      <c r="O1302" s="5">
        <v>45240</v>
      </c>
      <c r="P1302" s="5">
        <v>43777</v>
      </c>
      <c r="Q1302" s="3">
        <v>1648.5</v>
      </c>
      <c r="S1302">
        <f t="shared" si="60"/>
        <v>1464</v>
      </c>
      <c r="T1302">
        <f t="shared" si="61"/>
        <v>16.043835616438358</v>
      </c>
      <c r="U1302" s="6">
        <f t="shared" si="62"/>
        <v>0.18517990631969994</v>
      </c>
    </row>
    <row r="1303" spans="1:21" x14ac:dyDescent="0.25">
      <c r="A1303" t="s">
        <v>4666</v>
      </c>
      <c r="B1303" t="s">
        <v>4667</v>
      </c>
      <c r="C1303" t="s">
        <v>10</v>
      </c>
      <c r="D1303">
        <v>68</v>
      </c>
      <c r="E1303">
        <v>69</v>
      </c>
      <c r="F1303">
        <v>67</v>
      </c>
      <c r="G1303" s="3">
        <v>68.25</v>
      </c>
      <c r="H1303">
        <v>68.05</v>
      </c>
      <c r="I1303">
        <v>67.8</v>
      </c>
      <c r="J1303">
        <v>18571</v>
      </c>
      <c r="K1303">
        <v>1261866.5</v>
      </c>
      <c r="L1303" s="1">
        <v>45240</v>
      </c>
      <c r="M1303">
        <v>151</v>
      </c>
      <c r="N1303" t="s">
        <v>4668</v>
      </c>
      <c r="O1303" s="5">
        <v>45240</v>
      </c>
      <c r="P1303" s="5">
        <v>43777</v>
      </c>
      <c r="Q1303" s="3">
        <v>22.8</v>
      </c>
      <c r="S1303">
        <f t="shared" si="60"/>
        <v>1464</v>
      </c>
      <c r="T1303">
        <f t="shared" si="61"/>
        <v>16.043835616438358</v>
      </c>
      <c r="U1303" s="6">
        <f t="shared" si="62"/>
        <v>0.28291215210220599</v>
      </c>
    </row>
    <row r="1304" spans="1:21" x14ac:dyDescent="0.25">
      <c r="A1304" t="s">
        <v>4675</v>
      </c>
      <c r="B1304" t="s">
        <v>4676</v>
      </c>
      <c r="C1304" t="s">
        <v>14</v>
      </c>
      <c r="D1304">
        <v>65.099999999999994</v>
      </c>
      <c r="E1304">
        <v>65.8</v>
      </c>
      <c r="F1304">
        <v>63.6</v>
      </c>
      <c r="G1304" s="3">
        <v>63.9</v>
      </c>
      <c r="H1304">
        <v>63.95</v>
      </c>
      <c r="I1304">
        <v>65.25</v>
      </c>
      <c r="J1304">
        <v>56729</v>
      </c>
      <c r="K1304">
        <v>3662572.5</v>
      </c>
      <c r="L1304" s="1">
        <v>45240</v>
      </c>
      <c r="M1304">
        <v>1343</v>
      </c>
      <c r="N1304" t="s">
        <v>4677</v>
      </c>
      <c r="O1304" s="5">
        <v>45240</v>
      </c>
      <c r="P1304" s="5">
        <v>43777</v>
      </c>
      <c r="Q1304" s="3">
        <v>25.5</v>
      </c>
      <c r="S1304">
        <f t="shared" si="60"/>
        <v>1464</v>
      </c>
      <c r="T1304">
        <f t="shared" si="61"/>
        <v>16.043835616438358</v>
      </c>
      <c r="U1304" s="6">
        <f t="shared" si="62"/>
        <v>0.23571669929995132</v>
      </c>
    </row>
    <row r="1305" spans="1:21" x14ac:dyDescent="0.25">
      <c r="A1305" t="s">
        <v>4678</v>
      </c>
      <c r="B1305" t="s">
        <v>4679</v>
      </c>
      <c r="C1305" t="s">
        <v>10</v>
      </c>
      <c r="D1305">
        <v>22.1</v>
      </c>
      <c r="E1305">
        <v>22.3</v>
      </c>
      <c r="F1305">
        <v>21.9</v>
      </c>
      <c r="G1305" s="3">
        <v>22.05</v>
      </c>
      <c r="H1305">
        <v>22.15</v>
      </c>
      <c r="I1305">
        <v>22.05</v>
      </c>
      <c r="J1305">
        <v>19197</v>
      </c>
      <c r="K1305">
        <v>423640.1</v>
      </c>
      <c r="L1305" s="1">
        <v>45240</v>
      </c>
      <c r="M1305">
        <v>260</v>
      </c>
      <c r="N1305" t="s">
        <v>4680</v>
      </c>
      <c r="O1305" s="5">
        <v>45240</v>
      </c>
      <c r="P1305" s="5">
        <v>43777</v>
      </c>
      <c r="Q1305" s="3">
        <v>11.3</v>
      </c>
      <c r="S1305">
        <f t="shared" si="60"/>
        <v>1464</v>
      </c>
      <c r="T1305">
        <f t="shared" si="61"/>
        <v>16.043835616438358</v>
      </c>
      <c r="U1305" s="6">
        <f t="shared" si="62"/>
        <v>0.17019196812850179</v>
      </c>
    </row>
    <row r="1306" spans="1:21" x14ac:dyDescent="0.25">
      <c r="A1306" t="s">
        <v>4684</v>
      </c>
      <c r="B1306" t="s">
        <v>4685</v>
      </c>
      <c r="C1306" t="s">
        <v>14</v>
      </c>
      <c r="D1306">
        <v>365</v>
      </c>
      <c r="E1306">
        <v>375.65</v>
      </c>
      <c r="F1306">
        <v>360</v>
      </c>
      <c r="G1306" s="3">
        <v>366.2</v>
      </c>
      <c r="H1306">
        <v>363.2</v>
      </c>
      <c r="I1306">
        <v>362.2</v>
      </c>
      <c r="J1306">
        <v>2603</v>
      </c>
      <c r="K1306">
        <v>952992.95</v>
      </c>
      <c r="L1306" s="1">
        <v>45240</v>
      </c>
      <c r="M1306">
        <v>119</v>
      </c>
      <c r="N1306" t="s">
        <v>4686</v>
      </c>
      <c r="O1306" s="5">
        <v>45240</v>
      </c>
      <c r="P1306" s="5">
        <v>43777</v>
      </c>
      <c r="Q1306" s="3">
        <v>156.15</v>
      </c>
      <c r="S1306">
        <f t="shared" si="60"/>
        <v>1464</v>
      </c>
      <c r="T1306">
        <f t="shared" si="61"/>
        <v>16.043835616438358</v>
      </c>
      <c r="U1306" s="6">
        <f t="shared" si="62"/>
        <v>0.21825471006537178</v>
      </c>
    </row>
    <row r="1307" spans="1:21" x14ac:dyDescent="0.25">
      <c r="A1307" t="s">
        <v>4693</v>
      </c>
      <c r="B1307" t="s">
        <v>4694</v>
      </c>
      <c r="C1307" t="s">
        <v>14</v>
      </c>
      <c r="D1307">
        <v>31</v>
      </c>
      <c r="E1307">
        <v>32.1</v>
      </c>
      <c r="F1307">
        <v>30.45</v>
      </c>
      <c r="G1307" s="3">
        <v>31.3</v>
      </c>
      <c r="H1307">
        <v>31.3</v>
      </c>
      <c r="I1307">
        <v>30.75</v>
      </c>
      <c r="J1307">
        <v>107373</v>
      </c>
      <c r="K1307">
        <v>3366524.7</v>
      </c>
      <c r="L1307" s="1">
        <v>45240</v>
      </c>
      <c r="M1307">
        <v>702</v>
      </c>
      <c r="N1307" t="s">
        <v>4695</v>
      </c>
      <c r="O1307" s="5">
        <v>45240</v>
      </c>
      <c r="P1307" s="5">
        <v>43777</v>
      </c>
      <c r="Q1307" s="3">
        <v>6.65</v>
      </c>
      <c r="S1307">
        <f t="shared" si="60"/>
        <v>1464</v>
      </c>
      <c r="T1307">
        <f t="shared" si="61"/>
        <v>16.043835616438358</v>
      </c>
      <c r="U1307" s="6">
        <f t="shared" si="62"/>
        <v>0.40545005616743701</v>
      </c>
    </row>
    <row r="1308" spans="1:21" x14ac:dyDescent="0.25">
      <c r="A1308" t="s">
        <v>4696</v>
      </c>
      <c r="B1308" t="s">
        <v>4697</v>
      </c>
      <c r="C1308" t="s">
        <v>10</v>
      </c>
      <c r="D1308">
        <v>66.650000000000006</v>
      </c>
      <c r="E1308">
        <v>67</v>
      </c>
      <c r="F1308">
        <v>66.099999999999994</v>
      </c>
      <c r="G1308" s="3">
        <v>67</v>
      </c>
      <c r="H1308">
        <v>67</v>
      </c>
      <c r="I1308">
        <v>66.650000000000006</v>
      </c>
      <c r="J1308">
        <v>146551</v>
      </c>
      <c r="K1308">
        <v>9811464.25</v>
      </c>
      <c r="L1308" s="1">
        <v>45240</v>
      </c>
      <c r="M1308">
        <v>51</v>
      </c>
      <c r="N1308" t="s">
        <v>4698</v>
      </c>
      <c r="O1308" s="5">
        <v>45240</v>
      </c>
      <c r="P1308" s="5">
        <v>43777</v>
      </c>
      <c r="Q1308" s="3">
        <v>54.95</v>
      </c>
      <c r="S1308">
        <f t="shared" si="60"/>
        <v>1464</v>
      </c>
      <c r="T1308">
        <f t="shared" si="61"/>
        <v>16.043835616438358</v>
      </c>
      <c r="U1308" s="6">
        <f t="shared" si="62"/>
        <v>4.9738505043546155E-2</v>
      </c>
    </row>
    <row r="1309" spans="1:21" x14ac:dyDescent="0.25">
      <c r="A1309" t="s">
        <v>4702</v>
      </c>
      <c r="B1309" t="s">
        <v>4703</v>
      </c>
      <c r="C1309" t="s">
        <v>14</v>
      </c>
      <c r="D1309">
        <v>130.55000000000001</v>
      </c>
      <c r="E1309">
        <v>130.80000000000001</v>
      </c>
      <c r="F1309">
        <v>129</v>
      </c>
      <c r="G1309" s="3">
        <v>129.55000000000001</v>
      </c>
      <c r="H1309">
        <v>130</v>
      </c>
      <c r="I1309">
        <v>130.55000000000001</v>
      </c>
      <c r="J1309">
        <v>54504</v>
      </c>
      <c r="K1309">
        <v>7076686.7000000002</v>
      </c>
      <c r="L1309" s="1">
        <v>45240</v>
      </c>
      <c r="M1309">
        <v>112</v>
      </c>
      <c r="N1309" t="s">
        <v>4704</v>
      </c>
      <c r="O1309" s="5">
        <v>45240</v>
      </c>
      <c r="P1309" s="5">
        <v>43777</v>
      </c>
      <c r="Q1309" s="3">
        <v>69</v>
      </c>
      <c r="S1309">
        <f t="shared" si="60"/>
        <v>1464</v>
      </c>
      <c r="T1309">
        <f t="shared" si="61"/>
        <v>16.043835616438358</v>
      </c>
      <c r="U1309" s="6">
        <f t="shared" si="62"/>
        <v>0.16018402912540086</v>
      </c>
    </row>
    <row r="1310" spans="1:21" x14ac:dyDescent="0.25">
      <c r="A1310" t="s">
        <v>4705</v>
      </c>
      <c r="B1310" t="s">
        <v>4706</v>
      </c>
      <c r="C1310" t="s">
        <v>14</v>
      </c>
      <c r="D1310">
        <v>376</v>
      </c>
      <c r="E1310">
        <v>381.4</v>
      </c>
      <c r="F1310">
        <v>371.3</v>
      </c>
      <c r="G1310" s="3">
        <v>375.55</v>
      </c>
      <c r="H1310">
        <v>374</v>
      </c>
      <c r="I1310">
        <v>375.85</v>
      </c>
      <c r="J1310">
        <v>76924</v>
      </c>
      <c r="K1310">
        <v>28941304.300000001</v>
      </c>
      <c r="L1310" s="1">
        <v>45240</v>
      </c>
      <c r="M1310">
        <v>4635</v>
      </c>
      <c r="N1310" t="s">
        <v>4707</v>
      </c>
      <c r="O1310" s="5">
        <v>45240</v>
      </c>
      <c r="P1310" s="5">
        <v>43777</v>
      </c>
      <c r="Q1310" s="3">
        <v>177.9</v>
      </c>
      <c r="S1310">
        <f t="shared" si="60"/>
        <v>1464</v>
      </c>
      <c r="T1310">
        <f t="shared" si="61"/>
        <v>16.043835616438358</v>
      </c>
      <c r="U1310" s="6">
        <f t="shared" si="62"/>
        <v>0.19068790003002434</v>
      </c>
    </row>
    <row r="1311" spans="1:21" x14ac:dyDescent="0.25">
      <c r="A1311" t="s">
        <v>4708</v>
      </c>
      <c r="B1311" t="s">
        <v>4709</v>
      </c>
      <c r="C1311" t="s">
        <v>14</v>
      </c>
      <c r="D1311">
        <v>425.9</v>
      </c>
      <c r="E1311">
        <v>435.8</v>
      </c>
      <c r="F1311">
        <v>423.75</v>
      </c>
      <c r="G1311" s="3">
        <v>431.75</v>
      </c>
      <c r="H1311">
        <v>435</v>
      </c>
      <c r="I1311">
        <v>425.9</v>
      </c>
      <c r="J1311">
        <v>18748</v>
      </c>
      <c r="K1311">
        <v>8091282.7999999998</v>
      </c>
      <c r="L1311" s="1">
        <v>45240</v>
      </c>
      <c r="M1311">
        <v>2864</v>
      </c>
      <c r="N1311" t="s">
        <v>4710</v>
      </c>
      <c r="O1311" s="5">
        <v>45240</v>
      </c>
      <c r="P1311" s="5">
        <v>43777</v>
      </c>
      <c r="Q1311" s="3">
        <v>950.65</v>
      </c>
      <c r="S1311">
        <f t="shared" si="60"/>
        <v>1464</v>
      </c>
      <c r="T1311">
        <f t="shared" si="61"/>
        <v>16.043835616438358</v>
      </c>
      <c r="U1311" s="6">
        <f t="shared" si="62"/>
        <v>-0.19202350998740858</v>
      </c>
    </row>
    <row r="1312" spans="1:21" x14ac:dyDescent="0.25">
      <c r="A1312" t="s">
        <v>4711</v>
      </c>
      <c r="B1312" t="s">
        <v>4712</v>
      </c>
      <c r="C1312" t="s">
        <v>10</v>
      </c>
      <c r="D1312">
        <v>0.8</v>
      </c>
      <c r="E1312">
        <v>0.8</v>
      </c>
      <c r="F1312">
        <v>0.75</v>
      </c>
      <c r="G1312" s="3">
        <v>0.75</v>
      </c>
      <c r="H1312">
        <v>0.75</v>
      </c>
      <c r="I1312">
        <v>0.75</v>
      </c>
      <c r="J1312">
        <v>541121</v>
      </c>
      <c r="K1312">
        <v>421135.4</v>
      </c>
      <c r="L1312" s="1">
        <v>45240</v>
      </c>
      <c r="M1312">
        <v>277</v>
      </c>
      <c r="N1312" t="s">
        <v>4713</v>
      </c>
      <c r="O1312" s="5">
        <v>45240</v>
      </c>
      <c r="P1312" s="5">
        <v>43777</v>
      </c>
      <c r="Q1312" s="3">
        <v>1.9</v>
      </c>
      <c r="S1312">
        <f t="shared" si="60"/>
        <v>1464</v>
      </c>
      <c r="T1312">
        <f t="shared" si="61"/>
        <v>16.043835616438358</v>
      </c>
      <c r="U1312" s="6">
        <f t="shared" si="62"/>
        <v>-0.22516340398891588</v>
      </c>
    </row>
    <row r="1313" spans="1:21" x14ac:dyDescent="0.25">
      <c r="A1313" t="s">
        <v>4714</v>
      </c>
      <c r="B1313" t="s">
        <v>4715</v>
      </c>
      <c r="C1313" t="s">
        <v>14</v>
      </c>
      <c r="D1313">
        <v>528.79999999999995</v>
      </c>
      <c r="E1313">
        <v>531.6</v>
      </c>
      <c r="F1313">
        <v>515.85</v>
      </c>
      <c r="G1313" s="3">
        <v>521.29999999999995</v>
      </c>
      <c r="H1313">
        <v>520.04999999999995</v>
      </c>
      <c r="I1313">
        <v>526.54999999999995</v>
      </c>
      <c r="J1313">
        <v>69971</v>
      </c>
      <c r="K1313">
        <v>36557653.25</v>
      </c>
      <c r="L1313" s="1">
        <v>45240</v>
      </c>
      <c r="M1313">
        <v>7408</v>
      </c>
      <c r="N1313" t="s">
        <v>4716</v>
      </c>
      <c r="O1313" s="5">
        <v>45240</v>
      </c>
      <c r="P1313" s="5">
        <v>43777</v>
      </c>
      <c r="Q1313" s="3">
        <v>235.05</v>
      </c>
      <c r="S1313">
        <f t="shared" si="60"/>
        <v>1464</v>
      </c>
      <c r="T1313">
        <f t="shared" si="61"/>
        <v>16.043835616438358</v>
      </c>
      <c r="U1313" s="6">
        <f t="shared" si="62"/>
        <v>0.20360002406770938</v>
      </c>
    </row>
    <row r="1314" spans="1:21" x14ac:dyDescent="0.25">
      <c r="A1314" t="s">
        <v>4720</v>
      </c>
      <c r="B1314" t="s">
        <v>4721</v>
      </c>
      <c r="C1314" t="s">
        <v>14</v>
      </c>
      <c r="D1314">
        <v>74.5</v>
      </c>
      <c r="E1314">
        <v>76.5</v>
      </c>
      <c r="F1314">
        <v>72.55</v>
      </c>
      <c r="G1314" s="3">
        <v>75.8</v>
      </c>
      <c r="H1314">
        <v>75.7</v>
      </c>
      <c r="I1314">
        <v>74.5</v>
      </c>
      <c r="J1314">
        <v>19770509</v>
      </c>
      <c r="K1314">
        <v>1483075980.55</v>
      </c>
      <c r="L1314" s="1">
        <v>45240</v>
      </c>
      <c r="M1314">
        <v>39883</v>
      </c>
      <c r="N1314" t="s">
        <v>4722</v>
      </c>
      <c r="O1314" s="5">
        <v>45240</v>
      </c>
      <c r="P1314" s="5">
        <v>43777</v>
      </c>
      <c r="Q1314" s="3">
        <v>24.5</v>
      </c>
      <c r="S1314">
        <f t="shared" si="60"/>
        <v>1464</v>
      </c>
      <c r="T1314">
        <f t="shared" si="61"/>
        <v>16.043835616438358</v>
      </c>
      <c r="U1314" s="6">
        <f t="shared" si="62"/>
        <v>0.29173280330853757</v>
      </c>
    </row>
    <row r="1315" spans="1:21" x14ac:dyDescent="0.25">
      <c r="A1315" t="s">
        <v>4723</v>
      </c>
      <c r="B1315" t="s">
        <v>4724</v>
      </c>
      <c r="C1315" t="s">
        <v>14</v>
      </c>
      <c r="D1315">
        <v>4673.8999999999996</v>
      </c>
      <c r="E1315">
        <v>4675.1000000000004</v>
      </c>
      <c r="F1315">
        <v>4596.3500000000004</v>
      </c>
      <c r="G1315" s="3">
        <v>4615.8999999999996</v>
      </c>
      <c r="H1315">
        <v>4615</v>
      </c>
      <c r="I1315">
        <v>4650.6000000000004</v>
      </c>
      <c r="J1315">
        <v>120410</v>
      </c>
      <c r="K1315">
        <v>556178377</v>
      </c>
      <c r="L1315" s="1">
        <v>45240</v>
      </c>
      <c r="M1315">
        <v>5352</v>
      </c>
      <c r="N1315" t="s">
        <v>4725</v>
      </c>
      <c r="O1315" s="5">
        <v>45240</v>
      </c>
      <c r="P1315" s="5">
        <v>43777</v>
      </c>
      <c r="Q1315" s="3">
        <v>2135.5500000000002</v>
      </c>
      <c r="S1315">
        <f t="shared" si="60"/>
        <v>1464</v>
      </c>
      <c r="T1315">
        <f t="shared" si="61"/>
        <v>16.043835616438358</v>
      </c>
      <c r="U1315" s="6">
        <f t="shared" si="62"/>
        <v>0.1968601124505529</v>
      </c>
    </row>
    <row r="1316" spans="1:21" x14ac:dyDescent="0.25">
      <c r="A1316" t="s">
        <v>4726</v>
      </c>
      <c r="B1316" t="s">
        <v>4727</v>
      </c>
      <c r="C1316" t="s">
        <v>14</v>
      </c>
      <c r="D1316">
        <v>235</v>
      </c>
      <c r="E1316">
        <v>237.25</v>
      </c>
      <c r="F1316">
        <v>230</v>
      </c>
      <c r="G1316" s="3">
        <v>233.75</v>
      </c>
      <c r="H1316">
        <v>234.85</v>
      </c>
      <c r="I1316">
        <v>234.75</v>
      </c>
      <c r="J1316">
        <v>220878</v>
      </c>
      <c r="K1316">
        <v>51583101.450000003</v>
      </c>
      <c r="L1316" s="1">
        <v>45240</v>
      </c>
      <c r="M1316">
        <v>7677</v>
      </c>
      <c r="N1316" t="s">
        <v>4728</v>
      </c>
      <c r="O1316" s="5">
        <v>45240</v>
      </c>
      <c r="P1316" s="5">
        <v>43777</v>
      </c>
      <c r="Q1316" s="3">
        <v>57.5</v>
      </c>
      <c r="S1316">
        <f t="shared" si="60"/>
        <v>1464</v>
      </c>
      <c r="T1316">
        <f t="shared" si="61"/>
        <v>16.043835616438358</v>
      </c>
      <c r="U1316" s="6">
        <f t="shared" si="62"/>
        <v>0.36539671249135264</v>
      </c>
    </row>
    <row r="1317" spans="1:21" x14ac:dyDescent="0.25">
      <c r="A1317" t="s">
        <v>4729</v>
      </c>
      <c r="B1317" t="s">
        <v>4730</v>
      </c>
      <c r="C1317" t="s">
        <v>14</v>
      </c>
      <c r="D1317">
        <v>414</v>
      </c>
      <c r="E1317">
        <v>418.9</v>
      </c>
      <c r="F1317">
        <v>395.4</v>
      </c>
      <c r="G1317" s="3">
        <v>405.4</v>
      </c>
      <c r="H1317">
        <v>405.8</v>
      </c>
      <c r="I1317">
        <v>412.65</v>
      </c>
      <c r="J1317">
        <v>153924</v>
      </c>
      <c r="K1317">
        <v>62632669.850000001</v>
      </c>
      <c r="L1317" s="1">
        <v>45240</v>
      </c>
      <c r="M1317">
        <v>4732</v>
      </c>
      <c r="N1317" t="s">
        <v>4731</v>
      </c>
      <c r="O1317" s="5">
        <v>45240</v>
      </c>
      <c r="P1317" s="5">
        <v>43777</v>
      </c>
      <c r="Q1317" s="3">
        <v>42</v>
      </c>
      <c r="S1317">
        <f t="shared" si="60"/>
        <v>1464</v>
      </c>
      <c r="T1317">
        <f t="shared" si="61"/>
        <v>16.043835616438358</v>
      </c>
      <c r="U1317" s="6">
        <f t="shared" si="62"/>
        <v>0.60714099658857634</v>
      </c>
    </row>
    <row r="1318" spans="1:21" x14ac:dyDescent="0.25">
      <c r="A1318" t="s">
        <v>5907</v>
      </c>
      <c r="B1318" t="s">
        <v>7798</v>
      </c>
      <c r="C1318" t="s">
        <v>5853</v>
      </c>
      <c r="D1318">
        <v>16.95</v>
      </c>
      <c r="E1318">
        <v>16.95</v>
      </c>
      <c r="F1318">
        <v>16.95</v>
      </c>
      <c r="G1318" s="3">
        <v>16.95</v>
      </c>
      <c r="H1318">
        <v>16.95</v>
      </c>
      <c r="I1318">
        <v>17</v>
      </c>
      <c r="J1318">
        <v>1000</v>
      </c>
      <c r="K1318">
        <v>16950</v>
      </c>
      <c r="L1318" s="1">
        <v>45240</v>
      </c>
      <c r="M1318">
        <v>1</v>
      </c>
      <c r="N1318" t="s">
        <v>5906</v>
      </c>
      <c r="O1318" s="5">
        <v>45240</v>
      </c>
      <c r="P1318" s="5">
        <v>43777</v>
      </c>
      <c r="Q1318" s="3">
        <v>35.85</v>
      </c>
      <c r="S1318">
        <f t="shared" si="60"/>
        <v>1464</v>
      </c>
      <c r="T1318">
        <f t="shared" si="61"/>
        <v>16.043835616438358</v>
      </c>
      <c r="U1318" s="6">
        <f t="shared" si="62"/>
        <v>-0.18246455197690414</v>
      </c>
    </row>
    <row r="1319" spans="1:21" x14ac:dyDescent="0.25">
      <c r="A1319" t="s">
        <v>4735</v>
      </c>
      <c r="B1319" t="s">
        <v>4736</v>
      </c>
      <c r="C1319" t="s">
        <v>14</v>
      </c>
      <c r="D1319">
        <v>173.3</v>
      </c>
      <c r="E1319">
        <v>178.65</v>
      </c>
      <c r="F1319">
        <v>171.1</v>
      </c>
      <c r="G1319" s="3">
        <v>173.95</v>
      </c>
      <c r="H1319">
        <v>174</v>
      </c>
      <c r="I1319">
        <v>173.3</v>
      </c>
      <c r="J1319">
        <v>5518</v>
      </c>
      <c r="K1319">
        <v>967142.5</v>
      </c>
      <c r="L1319" s="1">
        <v>45240</v>
      </c>
      <c r="M1319">
        <v>413</v>
      </c>
      <c r="N1319" t="s">
        <v>4737</v>
      </c>
      <c r="O1319" s="5">
        <v>45240</v>
      </c>
      <c r="P1319" s="5">
        <v>43777</v>
      </c>
      <c r="Q1319" s="3">
        <v>86.5</v>
      </c>
      <c r="S1319">
        <f t="shared" si="60"/>
        <v>1464</v>
      </c>
      <c r="T1319">
        <f t="shared" si="61"/>
        <v>16.043835616438358</v>
      </c>
      <c r="U1319" s="6">
        <f t="shared" si="62"/>
        <v>0.1780265951658544</v>
      </c>
    </row>
    <row r="1320" spans="1:21" x14ac:dyDescent="0.25">
      <c r="A1320" t="s">
        <v>4741</v>
      </c>
      <c r="B1320" t="s">
        <v>4742</v>
      </c>
      <c r="C1320" t="s">
        <v>14</v>
      </c>
      <c r="D1320">
        <v>1293</v>
      </c>
      <c r="E1320">
        <v>1293</v>
      </c>
      <c r="F1320">
        <v>1266.3</v>
      </c>
      <c r="G1320" s="3">
        <v>1272</v>
      </c>
      <c r="H1320">
        <v>1266.3</v>
      </c>
      <c r="I1320">
        <v>1288.45</v>
      </c>
      <c r="J1320">
        <v>17495</v>
      </c>
      <c r="K1320">
        <v>22325873.5</v>
      </c>
      <c r="L1320" s="1">
        <v>45240</v>
      </c>
      <c r="M1320">
        <v>2215</v>
      </c>
      <c r="N1320" t="s">
        <v>4743</v>
      </c>
      <c r="O1320" s="5">
        <v>45240</v>
      </c>
      <c r="P1320" s="5">
        <v>43777</v>
      </c>
      <c r="Q1320" s="3">
        <v>551.04999999999995</v>
      </c>
      <c r="S1320">
        <f t="shared" si="60"/>
        <v>1464</v>
      </c>
      <c r="T1320">
        <f t="shared" si="61"/>
        <v>16.043835616438358</v>
      </c>
      <c r="U1320" s="6">
        <f t="shared" si="62"/>
        <v>0.21409148489614793</v>
      </c>
    </row>
    <row r="1321" spans="1:21" x14ac:dyDescent="0.25">
      <c r="A1321" t="s">
        <v>4747</v>
      </c>
      <c r="B1321" t="s">
        <v>4748</v>
      </c>
      <c r="C1321" t="s">
        <v>14</v>
      </c>
      <c r="D1321">
        <v>510.1</v>
      </c>
      <c r="E1321">
        <v>525</v>
      </c>
      <c r="F1321">
        <v>508.75</v>
      </c>
      <c r="G1321" s="3">
        <v>521.04999999999995</v>
      </c>
      <c r="H1321">
        <v>525</v>
      </c>
      <c r="I1321">
        <v>514.1</v>
      </c>
      <c r="J1321">
        <v>2218</v>
      </c>
      <c r="K1321">
        <v>1140288.45</v>
      </c>
      <c r="L1321" s="1">
        <v>45240</v>
      </c>
      <c r="M1321">
        <v>72</v>
      </c>
      <c r="N1321" t="s">
        <v>4749</v>
      </c>
      <c r="O1321" s="5">
        <v>45240</v>
      </c>
      <c r="P1321" s="5">
        <v>43777</v>
      </c>
      <c r="Q1321" s="3">
        <v>301.89999999999998</v>
      </c>
      <c r="S1321">
        <f t="shared" si="60"/>
        <v>1464</v>
      </c>
      <c r="T1321">
        <f t="shared" si="61"/>
        <v>16.043835616438358</v>
      </c>
      <c r="U1321" s="6">
        <f t="shared" si="62"/>
        <v>0.13840542949303014</v>
      </c>
    </row>
    <row r="1322" spans="1:21" x14ac:dyDescent="0.25">
      <c r="A1322" t="s">
        <v>4750</v>
      </c>
      <c r="B1322" t="s">
        <v>4751</v>
      </c>
      <c r="C1322" t="s">
        <v>14</v>
      </c>
      <c r="D1322">
        <v>118.6</v>
      </c>
      <c r="E1322">
        <v>121</v>
      </c>
      <c r="F1322">
        <v>117</v>
      </c>
      <c r="G1322" s="3">
        <v>118.25</v>
      </c>
      <c r="H1322">
        <v>118.5</v>
      </c>
      <c r="I1322">
        <v>119.1</v>
      </c>
      <c r="J1322">
        <v>83191</v>
      </c>
      <c r="K1322">
        <v>9885615.6999999993</v>
      </c>
      <c r="L1322" s="1">
        <v>45240</v>
      </c>
      <c r="M1322">
        <v>1869</v>
      </c>
      <c r="N1322" t="s">
        <v>4752</v>
      </c>
      <c r="O1322" s="5">
        <v>45240</v>
      </c>
      <c r="P1322" s="5">
        <v>43777</v>
      </c>
      <c r="Q1322" s="3">
        <v>40.700000000000003</v>
      </c>
      <c r="S1322">
        <f t="shared" si="60"/>
        <v>1464</v>
      </c>
      <c r="T1322">
        <f t="shared" si="61"/>
        <v>16.043835616438358</v>
      </c>
      <c r="U1322" s="6">
        <f t="shared" si="62"/>
        <v>0.27495269228887143</v>
      </c>
    </row>
    <row r="1323" spans="1:21" x14ac:dyDescent="0.25">
      <c r="A1323" t="s">
        <v>4753</v>
      </c>
      <c r="B1323" t="s">
        <v>4754</v>
      </c>
      <c r="C1323" t="s">
        <v>14</v>
      </c>
      <c r="D1323">
        <v>49.35</v>
      </c>
      <c r="E1323">
        <v>50</v>
      </c>
      <c r="F1323">
        <v>49.3</v>
      </c>
      <c r="G1323" s="3">
        <v>49.75</v>
      </c>
      <c r="H1323">
        <v>49.9</v>
      </c>
      <c r="I1323">
        <v>49.6</v>
      </c>
      <c r="J1323">
        <v>398404</v>
      </c>
      <c r="K1323">
        <v>19788963.449999999</v>
      </c>
      <c r="L1323" s="1">
        <v>45240</v>
      </c>
      <c r="M1323">
        <v>2331</v>
      </c>
      <c r="N1323" t="s">
        <v>4755</v>
      </c>
      <c r="O1323" s="5">
        <v>45240</v>
      </c>
      <c r="P1323" s="5">
        <v>43777</v>
      </c>
      <c r="Q1323" s="3">
        <v>37.6</v>
      </c>
      <c r="S1323">
        <f t="shared" si="60"/>
        <v>1464</v>
      </c>
      <c r="T1323">
        <f t="shared" si="61"/>
        <v>16.043835616438358</v>
      </c>
      <c r="U1323" s="6">
        <f t="shared" si="62"/>
        <v>7.0423087044670929E-2</v>
      </c>
    </row>
    <row r="1324" spans="1:21" x14ac:dyDescent="0.25">
      <c r="A1324" t="s">
        <v>4756</v>
      </c>
      <c r="B1324" t="s">
        <v>4757</v>
      </c>
      <c r="C1324" t="s">
        <v>14</v>
      </c>
      <c r="D1324">
        <v>834.15</v>
      </c>
      <c r="E1324">
        <v>835.65</v>
      </c>
      <c r="F1324">
        <v>818.45</v>
      </c>
      <c r="G1324" s="3">
        <v>823.2</v>
      </c>
      <c r="H1324">
        <v>823.5</v>
      </c>
      <c r="I1324">
        <v>829.25</v>
      </c>
      <c r="J1324">
        <v>481748</v>
      </c>
      <c r="K1324">
        <v>398787998.64999998</v>
      </c>
      <c r="L1324" s="1">
        <v>45240</v>
      </c>
      <c r="M1324">
        <v>17208</v>
      </c>
      <c r="N1324" t="s">
        <v>4758</v>
      </c>
      <c r="O1324" s="5">
        <v>45240</v>
      </c>
      <c r="P1324" s="5">
        <v>43777</v>
      </c>
      <c r="Q1324" s="3">
        <v>442.45</v>
      </c>
      <c r="S1324">
        <f t="shared" si="60"/>
        <v>1464</v>
      </c>
      <c r="T1324">
        <f t="shared" si="61"/>
        <v>16.043835616438358</v>
      </c>
      <c r="U1324" s="6">
        <f t="shared" si="62"/>
        <v>0.15782799149753934</v>
      </c>
    </row>
    <row r="1325" spans="1:21" x14ac:dyDescent="0.25">
      <c r="A1325" t="s">
        <v>4759</v>
      </c>
      <c r="B1325" t="s">
        <v>4760</v>
      </c>
      <c r="C1325" t="s">
        <v>10</v>
      </c>
      <c r="D1325">
        <v>207.5</v>
      </c>
      <c r="E1325">
        <v>218.85</v>
      </c>
      <c r="F1325">
        <v>207.5</v>
      </c>
      <c r="G1325" s="3">
        <v>215.8</v>
      </c>
      <c r="H1325">
        <v>218.85</v>
      </c>
      <c r="I1325">
        <v>209.3</v>
      </c>
      <c r="J1325">
        <v>4608</v>
      </c>
      <c r="K1325">
        <v>981268.2</v>
      </c>
      <c r="L1325" s="1">
        <v>45240</v>
      </c>
      <c r="M1325">
        <v>152</v>
      </c>
      <c r="N1325" t="s">
        <v>4761</v>
      </c>
      <c r="O1325" s="5">
        <v>45240</v>
      </c>
      <c r="P1325" s="5">
        <v>43777</v>
      </c>
      <c r="Q1325" s="3">
        <v>76.25</v>
      </c>
      <c r="S1325">
        <f t="shared" si="60"/>
        <v>1464</v>
      </c>
      <c r="T1325">
        <f t="shared" si="61"/>
        <v>16.043835616438358</v>
      </c>
      <c r="U1325" s="6">
        <f t="shared" si="62"/>
        <v>0.26796709274207497</v>
      </c>
    </row>
    <row r="1326" spans="1:21" x14ac:dyDescent="0.25">
      <c r="A1326" t="s">
        <v>4762</v>
      </c>
      <c r="B1326" t="s">
        <v>4763</v>
      </c>
      <c r="C1326" t="s">
        <v>14</v>
      </c>
      <c r="D1326">
        <v>330.95</v>
      </c>
      <c r="E1326">
        <v>333.8</v>
      </c>
      <c r="F1326">
        <v>325.35000000000002</v>
      </c>
      <c r="G1326" s="3">
        <v>328.15</v>
      </c>
      <c r="H1326">
        <v>328.4</v>
      </c>
      <c r="I1326">
        <v>330.7</v>
      </c>
      <c r="J1326">
        <v>59665</v>
      </c>
      <c r="K1326">
        <v>19635093.800000001</v>
      </c>
      <c r="L1326" s="1">
        <v>45240</v>
      </c>
      <c r="M1326">
        <v>3872</v>
      </c>
      <c r="N1326" t="s">
        <v>4764</v>
      </c>
      <c r="O1326" s="5">
        <v>45240</v>
      </c>
      <c r="P1326" s="5">
        <v>43777</v>
      </c>
      <c r="Q1326" s="3">
        <v>415.05</v>
      </c>
      <c r="S1326">
        <f t="shared" si="60"/>
        <v>1464</v>
      </c>
      <c r="T1326">
        <f t="shared" si="61"/>
        <v>16.043835616438358</v>
      </c>
      <c r="U1326" s="6">
        <f t="shared" si="62"/>
        <v>-5.8144830236898315E-2</v>
      </c>
    </row>
    <row r="1327" spans="1:21" x14ac:dyDescent="0.25">
      <c r="A1327" t="s">
        <v>4765</v>
      </c>
      <c r="B1327" t="s">
        <v>4766</v>
      </c>
      <c r="C1327" t="s">
        <v>14</v>
      </c>
      <c r="D1327">
        <v>6175</v>
      </c>
      <c r="E1327">
        <v>6249.5</v>
      </c>
      <c r="F1327">
        <v>6072.15</v>
      </c>
      <c r="G1327" s="3">
        <v>6104.55</v>
      </c>
      <c r="H1327">
        <v>6120</v>
      </c>
      <c r="I1327">
        <v>6169.3</v>
      </c>
      <c r="J1327">
        <v>71893</v>
      </c>
      <c r="K1327">
        <v>442364910.44999999</v>
      </c>
      <c r="L1327" s="1">
        <v>45240</v>
      </c>
      <c r="M1327">
        <v>16646</v>
      </c>
      <c r="N1327" t="s">
        <v>4767</v>
      </c>
      <c r="O1327" s="5">
        <v>45240</v>
      </c>
      <c r="P1327" s="5">
        <v>43777</v>
      </c>
      <c r="Q1327" s="3">
        <v>1067.1500000000001</v>
      </c>
      <c r="S1327">
        <f t="shared" si="60"/>
        <v>1464</v>
      </c>
      <c r="T1327">
        <f t="shared" si="61"/>
        <v>16.043835616438358</v>
      </c>
      <c r="U1327" s="6">
        <f t="shared" si="62"/>
        <v>0.45933306475075408</v>
      </c>
    </row>
    <row r="1328" spans="1:21" x14ac:dyDescent="0.25">
      <c r="A1328" t="s">
        <v>4768</v>
      </c>
      <c r="B1328" t="s">
        <v>4769</v>
      </c>
      <c r="C1328" t="s">
        <v>14</v>
      </c>
      <c r="D1328">
        <v>683.8</v>
      </c>
      <c r="E1328">
        <v>689.65</v>
      </c>
      <c r="F1328">
        <v>675.7</v>
      </c>
      <c r="G1328" s="3">
        <v>679.25</v>
      </c>
      <c r="H1328">
        <v>680.5</v>
      </c>
      <c r="I1328">
        <v>683.8</v>
      </c>
      <c r="J1328">
        <v>47274</v>
      </c>
      <c r="K1328">
        <v>32341021.649999999</v>
      </c>
      <c r="L1328" s="1">
        <v>45240</v>
      </c>
      <c r="M1328">
        <v>7889</v>
      </c>
      <c r="N1328" t="s">
        <v>4770</v>
      </c>
      <c r="O1328" s="5">
        <v>45240</v>
      </c>
      <c r="P1328" s="5">
        <v>43777</v>
      </c>
      <c r="Q1328" s="3">
        <v>183.5</v>
      </c>
      <c r="S1328">
        <f t="shared" si="60"/>
        <v>1464</v>
      </c>
      <c r="T1328">
        <f t="shared" si="61"/>
        <v>16.043835616438358</v>
      </c>
      <c r="U1328" s="6">
        <f t="shared" si="62"/>
        <v>0.33997800225044106</v>
      </c>
    </row>
    <row r="1329" spans="1:21" x14ac:dyDescent="0.25">
      <c r="A1329" t="s">
        <v>4771</v>
      </c>
      <c r="B1329" t="s">
        <v>4772</v>
      </c>
      <c r="C1329" t="s">
        <v>10</v>
      </c>
      <c r="D1329">
        <v>20.5</v>
      </c>
      <c r="E1329">
        <v>21.45</v>
      </c>
      <c r="F1329">
        <v>20</v>
      </c>
      <c r="G1329" s="3">
        <v>20.25</v>
      </c>
      <c r="H1329">
        <v>20.3</v>
      </c>
      <c r="I1329">
        <v>20.8</v>
      </c>
      <c r="J1329">
        <v>14419</v>
      </c>
      <c r="K1329">
        <v>293796.05</v>
      </c>
      <c r="L1329" s="1">
        <v>45240</v>
      </c>
      <c r="M1329">
        <v>54</v>
      </c>
      <c r="N1329" t="s">
        <v>4773</v>
      </c>
      <c r="O1329" s="5">
        <v>45240</v>
      </c>
      <c r="P1329" s="5">
        <v>43777</v>
      </c>
      <c r="Q1329" s="3">
        <v>3.05</v>
      </c>
      <c r="S1329">
        <f t="shared" si="60"/>
        <v>1464</v>
      </c>
      <c r="T1329">
        <f t="shared" si="61"/>
        <v>16.043835616438358</v>
      </c>
      <c r="U1329" s="6">
        <f t="shared" si="62"/>
        <v>0.50093172728429369</v>
      </c>
    </row>
    <row r="1330" spans="1:21" x14ac:dyDescent="0.25">
      <c r="A1330" t="s">
        <v>4774</v>
      </c>
      <c r="B1330" t="s">
        <v>4775</v>
      </c>
      <c r="C1330" t="s">
        <v>10</v>
      </c>
      <c r="D1330">
        <v>104.1</v>
      </c>
      <c r="E1330">
        <v>104.1</v>
      </c>
      <c r="F1330">
        <v>100</v>
      </c>
      <c r="G1330" s="3">
        <v>101.65</v>
      </c>
      <c r="H1330">
        <v>102.7</v>
      </c>
      <c r="I1330">
        <v>99.15</v>
      </c>
      <c r="J1330">
        <v>68930</v>
      </c>
      <c r="K1330">
        <v>7136958.25</v>
      </c>
      <c r="L1330" s="1">
        <v>45240</v>
      </c>
      <c r="M1330">
        <v>425</v>
      </c>
      <c r="N1330" t="s">
        <v>4776</v>
      </c>
      <c r="O1330" s="5">
        <v>45240</v>
      </c>
      <c r="P1330" s="5">
        <v>43777</v>
      </c>
      <c r="Q1330" s="3">
        <v>14.05</v>
      </c>
      <c r="S1330">
        <f t="shared" si="60"/>
        <v>1464</v>
      </c>
      <c r="T1330">
        <f t="shared" si="61"/>
        <v>16.043835616438358</v>
      </c>
      <c r="U1330" s="6">
        <f t="shared" si="62"/>
        <v>0.52509469263068098</v>
      </c>
    </row>
    <row r="1331" spans="1:21" x14ac:dyDescent="0.25">
      <c r="A1331" t="s">
        <v>4783</v>
      </c>
      <c r="B1331" t="s">
        <v>4784</v>
      </c>
      <c r="C1331" t="s">
        <v>14</v>
      </c>
      <c r="D1331">
        <v>1300</v>
      </c>
      <c r="E1331">
        <v>1322.95</v>
      </c>
      <c r="F1331">
        <v>1291.5</v>
      </c>
      <c r="G1331" s="3">
        <v>1317.85</v>
      </c>
      <c r="H1331">
        <v>1316</v>
      </c>
      <c r="I1331">
        <v>1301.5999999999999</v>
      </c>
      <c r="J1331">
        <v>266945</v>
      </c>
      <c r="K1331">
        <v>350764892.94999999</v>
      </c>
      <c r="L1331" s="1">
        <v>45240</v>
      </c>
      <c r="M1331">
        <v>15359</v>
      </c>
      <c r="N1331" t="s">
        <v>4785</v>
      </c>
      <c r="O1331" s="5">
        <v>45240</v>
      </c>
      <c r="P1331" s="5">
        <v>43777</v>
      </c>
      <c r="Q1331" s="3">
        <v>304.60000000000002</v>
      </c>
      <c r="S1331">
        <f t="shared" si="60"/>
        <v>1464</v>
      </c>
      <c r="T1331">
        <f t="shared" si="61"/>
        <v>16.043835616438358</v>
      </c>
      <c r="U1331" s="6">
        <f t="shared" si="62"/>
        <v>0.38237832230765623</v>
      </c>
    </row>
    <row r="1332" spans="1:21" x14ac:dyDescent="0.25">
      <c r="A1332" t="s">
        <v>4786</v>
      </c>
      <c r="B1332" t="s">
        <v>4787</v>
      </c>
      <c r="C1332" t="s">
        <v>14</v>
      </c>
      <c r="D1332">
        <v>321.75</v>
      </c>
      <c r="E1332">
        <v>324.7</v>
      </c>
      <c r="F1332">
        <v>315</v>
      </c>
      <c r="G1332" s="3">
        <v>316.60000000000002</v>
      </c>
      <c r="H1332">
        <v>316.3</v>
      </c>
      <c r="I1332">
        <v>321.75</v>
      </c>
      <c r="J1332">
        <v>156787</v>
      </c>
      <c r="K1332">
        <v>49982564.299999997</v>
      </c>
      <c r="L1332" s="1">
        <v>45240</v>
      </c>
      <c r="M1332">
        <v>8889</v>
      </c>
      <c r="N1332" t="s">
        <v>4788</v>
      </c>
      <c r="O1332" s="5">
        <v>45240</v>
      </c>
      <c r="P1332" s="5">
        <v>43777</v>
      </c>
      <c r="Q1332" s="3">
        <v>924.65</v>
      </c>
      <c r="S1332">
        <f t="shared" si="60"/>
        <v>1464</v>
      </c>
      <c r="T1332">
        <f t="shared" si="61"/>
        <v>16.043835616438358</v>
      </c>
      <c r="U1332" s="6">
        <f t="shared" si="62"/>
        <v>-0.25848213912809692</v>
      </c>
    </row>
    <row r="1333" spans="1:21" x14ac:dyDescent="0.25">
      <c r="A1333" t="s">
        <v>4789</v>
      </c>
      <c r="B1333" t="s">
        <v>4790</v>
      </c>
      <c r="C1333" t="s">
        <v>14</v>
      </c>
      <c r="D1333">
        <v>24.45</v>
      </c>
      <c r="E1333">
        <v>24.6</v>
      </c>
      <c r="F1333">
        <v>24.2</v>
      </c>
      <c r="G1333" s="3">
        <v>24.5</v>
      </c>
      <c r="H1333">
        <v>24.55</v>
      </c>
      <c r="I1333">
        <v>24.45</v>
      </c>
      <c r="J1333">
        <v>12431210</v>
      </c>
      <c r="K1333">
        <v>303476321.89999998</v>
      </c>
      <c r="L1333" s="1">
        <v>45240</v>
      </c>
      <c r="M1333">
        <v>28254</v>
      </c>
      <c r="N1333" t="s">
        <v>4791</v>
      </c>
      <c r="O1333" s="5">
        <v>45240</v>
      </c>
      <c r="P1333" s="5">
        <v>43777</v>
      </c>
      <c r="Q1333" s="3">
        <v>11</v>
      </c>
      <c r="S1333">
        <f t="shared" si="60"/>
        <v>1464</v>
      </c>
      <c r="T1333">
        <f t="shared" si="61"/>
        <v>16.043835616438358</v>
      </c>
      <c r="U1333" s="6">
        <f t="shared" si="62"/>
        <v>0.20471380962427599</v>
      </c>
    </row>
    <row r="1334" spans="1:21" x14ac:dyDescent="0.25">
      <c r="A1334" t="s">
        <v>4792</v>
      </c>
      <c r="B1334" t="s">
        <v>4793</v>
      </c>
      <c r="C1334" t="s">
        <v>10</v>
      </c>
      <c r="D1334">
        <v>187.9</v>
      </c>
      <c r="E1334">
        <v>187.9</v>
      </c>
      <c r="F1334">
        <v>184.15</v>
      </c>
      <c r="G1334" s="3">
        <v>185.3</v>
      </c>
      <c r="H1334">
        <v>186.5</v>
      </c>
      <c r="I1334">
        <v>185.65</v>
      </c>
      <c r="J1334">
        <v>173250</v>
      </c>
      <c r="K1334">
        <v>32214689.75</v>
      </c>
      <c r="L1334" s="1">
        <v>45240</v>
      </c>
      <c r="M1334">
        <v>575</v>
      </c>
      <c r="N1334" t="s">
        <v>4794</v>
      </c>
      <c r="O1334" s="5">
        <v>45240</v>
      </c>
      <c r="P1334" s="5">
        <v>43777</v>
      </c>
      <c r="Q1334" s="3">
        <v>17.2</v>
      </c>
      <c r="S1334">
        <f t="shared" si="60"/>
        <v>1464</v>
      </c>
      <c r="T1334">
        <f t="shared" si="61"/>
        <v>16.043835616438358</v>
      </c>
      <c r="U1334" s="6">
        <f t="shared" si="62"/>
        <v>0.63879722132740646</v>
      </c>
    </row>
    <row r="1335" spans="1:21" x14ac:dyDescent="0.25">
      <c r="A1335" t="s">
        <v>4795</v>
      </c>
      <c r="B1335" t="s">
        <v>4796</v>
      </c>
      <c r="C1335" t="s">
        <v>14</v>
      </c>
      <c r="D1335">
        <v>579.5</v>
      </c>
      <c r="E1335">
        <v>588</v>
      </c>
      <c r="F1335">
        <v>574.1</v>
      </c>
      <c r="G1335" s="3">
        <v>584.9</v>
      </c>
      <c r="H1335">
        <v>584</v>
      </c>
      <c r="I1335">
        <v>576.75</v>
      </c>
      <c r="J1335">
        <v>16152</v>
      </c>
      <c r="K1335">
        <v>9407981.9000000004</v>
      </c>
      <c r="L1335" s="1">
        <v>45240</v>
      </c>
      <c r="M1335">
        <v>3645</v>
      </c>
      <c r="N1335" t="s">
        <v>4797</v>
      </c>
      <c r="O1335" s="5">
        <v>45240</v>
      </c>
      <c r="P1335" s="5">
        <v>43777</v>
      </c>
      <c r="Q1335" s="3">
        <v>224.65</v>
      </c>
      <c r="S1335">
        <f t="shared" si="60"/>
        <v>1464</v>
      </c>
      <c r="T1335">
        <f t="shared" si="61"/>
        <v>16.043835616438358</v>
      </c>
      <c r="U1335" s="6">
        <f t="shared" si="62"/>
        <v>0.24582876996181202</v>
      </c>
    </row>
    <row r="1336" spans="1:21" x14ac:dyDescent="0.25">
      <c r="A1336" t="s">
        <v>4798</v>
      </c>
      <c r="B1336" t="s">
        <v>4799</v>
      </c>
      <c r="C1336" t="s">
        <v>14</v>
      </c>
      <c r="D1336">
        <v>956.95</v>
      </c>
      <c r="E1336">
        <v>982</v>
      </c>
      <c r="F1336">
        <v>944.75</v>
      </c>
      <c r="G1336" s="3">
        <v>978.85</v>
      </c>
      <c r="H1336">
        <v>980</v>
      </c>
      <c r="I1336">
        <v>957.65</v>
      </c>
      <c r="J1336">
        <v>241530</v>
      </c>
      <c r="K1336">
        <v>234133044.44999999</v>
      </c>
      <c r="L1336" s="1">
        <v>45240</v>
      </c>
      <c r="M1336">
        <v>11919</v>
      </c>
      <c r="N1336" t="s">
        <v>4800</v>
      </c>
      <c r="O1336" s="5">
        <v>45240</v>
      </c>
      <c r="P1336" s="5">
        <v>43777</v>
      </c>
      <c r="Q1336" s="3">
        <v>1335.2</v>
      </c>
      <c r="S1336">
        <f t="shared" si="60"/>
        <v>1464</v>
      </c>
      <c r="T1336">
        <f t="shared" si="61"/>
        <v>16.043835616438358</v>
      </c>
      <c r="U1336" s="6">
        <f t="shared" si="62"/>
        <v>-7.6658343571505583E-2</v>
      </c>
    </row>
    <row r="1337" spans="1:21" x14ac:dyDescent="0.25">
      <c r="A1337" t="s">
        <v>4801</v>
      </c>
      <c r="B1337" t="s">
        <v>4802</v>
      </c>
      <c r="C1337" t="s">
        <v>14</v>
      </c>
      <c r="D1337">
        <v>255.95</v>
      </c>
      <c r="E1337">
        <v>260.89999999999998</v>
      </c>
      <c r="F1337">
        <v>251.3</v>
      </c>
      <c r="G1337" s="3">
        <v>253.85</v>
      </c>
      <c r="H1337">
        <v>253.9</v>
      </c>
      <c r="I1337">
        <v>256.8</v>
      </c>
      <c r="J1337">
        <v>2412348</v>
      </c>
      <c r="K1337">
        <v>618339810.10000002</v>
      </c>
      <c r="L1337" s="1">
        <v>45240</v>
      </c>
      <c r="M1337">
        <v>28910</v>
      </c>
      <c r="N1337" t="s">
        <v>4803</v>
      </c>
      <c r="O1337" s="5">
        <v>45240</v>
      </c>
      <c r="P1337" s="5">
        <v>43777</v>
      </c>
      <c r="Q1337" s="3">
        <v>157.25</v>
      </c>
      <c r="S1337">
        <f t="shared" si="60"/>
        <v>1464</v>
      </c>
      <c r="T1337">
        <f t="shared" si="61"/>
        <v>16.043835616438358</v>
      </c>
      <c r="U1337" s="6">
        <f t="shared" si="62"/>
        <v>0.12119943493390295</v>
      </c>
    </row>
    <row r="1338" spans="1:21" x14ac:dyDescent="0.25">
      <c r="A1338" t="s">
        <v>4804</v>
      </c>
      <c r="B1338" t="s">
        <v>4805</v>
      </c>
      <c r="C1338" t="s">
        <v>14</v>
      </c>
      <c r="D1338">
        <v>23.1</v>
      </c>
      <c r="E1338">
        <v>24.8</v>
      </c>
      <c r="F1338">
        <v>23.1</v>
      </c>
      <c r="G1338" s="3">
        <v>24.7</v>
      </c>
      <c r="H1338">
        <v>24.75</v>
      </c>
      <c r="I1338">
        <v>24.6</v>
      </c>
      <c r="J1338">
        <v>967907</v>
      </c>
      <c r="K1338">
        <v>23727060.25</v>
      </c>
      <c r="L1338" s="1">
        <v>45240</v>
      </c>
      <c r="M1338">
        <v>764</v>
      </c>
      <c r="N1338" t="s">
        <v>4806</v>
      </c>
      <c r="O1338" s="5">
        <v>45240</v>
      </c>
      <c r="P1338" s="5">
        <v>43777</v>
      </c>
      <c r="Q1338" s="3">
        <v>0.85</v>
      </c>
      <c r="S1338">
        <f t="shared" si="60"/>
        <v>1464</v>
      </c>
      <c r="T1338">
        <f t="shared" si="61"/>
        <v>16.043835616438358</v>
      </c>
      <c r="U1338" s="6">
        <f t="shared" si="62"/>
        <v>0.93474813223058906</v>
      </c>
    </row>
    <row r="1339" spans="1:21" x14ac:dyDescent="0.25">
      <c r="A1339" t="s">
        <v>4807</v>
      </c>
      <c r="B1339" t="s">
        <v>4808</v>
      </c>
      <c r="C1339" t="s">
        <v>14</v>
      </c>
      <c r="D1339">
        <v>175.05</v>
      </c>
      <c r="E1339">
        <v>179</v>
      </c>
      <c r="F1339">
        <v>174</v>
      </c>
      <c r="G1339" s="3">
        <v>177</v>
      </c>
      <c r="H1339">
        <v>179</v>
      </c>
      <c r="I1339">
        <v>174.7</v>
      </c>
      <c r="J1339">
        <v>38483</v>
      </c>
      <c r="K1339">
        <v>6763570.2000000002</v>
      </c>
      <c r="L1339" s="1">
        <v>45240</v>
      </c>
      <c r="M1339">
        <v>1472</v>
      </c>
      <c r="N1339" t="s">
        <v>4809</v>
      </c>
      <c r="O1339" s="5">
        <v>45240</v>
      </c>
      <c r="P1339" s="5">
        <v>43777</v>
      </c>
      <c r="Q1339" s="3">
        <v>73.400000000000006</v>
      </c>
      <c r="S1339">
        <f t="shared" si="60"/>
        <v>1464</v>
      </c>
      <c r="T1339">
        <f t="shared" si="61"/>
        <v>16.043835616438358</v>
      </c>
      <c r="U1339" s="6">
        <f t="shared" si="62"/>
        <v>0.22558689680013799</v>
      </c>
    </row>
    <row r="1340" spans="1:21" x14ac:dyDescent="0.25">
      <c r="A1340" t="s">
        <v>4810</v>
      </c>
      <c r="B1340" t="s">
        <v>4811</v>
      </c>
      <c r="C1340" t="s">
        <v>14</v>
      </c>
      <c r="D1340">
        <v>68.7</v>
      </c>
      <c r="E1340">
        <v>68.7</v>
      </c>
      <c r="F1340">
        <v>66.849999999999994</v>
      </c>
      <c r="G1340" s="3">
        <v>67.05</v>
      </c>
      <c r="H1340">
        <v>67.3</v>
      </c>
      <c r="I1340">
        <v>68.55</v>
      </c>
      <c r="J1340">
        <v>87343</v>
      </c>
      <c r="K1340">
        <v>5897929.1500000004</v>
      </c>
      <c r="L1340" s="1">
        <v>45240</v>
      </c>
      <c r="M1340">
        <v>1304</v>
      </c>
      <c r="N1340" t="s">
        <v>4812</v>
      </c>
      <c r="O1340" s="5">
        <v>45240</v>
      </c>
      <c r="P1340" s="5">
        <v>43777</v>
      </c>
      <c r="Q1340" s="3">
        <v>71</v>
      </c>
      <c r="S1340">
        <f t="shared" si="60"/>
        <v>1464</v>
      </c>
      <c r="T1340">
        <f t="shared" si="61"/>
        <v>16.043835616438358</v>
      </c>
      <c r="U1340" s="6">
        <f t="shared" si="62"/>
        <v>-1.4245789395563868E-2</v>
      </c>
    </row>
    <row r="1341" spans="1:21" x14ac:dyDescent="0.25">
      <c r="A1341" t="s">
        <v>4813</v>
      </c>
      <c r="B1341" t="s">
        <v>4814</v>
      </c>
      <c r="C1341" t="s">
        <v>786</v>
      </c>
      <c r="D1341">
        <v>2.5</v>
      </c>
      <c r="E1341">
        <v>2.5</v>
      </c>
      <c r="F1341">
        <v>2.5</v>
      </c>
      <c r="G1341" s="3">
        <v>2.5</v>
      </c>
      <c r="H1341">
        <v>2.5</v>
      </c>
      <c r="I1341">
        <v>2.5499999999999998</v>
      </c>
      <c r="J1341">
        <v>1107</v>
      </c>
      <c r="K1341">
        <v>2767.5</v>
      </c>
      <c r="L1341" s="1">
        <v>45240</v>
      </c>
      <c r="M1341">
        <v>3</v>
      </c>
      <c r="N1341" t="s">
        <v>4815</v>
      </c>
      <c r="O1341" s="5">
        <v>45240</v>
      </c>
      <c r="P1341" s="5">
        <v>43777</v>
      </c>
      <c r="Q1341" s="3">
        <v>0.35</v>
      </c>
      <c r="S1341">
        <f t="shared" si="60"/>
        <v>1464</v>
      </c>
      <c r="T1341">
        <f t="shared" si="61"/>
        <v>16.043835616438358</v>
      </c>
      <c r="U1341" s="6">
        <f t="shared" si="62"/>
        <v>0.52148586639707517</v>
      </c>
    </row>
    <row r="1342" spans="1:21" x14ac:dyDescent="0.25">
      <c r="A1342" t="s">
        <v>4816</v>
      </c>
      <c r="B1342" t="s">
        <v>4817</v>
      </c>
      <c r="C1342" t="s">
        <v>14</v>
      </c>
      <c r="D1342">
        <v>67.7</v>
      </c>
      <c r="E1342">
        <v>68.099999999999994</v>
      </c>
      <c r="F1342">
        <v>67.3</v>
      </c>
      <c r="G1342" s="3">
        <v>67.7</v>
      </c>
      <c r="H1342">
        <v>67.7</v>
      </c>
      <c r="I1342">
        <v>67.8</v>
      </c>
      <c r="J1342">
        <v>409587</v>
      </c>
      <c r="K1342">
        <v>27756789.25</v>
      </c>
      <c r="L1342" s="1">
        <v>45240</v>
      </c>
      <c r="M1342">
        <v>2575</v>
      </c>
      <c r="N1342" t="s">
        <v>4818</v>
      </c>
      <c r="O1342" s="5">
        <v>45240</v>
      </c>
      <c r="P1342" s="5">
        <v>43777</v>
      </c>
      <c r="Q1342" s="3">
        <v>20.3</v>
      </c>
      <c r="S1342">
        <f t="shared" si="60"/>
        <v>1464</v>
      </c>
      <c r="T1342">
        <f t="shared" si="61"/>
        <v>16.043835616438358</v>
      </c>
      <c r="U1342" s="6">
        <f t="shared" si="62"/>
        <v>0.3118530833113935</v>
      </c>
    </row>
    <row r="1343" spans="1:21" x14ac:dyDescent="0.25">
      <c r="A1343" t="s">
        <v>4819</v>
      </c>
      <c r="B1343" t="s">
        <v>4820</v>
      </c>
      <c r="C1343" t="s">
        <v>14</v>
      </c>
      <c r="D1343">
        <v>65.5</v>
      </c>
      <c r="E1343">
        <v>67.400000000000006</v>
      </c>
      <c r="F1343">
        <v>64.25</v>
      </c>
      <c r="G1343" s="3">
        <v>65.3</v>
      </c>
      <c r="H1343">
        <v>64.25</v>
      </c>
      <c r="I1343">
        <v>67.25</v>
      </c>
      <c r="J1343">
        <v>31238</v>
      </c>
      <c r="K1343">
        <v>2055394.3</v>
      </c>
      <c r="L1343" s="1">
        <v>45240</v>
      </c>
      <c r="M1343">
        <v>418</v>
      </c>
      <c r="N1343" t="s">
        <v>4821</v>
      </c>
      <c r="O1343" s="5">
        <v>45240</v>
      </c>
      <c r="P1343" s="5">
        <v>43777</v>
      </c>
      <c r="Q1343" s="3">
        <v>32.65</v>
      </c>
      <c r="S1343">
        <f t="shared" si="60"/>
        <v>1464</v>
      </c>
      <c r="T1343">
        <f t="shared" si="61"/>
        <v>16.043835616438358</v>
      </c>
      <c r="U1343" s="6">
        <f t="shared" si="62"/>
        <v>0.17660073586319758</v>
      </c>
    </row>
    <row r="1344" spans="1:21" x14ac:dyDescent="0.25">
      <c r="A1344" t="s">
        <v>4825</v>
      </c>
      <c r="B1344" t="s">
        <v>4826</v>
      </c>
      <c r="C1344" t="s">
        <v>10</v>
      </c>
      <c r="D1344">
        <v>53.45</v>
      </c>
      <c r="E1344">
        <v>53.45</v>
      </c>
      <c r="F1344">
        <v>52.55</v>
      </c>
      <c r="G1344" s="3">
        <v>53.1</v>
      </c>
      <c r="H1344">
        <v>53.1</v>
      </c>
      <c r="I1344">
        <v>53.5</v>
      </c>
      <c r="J1344">
        <v>34329</v>
      </c>
      <c r="K1344">
        <v>1816626.55</v>
      </c>
      <c r="L1344" s="1">
        <v>45240</v>
      </c>
      <c r="M1344">
        <v>22</v>
      </c>
      <c r="N1344" t="s">
        <v>4827</v>
      </c>
      <c r="O1344" s="5">
        <v>45240</v>
      </c>
      <c r="P1344" s="5">
        <v>43777</v>
      </c>
      <c r="Q1344" s="3">
        <v>12.95</v>
      </c>
      <c r="S1344">
        <f t="shared" si="60"/>
        <v>1464</v>
      </c>
      <c r="T1344">
        <f t="shared" si="61"/>
        <v>16.043835616438358</v>
      </c>
      <c r="U1344" s="6">
        <f t="shared" si="62"/>
        <v>0.36774111903861062</v>
      </c>
    </row>
    <row r="1345" spans="1:21" x14ac:dyDescent="0.25">
      <c r="A1345" t="s">
        <v>5895</v>
      </c>
      <c r="B1345" t="s">
        <v>7798</v>
      </c>
      <c r="C1345" t="s">
        <v>10</v>
      </c>
      <c r="D1345">
        <v>1.4</v>
      </c>
      <c r="E1345">
        <v>1.4</v>
      </c>
      <c r="F1345">
        <v>1.4</v>
      </c>
      <c r="G1345" s="3">
        <v>1.4</v>
      </c>
      <c r="H1345">
        <v>1.4</v>
      </c>
      <c r="I1345">
        <v>1.35</v>
      </c>
      <c r="J1345">
        <v>778441</v>
      </c>
      <c r="K1345">
        <v>1089817.3999999999</v>
      </c>
      <c r="L1345" s="1">
        <v>45240</v>
      </c>
      <c r="M1345">
        <v>172</v>
      </c>
      <c r="N1345" t="s">
        <v>5894</v>
      </c>
      <c r="O1345" s="5">
        <v>45240</v>
      </c>
      <c r="P1345" s="5">
        <v>43777</v>
      </c>
      <c r="Q1345" s="3">
        <v>1.35</v>
      </c>
      <c r="S1345">
        <f t="shared" si="60"/>
        <v>1464</v>
      </c>
      <c r="T1345">
        <f t="shared" si="61"/>
        <v>16.043835616438358</v>
      </c>
      <c r="U1345" s="6">
        <f t="shared" si="62"/>
        <v>9.0773539941517711E-3</v>
      </c>
    </row>
    <row r="1346" spans="1:21" x14ac:dyDescent="0.25">
      <c r="A1346" t="s">
        <v>4831</v>
      </c>
      <c r="B1346" t="s">
        <v>4832</v>
      </c>
      <c r="C1346" t="s">
        <v>10</v>
      </c>
      <c r="D1346">
        <v>0.6</v>
      </c>
      <c r="E1346">
        <v>0.6</v>
      </c>
      <c r="F1346">
        <v>0.55000000000000004</v>
      </c>
      <c r="G1346" s="3">
        <v>0.55000000000000004</v>
      </c>
      <c r="H1346">
        <v>0.55000000000000004</v>
      </c>
      <c r="I1346">
        <v>0.6</v>
      </c>
      <c r="J1346">
        <v>58700</v>
      </c>
      <c r="K1346">
        <v>32535</v>
      </c>
      <c r="L1346" s="1">
        <v>45240</v>
      </c>
      <c r="M1346">
        <v>8</v>
      </c>
      <c r="N1346" t="s">
        <v>4833</v>
      </c>
      <c r="O1346" s="5">
        <v>45240</v>
      </c>
      <c r="P1346" s="5">
        <v>43777</v>
      </c>
      <c r="Q1346" s="3">
        <v>0.25</v>
      </c>
      <c r="S1346">
        <f t="shared" si="60"/>
        <v>1464</v>
      </c>
      <c r="T1346">
        <f t="shared" si="61"/>
        <v>16.043835616438358</v>
      </c>
      <c r="U1346" s="6">
        <f t="shared" si="62"/>
        <v>0.20148613849219998</v>
      </c>
    </row>
    <row r="1347" spans="1:21" x14ac:dyDescent="0.25">
      <c r="A1347" t="s">
        <v>4834</v>
      </c>
      <c r="B1347" t="s">
        <v>4835</v>
      </c>
      <c r="C1347" t="s">
        <v>14</v>
      </c>
      <c r="D1347">
        <v>280.05</v>
      </c>
      <c r="E1347">
        <v>280.10000000000002</v>
      </c>
      <c r="F1347">
        <v>271.8</v>
      </c>
      <c r="G1347" s="3">
        <v>274.64999999999998</v>
      </c>
      <c r="H1347">
        <v>276</v>
      </c>
      <c r="I1347">
        <v>274.5</v>
      </c>
      <c r="J1347">
        <v>50625</v>
      </c>
      <c r="K1347">
        <v>13961589.1</v>
      </c>
      <c r="L1347" s="1">
        <v>45240</v>
      </c>
      <c r="M1347">
        <v>4055</v>
      </c>
      <c r="N1347" t="s">
        <v>4836</v>
      </c>
      <c r="O1347" s="5">
        <v>45240</v>
      </c>
      <c r="P1347" s="5">
        <v>43777</v>
      </c>
      <c r="Q1347" s="3">
        <v>171.8</v>
      </c>
      <c r="S1347">
        <f t="shared" ref="S1347:S1410" si="63">O1347-P1347+1</f>
        <v>1464</v>
      </c>
      <c r="T1347">
        <f t="shared" ref="T1347:T1410" si="64">(S1347/365)*4</f>
        <v>16.043835616438358</v>
      </c>
      <c r="U1347" s="6">
        <f t="shared" ref="U1347:U1410" si="65">(((G1347/Q1347)^(1/T1347))-1)*4</f>
        <v>0.11869824412234031</v>
      </c>
    </row>
    <row r="1348" spans="1:21" x14ac:dyDescent="0.25">
      <c r="A1348" t="s">
        <v>4837</v>
      </c>
      <c r="B1348" t="s">
        <v>4838</v>
      </c>
      <c r="C1348" t="s">
        <v>14</v>
      </c>
      <c r="D1348">
        <v>2328</v>
      </c>
      <c r="E1348">
        <v>2354.9499999999998</v>
      </c>
      <c r="F1348">
        <v>2315.1</v>
      </c>
      <c r="G1348" s="3">
        <v>2351.1999999999998</v>
      </c>
      <c r="H1348">
        <v>2348</v>
      </c>
      <c r="I1348">
        <v>2337.35</v>
      </c>
      <c r="J1348">
        <v>122114</v>
      </c>
      <c r="K1348">
        <v>286203254.14999998</v>
      </c>
      <c r="L1348" s="1">
        <v>45240</v>
      </c>
      <c r="M1348">
        <v>13753</v>
      </c>
      <c r="N1348" t="s">
        <v>4839</v>
      </c>
      <c r="O1348" s="5">
        <v>45240</v>
      </c>
      <c r="P1348" s="5">
        <v>43777</v>
      </c>
      <c r="Q1348" s="3">
        <v>3139.45</v>
      </c>
      <c r="S1348">
        <f t="shared" si="63"/>
        <v>1464</v>
      </c>
      <c r="T1348">
        <f t="shared" si="64"/>
        <v>16.043835616438358</v>
      </c>
      <c r="U1348" s="6">
        <f t="shared" si="65"/>
        <v>-7.1437349549666518E-2</v>
      </c>
    </row>
    <row r="1349" spans="1:21" x14ac:dyDescent="0.25">
      <c r="A1349" t="s">
        <v>4843</v>
      </c>
      <c r="B1349" t="s">
        <v>4844</v>
      </c>
      <c r="C1349" t="s">
        <v>14</v>
      </c>
      <c r="D1349">
        <v>552</v>
      </c>
      <c r="E1349">
        <v>565</v>
      </c>
      <c r="F1349">
        <v>550.54999999999995</v>
      </c>
      <c r="G1349" s="3">
        <v>560.85</v>
      </c>
      <c r="H1349">
        <v>565</v>
      </c>
      <c r="I1349">
        <v>553.04999999999995</v>
      </c>
      <c r="J1349">
        <v>11084</v>
      </c>
      <c r="K1349">
        <v>6178721.1500000004</v>
      </c>
      <c r="L1349" s="1">
        <v>45240</v>
      </c>
      <c r="M1349">
        <v>1119</v>
      </c>
      <c r="N1349" t="s">
        <v>4845</v>
      </c>
      <c r="O1349" s="5">
        <v>45240</v>
      </c>
      <c r="P1349" s="5">
        <v>43777</v>
      </c>
      <c r="Q1349" s="3">
        <v>104.55</v>
      </c>
      <c r="S1349">
        <f t="shared" si="63"/>
        <v>1464</v>
      </c>
      <c r="T1349">
        <f t="shared" si="64"/>
        <v>16.043835616438358</v>
      </c>
      <c r="U1349" s="6">
        <f t="shared" si="65"/>
        <v>0.44150936647215744</v>
      </c>
    </row>
    <row r="1350" spans="1:21" x14ac:dyDescent="0.25">
      <c r="A1350" t="s">
        <v>4849</v>
      </c>
      <c r="B1350" t="s">
        <v>4850</v>
      </c>
      <c r="C1350" t="s">
        <v>14</v>
      </c>
      <c r="D1350">
        <v>288.2</v>
      </c>
      <c r="E1350">
        <v>288.2</v>
      </c>
      <c r="F1350">
        <v>283.14999999999998</v>
      </c>
      <c r="G1350" s="3">
        <v>285.05</v>
      </c>
      <c r="H1350">
        <v>285.7</v>
      </c>
      <c r="I1350">
        <v>288.25</v>
      </c>
      <c r="J1350">
        <v>81215</v>
      </c>
      <c r="K1350">
        <v>23153950.399999999</v>
      </c>
      <c r="L1350" s="1">
        <v>45240</v>
      </c>
      <c r="M1350">
        <v>2603</v>
      </c>
      <c r="N1350" t="s">
        <v>4851</v>
      </c>
      <c r="O1350" s="5">
        <v>45240</v>
      </c>
      <c r="P1350" s="5">
        <v>43777</v>
      </c>
      <c r="Q1350" s="3">
        <v>772.85</v>
      </c>
      <c r="S1350">
        <f t="shared" si="63"/>
        <v>1464</v>
      </c>
      <c r="T1350">
        <f t="shared" si="64"/>
        <v>16.043835616438358</v>
      </c>
      <c r="U1350" s="6">
        <f t="shared" si="65"/>
        <v>-0.24110168902557039</v>
      </c>
    </row>
    <row r="1351" spans="1:21" x14ac:dyDescent="0.25">
      <c r="A1351" t="s">
        <v>4852</v>
      </c>
      <c r="B1351" t="s">
        <v>4853</v>
      </c>
      <c r="C1351" t="s">
        <v>14</v>
      </c>
      <c r="D1351">
        <v>483</v>
      </c>
      <c r="E1351">
        <v>489.3</v>
      </c>
      <c r="F1351">
        <v>476.95</v>
      </c>
      <c r="G1351" s="3">
        <v>482.75</v>
      </c>
      <c r="H1351">
        <v>479.05</v>
      </c>
      <c r="I1351">
        <v>482.1</v>
      </c>
      <c r="J1351">
        <v>155317</v>
      </c>
      <c r="K1351">
        <v>75045253.200000003</v>
      </c>
      <c r="L1351" s="1">
        <v>45240</v>
      </c>
      <c r="M1351">
        <v>8016</v>
      </c>
      <c r="N1351" t="s">
        <v>4854</v>
      </c>
      <c r="O1351" s="5">
        <v>45240</v>
      </c>
      <c r="P1351" s="5">
        <v>43777</v>
      </c>
      <c r="Q1351" s="3">
        <v>400.2</v>
      </c>
      <c r="S1351">
        <f t="shared" si="63"/>
        <v>1464</v>
      </c>
      <c r="T1351">
        <f t="shared" si="64"/>
        <v>16.043835616438358</v>
      </c>
      <c r="U1351" s="6">
        <f t="shared" si="65"/>
        <v>4.7029855192244341E-2</v>
      </c>
    </row>
    <row r="1352" spans="1:21" x14ac:dyDescent="0.25">
      <c r="A1352" t="s">
        <v>4855</v>
      </c>
      <c r="B1352" t="s">
        <v>4856</v>
      </c>
      <c r="C1352" t="s">
        <v>14</v>
      </c>
      <c r="D1352">
        <v>160.69999999999999</v>
      </c>
      <c r="E1352">
        <v>163.80000000000001</v>
      </c>
      <c r="F1352">
        <v>158.1</v>
      </c>
      <c r="G1352" s="3">
        <v>158.9</v>
      </c>
      <c r="H1352">
        <v>160.25</v>
      </c>
      <c r="I1352">
        <v>159.1</v>
      </c>
      <c r="J1352">
        <v>868043</v>
      </c>
      <c r="K1352">
        <v>139714737.40000001</v>
      </c>
      <c r="L1352" s="1">
        <v>45240</v>
      </c>
      <c r="M1352">
        <v>13072</v>
      </c>
      <c r="N1352" t="s">
        <v>4857</v>
      </c>
      <c r="O1352" s="5">
        <v>45240</v>
      </c>
      <c r="P1352" s="5">
        <v>43777</v>
      </c>
      <c r="Q1352" s="3">
        <v>95.8</v>
      </c>
      <c r="S1352">
        <f t="shared" si="63"/>
        <v>1464</v>
      </c>
      <c r="T1352">
        <f t="shared" si="64"/>
        <v>16.043835616438358</v>
      </c>
      <c r="U1352" s="6">
        <f t="shared" si="65"/>
        <v>0.12816800479010038</v>
      </c>
    </row>
    <row r="1353" spans="1:21" x14ac:dyDescent="0.25">
      <c r="A1353" t="s">
        <v>4861</v>
      </c>
      <c r="B1353" t="s">
        <v>4862</v>
      </c>
      <c r="C1353" t="s">
        <v>14</v>
      </c>
      <c r="D1353">
        <v>209.85</v>
      </c>
      <c r="E1353">
        <v>215.9</v>
      </c>
      <c r="F1353">
        <v>209.85</v>
      </c>
      <c r="G1353" s="3">
        <v>213.45</v>
      </c>
      <c r="H1353">
        <v>213.15</v>
      </c>
      <c r="I1353">
        <v>214.95</v>
      </c>
      <c r="J1353">
        <v>56725</v>
      </c>
      <c r="K1353">
        <v>12133798.550000001</v>
      </c>
      <c r="L1353" s="1">
        <v>45240</v>
      </c>
      <c r="M1353">
        <v>2444</v>
      </c>
      <c r="N1353" t="s">
        <v>4863</v>
      </c>
      <c r="O1353" s="5">
        <v>45240</v>
      </c>
      <c r="P1353" s="5">
        <v>43777</v>
      </c>
      <c r="Q1353" s="3">
        <v>103.7</v>
      </c>
      <c r="S1353">
        <f t="shared" si="63"/>
        <v>1464</v>
      </c>
      <c r="T1353">
        <f t="shared" si="64"/>
        <v>16.043835616438358</v>
      </c>
      <c r="U1353" s="6">
        <f t="shared" si="65"/>
        <v>0.18409263529608921</v>
      </c>
    </row>
    <row r="1354" spans="1:21" x14ac:dyDescent="0.25">
      <c r="A1354" t="s">
        <v>4867</v>
      </c>
      <c r="B1354" t="s">
        <v>4868</v>
      </c>
      <c r="C1354" t="s">
        <v>14</v>
      </c>
      <c r="D1354">
        <v>112.65</v>
      </c>
      <c r="E1354">
        <v>114.9</v>
      </c>
      <c r="F1354">
        <v>112.2</v>
      </c>
      <c r="G1354" s="3">
        <v>112.95</v>
      </c>
      <c r="H1354">
        <v>113.15</v>
      </c>
      <c r="I1354">
        <v>112.6</v>
      </c>
      <c r="J1354">
        <v>58731</v>
      </c>
      <c r="K1354">
        <v>6652512.25</v>
      </c>
      <c r="L1354" s="1">
        <v>45240</v>
      </c>
      <c r="M1354">
        <v>1512</v>
      </c>
      <c r="N1354" t="s">
        <v>4869</v>
      </c>
      <c r="O1354" s="5">
        <v>45240</v>
      </c>
      <c r="P1354" s="5">
        <v>43777</v>
      </c>
      <c r="Q1354" s="3">
        <v>61.2</v>
      </c>
      <c r="S1354">
        <f t="shared" si="63"/>
        <v>1464</v>
      </c>
      <c r="T1354">
        <f t="shared" si="64"/>
        <v>16.043835616438358</v>
      </c>
      <c r="U1354" s="6">
        <f t="shared" si="65"/>
        <v>0.15573619274038197</v>
      </c>
    </row>
    <row r="1355" spans="1:21" x14ac:dyDescent="0.25">
      <c r="A1355" t="s">
        <v>4873</v>
      </c>
      <c r="B1355" t="s">
        <v>4874</v>
      </c>
      <c r="C1355" t="s">
        <v>14</v>
      </c>
      <c r="D1355">
        <v>65.5</v>
      </c>
      <c r="E1355">
        <v>69</v>
      </c>
      <c r="F1355">
        <v>65.150000000000006</v>
      </c>
      <c r="G1355" s="3">
        <v>67.400000000000006</v>
      </c>
      <c r="H1355">
        <v>67.349999999999994</v>
      </c>
      <c r="I1355">
        <v>65.650000000000006</v>
      </c>
      <c r="J1355">
        <v>25211</v>
      </c>
      <c r="K1355">
        <v>1700577.05</v>
      </c>
      <c r="L1355" s="1">
        <v>45240</v>
      </c>
      <c r="M1355">
        <v>382</v>
      </c>
      <c r="N1355" t="s">
        <v>4875</v>
      </c>
      <c r="O1355" s="5">
        <v>45240</v>
      </c>
      <c r="P1355" s="5">
        <v>43777</v>
      </c>
      <c r="Q1355" s="3">
        <v>30.8</v>
      </c>
      <c r="S1355">
        <f t="shared" si="63"/>
        <v>1464</v>
      </c>
      <c r="T1355">
        <f t="shared" si="64"/>
        <v>16.043835616438358</v>
      </c>
      <c r="U1355" s="6">
        <f t="shared" si="65"/>
        <v>0.20009135122398725</v>
      </c>
    </row>
    <row r="1356" spans="1:21" x14ac:dyDescent="0.25">
      <c r="A1356" t="s">
        <v>4876</v>
      </c>
      <c r="B1356" t="s">
        <v>4877</v>
      </c>
      <c r="C1356" t="s">
        <v>14</v>
      </c>
      <c r="D1356">
        <v>8.6999999999999993</v>
      </c>
      <c r="E1356">
        <v>8.85</v>
      </c>
      <c r="F1356">
        <v>8.65</v>
      </c>
      <c r="G1356" s="3">
        <v>8.6999999999999993</v>
      </c>
      <c r="H1356">
        <v>8.75</v>
      </c>
      <c r="I1356">
        <v>8.6999999999999993</v>
      </c>
      <c r="J1356">
        <v>963052</v>
      </c>
      <c r="K1356">
        <v>8413852.5</v>
      </c>
      <c r="L1356" s="1">
        <v>45240</v>
      </c>
      <c r="M1356">
        <v>1705</v>
      </c>
      <c r="N1356" t="s">
        <v>4878</v>
      </c>
      <c r="O1356" s="5">
        <v>45240</v>
      </c>
      <c r="P1356" s="5">
        <v>43777</v>
      </c>
      <c r="Q1356" s="3">
        <v>11.1</v>
      </c>
      <c r="S1356">
        <f t="shared" si="63"/>
        <v>1464</v>
      </c>
      <c r="T1356">
        <f t="shared" si="64"/>
        <v>16.043835616438358</v>
      </c>
      <c r="U1356" s="6">
        <f t="shared" si="65"/>
        <v>-6.028028251457318E-2</v>
      </c>
    </row>
    <row r="1357" spans="1:21" x14ac:dyDescent="0.25">
      <c r="A1357" t="s">
        <v>4879</v>
      </c>
      <c r="B1357" t="s">
        <v>4880</v>
      </c>
      <c r="C1357" t="s">
        <v>14</v>
      </c>
      <c r="D1357">
        <v>257.8</v>
      </c>
      <c r="E1357">
        <v>257.95</v>
      </c>
      <c r="F1357">
        <v>251</v>
      </c>
      <c r="G1357" s="3">
        <v>253.2</v>
      </c>
      <c r="H1357">
        <v>251</v>
      </c>
      <c r="I1357">
        <v>251.8</v>
      </c>
      <c r="J1357">
        <v>19056</v>
      </c>
      <c r="K1357">
        <v>4844230.45</v>
      </c>
      <c r="L1357" s="1">
        <v>45240</v>
      </c>
      <c r="M1357">
        <v>692</v>
      </c>
      <c r="N1357" t="s">
        <v>4881</v>
      </c>
      <c r="O1357" s="5">
        <v>45240</v>
      </c>
      <c r="P1357" s="5">
        <v>43777</v>
      </c>
      <c r="Q1357" s="3">
        <v>69.599999999999994</v>
      </c>
      <c r="S1357">
        <f t="shared" si="63"/>
        <v>1464</v>
      </c>
      <c r="T1357">
        <f t="shared" si="64"/>
        <v>16.043835616438358</v>
      </c>
      <c r="U1357" s="6">
        <f t="shared" si="65"/>
        <v>0.33528467809703066</v>
      </c>
    </row>
    <row r="1358" spans="1:21" x14ac:dyDescent="0.25">
      <c r="A1358" t="s">
        <v>4882</v>
      </c>
      <c r="B1358" t="s">
        <v>4883</v>
      </c>
      <c r="C1358" t="s">
        <v>14</v>
      </c>
      <c r="D1358">
        <v>325.64999999999998</v>
      </c>
      <c r="E1358">
        <v>333</v>
      </c>
      <c r="F1358">
        <v>324.75</v>
      </c>
      <c r="G1358" s="3">
        <v>330.85</v>
      </c>
      <c r="H1358">
        <v>331.55</v>
      </c>
      <c r="I1358">
        <v>323.7</v>
      </c>
      <c r="J1358">
        <v>29317</v>
      </c>
      <c r="K1358">
        <v>9649922.1999999993</v>
      </c>
      <c r="L1358" s="1">
        <v>45240</v>
      </c>
      <c r="M1358">
        <v>2368</v>
      </c>
      <c r="N1358" t="s">
        <v>4884</v>
      </c>
      <c r="O1358" s="5">
        <v>45240</v>
      </c>
      <c r="P1358" s="5">
        <v>43777</v>
      </c>
      <c r="Q1358" s="3">
        <v>180</v>
      </c>
      <c r="S1358">
        <f t="shared" si="63"/>
        <v>1464</v>
      </c>
      <c r="T1358">
        <f t="shared" si="64"/>
        <v>16.043835616438358</v>
      </c>
      <c r="U1358" s="6">
        <f t="shared" si="65"/>
        <v>0.15467697098703326</v>
      </c>
    </row>
    <row r="1359" spans="1:21" x14ac:dyDescent="0.25">
      <c r="A1359" t="s">
        <v>4900</v>
      </c>
      <c r="B1359" t="s">
        <v>4901</v>
      </c>
      <c r="C1359" t="s">
        <v>14</v>
      </c>
      <c r="D1359">
        <v>425</v>
      </c>
      <c r="E1359">
        <v>425</v>
      </c>
      <c r="F1359">
        <v>402.5</v>
      </c>
      <c r="G1359" s="3">
        <v>406.55</v>
      </c>
      <c r="H1359">
        <v>406</v>
      </c>
      <c r="I1359">
        <v>395.6</v>
      </c>
      <c r="J1359">
        <v>628766</v>
      </c>
      <c r="K1359">
        <v>259815903.84999999</v>
      </c>
      <c r="L1359" s="1">
        <v>45240</v>
      </c>
      <c r="M1359">
        <v>19195</v>
      </c>
      <c r="N1359" t="s">
        <v>4902</v>
      </c>
      <c r="O1359" s="5">
        <v>45240</v>
      </c>
      <c r="P1359" s="5">
        <v>43777</v>
      </c>
      <c r="Q1359" s="3">
        <v>241.95</v>
      </c>
      <c r="S1359">
        <f t="shared" si="63"/>
        <v>1464</v>
      </c>
      <c r="T1359">
        <f t="shared" si="64"/>
        <v>16.043835616438358</v>
      </c>
      <c r="U1359" s="6">
        <f t="shared" si="65"/>
        <v>0.1315049180475949</v>
      </c>
    </row>
    <row r="1360" spans="1:21" x14ac:dyDescent="0.25">
      <c r="A1360" t="s">
        <v>4903</v>
      </c>
      <c r="B1360" t="s">
        <v>4904</v>
      </c>
      <c r="C1360" t="s">
        <v>14</v>
      </c>
      <c r="D1360">
        <v>470</v>
      </c>
      <c r="E1360">
        <v>474.25</v>
      </c>
      <c r="F1360">
        <v>467</v>
      </c>
      <c r="G1360" s="3">
        <v>469.55</v>
      </c>
      <c r="H1360">
        <v>467.25</v>
      </c>
      <c r="I1360">
        <v>469.9</v>
      </c>
      <c r="J1360">
        <v>52564</v>
      </c>
      <c r="K1360">
        <v>24714909.050000001</v>
      </c>
      <c r="L1360" s="1">
        <v>45240</v>
      </c>
      <c r="M1360">
        <v>4332</v>
      </c>
      <c r="N1360" t="s">
        <v>4905</v>
      </c>
      <c r="O1360" s="5">
        <v>45240</v>
      </c>
      <c r="P1360" s="5">
        <v>43777</v>
      </c>
      <c r="Q1360" s="3">
        <v>398.25</v>
      </c>
      <c r="S1360">
        <f t="shared" si="63"/>
        <v>1464</v>
      </c>
      <c r="T1360">
        <f t="shared" si="64"/>
        <v>16.043835616438358</v>
      </c>
      <c r="U1360" s="6">
        <f t="shared" si="65"/>
        <v>4.1272689549605168E-2</v>
      </c>
    </row>
    <row r="1361" spans="1:21" x14ac:dyDescent="0.25">
      <c r="A1361" t="s">
        <v>4912</v>
      </c>
      <c r="B1361" t="s">
        <v>4913</v>
      </c>
      <c r="C1361" t="s">
        <v>10</v>
      </c>
      <c r="D1361">
        <v>3.55</v>
      </c>
      <c r="E1361">
        <v>3.65</v>
      </c>
      <c r="F1361">
        <v>3.5</v>
      </c>
      <c r="G1361" s="3">
        <v>3.65</v>
      </c>
      <c r="H1361">
        <v>3.65</v>
      </c>
      <c r="I1361">
        <v>3.5</v>
      </c>
      <c r="J1361">
        <v>277804</v>
      </c>
      <c r="K1361">
        <v>1011622.8</v>
      </c>
      <c r="L1361" s="1">
        <v>45240</v>
      </c>
      <c r="M1361">
        <v>82</v>
      </c>
      <c r="N1361" t="s">
        <v>4914</v>
      </c>
      <c r="O1361" s="5">
        <v>45240</v>
      </c>
      <c r="P1361" s="5">
        <v>43777</v>
      </c>
      <c r="Q1361" s="3">
        <v>2.4</v>
      </c>
      <c r="S1361">
        <f t="shared" si="63"/>
        <v>1464</v>
      </c>
      <c r="T1361">
        <f t="shared" si="64"/>
        <v>16.043835616438358</v>
      </c>
      <c r="U1361" s="6">
        <f t="shared" si="65"/>
        <v>0.10590597259217382</v>
      </c>
    </row>
    <row r="1362" spans="1:21" x14ac:dyDescent="0.25">
      <c r="A1362" t="s">
        <v>4918</v>
      </c>
      <c r="B1362" t="s">
        <v>4919</v>
      </c>
      <c r="C1362" t="s">
        <v>14</v>
      </c>
      <c r="D1362">
        <v>27.7</v>
      </c>
      <c r="E1362">
        <v>29.4</v>
      </c>
      <c r="F1362">
        <v>27.45</v>
      </c>
      <c r="G1362" s="3">
        <v>27.7</v>
      </c>
      <c r="H1362">
        <v>27.5</v>
      </c>
      <c r="I1362">
        <v>28.8</v>
      </c>
      <c r="J1362">
        <v>121619</v>
      </c>
      <c r="K1362">
        <v>3378246.45</v>
      </c>
      <c r="L1362" s="1">
        <v>45240</v>
      </c>
      <c r="M1362">
        <v>604</v>
      </c>
      <c r="N1362" t="s">
        <v>4920</v>
      </c>
      <c r="O1362" s="5">
        <v>45240</v>
      </c>
      <c r="P1362" s="5">
        <v>43777</v>
      </c>
      <c r="Q1362" s="3">
        <v>21.1</v>
      </c>
      <c r="S1362">
        <f t="shared" si="63"/>
        <v>1464</v>
      </c>
      <c r="T1362">
        <f t="shared" si="64"/>
        <v>16.043835616438358</v>
      </c>
      <c r="U1362" s="6">
        <f t="shared" si="65"/>
        <v>6.8432729768163725E-2</v>
      </c>
    </row>
    <row r="1363" spans="1:21" x14ac:dyDescent="0.25">
      <c r="A1363" t="s">
        <v>4921</v>
      </c>
      <c r="B1363" t="s">
        <v>4922</v>
      </c>
      <c r="C1363" t="s">
        <v>14</v>
      </c>
      <c r="D1363">
        <v>1075</v>
      </c>
      <c r="E1363">
        <v>1140</v>
      </c>
      <c r="F1363">
        <v>1050</v>
      </c>
      <c r="G1363" s="3">
        <v>1101.8</v>
      </c>
      <c r="H1363">
        <v>1100</v>
      </c>
      <c r="I1363">
        <v>1072.0999999999999</v>
      </c>
      <c r="J1363">
        <v>19555</v>
      </c>
      <c r="K1363">
        <v>21586631.5</v>
      </c>
      <c r="L1363" s="1">
        <v>45240</v>
      </c>
      <c r="M1363">
        <v>2147</v>
      </c>
      <c r="N1363" t="s">
        <v>4923</v>
      </c>
      <c r="O1363" s="5">
        <v>45240</v>
      </c>
      <c r="P1363" s="5">
        <v>43777</v>
      </c>
      <c r="Q1363" s="3">
        <v>441.8</v>
      </c>
      <c r="S1363">
        <f t="shared" si="63"/>
        <v>1464</v>
      </c>
      <c r="T1363">
        <f t="shared" si="64"/>
        <v>16.043835616438358</v>
      </c>
      <c r="U1363" s="6">
        <f t="shared" si="65"/>
        <v>0.23445024877345855</v>
      </c>
    </row>
    <row r="1364" spans="1:21" x14ac:dyDescent="0.25">
      <c r="A1364" t="s">
        <v>4924</v>
      </c>
      <c r="B1364" t="s">
        <v>4925</v>
      </c>
      <c r="C1364" t="s">
        <v>10</v>
      </c>
      <c r="D1364">
        <v>2.75</v>
      </c>
      <c r="E1364">
        <v>2.8</v>
      </c>
      <c r="F1364">
        <v>2.7</v>
      </c>
      <c r="G1364" s="3">
        <v>2.8</v>
      </c>
      <c r="H1364">
        <v>2.8</v>
      </c>
      <c r="I1364">
        <v>2.7</v>
      </c>
      <c r="J1364">
        <v>279452</v>
      </c>
      <c r="K1364">
        <v>773138.2</v>
      </c>
      <c r="L1364" s="1">
        <v>45240</v>
      </c>
      <c r="M1364">
        <v>347</v>
      </c>
      <c r="N1364" t="s">
        <v>4926</v>
      </c>
      <c r="O1364" s="5">
        <v>45240</v>
      </c>
      <c r="P1364" s="5">
        <v>43777</v>
      </c>
      <c r="Q1364" s="3">
        <v>1.4</v>
      </c>
      <c r="S1364">
        <f t="shared" si="63"/>
        <v>1464</v>
      </c>
      <c r="T1364">
        <f t="shared" si="64"/>
        <v>16.043835616438358</v>
      </c>
      <c r="U1364" s="6">
        <f t="shared" si="65"/>
        <v>0.17660073586319758</v>
      </c>
    </row>
    <row r="1365" spans="1:21" x14ac:dyDescent="0.25">
      <c r="A1365" t="s">
        <v>4927</v>
      </c>
      <c r="B1365" t="s">
        <v>4928</v>
      </c>
      <c r="C1365" t="s">
        <v>14</v>
      </c>
      <c r="D1365">
        <v>3260</v>
      </c>
      <c r="E1365">
        <v>3260</v>
      </c>
      <c r="F1365">
        <v>3160.5</v>
      </c>
      <c r="G1365" s="3">
        <v>3183.8</v>
      </c>
      <c r="H1365">
        <v>3199</v>
      </c>
      <c r="I1365">
        <v>3257.55</v>
      </c>
      <c r="J1365">
        <v>24111</v>
      </c>
      <c r="K1365">
        <v>77093885.650000006</v>
      </c>
      <c r="L1365" s="1">
        <v>45240</v>
      </c>
      <c r="M1365">
        <v>6167</v>
      </c>
      <c r="N1365" t="s">
        <v>4929</v>
      </c>
      <c r="O1365" s="5">
        <v>45240</v>
      </c>
      <c r="P1365" s="5">
        <v>43777</v>
      </c>
      <c r="Q1365" s="3">
        <v>1573.15</v>
      </c>
      <c r="S1365">
        <f t="shared" si="63"/>
        <v>1464</v>
      </c>
      <c r="T1365">
        <f t="shared" si="64"/>
        <v>16.043835616438358</v>
      </c>
      <c r="U1365" s="6">
        <f t="shared" si="65"/>
        <v>0.17968627388335356</v>
      </c>
    </row>
    <row r="1366" spans="1:21" x14ac:dyDescent="0.25">
      <c r="A1366" t="s">
        <v>4930</v>
      </c>
      <c r="B1366" t="s">
        <v>4931</v>
      </c>
      <c r="C1366" t="s">
        <v>14</v>
      </c>
      <c r="D1366">
        <v>159.44999999999999</v>
      </c>
      <c r="E1366">
        <v>163.69999999999999</v>
      </c>
      <c r="F1366">
        <v>158.19999999999999</v>
      </c>
      <c r="G1366" s="3">
        <v>161.85</v>
      </c>
      <c r="H1366">
        <v>161.94999999999999</v>
      </c>
      <c r="I1366">
        <v>160.30000000000001</v>
      </c>
      <c r="J1366">
        <v>289453</v>
      </c>
      <c r="K1366">
        <v>46758514.399999999</v>
      </c>
      <c r="L1366" s="1">
        <v>45240</v>
      </c>
      <c r="M1366">
        <v>6008</v>
      </c>
      <c r="N1366" t="s">
        <v>4932</v>
      </c>
      <c r="O1366" s="5">
        <v>45240</v>
      </c>
      <c r="P1366" s="5">
        <v>43777</v>
      </c>
      <c r="Q1366" s="3">
        <v>67.55</v>
      </c>
      <c r="S1366">
        <f t="shared" si="63"/>
        <v>1464</v>
      </c>
      <c r="T1366">
        <f t="shared" si="64"/>
        <v>16.043835616438358</v>
      </c>
      <c r="U1366" s="6">
        <f t="shared" si="65"/>
        <v>0.22389532912279986</v>
      </c>
    </row>
    <row r="1367" spans="1:21" x14ac:dyDescent="0.25">
      <c r="A1367" t="s">
        <v>4933</v>
      </c>
      <c r="B1367" t="s">
        <v>4934</v>
      </c>
      <c r="C1367" t="s">
        <v>10</v>
      </c>
      <c r="D1367">
        <v>604.1</v>
      </c>
      <c r="E1367">
        <v>608</v>
      </c>
      <c r="F1367">
        <v>598.15</v>
      </c>
      <c r="G1367" s="3">
        <v>608</v>
      </c>
      <c r="H1367">
        <v>608</v>
      </c>
      <c r="I1367">
        <v>604.04999999999995</v>
      </c>
      <c r="J1367">
        <v>1866</v>
      </c>
      <c r="K1367">
        <v>1130175.8999999999</v>
      </c>
      <c r="L1367" s="1">
        <v>45240</v>
      </c>
      <c r="M1367">
        <v>21</v>
      </c>
      <c r="N1367" t="s">
        <v>4935</v>
      </c>
      <c r="O1367" s="5">
        <v>45240</v>
      </c>
      <c r="P1367" s="5">
        <v>43777</v>
      </c>
      <c r="Q1367" s="3">
        <v>244.5</v>
      </c>
      <c r="S1367">
        <f t="shared" si="63"/>
        <v>1464</v>
      </c>
      <c r="T1367">
        <f t="shared" si="64"/>
        <v>16.043835616438358</v>
      </c>
      <c r="U1367" s="6">
        <f t="shared" si="65"/>
        <v>0.23368924294546289</v>
      </c>
    </row>
    <row r="1368" spans="1:21" x14ac:dyDescent="0.25">
      <c r="A1368" t="s">
        <v>4936</v>
      </c>
      <c r="B1368" t="s">
        <v>4937</v>
      </c>
      <c r="C1368" t="s">
        <v>14</v>
      </c>
      <c r="D1368">
        <v>1250</v>
      </c>
      <c r="E1368">
        <v>1278</v>
      </c>
      <c r="F1368">
        <v>1237.5</v>
      </c>
      <c r="G1368" s="3">
        <v>1265.8499999999999</v>
      </c>
      <c r="H1368">
        <v>1273</v>
      </c>
      <c r="I1368">
        <v>1251.25</v>
      </c>
      <c r="J1368">
        <v>43861</v>
      </c>
      <c r="K1368">
        <v>54994789.350000001</v>
      </c>
      <c r="L1368" s="1">
        <v>45240</v>
      </c>
      <c r="M1368">
        <v>8498</v>
      </c>
      <c r="N1368" t="s">
        <v>4938</v>
      </c>
      <c r="O1368" s="5">
        <v>45240</v>
      </c>
      <c r="P1368" s="5">
        <v>43777</v>
      </c>
      <c r="Q1368" s="3">
        <v>470.1</v>
      </c>
      <c r="S1368">
        <f t="shared" si="63"/>
        <v>1464</v>
      </c>
      <c r="T1368">
        <f t="shared" si="64"/>
        <v>16.043835616438358</v>
      </c>
      <c r="U1368" s="6">
        <f t="shared" si="65"/>
        <v>0.2547449280947589</v>
      </c>
    </row>
    <row r="1369" spans="1:21" x14ac:dyDescent="0.25">
      <c r="A1369" t="s">
        <v>4939</v>
      </c>
      <c r="B1369" t="s">
        <v>4940</v>
      </c>
      <c r="C1369" t="s">
        <v>14</v>
      </c>
      <c r="D1369">
        <v>176.85</v>
      </c>
      <c r="E1369">
        <v>176.95</v>
      </c>
      <c r="F1369">
        <v>173.25</v>
      </c>
      <c r="G1369" s="3">
        <v>175</v>
      </c>
      <c r="H1369">
        <v>175.5</v>
      </c>
      <c r="I1369">
        <v>177.35</v>
      </c>
      <c r="J1369">
        <v>140588</v>
      </c>
      <c r="K1369">
        <v>24548152.449999999</v>
      </c>
      <c r="L1369" s="1">
        <v>45240</v>
      </c>
      <c r="M1369">
        <v>3668</v>
      </c>
      <c r="N1369" t="s">
        <v>4941</v>
      </c>
      <c r="O1369" s="5">
        <v>45240</v>
      </c>
      <c r="P1369" s="5">
        <v>43777</v>
      </c>
      <c r="Q1369" s="3">
        <v>27.85</v>
      </c>
      <c r="S1369">
        <f t="shared" si="63"/>
        <v>1464</v>
      </c>
      <c r="T1369">
        <f t="shared" si="64"/>
        <v>16.043835616438358</v>
      </c>
      <c r="U1369" s="6">
        <f t="shared" si="65"/>
        <v>0.48551163530801489</v>
      </c>
    </row>
    <row r="1370" spans="1:21" x14ac:dyDescent="0.25">
      <c r="A1370" t="s">
        <v>4942</v>
      </c>
      <c r="B1370" t="s">
        <v>4943</v>
      </c>
      <c r="C1370" t="s">
        <v>14</v>
      </c>
      <c r="D1370">
        <v>1174.05</v>
      </c>
      <c r="E1370">
        <v>1181.5</v>
      </c>
      <c r="F1370">
        <v>1170.0999999999999</v>
      </c>
      <c r="G1370" s="3">
        <v>1179.3499999999999</v>
      </c>
      <c r="H1370">
        <v>1181.45</v>
      </c>
      <c r="I1370">
        <v>1176.2</v>
      </c>
      <c r="J1370">
        <v>957539</v>
      </c>
      <c r="K1370">
        <v>1128208335.6500001</v>
      </c>
      <c r="L1370" s="1">
        <v>45240</v>
      </c>
      <c r="M1370">
        <v>69989</v>
      </c>
      <c r="N1370" t="s">
        <v>4944</v>
      </c>
      <c r="O1370" s="5">
        <v>45240</v>
      </c>
      <c r="P1370" s="5">
        <v>43777</v>
      </c>
      <c r="Q1370" s="3">
        <v>422.1</v>
      </c>
      <c r="S1370">
        <f t="shared" si="63"/>
        <v>1464</v>
      </c>
      <c r="T1370">
        <f t="shared" si="64"/>
        <v>16.043835616438358</v>
      </c>
      <c r="U1370" s="6">
        <f t="shared" si="65"/>
        <v>0.26454794342569876</v>
      </c>
    </row>
    <row r="1371" spans="1:21" x14ac:dyDescent="0.25">
      <c r="A1371" t="s">
        <v>4945</v>
      </c>
      <c r="B1371" t="s">
        <v>4946</v>
      </c>
      <c r="C1371" t="s">
        <v>14</v>
      </c>
      <c r="D1371">
        <v>451.7</v>
      </c>
      <c r="E1371">
        <v>455.2</v>
      </c>
      <c r="F1371">
        <v>444.05</v>
      </c>
      <c r="G1371" s="3">
        <v>447.75</v>
      </c>
      <c r="H1371">
        <v>446</v>
      </c>
      <c r="I1371">
        <v>452.55</v>
      </c>
      <c r="J1371">
        <v>293496</v>
      </c>
      <c r="K1371">
        <v>131873178.90000001</v>
      </c>
      <c r="L1371" s="1">
        <v>45240</v>
      </c>
      <c r="M1371">
        <v>5279</v>
      </c>
      <c r="N1371" t="s">
        <v>4947</v>
      </c>
      <c r="O1371" s="5">
        <v>45240</v>
      </c>
      <c r="P1371" s="5">
        <v>43777</v>
      </c>
      <c r="Q1371" s="3">
        <v>433.5</v>
      </c>
      <c r="S1371">
        <f t="shared" si="63"/>
        <v>1464</v>
      </c>
      <c r="T1371">
        <f t="shared" si="64"/>
        <v>16.043835616438358</v>
      </c>
      <c r="U1371" s="6">
        <f t="shared" si="65"/>
        <v>8.071852209435626E-3</v>
      </c>
    </row>
    <row r="1372" spans="1:21" x14ac:dyDescent="0.25">
      <c r="A1372" t="s">
        <v>4948</v>
      </c>
      <c r="B1372" t="s">
        <v>4949</v>
      </c>
      <c r="C1372" t="s">
        <v>14</v>
      </c>
      <c r="D1372">
        <v>657.95</v>
      </c>
      <c r="E1372">
        <v>657.95</v>
      </c>
      <c r="F1372">
        <v>641.45000000000005</v>
      </c>
      <c r="G1372" s="3">
        <v>646.9</v>
      </c>
      <c r="H1372">
        <v>647</v>
      </c>
      <c r="I1372">
        <v>655.9</v>
      </c>
      <c r="J1372">
        <v>846814</v>
      </c>
      <c r="K1372">
        <v>551082786.79999995</v>
      </c>
      <c r="L1372" s="1">
        <v>45240</v>
      </c>
      <c r="M1372">
        <v>16728</v>
      </c>
      <c r="N1372" t="s">
        <v>4950</v>
      </c>
      <c r="O1372" s="5">
        <v>45240</v>
      </c>
      <c r="P1372" s="5">
        <v>43777</v>
      </c>
      <c r="Q1372" s="3">
        <v>510.25</v>
      </c>
      <c r="S1372">
        <f t="shared" si="63"/>
        <v>1464</v>
      </c>
      <c r="T1372">
        <f t="shared" si="64"/>
        <v>16.043835616438358</v>
      </c>
      <c r="U1372" s="6">
        <f t="shared" si="65"/>
        <v>5.9600309023641884E-2</v>
      </c>
    </row>
    <row r="1373" spans="1:21" x14ac:dyDescent="0.25">
      <c r="A1373" t="s">
        <v>4951</v>
      </c>
      <c r="B1373" t="s">
        <v>4952</v>
      </c>
      <c r="C1373" t="s">
        <v>14</v>
      </c>
      <c r="D1373">
        <v>226.2</v>
      </c>
      <c r="E1373">
        <v>229.45</v>
      </c>
      <c r="F1373">
        <v>224.45</v>
      </c>
      <c r="G1373" s="3">
        <v>225.6</v>
      </c>
      <c r="H1373">
        <v>224.75</v>
      </c>
      <c r="I1373">
        <v>226.15</v>
      </c>
      <c r="J1373">
        <v>4181</v>
      </c>
      <c r="K1373">
        <v>949444.65</v>
      </c>
      <c r="L1373" s="1">
        <v>45240</v>
      </c>
      <c r="M1373">
        <v>253</v>
      </c>
      <c r="N1373" t="s">
        <v>4953</v>
      </c>
      <c r="O1373" s="5">
        <v>45240</v>
      </c>
      <c r="P1373" s="5">
        <v>43777</v>
      </c>
      <c r="Q1373" s="3">
        <v>91.75</v>
      </c>
      <c r="S1373">
        <f t="shared" si="63"/>
        <v>1464</v>
      </c>
      <c r="T1373">
        <f t="shared" si="64"/>
        <v>16.043835616438358</v>
      </c>
      <c r="U1373" s="6">
        <f t="shared" si="65"/>
        <v>0.23071803358620535</v>
      </c>
    </row>
    <row r="1374" spans="1:21" x14ac:dyDescent="0.25">
      <c r="A1374" t="s">
        <v>4954</v>
      </c>
      <c r="B1374" t="s">
        <v>4955</v>
      </c>
      <c r="C1374" t="s">
        <v>10</v>
      </c>
      <c r="D1374">
        <v>8.0500000000000007</v>
      </c>
      <c r="E1374">
        <v>8.4499999999999993</v>
      </c>
      <c r="F1374">
        <v>8.0500000000000007</v>
      </c>
      <c r="G1374" s="3">
        <v>8.1</v>
      </c>
      <c r="H1374">
        <v>8.1</v>
      </c>
      <c r="I1374">
        <v>8.3000000000000007</v>
      </c>
      <c r="J1374">
        <v>61384</v>
      </c>
      <c r="K1374">
        <v>499609.1</v>
      </c>
      <c r="L1374" s="1">
        <v>45240</v>
      </c>
      <c r="M1374">
        <v>142</v>
      </c>
      <c r="N1374" t="s">
        <v>4956</v>
      </c>
      <c r="O1374" s="5">
        <v>45240</v>
      </c>
      <c r="P1374" s="5">
        <v>43777</v>
      </c>
      <c r="Q1374" s="3">
        <v>4.1500000000000004</v>
      </c>
      <c r="S1374">
        <f t="shared" si="63"/>
        <v>1464</v>
      </c>
      <c r="T1374">
        <f t="shared" si="64"/>
        <v>16.043835616438358</v>
      </c>
      <c r="U1374" s="6">
        <f t="shared" si="65"/>
        <v>0.17025587147647681</v>
      </c>
    </row>
    <row r="1375" spans="1:21" x14ac:dyDescent="0.25">
      <c r="A1375" t="s">
        <v>4957</v>
      </c>
      <c r="B1375" t="s">
        <v>4958</v>
      </c>
      <c r="C1375" t="s">
        <v>14</v>
      </c>
      <c r="D1375">
        <v>383</v>
      </c>
      <c r="E1375">
        <v>383.4</v>
      </c>
      <c r="F1375">
        <v>366.4</v>
      </c>
      <c r="G1375" s="3">
        <v>368</v>
      </c>
      <c r="H1375">
        <v>368.4</v>
      </c>
      <c r="I1375">
        <v>383.65</v>
      </c>
      <c r="J1375">
        <v>248048</v>
      </c>
      <c r="K1375">
        <v>92531157.450000003</v>
      </c>
      <c r="L1375" s="1">
        <v>45240</v>
      </c>
      <c r="M1375">
        <v>10894</v>
      </c>
      <c r="N1375" t="s">
        <v>4959</v>
      </c>
      <c r="O1375" s="5">
        <v>45240</v>
      </c>
      <c r="P1375" s="5">
        <v>43777</v>
      </c>
      <c r="Q1375" s="3">
        <v>177.35</v>
      </c>
      <c r="S1375">
        <f t="shared" si="63"/>
        <v>1464</v>
      </c>
      <c r="T1375">
        <f t="shared" si="64"/>
        <v>16.043835616438358</v>
      </c>
      <c r="U1375" s="6">
        <f t="shared" si="65"/>
        <v>0.18619442600223657</v>
      </c>
    </row>
    <row r="1376" spans="1:21" x14ac:dyDescent="0.25">
      <c r="A1376" t="s">
        <v>4963</v>
      </c>
      <c r="B1376" t="s">
        <v>4964</v>
      </c>
      <c r="C1376" t="s">
        <v>14</v>
      </c>
      <c r="D1376">
        <v>4225.55</v>
      </c>
      <c r="E1376">
        <v>4319</v>
      </c>
      <c r="F1376">
        <v>4192.1499999999996</v>
      </c>
      <c r="G1376" s="3">
        <v>4247.95</v>
      </c>
      <c r="H1376">
        <v>4249</v>
      </c>
      <c r="I1376">
        <v>4225.5</v>
      </c>
      <c r="J1376">
        <v>75980</v>
      </c>
      <c r="K1376">
        <v>323018668.25</v>
      </c>
      <c r="L1376" s="1">
        <v>45240</v>
      </c>
      <c r="M1376">
        <v>14780</v>
      </c>
      <c r="N1376" t="s">
        <v>4965</v>
      </c>
      <c r="O1376" s="5">
        <v>45240</v>
      </c>
      <c r="P1376" s="5">
        <v>43777</v>
      </c>
      <c r="Q1376" s="3">
        <v>1150.1500000000001</v>
      </c>
      <c r="S1376">
        <f t="shared" si="63"/>
        <v>1464</v>
      </c>
      <c r="T1376">
        <f t="shared" si="64"/>
        <v>16.043835616438358</v>
      </c>
      <c r="U1376" s="6">
        <f t="shared" si="65"/>
        <v>0.33937469454588864</v>
      </c>
    </row>
    <row r="1377" spans="1:21" x14ac:dyDescent="0.25">
      <c r="A1377" t="s">
        <v>4966</v>
      </c>
      <c r="B1377" t="s">
        <v>4967</v>
      </c>
      <c r="C1377" t="s">
        <v>786</v>
      </c>
      <c r="D1377">
        <v>28.7</v>
      </c>
      <c r="E1377">
        <v>28.7</v>
      </c>
      <c r="F1377">
        <v>28.7</v>
      </c>
      <c r="G1377" s="3">
        <v>28.7</v>
      </c>
      <c r="H1377">
        <v>28.7</v>
      </c>
      <c r="I1377">
        <v>28.15</v>
      </c>
      <c r="J1377">
        <v>6044</v>
      </c>
      <c r="K1377">
        <v>173462.8</v>
      </c>
      <c r="L1377" s="1">
        <v>45240</v>
      </c>
      <c r="M1377">
        <v>10</v>
      </c>
      <c r="N1377" t="s">
        <v>4968</v>
      </c>
      <c r="O1377" s="5">
        <v>45240</v>
      </c>
      <c r="P1377" s="5">
        <v>43777</v>
      </c>
      <c r="Q1377" s="3">
        <v>12</v>
      </c>
      <c r="S1377">
        <f t="shared" si="63"/>
        <v>1464</v>
      </c>
      <c r="T1377">
        <f t="shared" si="64"/>
        <v>16.043835616438358</v>
      </c>
      <c r="U1377" s="6">
        <f t="shared" si="65"/>
        <v>0.22341845352794287</v>
      </c>
    </row>
    <row r="1378" spans="1:21" x14ac:dyDescent="0.25">
      <c r="A1378" t="s">
        <v>4972</v>
      </c>
      <c r="B1378" t="s">
        <v>4973</v>
      </c>
      <c r="C1378" t="s">
        <v>14</v>
      </c>
      <c r="D1378">
        <v>24.05</v>
      </c>
      <c r="E1378">
        <v>25.4</v>
      </c>
      <c r="F1378">
        <v>24</v>
      </c>
      <c r="G1378" s="3">
        <v>24.2</v>
      </c>
      <c r="H1378">
        <v>24.05</v>
      </c>
      <c r="I1378">
        <v>24.5</v>
      </c>
      <c r="J1378">
        <v>134111</v>
      </c>
      <c r="K1378">
        <v>3287857.35</v>
      </c>
      <c r="L1378" s="1">
        <v>45240</v>
      </c>
      <c r="M1378">
        <v>1222</v>
      </c>
      <c r="N1378" t="s">
        <v>4974</v>
      </c>
      <c r="O1378" s="5">
        <v>45240</v>
      </c>
      <c r="P1378" s="5">
        <v>43777</v>
      </c>
      <c r="Q1378" s="3">
        <v>5.8</v>
      </c>
      <c r="S1378">
        <f t="shared" si="63"/>
        <v>1464</v>
      </c>
      <c r="T1378">
        <f t="shared" si="64"/>
        <v>16.043835616438358</v>
      </c>
      <c r="U1378" s="6">
        <f t="shared" si="65"/>
        <v>0.37248432896959205</v>
      </c>
    </row>
    <row r="1379" spans="1:21" x14ac:dyDescent="0.25">
      <c r="A1379" t="s">
        <v>4975</v>
      </c>
      <c r="B1379" t="s">
        <v>4976</v>
      </c>
      <c r="C1379" t="s">
        <v>14</v>
      </c>
      <c r="D1379">
        <v>11.6</v>
      </c>
      <c r="E1379">
        <v>11.8</v>
      </c>
      <c r="F1379">
        <v>11.15</v>
      </c>
      <c r="G1379" s="3">
        <v>11.5</v>
      </c>
      <c r="H1379">
        <v>11.6</v>
      </c>
      <c r="I1379">
        <v>11.45</v>
      </c>
      <c r="J1379">
        <v>116942</v>
      </c>
      <c r="K1379">
        <v>1361024</v>
      </c>
      <c r="L1379" s="1">
        <v>45240</v>
      </c>
      <c r="M1379">
        <v>963</v>
      </c>
      <c r="N1379" t="s">
        <v>4977</v>
      </c>
      <c r="O1379" s="5">
        <v>45240</v>
      </c>
      <c r="P1379" s="5">
        <v>43777</v>
      </c>
      <c r="Q1379" s="3">
        <v>3.5</v>
      </c>
      <c r="S1379">
        <f t="shared" si="63"/>
        <v>1464</v>
      </c>
      <c r="T1379">
        <f t="shared" si="64"/>
        <v>16.043835616438358</v>
      </c>
      <c r="U1379" s="6">
        <f t="shared" si="65"/>
        <v>0.30785554074894161</v>
      </c>
    </row>
    <row r="1380" spans="1:21" x14ac:dyDescent="0.25">
      <c r="A1380" t="s">
        <v>4978</v>
      </c>
      <c r="B1380" t="s">
        <v>4979</v>
      </c>
      <c r="C1380" t="s">
        <v>14</v>
      </c>
      <c r="D1380">
        <v>62</v>
      </c>
      <c r="E1380">
        <v>63.15</v>
      </c>
      <c r="F1380">
        <v>61.2</v>
      </c>
      <c r="G1380" s="3">
        <v>61.9</v>
      </c>
      <c r="H1380">
        <v>61.85</v>
      </c>
      <c r="I1380">
        <v>62.65</v>
      </c>
      <c r="J1380">
        <v>14647</v>
      </c>
      <c r="K1380">
        <v>911166.4</v>
      </c>
      <c r="L1380" s="1">
        <v>45240</v>
      </c>
      <c r="M1380">
        <v>360</v>
      </c>
      <c r="N1380" t="s">
        <v>4980</v>
      </c>
      <c r="O1380" s="5">
        <v>45240</v>
      </c>
      <c r="P1380" s="5">
        <v>43777</v>
      </c>
      <c r="Q1380" s="3">
        <v>18.149999999999999</v>
      </c>
      <c r="S1380">
        <f t="shared" si="63"/>
        <v>1464</v>
      </c>
      <c r="T1380">
        <f t="shared" si="64"/>
        <v>16.043835616438358</v>
      </c>
      <c r="U1380" s="6">
        <f t="shared" si="65"/>
        <v>0.31787317013300953</v>
      </c>
    </row>
    <row r="1381" spans="1:21" x14ac:dyDescent="0.25">
      <c r="A1381" t="s">
        <v>4981</v>
      </c>
      <c r="B1381" t="s">
        <v>4982</v>
      </c>
      <c r="C1381" t="s">
        <v>14</v>
      </c>
      <c r="D1381">
        <v>512.95000000000005</v>
      </c>
      <c r="E1381">
        <v>516.1</v>
      </c>
      <c r="F1381">
        <v>508.55</v>
      </c>
      <c r="G1381" s="3">
        <v>509.85</v>
      </c>
      <c r="H1381">
        <v>510</v>
      </c>
      <c r="I1381">
        <v>513.5</v>
      </c>
      <c r="J1381">
        <v>133562</v>
      </c>
      <c r="K1381">
        <v>68263282.849999994</v>
      </c>
      <c r="L1381" s="1">
        <v>45240</v>
      </c>
      <c r="M1381">
        <v>7222</v>
      </c>
      <c r="N1381" t="s">
        <v>4983</v>
      </c>
      <c r="O1381" s="5">
        <v>45240</v>
      </c>
      <c r="P1381" s="5">
        <v>43777</v>
      </c>
      <c r="Q1381" s="3">
        <v>176.05</v>
      </c>
      <c r="S1381">
        <f t="shared" si="63"/>
        <v>1464</v>
      </c>
      <c r="T1381">
        <f t="shared" si="64"/>
        <v>16.043835616438358</v>
      </c>
      <c r="U1381" s="6">
        <f t="shared" si="65"/>
        <v>0.2740936184416638</v>
      </c>
    </row>
    <row r="1382" spans="1:21" x14ac:dyDescent="0.25">
      <c r="A1382" t="s">
        <v>4987</v>
      </c>
      <c r="B1382" t="s">
        <v>4988</v>
      </c>
      <c r="C1382" t="s">
        <v>14</v>
      </c>
      <c r="D1382">
        <v>56.9</v>
      </c>
      <c r="E1382">
        <v>58.15</v>
      </c>
      <c r="F1382">
        <v>56.85</v>
      </c>
      <c r="G1382" s="3">
        <v>57.15</v>
      </c>
      <c r="H1382">
        <v>57.25</v>
      </c>
      <c r="I1382">
        <v>57.05</v>
      </c>
      <c r="J1382">
        <v>120271</v>
      </c>
      <c r="K1382">
        <v>6890912.2999999998</v>
      </c>
      <c r="L1382" s="1">
        <v>45240</v>
      </c>
      <c r="M1382">
        <v>675</v>
      </c>
      <c r="N1382" t="s">
        <v>4989</v>
      </c>
      <c r="O1382" s="5">
        <v>45240</v>
      </c>
      <c r="P1382" s="5">
        <v>43777</v>
      </c>
      <c r="Q1382" s="3">
        <v>31.95</v>
      </c>
      <c r="S1382">
        <f t="shared" si="63"/>
        <v>1464</v>
      </c>
      <c r="T1382">
        <f t="shared" si="64"/>
        <v>16.043835616438358</v>
      </c>
      <c r="U1382" s="6">
        <f t="shared" si="65"/>
        <v>0.147639016291639</v>
      </c>
    </row>
    <row r="1383" spans="1:21" x14ac:dyDescent="0.25">
      <c r="A1383" t="s">
        <v>4990</v>
      </c>
      <c r="B1383" t="s">
        <v>4991</v>
      </c>
      <c r="C1383" t="s">
        <v>10</v>
      </c>
      <c r="D1383">
        <v>7.35</v>
      </c>
      <c r="E1383">
        <v>7.35</v>
      </c>
      <c r="F1383">
        <v>7.35</v>
      </c>
      <c r="G1383" s="3">
        <v>7.35</v>
      </c>
      <c r="H1383">
        <v>7.35</v>
      </c>
      <c r="I1383">
        <v>7.5</v>
      </c>
      <c r="J1383">
        <v>34429</v>
      </c>
      <c r="K1383">
        <v>253053.15</v>
      </c>
      <c r="L1383" s="1">
        <v>45240</v>
      </c>
      <c r="M1383">
        <v>162</v>
      </c>
      <c r="N1383" t="s">
        <v>4992</v>
      </c>
      <c r="O1383" s="5">
        <v>45240</v>
      </c>
      <c r="P1383" s="5">
        <v>43777</v>
      </c>
      <c r="Q1383" s="3">
        <v>22.55</v>
      </c>
      <c r="S1383">
        <f t="shared" si="63"/>
        <v>1464</v>
      </c>
      <c r="T1383">
        <f t="shared" si="64"/>
        <v>16.043835616438358</v>
      </c>
      <c r="U1383" s="6">
        <f t="shared" si="65"/>
        <v>-0.26995192391003853</v>
      </c>
    </row>
    <row r="1384" spans="1:21" x14ac:dyDescent="0.25">
      <c r="A1384" t="s">
        <v>4993</v>
      </c>
      <c r="B1384" t="s">
        <v>4994</v>
      </c>
      <c r="C1384" t="s">
        <v>14</v>
      </c>
      <c r="D1384">
        <v>82.3</v>
      </c>
      <c r="E1384">
        <v>87.7</v>
      </c>
      <c r="F1384">
        <v>81.8</v>
      </c>
      <c r="G1384" s="3">
        <v>85.9</v>
      </c>
      <c r="H1384">
        <v>85.5</v>
      </c>
      <c r="I1384">
        <v>82.35</v>
      </c>
      <c r="J1384">
        <v>1685984</v>
      </c>
      <c r="K1384">
        <v>144076688.75</v>
      </c>
      <c r="L1384" s="1">
        <v>45240</v>
      </c>
      <c r="M1384">
        <v>8226</v>
      </c>
      <c r="N1384" t="s">
        <v>4995</v>
      </c>
      <c r="O1384" s="5">
        <v>45240</v>
      </c>
      <c r="P1384" s="5">
        <v>43777</v>
      </c>
      <c r="Q1384" s="3">
        <v>286.10000000000002</v>
      </c>
      <c r="S1384">
        <f t="shared" si="63"/>
        <v>1464</v>
      </c>
      <c r="T1384">
        <f t="shared" si="64"/>
        <v>16.043835616438358</v>
      </c>
      <c r="U1384" s="6">
        <f t="shared" si="65"/>
        <v>-0.28899596211321654</v>
      </c>
    </row>
    <row r="1385" spans="1:21" x14ac:dyDescent="0.25">
      <c r="A1385" t="s">
        <v>5002</v>
      </c>
      <c r="B1385" t="s">
        <v>5003</v>
      </c>
      <c r="C1385" t="s">
        <v>10</v>
      </c>
      <c r="D1385">
        <v>37.5</v>
      </c>
      <c r="E1385">
        <v>38.25</v>
      </c>
      <c r="F1385">
        <v>37.1</v>
      </c>
      <c r="G1385" s="3">
        <v>37.9</v>
      </c>
      <c r="H1385">
        <v>38.1</v>
      </c>
      <c r="I1385">
        <v>37.299999999999997</v>
      </c>
      <c r="J1385">
        <v>45379797</v>
      </c>
      <c r="K1385">
        <v>1715345049.0999999</v>
      </c>
      <c r="L1385" s="1">
        <v>45240</v>
      </c>
      <c r="M1385">
        <v>101149</v>
      </c>
      <c r="N1385" t="s">
        <v>5004</v>
      </c>
      <c r="O1385" s="5">
        <v>45240</v>
      </c>
      <c r="P1385" s="5">
        <v>43777</v>
      </c>
      <c r="Q1385" s="3">
        <v>2.95</v>
      </c>
      <c r="S1385">
        <f t="shared" si="63"/>
        <v>1464</v>
      </c>
      <c r="T1385">
        <f t="shared" si="64"/>
        <v>16.043835616438358</v>
      </c>
      <c r="U1385" s="6">
        <f t="shared" si="65"/>
        <v>0.68998786221946862</v>
      </c>
    </row>
    <row r="1386" spans="1:21" x14ac:dyDescent="0.25">
      <c r="A1386" t="s">
        <v>5005</v>
      </c>
      <c r="B1386" t="s">
        <v>5006</v>
      </c>
      <c r="C1386" t="s">
        <v>10</v>
      </c>
      <c r="D1386">
        <v>163.80000000000001</v>
      </c>
      <c r="E1386">
        <v>163.80000000000001</v>
      </c>
      <c r="F1386">
        <v>163.80000000000001</v>
      </c>
      <c r="G1386" s="3">
        <v>163.80000000000001</v>
      </c>
      <c r="H1386">
        <v>163.80000000000001</v>
      </c>
      <c r="I1386">
        <v>163.85</v>
      </c>
      <c r="J1386">
        <v>620</v>
      </c>
      <c r="K1386">
        <v>101556</v>
      </c>
      <c r="L1386" s="1">
        <v>45240</v>
      </c>
      <c r="M1386">
        <v>1</v>
      </c>
      <c r="N1386" t="s">
        <v>5007</v>
      </c>
      <c r="O1386" s="5">
        <v>45240</v>
      </c>
      <c r="P1386" s="5">
        <v>43777</v>
      </c>
      <c r="Q1386" s="3">
        <v>106.15</v>
      </c>
      <c r="S1386">
        <f t="shared" si="63"/>
        <v>1464</v>
      </c>
      <c r="T1386">
        <f t="shared" si="64"/>
        <v>16.043835616438358</v>
      </c>
      <c r="U1386" s="6">
        <f t="shared" si="65"/>
        <v>0.10962731139379756</v>
      </c>
    </row>
    <row r="1387" spans="1:21" x14ac:dyDescent="0.25">
      <c r="A1387" t="s">
        <v>5011</v>
      </c>
      <c r="B1387" t="s">
        <v>5012</v>
      </c>
      <c r="C1387" t="s">
        <v>14</v>
      </c>
      <c r="D1387">
        <v>414.05</v>
      </c>
      <c r="E1387">
        <v>446.8</v>
      </c>
      <c r="F1387">
        <v>397</v>
      </c>
      <c r="G1387" s="3">
        <v>422.4</v>
      </c>
      <c r="H1387">
        <v>425</v>
      </c>
      <c r="I1387">
        <v>413.9</v>
      </c>
      <c r="J1387">
        <v>10961394</v>
      </c>
      <c r="K1387">
        <v>4650364597.6999998</v>
      </c>
      <c r="L1387" s="1">
        <v>45240</v>
      </c>
      <c r="M1387">
        <v>138772</v>
      </c>
      <c r="N1387" t="s">
        <v>5013</v>
      </c>
      <c r="O1387" s="5">
        <v>45240</v>
      </c>
      <c r="P1387" s="5">
        <v>43777</v>
      </c>
      <c r="Q1387" s="3">
        <v>102.05</v>
      </c>
      <c r="S1387">
        <f t="shared" si="63"/>
        <v>1464</v>
      </c>
      <c r="T1387">
        <f t="shared" si="64"/>
        <v>16.043835616438358</v>
      </c>
      <c r="U1387" s="6">
        <f t="shared" si="65"/>
        <v>0.37030327638123239</v>
      </c>
    </row>
    <row r="1388" spans="1:21" x14ac:dyDescent="0.25">
      <c r="A1388" t="s">
        <v>5014</v>
      </c>
      <c r="B1388" t="s">
        <v>5015</v>
      </c>
      <c r="C1388" t="s">
        <v>14</v>
      </c>
      <c r="D1388">
        <v>2054.3000000000002</v>
      </c>
      <c r="E1388">
        <v>2100</v>
      </c>
      <c r="F1388">
        <v>2049.0500000000002</v>
      </c>
      <c r="G1388" s="3">
        <v>2073.1</v>
      </c>
      <c r="H1388">
        <v>2075</v>
      </c>
      <c r="I1388">
        <v>2049.6</v>
      </c>
      <c r="J1388">
        <v>10784</v>
      </c>
      <c r="K1388">
        <v>22415115.149999999</v>
      </c>
      <c r="L1388" s="1">
        <v>45240</v>
      </c>
      <c r="M1388">
        <v>2101</v>
      </c>
      <c r="N1388" t="s">
        <v>5016</v>
      </c>
      <c r="O1388" s="5">
        <v>45240</v>
      </c>
      <c r="P1388" s="5">
        <v>43777</v>
      </c>
      <c r="Q1388" s="3">
        <v>1102.3499999999999</v>
      </c>
      <c r="S1388">
        <f t="shared" si="63"/>
        <v>1464</v>
      </c>
      <c r="T1388">
        <f t="shared" si="64"/>
        <v>16.043835616438358</v>
      </c>
      <c r="U1388" s="6">
        <f t="shared" si="65"/>
        <v>0.16060940953915548</v>
      </c>
    </row>
    <row r="1389" spans="1:21" x14ac:dyDescent="0.25">
      <c r="A1389" t="s">
        <v>5017</v>
      </c>
      <c r="B1389" t="s">
        <v>5018</v>
      </c>
      <c r="C1389" t="s">
        <v>14</v>
      </c>
      <c r="D1389">
        <v>571</v>
      </c>
      <c r="E1389">
        <v>577.45000000000005</v>
      </c>
      <c r="F1389">
        <v>556.04999999999995</v>
      </c>
      <c r="G1389" s="3">
        <v>569.1</v>
      </c>
      <c r="H1389">
        <v>572</v>
      </c>
      <c r="I1389">
        <v>566.4</v>
      </c>
      <c r="J1389">
        <v>65090</v>
      </c>
      <c r="K1389">
        <v>36860501.25</v>
      </c>
      <c r="L1389" s="1">
        <v>45240</v>
      </c>
      <c r="M1389">
        <v>4401</v>
      </c>
      <c r="N1389" t="s">
        <v>5019</v>
      </c>
      <c r="O1389" s="5">
        <v>45240</v>
      </c>
      <c r="P1389" s="5">
        <v>43777</v>
      </c>
      <c r="Q1389" s="3">
        <v>122.45</v>
      </c>
      <c r="S1389">
        <f t="shared" si="63"/>
        <v>1464</v>
      </c>
      <c r="T1389">
        <f t="shared" si="64"/>
        <v>16.043835616438358</v>
      </c>
      <c r="U1389" s="6">
        <f t="shared" si="65"/>
        <v>0.40197846976725771</v>
      </c>
    </row>
    <row r="1390" spans="1:21" x14ac:dyDescent="0.25">
      <c r="A1390" t="s">
        <v>5020</v>
      </c>
      <c r="B1390" t="s">
        <v>5021</v>
      </c>
      <c r="C1390" t="s">
        <v>14</v>
      </c>
      <c r="D1390">
        <v>290</v>
      </c>
      <c r="E1390">
        <v>293.64999999999998</v>
      </c>
      <c r="F1390">
        <v>275.14999999999998</v>
      </c>
      <c r="G1390" s="3">
        <v>278.60000000000002</v>
      </c>
      <c r="H1390">
        <v>281.2</v>
      </c>
      <c r="I1390">
        <v>289.10000000000002</v>
      </c>
      <c r="J1390">
        <v>735388</v>
      </c>
      <c r="K1390">
        <v>206906060.65000001</v>
      </c>
      <c r="L1390" s="1">
        <v>45240</v>
      </c>
      <c r="M1390">
        <v>13230</v>
      </c>
      <c r="N1390" t="s">
        <v>5022</v>
      </c>
      <c r="O1390" s="5">
        <v>45240</v>
      </c>
      <c r="P1390" s="5">
        <v>43777</v>
      </c>
      <c r="Q1390" s="3">
        <v>544.85</v>
      </c>
      <c r="S1390">
        <f t="shared" si="63"/>
        <v>1464</v>
      </c>
      <c r="T1390">
        <f t="shared" si="64"/>
        <v>16.043835616438358</v>
      </c>
      <c r="U1390" s="6">
        <f t="shared" si="65"/>
        <v>-0.16377788806690452</v>
      </c>
    </row>
    <row r="1391" spans="1:21" x14ac:dyDescent="0.25">
      <c r="A1391" t="s">
        <v>5023</v>
      </c>
      <c r="B1391" t="s">
        <v>5024</v>
      </c>
      <c r="C1391" t="s">
        <v>14</v>
      </c>
      <c r="D1391">
        <v>875</v>
      </c>
      <c r="E1391">
        <v>875</v>
      </c>
      <c r="F1391">
        <v>863.1</v>
      </c>
      <c r="G1391" s="3">
        <v>869.5</v>
      </c>
      <c r="H1391">
        <v>871.4</v>
      </c>
      <c r="I1391">
        <v>869.85</v>
      </c>
      <c r="J1391">
        <v>13529</v>
      </c>
      <c r="K1391">
        <v>11744790.15</v>
      </c>
      <c r="L1391" s="1">
        <v>45240</v>
      </c>
      <c r="M1391">
        <v>2117</v>
      </c>
      <c r="N1391" t="s">
        <v>5025</v>
      </c>
      <c r="O1391" s="5">
        <v>45240</v>
      </c>
      <c r="P1391" s="5">
        <v>43777</v>
      </c>
      <c r="Q1391" s="3">
        <v>1225.25</v>
      </c>
      <c r="S1391">
        <f t="shared" si="63"/>
        <v>1464</v>
      </c>
      <c r="T1391">
        <f t="shared" si="64"/>
        <v>16.043835616438358</v>
      </c>
      <c r="U1391" s="6">
        <f t="shared" si="65"/>
        <v>-8.4603643513463389E-2</v>
      </c>
    </row>
    <row r="1392" spans="1:21" x14ac:dyDescent="0.25">
      <c r="A1392" t="s">
        <v>5029</v>
      </c>
      <c r="B1392" t="s">
        <v>5030</v>
      </c>
      <c r="C1392" t="s">
        <v>14</v>
      </c>
      <c r="D1392">
        <v>723</v>
      </c>
      <c r="E1392">
        <v>724.7</v>
      </c>
      <c r="F1392">
        <v>715</v>
      </c>
      <c r="G1392" s="3">
        <v>716.55</v>
      </c>
      <c r="H1392">
        <v>715</v>
      </c>
      <c r="I1392">
        <v>723.55</v>
      </c>
      <c r="J1392">
        <v>314189</v>
      </c>
      <c r="K1392">
        <v>225850886.25</v>
      </c>
      <c r="L1392" s="1">
        <v>45240</v>
      </c>
      <c r="M1392">
        <v>16743</v>
      </c>
      <c r="N1392" t="s">
        <v>5031</v>
      </c>
      <c r="O1392" s="5">
        <v>45240</v>
      </c>
      <c r="P1392" s="5">
        <v>43777</v>
      </c>
      <c r="Q1392" s="3">
        <v>330.35</v>
      </c>
      <c r="S1392">
        <f t="shared" si="63"/>
        <v>1464</v>
      </c>
      <c r="T1392">
        <f t="shared" si="64"/>
        <v>16.043835616438358</v>
      </c>
      <c r="U1392" s="6">
        <f t="shared" si="65"/>
        <v>0.19777908725931326</v>
      </c>
    </row>
    <row r="1393" spans="1:21" x14ac:dyDescent="0.25">
      <c r="A1393" t="s">
        <v>5035</v>
      </c>
      <c r="B1393" t="s">
        <v>5036</v>
      </c>
      <c r="C1393" t="s">
        <v>14</v>
      </c>
      <c r="D1393">
        <v>130.44999999999999</v>
      </c>
      <c r="E1393">
        <v>133.9</v>
      </c>
      <c r="F1393">
        <v>130</v>
      </c>
      <c r="G1393" s="3">
        <v>130.94999999999999</v>
      </c>
      <c r="H1393">
        <v>131.69999999999999</v>
      </c>
      <c r="I1393">
        <v>132.75</v>
      </c>
      <c r="J1393">
        <v>7250</v>
      </c>
      <c r="K1393">
        <v>951944.9</v>
      </c>
      <c r="L1393" s="1">
        <v>45240</v>
      </c>
      <c r="M1393">
        <v>363</v>
      </c>
      <c r="N1393" t="s">
        <v>5037</v>
      </c>
      <c r="O1393" s="5">
        <v>45240</v>
      </c>
      <c r="P1393" s="5">
        <v>43777</v>
      </c>
      <c r="Q1393" s="3">
        <v>55.65</v>
      </c>
      <c r="S1393">
        <f t="shared" si="63"/>
        <v>1464</v>
      </c>
      <c r="T1393">
        <f t="shared" si="64"/>
        <v>16.043835616438358</v>
      </c>
      <c r="U1393" s="6">
        <f t="shared" si="65"/>
        <v>0.21914109395194803</v>
      </c>
    </row>
    <row r="1394" spans="1:21" x14ac:dyDescent="0.25">
      <c r="A1394" t="s">
        <v>5038</v>
      </c>
      <c r="B1394" t="s">
        <v>5039</v>
      </c>
      <c r="C1394" t="s">
        <v>14</v>
      </c>
      <c r="D1394">
        <v>218</v>
      </c>
      <c r="E1394">
        <v>220.35</v>
      </c>
      <c r="F1394">
        <v>218</v>
      </c>
      <c r="G1394" s="3">
        <v>218.45</v>
      </c>
      <c r="H1394">
        <v>219</v>
      </c>
      <c r="I1394">
        <v>219.25</v>
      </c>
      <c r="J1394">
        <v>70085</v>
      </c>
      <c r="K1394">
        <v>15330330.300000001</v>
      </c>
      <c r="L1394" s="1">
        <v>45240</v>
      </c>
      <c r="M1394">
        <v>3192</v>
      </c>
      <c r="N1394" t="s">
        <v>5040</v>
      </c>
      <c r="O1394" s="5">
        <v>45240</v>
      </c>
      <c r="P1394" s="5">
        <v>43777</v>
      </c>
      <c r="Q1394" s="3">
        <v>169.5</v>
      </c>
      <c r="S1394">
        <f t="shared" si="63"/>
        <v>1464</v>
      </c>
      <c r="T1394">
        <f t="shared" si="64"/>
        <v>16.043835616438358</v>
      </c>
      <c r="U1394" s="6">
        <f t="shared" si="65"/>
        <v>6.3755522479267412E-2</v>
      </c>
    </row>
    <row r="1395" spans="1:21" x14ac:dyDescent="0.25">
      <c r="A1395" t="s">
        <v>5041</v>
      </c>
      <c r="B1395" t="s">
        <v>5042</v>
      </c>
      <c r="C1395" t="s">
        <v>14</v>
      </c>
      <c r="D1395">
        <v>20.95</v>
      </c>
      <c r="E1395">
        <v>21.25</v>
      </c>
      <c r="F1395">
        <v>20.6</v>
      </c>
      <c r="G1395" s="3">
        <v>20.9</v>
      </c>
      <c r="H1395">
        <v>20.9</v>
      </c>
      <c r="I1395">
        <v>20.95</v>
      </c>
      <c r="J1395">
        <v>156453</v>
      </c>
      <c r="K1395">
        <v>3267692.8</v>
      </c>
      <c r="L1395" s="1">
        <v>45240</v>
      </c>
      <c r="M1395">
        <v>655</v>
      </c>
      <c r="N1395" t="s">
        <v>5043</v>
      </c>
      <c r="O1395" s="5">
        <v>45240</v>
      </c>
      <c r="P1395" s="5">
        <v>43777</v>
      </c>
      <c r="Q1395" s="3">
        <v>109.8</v>
      </c>
      <c r="S1395">
        <f t="shared" si="63"/>
        <v>1464</v>
      </c>
      <c r="T1395">
        <f t="shared" si="64"/>
        <v>16.043835616438358</v>
      </c>
      <c r="U1395" s="6">
        <f t="shared" si="65"/>
        <v>-0.39293044694653467</v>
      </c>
    </row>
    <row r="1396" spans="1:21" x14ac:dyDescent="0.25">
      <c r="A1396" t="s">
        <v>5044</v>
      </c>
      <c r="B1396" t="s">
        <v>5045</v>
      </c>
      <c r="C1396" t="s">
        <v>14</v>
      </c>
      <c r="D1396">
        <v>242.7</v>
      </c>
      <c r="E1396">
        <v>243.8</v>
      </c>
      <c r="F1396">
        <v>235.4</v>
      </c>
      <c r="G1396" s="3">
        <v>238.65</v>
      </c>
      <c r="H1396">
        <v>238.65</v>
      </c>
      <c r="I1396">
        <v>241.2</v>
      </c>
      <c r="J1396">
        <v>153848</v>
      </c>
      <c r="K1396">
        <v>36864847.549999997</v>
      </c>
      <c r="L1396" s="1">
        <v>45240</v>
      </c>
      <c r="M1396">
        <v>7265</v>
      </c>
      <c r="N1396" t="s">
        <v>5046</v>
      </c>
      <c r="O1396" s="5">
        <v>45240</v>
      </c>
      <c r="P1396" s="5">
        <v>43777</v>
      </c>
      <c r="Q1396" s="3">
        <v>113.6</v>
      </c>
      <c r="S1396">
        <f t="shared" si="63"/>
        <v>1464</v>
      </c>
      <c r="T1396">
        <f t="shared" si="64"/>
        <v>16.043835616438358</v>
      </c>
      <c r="U1396" s="6">
        <f t="shared" si="65"/>
        <v>0.1894198273918315</v>
      </c>
    </row>
    <row r="1397" spans="1:21" x14ac:dyDescent="0.25">
      <c r="A1397" t="s">
        <v>5047</v>
      </c>
      <c r="B1397" t="s">
        <v>5048</v>
      </c>
      <c r="C1397" t="s">
        <v>14</v>
      </c>
      <c r="D1397">
        <v>960.7</v>
      </c>
      <c r="E1397">
        <v>962.9</v>
      </c>
      <c r="F1397">
        <v>942</v>
      </c>
      <c r="G1397" s="3">
        <v>946.4</v>
      </c>
      <c r="H1397">
        <v>948</v>
      </c>
      <c r="I1397">
        <v>960.55</v>
      </c>
      <c r="J1397">
        <v>302097</v>
      </c>
      <c r="K1397">
        <v>287669076.39999998</v>
      </c>
      <c r="L1397" s="1">
        <v>45240</v>
      </c>
      <c r="M1397">
        <v>12344</v>
      </c>
      <c r="N1397" t="s">
        <v>5049</v>
      </c>
      <c r="O1397" s="5">
        <v>45240</v>
      </c>
      <c r="P1397" s="5">
        <v>43777</v>
      </c>
      <c r="Q1397" s="3">
        <v>43.85</v>
      </c>
      <c r="S1397">
        <f t="shared" si="63"/>
        <v>1464</v>
      </c>
      <c r="T1397">
        <f t="shared" si="64"/>
        <v>16.043835616438358</v>
      </c>
      <c r="U1397" s="6">
        <f t="shared" si="65"/>
        <v>0.84410717983601202</v>
      </c>
    </row>
    <row r="1398" spans="1:21" x14ac:dyDescent="0.25">
      <c r="A1398" t="s">
        <v>5050</v>
      </c>
      <c r="B1398" t="s">
        <v>5051</v>
      </c>
      <c r="C1398" t="s">
        <v>10</v>
      </c>
      <c r="D1398">
        <v>4.8499999999999996</v>
      </c>
      <c r="E1398">
        <v>4.8499999999999996</v>
      </c>
      <c r="F1398">
        <v>4.75</v>
      </c>
      <c r="G1398" s="3">
        <v>4.75</v>
      </c>
      <c r="H1398">
        <v>4.75</v>
      </c>
      <c r="I1398">
        <v>4.8499999999999996</v>
      </c>
      <c r="J1398">
        <v>6305</v>
      </c>
      <c r="K1398">
        <v>30241.05</v>
      </c>
      <c r="L1398" s="1">
        <v>45240</v>
      </c>
      <c r="M1398">
        <v>25</v>
      </c>
      <c r="N1398" t="s">
        <v>5052</v>
      </c>
      <c r="O1398" s="5">
        <v>45240</v>
      </c>
      <c r="P1398" s="5">
        <v>43777</v>
      </c>
      <c r="Q1398" s="3">
        <v>4.3499999999999996</v>
      </c>
      <c r="S1398">
        <f t="shared" si="63"/>
        <v>1464</v>
      </c>
      <c r="T1398">
        <f t="shared" si="64"/>
        <v>16.043835616438358</v>
      </c>
      <c r="U1398" s="6">
        <f t="shared" si="65"/>
        <v>2.1992342475787297E-2</v>
      </c>
    </row>
    <row r="1399" spans="1:21" x14ac:dyDescent="0.25">
      <c r="A1399" t="s">
        <v>5056</v>
      </c>
      <c r="B1399" t="s">
        <v>5057</v>
      </c>
      <c r="C1399" t="s">
        <v>14</v>
      </c>
      <c r="D1399">
        <v>80.400000000000006</v>
      </c>
      <c r="E1399">
        <v>83.9</v>
      </c>
      <c r="F1399">
        <v>80.400000000000006</v>
      </c>
      <c r="G1399" s="3">
        <v>82.65</v>
      </c>
      <c r="H1399">
        <v>82.55</v>
      </c>
      <c r="I1399">
        <v>82.3</v>
      </c>
      <c r="J1399">
        <v>25285</v>
      </c>
      <c r="K1399">
        <v>2086091.85</v>
      </c>
      <c r="L1399" s="1">
        <v>45240</v>
      </c>
      <c r="M1399">
        <v>503</v>
      </c>
      <c r="N1399" t="s">
        <v>5058</v>
      </c>
      <c r="O1399" s="5">
        <v>45240</v>
      </c>
      <c r="P1399" s="5">
        <v>43777</v>
      </c>
      <c r="Q1399" s="3">
        <v>27.2</v>
      </c>
      <c r="S1399">
        <f t="shared" si="63"/>
        <v>1464</v>
      </c>
      <c r="T1399">
        <f t="shared" si="64"/>
        <v>16.043835616438358</v>
      </c>
      <c r="U1399" s="6">
        <f t="shared" si="65"/>
        <v>0.2869131947233079</v>
      </c>
    </row>
    <row r="1400" spans="1:21" x14ac:dyDescent="0.25">
      <c r="A1400" t="s">
        <v>5062</v>
      </c>
      <c r="B1400" t="s">
        <v>5063</v>
      </c>
      <c r="C1400" t="s">
        <v>14</v>
      </c>
      <c r="D1400">
        <v>15925.65</v>
      </c>
      <c r="E1400">
        <v>16299</v>
      </c>
      <c r="F1400">
        <v>15650</v>
      </c>
      <c r="G1400" s="3">
        <v>15672.45</v>
      </c>
      <c r="H1400">
        <v>15659.7</v>
      </c>
      <c r="I1400">
        <v>15938.65</v>
      </c>
      <c r="J1400">
        <v>2142</v>
      </c>
      <c r="K1400">
        <v>33966157.049999997</v>
      </c>
      <c r="L1400" s="1">
        <v>45240</v>
      </c>
      <c r="M1400">
        <v>1117</v>
      </c>
      <c r="N1400" t="s">
        <v>5064</v>
      </c>
      <c r="O1400" s="5">
        <v>45240</v>
      </c>
      <c r="P1400" s="5">
        <v>43777</v>
      </c>
      <c r="Q1400" s="3">
        <v>9589.85</v>
      </c>
      <c r="S1400">
        <f t="shared" si="63"/>
        <v>1464</v>
      </c>
      <c r="T1400">
        <f t="shared" si="64"/>
        <v>16.043835616438358</v>
      </c>
      <c r="U1400" s="6">
        <f t="shared" si="65"/>
        <v>0.1243582343565004</v>
      </c>
    </row>
    <row r="1401" spans="1:21" x14ac:dyDescent="0.25">
      <c r="A1401" t="s">
        <v>5065</v>
      </c>
      <c r="B1401" t="s">
        <v>5066</v>
      </c>
      <c r="C1401" t="s">
        <v>14</v>
      </c>
      <c r="D1401">
        <v>958</v>
      </c>
      <c r="E1401">
        <v>967.3</v>
      </c>
      <c r="F1401">
        <v>952.6</v>
      </c>
      <c r="G1401" s="3">
        <v>963.95</v>
      </c>
      <c r="H1401">
        <v>965.45</v>
      </c>
      <c r="I1401">
        <v>959.1</v>
      </c>
      <c r="J1401">
        <v>436075</v>
      </c>
      <c r="K1401">
        <v>418628812.10000002</v>
      </c>
      <c r="L1401" s="1">
        <v>45240</v>
      </c>
      <c r="M1401">
        <v>16580</v>
      </c>
      <c r="N1401" t="s">
        <v>5067</v>
      </c>
      <c r="O1401" s="5">
        <v>45240</v>
      </c>
      <c r="P1401" s="5">
        <v>43777</v>
      </c>
      <c r="Q1401" s="3">
        <v>631.54999999999995</v>
      </c>
      <c r="S1401">
        <f t="shared" si="63"/>
        <v>1464</v>
      </c>
      <c r="T1401">
        <f t="shared" si="64"/>
        <v>16.043835616438358</v>
      </c>
      <c r="U1401" s="6">
        <f t="shared" si="65"/>
        <v>0.10682837401925749</v>
      </c>
    </row>
    <row r="1402" spans="1:21" x14ac:dyDescent="0.25">
      <c r="A1402" t="s">
        <v>5068</v>
      </c>
      <c r="B1402" t="s">
        <v>5069</v>
      </c>
      <c r="C1402" t="s">
        <v>14</v>
      </c>
      <c r="D1402">
        <v>265</v>
      </c>
      <c r="E1402">
        <v>270.95</v>
      </c>
      <c r="F1402">
        <v>263.05</v>
      </c>
      <c r="G1402" s="3">
        <v>269.75</v>
      </c>
      <c r="H1402">
        <v>269.7</v>
      </c>
      <c r="I1402">
        <v>265.14999999999998</v>
      </c>
      <c r="J1402">
        <v>361427</v>
      </c>
      <c r="K1402">
        <v>96758870</v>
      </c>
      <c r="L1402" s="1">
        <v>45240</v>
      </c>
      <c r="M1402">
        <v>4587</v>
      </c>
      <c r="N1402" t="s">
        <v>5070</v>
      </c>
      <c r="O1402" s="5">
        <v>45240</v>
      </c>
      <c r="P1402" s="5">
        <v>43777</v>
      </c>
      <c r="Q1402" s="3">
        <v>83.9</v>
      </c>
      <c r="S1402">
        <f t="shared" si="63"/>
        <v>1464</v>
      </c>
      <c r="T1402">
        <f t="shared" si="64"/>
        <v>16.043835616438358</v>
      </c>
      <c r="U1402" s="6">
        <f t="shared" si="65"/>
        <v>0.30202913900760109</v>
      </c>
    </row>
    <row r="1403" spans="1:21" x14ac:dyDescent="0.25">
      <c r="A1403" t="s">
        <v>5071</v>
      </c>
      <c r="B1403" t="s">
        <v>5072</v>
      </c>
      <c r="C1403" t="s">
        <v>14</v>
      </c>
      <c r="D1403">
        <v>1706.7</v>
      </c>
      <c r="E1403">
        <v>1717.85</v>
      </c>
      <c r="F1403">
        <v>1691</v>
      </c>
      <c r="G1403" s="3">
        <v>1708.7</v>
      </c>
      <c r="H1403">
        <v>1713.9</v>
      </c>
      <c r="I1403">
        <v>1707.15</v>
      </c>
      <c r="J1403">
        <v>244826</v>
      </c>
      <c r="K1403">
        <v>416796805.60000002</v>
      </c>
      <c r="L1403" s="1">
        <v>45240</v>
      </c>
      <c r="M1403">
        <v>13906</v>
      </c>
      <c r="N1403" t="s">
        <v>5073</v>
      </c>
      <c r="O1403" s="5">
        <v>45240</v>
      </c>
      <c r="P1403" s="5">
        <v>43777</v>
      </c>
      <c r="Q1403" s="3">
        <v>372.1</v>
      </c>
      <c r="S1403">
        <f t="shared" si="63"/>
        <v>1464</v>
      </c>
      <c r="T1403">
        <f t="shared" si="64"/>
        <v>16.043835616438358</v>
      </c>
      <c r="U1403" s="6">
        <f t="shared" si="65"/>
        <v>0.39867959054622659</v>
      </c>
    </row>
    <row r="1404" spans="1:21" x14ac:dyDescent="0.25">
      <c r="A1404" t="s">
        <v>5077</v>
      </c>
      <c r="B1404" t="s">
        <v>5078</v>
      </c>
      <c r="C1404" t="s">
        <v>14</v>
      </c>
      <c r="D1404">
        <v>8090.95</v>
      </c>
      <c r="E1404">
        <v>8091</v>
      </c>
      <c r="F1404">
        <v>7955.55</v>
      </c>
      <c r="G1404" s="3">
        <v>8055.05</v>
      </c>
      <c r="H1404">
        <v>8077</v>
      </c>
      <c r="I1404">
        <v>8050.9</v>
      </c>
      <c r="J1404">
        <v>88542</v>
      </c>
      <c r="K1404">
        <v>709602916.64999998</v>
      </c>
      <c r="L1404" s="1">
        <v>45240</v>
      </c>
      <c r="M1404">
        <v>13777</v>
      </c>
      <c r="N1404" t="s">
        <v>5079</v>
      </c>
      <c r="O1404" s="5">
        <v>45240</v>
      </c>
      <c r="P1404" s="5">
        <v>43777</v>
      </c>
      <c r="Q1404" s="3">
        <v>811</v>
      </c>
      <c r="S1404">
        <f t="shared" si="63"/>
        <v>1464</v>
      </c>
      <c r="T1404">
        <f t="shared" si="64"/>
        <v>16.043835616438358</v>
      </c>
      <c r="U1404" s="6">
        <f t="shared" si="65"/>
        <v>0.61535585873759668</v>
      </c>
    </row>
    <row r="1405" spans="1:21" x14ac:dyDescent="0.25">
      <c r="A1405" t="s">
        <v>5080</v>
      </c>
      <c r="B1405" t="s">
        <v>5081</v>
      </c>
      <c r="C1405" t="s">
        <v>14</v>
      </c>
      <c r="D1405">
        <v>3199.2</v>
      </c>
      <c r="E1405">
        <v>3218.7</v>
      </c>
      <c r="F1405">
        <v>3166.65</v>
      </c>
      <c r="G1405" s="3">
        <v>3194.95</v>
      </c>
      <c r="H1405">
        <v>3205</v>
      </c>
      <c r="I1405">
        <v>3198.25</v>
      </c>
      <c r="J1405">
        <v>30395</v>
      </c>
      <c r="K1405">
        <v>97033821.049999997</v>
      </c>
      <c r="L1405" s="1">
        <v>45240</v>
      </c>
      <c r="M1405">
        <v>4471</v>
      </c>
      <c r="N1405" t="s">
        <v>5082</v>
      </c>
      <c r="O1405" s="5">
        <v>45240</v>
      </c>
      <c r="P1405" s="5">
        <v>43777</v>
      </c>
      <c r="Q1405" s="3">
        <v>842.25</v>
      </c>
      <c r="S1405">
        <f t="shared" si="63"/>
        <v>1464</v>
      </c>
      <c r="T1405">
        <f t="shared" si="64"/>
        <v>16.043835616438358</v>
      </c>
      <c r="U1405" s="6">
        <f t="shared" si="65"/>
        <v>0.34660379488912429</v>
      </c>
    </row>
    <row r="1406" spans="1:21" x14ac:dyDescent="0.25">
      <c r="A1406" t="s">
        <v>5083</v>
      </c>
      <c r="B1406" t="s">
        <v>5084</v>
      </c>
      <c r="C1406" t="s">
        <v>14</v>
      </c>
      <c r="D1406">
        <v>917</v>
      </c>
      <c r="E1406">
        <v>922</v>
      </c>
      <c r="F1406">
        <v>907.35</v>
      </c>
      <c r="G1406" s="3">
        <v>920.1</v>
      </c>
      <c r="H1406">
        <v>922</v>
      </c>
      <c r="I1406">
        <v>914.4</v>
      </c>
      <c r="J1406">
        <v>25287</v>
      </c>
      <c r="K1406">
        <v>23179422.850000001</v>
      </c>
      <c r="L1406" s="1">
        <v>45240</v>
      </c>
      <c r="M1406">
        <v>2154</v>
      </c>
      <c r="N1406" t="s">
        <v>5085</v>
      </c>
      <c r="O1406" s="5">
        <v>45240</v>
      </c>
      <c r="P1406" s="5">
        <v>43777</v>
      </c>
      <c r="Q1406" s="3">
        <v>571.1</v>
      </c>
      <c r="S1406">
        <f t="shared" si="63"/>
        <v>1464</v>
      </c>
      <c r="T1406">
        <f t="shared" si="64"/>
        <v>16.043835616438358</v>
      </c>
      <c r="U1406" s="6">
        <f t="shared" si="65"/>
        <v>0.12068864950181091</v>
      </c>
    </row>
    <row r="1407" spans="1:21" x14ac:dyDescent="0.25">
      <c r="A1407" t="s">
        <v>5086</v>
      </c>
      <c r="B1407" t="s">
        <v>5087</v>
      </c>
      <c r="C1407" t="s">
        <v>14</v>
      </c>
      <c r="D1407">
        <v>649.35</v>
      </c>
      <c r="E1407">
        <v>652.95000000000005</v>
      </c>
      <c r="F1407">
        <v>644</v>
      </c>
      <c r="G1407" s="3">
        <v>651.04999999999995</v>
      </c>
      <c r="H1407">
        <v>651.54999999999995</v>
      </c>
      <c r="I1407">
        <v>649.35</v>
      </c>
      <c r="J1407">
        <v>6425792</v>
      </c>
      <c r="K1407">
        <v>4170291613.5</v>
      </c>
      <c r="L1407" s="1">
        <v>45240</v>
      </c>
      <c r="M1407">
        <v>127973</v>
      </c>
      <c r="N1407" t="s">
        <v>5088</v>
      </c>
      <c r="O1407" s="5">
        <v>45240</v>
      </c>
      <c r="P1407" s="5">
        <v>43777</v>
      </c>
      <c r="Q1407" s="3">
        <v>169.05</v>
      </c>
      <c r="S1407">
        <f t="shared" si="63"/>
        <v>1464</v>
      </c>
      <c r="T1407">
        <f t="shared" si="64"/>
        <v>16.043835616438358</v>
      </c>
      <c r="U1407" s="6">
        <f t="shared" si="65"/>
        <v>0.35070803110298687</v>
      </c>
    </row>
    <row r="1408" spans="1:21" x14ac:dyDescent="0.25">
      <c r="A1408" t="s">
        <v>5089</v>
      </c>
      <c r="B1408" t="s">
        <v>5087</v>
      </c>
      <c r="C1408" t="s">
        <v>14</v>
      </c>
      <c r="D1408">
        <v>442.75</v>
      </c>
      <c r="E1408">
        <v>446.9</v>
      </c>
      <c r="F1408">
        <v>439.35</v>
      </c>
      <c r="G1408" s="3">
        <v>443.45</v>
      </c>
      <c r="H1408">
        <v>443.8</v>
      </c>
      <c r="I1408">
        <v>445.05</v>
      </c>
      <c r="J1408">
        <v>1803175</v>
      </c>
      <c r="K1408">
        <v>798449176.64999998</v>
      </c>
      <c r="L1408" s="1">
        <v>45240</v>
      </c>
      <c r="M1408">
        <v>30637</v>
      </c>
      <c r="N1408" t="s">
        <v>5090</v>
      </c>
      <c r="O1408" s="5">
        <v>45240</v>
      </c>
      <c r="P1408" s="5">
        <v>43777</v>
      </c>
      <c r="Q1408" s="3">
        <v>77.599999999999994</v>
      </c>
      <c r="S1408">
        <f t="shared" si="63"/>
        <v>1464</v>
      </c>
      <c r="T1408">
        <f t="shared" si="64"/>
        <v>16.043835616438358</v>
      </c>
      <c r="U1408" s="6">
        <f t="shared" si="65"/>
        <v>0.45904811648654587</v>
      </c>
    </row>
    <row r="1409" spans="1:21" x14ac:dyDescent="0.25">
      <c r="A1409" t="s">
        <v>5091</v>
      </c>
      <c r="B1409" t="s">
        <v>5092</v>
      </c>
      <c r="C1409" t="s">
        <v>14</v>
      </c>
      <c r="D1409">
        <v>248</v>
      </c>
      <c r="E1409">
        <v>251.85</v>
      </c>
      <c r="F1409">
        <v>246.85</v>
      </c>
      <c r="G1409" s="3">
        <v>251.4</v>
      </c>
      <c r="H1409">
        <v>251.5</v>
      </c>
      <c r="I1409">
        <v>248</v>
      </c>
      <c r="J1409">
        <v>6974541</v>
      </c>
      <c r="K1409">
        <v>1745533323.2</v>
      </c>
      <c r="L1409" s="1">
        <v>45240</v>
      </c>
      <c r="M1409">
        <v>60799</v>
      </c>
      <c r="N1409" t="s">
        <v>5093</v>
      </c>
      <c r="O1409" s="5">
        <v>45240</v>
      </c>
      <c r="P1409" s="5">
        <v>43777</v>
      </c>
      <c r="Q1409" s="3">
        <v>59.55</v>
      </c>
      <c r="S1409">
        <f t="shared" si="63"/>
        <v>1464</v>
      </c>
      <c r="T1409">
        <f t="shared" si="64"/>
        <v>16.043835616438358</v>
      </c>
      <c r="U1409" s="6">
        <f t="shared" si="65"/>
        <v>0.37568348564284815</v>
      </c>
    </row>
    <row r="1410" spans="1:21" x14ac:dyDescent="0.25">
      <c r="A1410" t="s">
        <v>5094</v>
      </c>
      <c r="B1410" t="s">
        <v>5095</v>
      </c>
      <c r="C1410" t="s">
        <v>14</v>
      </c>
      <c r="D1410">
        <v>119.5</v>
      </c>
      <c r="E1410">
        <v>120.45</v>
      </c>
      <c r="F1410">
        <v>118.8</v>
      </c>
      <c r="G1410" s="3">
        <v>120.05</v>
      </c>
      <c r="H1410">
        <v>120.15</v>
      </c>
      <c r="I1410">
        <v>119.65</v>
      </c>
      <c r="J1410">
        <v>23584510</v>
      </c>
      <c r="K1410">
        <v>2825663511.4499998</v>
      </c>
      <c r="L1410" s="1">
        <v>45240</v>
      </c>
      <c r="M1410">
        <v>137597</v>
      </c>
      <c r="N1410" t="s">
        <v>5096</v>
      </c>
      <c r="O1410" s="5">
        <v>45240</v>
      </c>
      <c r="P1410" s="5">
        <v>43777</v>
      </c>
      <c r="Q1410" s="3">
        <v>41.65</v>
      </c>
      <c r="S1410">
        <f t="shared" si="63"/>
        <v>1464</v>
      </c>
      <c r="T1410">
        <f t="shared" si="64"/>
        <v>16.043835616438358</v>
      </c>
      <c r="U1410" s="6">
        <f t="shared" si="65"/>
        <v>0.27283064744914576</v>
      </c>
    </row>
    <row r="1411" spans="1:21" x14ac:dyDescent="0.25">
      <c r="A1411" t="s">
        <v>5097</v>
      </c>
      <c r="B1411" t="s">
        <v>5098</v>
      </c>
      <c r="C1411" t="s">
        <v>14</v>
      </c>
      <c r="D1411">
        <v>786.55</v>
      </c>
      <c r="E1411">
        <v>805</v>
      </c>
      <c r="F1411">
        <v>786.55</v>
      </c>
      <c r="G1411" s="3">
        <v>800.4</v>
      </c>
      <c r="H1411">
        <v>802.85</v>
      </c>
      <c r="I1411">
        <v>797.3</v>
      </c>
      <c r="J1411">
        <v>62531</v>
      </c>
      <c r="K1411">
        <v>49911766.700000003</v>
      </c>
      <c r="L1411" s="1">
        <v>45240</v>
      </c>
      <c r="M1411">
        <v>1959</v>
      </c>
      <c r="N1411" t="s">
        <v>5099</v>
      </c>
      <c r="O1411" s="5">
        <v>45240</v>
      </c>
      <c r="P1411" s="5">
        <v>43777</v>
      </c>
      <c r="Q1411" s="3">
        <v>402.95</v>
      </c>
      <c r="S1411">
        <f t="shared" ref="S1411:S1474" si="66">O1411-P1411+1</f>
        <v>1464</v>
      </c>
      <c r="T1411">
        <f t="shared" ref="T1411:T1474" si="67">(S1411/365)*4</f>
        <v>16.043835616438358</v>
      </c>
      <c r="U1411" s="6">
        <f t="shared" ref="U1411:U1474" si="68">(((G1411/Q1411)^(1/T1411))-1)*4</f>
        <v>0.17481839896734552</v>
      </c>
    </row>
    <row r="1412" spans="1:21" x14ac:dyDescent="0.25">
      <c r="A1412" t="s">
        <v>5103</v>
      </c>
      <c r="B1412" t="s">
        <v>5104</v>
      </c>
      <c r="C1412" t="s">
        <v>14</v>
      </c>
      <c r="D1412">
        <v>128.80000000000001</v>
      </c>
      <c r="E1412">
        <v>128.80000000000001</v>
      </c>
      <c r="F1412">
        <v>124.9</v>
      </c>
      <c r="G1412" s="3">
        <v>125.3</v>
      </c>
      <c r="H1412">
        <v>125.9</v>
      </c>
      <c r="I1412">
        <v>128.69999999999999</v>
      </c>
      <c r="J1412">
        <v>277691</v>
      </c>
      <c r="K1412">
        <v>35054920.299999997</v>
      </c>
      <c r="L1412" s="1">
        <v>45240</v>
      </c>
      <c r="M1412">
        <v>4369</v>
      </c>
      <c r="N1412" t="s">
        <v>5105</v>
      </c>
      <c r="O1412" s="5">
        <v>45240</v>
      </c>
      <c r="P1412" s="5">
        <v>43777</v>
      </c>
      <c r="Q1412" s="3">
        <v>40.299999999999997</v>
      </c>
      <c r="S1412">
        <f t="shared" si="66"/>
        <v>1464</v>
      </c>
      <c r="T1412">
        <f t="shared" si="67"/>
        <v>16.043835616438358</v>
      </c>
      <c r="U1412" s="6">
        <f t="shared" si="68"/>
        <v>0.29305291165441449</v>
      </c>
    </row>
    <row r="1413" spans="1:21" x14ac:dyDescent="0.25">
      <c r="A1413" t="s">
        <v>5866</v>
      </c>
      <c r="B1413" t="s">
        <v>7798</v>
      </c>
      <c r="C1413" t="s">
        <v>5872</v>
      </c>
      <c r="D1413">
        <v>1091</v>
      </c>
      <c r="E1413">
        <v>1091</v>
      </c>
      <c r="F1413">
        <v>1091</v>
      </c>
      <c r="G1413" s="3">
        <v>1091</v>
      </c>
      <c r="H1413">
        <v>1091</v>
      </c>
      <c r="I1413">
        <v>1065</v>
      </c>
      <c r="J1413">
        <v>45</v>
      </c>
      <c r="K1413">
        <v>49095</v>
      </c>
      <c r="L1413" s="1">
        <v>45240</v>
      </c>
      <c r="M1413">
        <v>1</v>
      </c>
      <c r="N1413" t="s">
        <v>5871</v>
      </c>
      <c r="O1413" s="5">
        <v>45240</v>
      </c>
      <c r="P1413" s="5">
        <v>43777</v>
      </c>
      <c r="Q1413" s="3">
        <v>1038.1099999999999</v>
      </c>
      <c r="S1413">
        <f t="shared" si="66"/>
        <v>1464</v>
      </c>
      <c r="T1413">
        <f t="shared" si="67"/>
        <v>16.043835616438358</v>
      </c>
      <c r="U1413" s="6">
        <f t="shared" si="68"/>
        <v>1.2408502053851578E-2</v>
      </c>
    </row>
    <row r="1414" spans="1:21" x14ac:dyDescent="0.25">
      <c r="A1414" t="s">
        <v>5866</v>
      </c>
      <c r="B1414" t="s">
        <v>7798</v>
      </c>
      <c r="C1414" t="s">
        <v>5870</v>
      </c>
      <c r="D1414">
        <v>1022</v>
      </c>
      <c r="E1414">
        <v>1022</v>
      </c>
      <c r="F1414">
        <v>1022</v>
      </c>
      <c r="G1414" s="3">
        <v>1022</v>
      </c>
      <c r="H1414">
        <v>1022</v>
      </c>
      <c r="I1414">
        <v>1018.44</v>
      </c>
      <c r="J1414">
        <v>5</v>
      </c>
      <c r="K1414">
        <v>5110</v>
      </c>
      <c r="L1414" s="1">
        <v>45240</v>
      </c>
      <c r="M1414">
        <v>1</v>
      </c>
      <c r="N1414" t="s">
        <v>5869</v>
      </c>
      <c r="O1414" s="5">
        <v>45240</v>
      </c>
      <c r="P1414" s="5">
        <v>43777</v>
      </c>
      <c r="Q1414" s="3">
        <v>1038.1099999999999</v>
      </c>
      <c r="S1414">
        <f t="shared" si="66"/>
        <v>1464</v>
      </c>
      <c r="T1414">
        <f t="shared" si="67"/>
        <v>16.043835616438358</v>
      </c>
      <c r="U1414" s="6">
        <f t="shared" si="68"/>
        <v>-3.8974818252679455E-3</v>
      </c>
    </row>
    <row r="1415" spans="1:21" x14ac:dyDescent="0.25">
      <c r="A1415" t="s">
        <v>5866</v>
      </c>
      <c r="B1415" t="s">
        <v>7798</v>
      </c>
      <c r="C1415" t="s">
        <v>5868</v>
      </c>
      <c r="D1415">
        <v>1037</v>
      </c>
      <c r="E1415">
        <v>1043.99</v>
      </c>
      <c r="F1415">
        <v>1036</v>
      </c>
      <c r="G1415" s="3">
        <v>1037.47</v>
      </c>
      <c r="H1415">
        <v>1040</v>
      </c>
      <c r="I1415">
        <v>1037</v>
      </c>
      <c r="J1415">
        <v>1031</v>
      </c>
      <c r="K1415">
        <v>1069207.02</v>
      </c>
      <c r="L1415" s="1">
        <v>45240</v>
      </c>
      <c r="M1415">
        <v>15</v>
      </c>
      <c r="N1415" t="s">
        <v>5867</v>
      </c>
      <c r="O1415" s="5">
        <v>45240</v>
      </c>
      <c r="P1415" s="5">
        <v>43777</v>
      </c>
      <c r="Q1415" s="3">
        <v>1038.1099999999999</v>
      </c>
      <c r="S1415">
        <f t="shared" si="66"/>
        <v>1464</v>
      </c>
      <c r="T1415">
        <f t="shared" si="67"/>
        <v>16.043835616438358</v>
      </c>
      <c r="U1415" s="6">
        <f t="shared" si="68"/>
        <v>-1.5374958322711407E-4</v>
      </c>
    </row>
    <row r="1416" spans="1:21" x14ac:dyDescent="0.25">
      <c r="A1416" t="s">
        <v>5866</v>
      </c>
      <c r="B1416" t="s">
        <v>7798</v>
      </c>
      <c r="C1416" t="s">
        <v>5865</v>
      </c>
      <c r="D1416">
        <v>1060</v>
      </c>
      <c r="E1416">
        <v>1060</v>
      </c>
      <c r="F1416">
        <v>1060</v>
      </c>
      <c r="G1416" s="3">
        <v>1060</v>
      </c>
      <c r="H1416">
        <v>1060</v>
      </c>
      <c r="I1416">
        <v>1059.9000000000001</v>
      </c>
      <c r="J1416">
        <v>6</v>
      </c>
      <c r="K1416">
        <v>6360</v>
      </c>
      <c r="L1416" s="1">
        <v>45240</v>
      </c>
      <c r="M1416">
        <v>1</v>
      </c>
      <c r="N1416" t="s">
        <v>5864</v>
      </c>
      <c r="O1416" s="5">
        <v>45240</v>
      </c>
      <c r="P1416" s="5">
        <v>43777</v>
      </c>
      <c r="Q1416" s="3">
        <v>1038.1099999999999</v>
      </c>
      <c r="S1416">
        <f t="shared" si="66"/>
        <v>1464</v>
      </c>
      <c r="T1416">
        <f t="shared" si="67"/>
        <v>16.043835616438358</v>
      </c>
      <c r="U1416" s="6">
        <f t="shared" si="68"/>
        <v>5.2059202348591072E-3</v>
      </c>
    </row>
    <row r="1417" spans="1:21" x14ac:dyDescent="0.25">
      <c r="A1417" t="s">
        <v>5106</v>
      </c>
      <c r="B1417" t="s">
        <v>5107</v>
      </c>
      <c r="C1417" t="s">
        <v>14</v>
      </c>
      <c r="D1417">
        <v>867.5</v>
      </c>
      <c r="E1417">
        <v>898</v>
      </c>
      <c r="F1417">
        <v>862.05</v>
      </c>
      <c r="G1417" s="3">
        <v>892.65</v>
      </c>
      <c r="H1417">
        <v>896.35</v>
      </c>
      <c r="I1417">
        <v>867.5</v>
      </c>
      <c r="J1417">
        <v>48946</v>
      </c>
      <c r="K1417">
        <v>43349761</v>
      </c>
      <c r="L1417" s="1">
        <v>45240</v>
      </c>
      <c r="M1417">
        <v>6430</v>
      </c>
      <c r="N1417" t="s">
        <v>5108</v>
      </c>
      <c r="O1417" s="5">
        <v>45240</v>
      </c>
      <c r="P1417" s="5">
        <v>43777</v>
      </c>
      <c r="Q1417" s="3">
        <v>277.7</v>
      </c>
      <c r="S1417">
        <f t="shared" si="66"/>
        <v>1464</v>
      </c>
      <c r="T1417">
        <f t="shared" si="67"/>
        <v>16.043835616438358</v>
      </c>
      <c r="U1417" s="6">
        <f t="shared" si="68"/>
        <v>0.30197100128947341</v>
      </c>
    </row>
    <row r="1418" spans="1:21" x14ac:dyDescent="0.25">
      <c r="A1418" t="s">
        <v>5109</v>
      </c>
      <c r="B1418" t="s">
        <v>5110</v>
      </c>
      <c r="C1418" t="s">
        <v>14</v>
      </c>
      <c r="D1418">
        <v>1344</v>
      </c>
      <c r="E1418">
        <v>1344</v>
      </c>
      <c r="F1418">
        <v>1329.05</v>
      </c>
      <c r="G1418" s="3">
        <v>1339.8</v>
      </c>
      <c r="H1418">
        <v>1343.85</v>
      </c>
      <c r="I1418">
        <v>1334.7</v>
      </c>
      <c r="J1418">
        <v>10962</v>
      </c>
      <c r="K1418">
        <v>14662648.9</v>
      </c>
      <c r="L1418" s="1">
        <v>45240</v>
      </c>
      <c r="M1418">
        <v>2055</v>
      </c>
      <c r="N1418" t="s">
        <v>5111</v>
      </c>
      <c r="O1418" s="5">
        <v>45240</v>
      </c>
      <c r="P1418" s="5">
        <v>43777</v>
      </c>
      <c r="Q1418" s="3">
        <v>765.05</v>
      </c>
      <c r="S1418">
        <f t="shared" si="66"/>
        <v>1464</v>
      </c>
      <c r="T1418">
        <f t="shared" si="67"/>
        <v>16.043835616438358</v>
      </c>
      <c r="U1418" s="6">
        <f t="shared" si="68"/>
        <v>0.14216905888064257</v>
      </c>
    </row>
    <row r="1419" spans="1:21" x14ac:dyDescent="0.25">
      <c r="A1419" t="s">
        <v>5115</v>
      </c>
      <c r="B1419" t="s">
        <v>5116</v>
      </c>
      <c r="C1419" t="s">
        <v>14</v>
      </c>
      <c r="D1419">
        <v>350</v>
      </c>
      <c r="E1419">
        <v>362.05</v>
      </c>
      <c r="F1419">
        <v>344.9</v>
      </c>
      <c r="G1419" s="3">
        <v>358.85</v>
      </c>
      <c r="H1419">
        <v>359.8</v>
      </c>
      <c r="I1419">
        <v>355.1</v>
      </c>
      <c r="J1419">
        <v>127403</v>
      </c>
      <c r="K1419">
        <v>45121145.450000003</v>
      </c>
      <c r="L1419" s="1">
        <v>45240</v>
      </c>
      <c r="M1419">
        <v>3274</v>
      </c>
      <c r="N1419" t="s">
        <v>5117</v>
      </c>
      <c r="O1419" s="5">
        <v>45240</v>
      </c>
      <c r="P1419" s="5">
        <v>43777</v>
      </c>
      <c r="Q1419" s="3">
        <v>727.55</v>
      </c>
      <c r="S1419">
        <f t="shared" si="66"/>
        <v>1464</v>
      </c>
      <c r="T1419">
        <f t="shared" si="67"/>
        <v>16.043835616438358</v>
      </c>
      <c r="U1419" s="6">
        <f t="shared" si="68"/>
        <v>-0.17238683878938943</v>
      </c>
    </row>
    <row r="1420" spans="1:21" x14ac:dyDescent="0.25">
      <c r="A1420" t="s">
        <v>5118</v>
      </c>
      <c r="B1420" t="s">
        <v>5119</v>
      </c>
      <c r="C1420" t="s">
        <v>14</v>
      </c>
      <c r="D1420">
        <v>2122</v>
      </c>
      <c r="E1420">
        <v>2176</v>
      </c>
      <c r="F1420">
        <v>2090.4</v>
      </c>
      <c r="G1420" s="3">
        <v>2155.3000000000002</v>
      </c>
      <c r="H1420">
        <v>2169.65</v>
      </c>
      <c r="I1420">
        <v>2110.4</v>
      </c>
      <c r="J1420">
        <v>13104</v>
      </c>
      <c r="K1420">
        <v>28150401.550000001</v>
      </c>
      <c r="L1420" s="1">
        <v>45240</v>
      </c>
      <c r="M1420">
        <v>2737</v>
      </c>
      <c r="N1420" t="s">
        <v>5120</v>
      </c>
      <c r="O1420" s="5">
        <v>45240</v>
      </c>
      <c r="P1420" s="5">
        <v>43777</v>
      </c>
      <c r="Q1420" s="3">
        <v>276.10000000000002</v>
      </c>
      <c r="S1420">
        <f t="shared" si="66"/>
        <v>1464</v>
      </c>
      <c r="T1420">
        <f t="shared" si="67"/>
        <v>16.043835616438358</v>
      </c>
      <c r="U1420" s="6">
        <f t="shared" si="68"/>
        <v>0.54658354918695107</v>
      </c>
    </row>
    <row r="1421" spans="1:21" x14ac:dyDescent="0.25">
      <c r="A1421" t="s">
        <v>5121</v>
      </c>
      <c r="B1421" t="s">
        <v>5122</v>
      </c>
      <c r="C1421" t="s">
        <v>14</v>
      </c>
      <c r="D1421">
        <v>3338</v>
      </c>
      <c r="E1421">
        <v>3347.45</v>
      </c>
      <c r="F1421">
        <v>3322.35</v>
      </c>
      <c r="G1421" s="3">
        <v>3333.45</v>
      </c>
      <c r="H1421">
        <v>3341</v>
      </c>
      <c r="I1421">
        <v>3347.45</v>
      </c>
      <c r="J1421">
        <v>1338557</v>
      </c>
      <c r="K1421">
        <v>4459665543.6000004</v>
      </c>
      <c r="L1421" s="1">
        <v>45240</v>
      </c>
      <c r="M1421">
        <v>93667</v>
      </c>
      <c r="N1421" t="s">
        <v>5123</v>
      </c>
      <c r="O1421" s="5">
        <v>45240</v>
      </c>
      <c r="P1421" s="5">
        <v>43777</v>
      </c>
      <c r="Q1421" s="3">
        <v>2129.9499999999998</v>
      </c>
      <c r="S1421">
        <f t="shared" si="66"/>
        <v>1464</v>
      </c>
      <c r="T1421">
        <f t="shared" si="67"/>
        <v>16.043835616438358</v>
      </c>
      <c r="U1421" s="6">
        <f t="shared" si="68"/>
        <v>0.11324479569134915</v>
      </c>
    </row>
    <row r="1422" spans="1:21" x14ac:dyDescent="0.25">
      <c r="A1422" t="s">
        <v>5124</v>
      </c>
      <c r="B1422" t="s">
        <v>5125</v>
      </c>
      <c r="C1422" t="s">
        <v>14</v>
      </c>
      <c r="D1422">
        <v>271</v>
      </c>
      <c r="E1422">
        <v>271.85000000000002</v>
      </c>
      <c r="F1422">
        <v>262.3</v>
      </c>
      <c r="G1422" s="3">
        <v>263.35000000000002</v>
      </c>
      <c r="H1422">
        <v>263</v>
      </c>
      <c r="I1422">
        <v>272.25</v>
      </c>
      <c r="J1422">
        <v>362597</v>
      </c>
      <c r="K1422">
        <v>96222485.849999994</v>
      </c>
      <c r="L1422" s="1">
        <v>45240</v>
      </c>
      <c r="M1422">
        <v>14172</v>
      </c>
      <c r="N1422" t="s">
        <v>5126</v>
      </c>
      <c r="O1422" s="5">
        <v>45240</v>
      </c>
      <c r="P1422" s="5">
        <v>43777</v>
      </c>
      <c r="Q1422" s="3">
        <v>145.94999999999999</v>
      </c>
      <c r="S1422">
        <f t="shared" si="66"/>
        <v>1464</v>
      </c>
      <c r="T1422">
        <f t="shared" si="67"/>
        <v>16.043835616438358</v>
      </c>
      <c r="U1422" s="6">
        <f t="shared" si="68"/>
        <v>0.14989201221335691</v>
      </c>
    </row>
    <row r="1423" spans="1:21" x14ac:dyDescent="0.25">
      <c r="A1423" t="s">
        <v>5127</v>
      </c>
      <c r="B1423" t="s">
        <v>5128</v>
      </c>
      <c r="C1423" t="s">
        <v>14</v>
      </c>
      <c r="D1423">
        <v>2475</v>
      </c>
      <c r="E1423">
        <v>2494.0500000000002</v>
      </c>
      <c r="F1423">
        <v>2444</v>
      </c>
      <c r="G1423" s="3">
        <v>2457.6</v>
      </c>
      <c r="H1423">
        <v>2486</v>
      </c>
      <c r="I1423">
        <v>2490.85</v>
      </c>
      <c r="J1423">
        <v>92203</v>
      </c>
      <c r="K1423">
        <v>226273626.09999999</v>
      </c>
      <c r="L1423" s="1">
        <v>45240</v>
      </c>
      <c r="M1423">
        <v>4306</v>
      </c>
      <c r="N1423" t="s">
        <v>5129</v>
      </c>
      <c r="O1423" s="5">
        <v>45240</v>
      </c>
      <c r="P1423" s="5">
        <v>43777</v>
      </c>
      <c r="Q1423" s="3">
        <v>2791.3</v>
      </c>
      <c r="S1423">
        <f t="shared" si="66"/>
        <v>1464</v>
      </c>
      <c r="T1423">
        <f t="shared" si="67"/>
        <v>16.043835616438358</v>
      </c>
      <c r="U1423" s="6">
        <f t="shared" si="68"/>
        <v>-3.1617950310276921E-2</v>
      </c>
    </row>
    <row r="1424" spans="1:21" x14ac:dyDescent="0.25">
      <c r="A1424" t="s">
        <v>5130</v>
      </c>
      <c r="B1424" t="s">
        <v>5131</v>
      </c>
      <c r="C1424" t="s">
        <v>10</v>
      </c>
      <c r="D1424">
        <v>14.25</v>
      </c>
      <c r="E1424">
        <v>14.25</v>
      </c>
      <c r="F1424">
        <v>14</v>
      </c>
      <c r="G1424" s="3">
        <v>14</v>
      </c>
      <c r="H1424">
        <v>14</v>
      </c>
      <c r="I1424">
        <v>14.25</v>
      </c>
      <c r="J1424">
        <v>110</v>
      </c>
      <c r="K1424">
        <v>1552.5</v>
      </c>
      <c r="L1424" s="1">
        <v>45240</v>
      </c>
      <c r="M1424">
        <v>3</v>
      </c>
      <c r="N1424" t="s">
        <v>5132</v>
      </c>
      <c r="O1424" s="5">
        <v>45240</v>
      </c>
      <c r="P1424" s="5">
        <v>43777</v>
      </c>
      <c r="Q1424" s="3">
        <v>3.05</v>
      </c>
      <c r="S1424">
        <f t="shared" si="66"/>
        <v>1464</v>
      </c>
      <c r="T1424">
        <f t="shared" si="67"/>
        <v>16.043835616438358</v>
      </c>
      <c r="U1424" s="6">
        <f t="shared" si="68"/>
        <v>0.39856725174819552</v>
      </c>
    </row>
    <row r="1425" spans="1:21" x14ac:dyDescent="0.25">
      <c r="A1425" t="s">
        <v>5133</v>
      </c>
      <c r="B1425" t="s">
        <v>5134</v>
      </c>
      <c r="C1425" t="s">
        <v>14</v>
      </c>
      <c r="D1425">
        <v>1122</v>
      </c>
      <c r="E1425">
        <v>1139.75</v>
      </c>
      <c r="F1425">
        <v>1121.5</v>
      </c>
      <c r="G1425" s="3">
        <v>1138.1500000000001</v>
      </c>
      <c r="H1425">
        <v>1138</v>
      </c>
      <c r="I1425">
        <v>1123.95</v>
      </c>
      <c r="J1425">
        <v>706806</v>
      </c>
      <c r="K1425">
        <v>800633737.14999998</v>
      </c>
      <c r="L1425" s="1">
        <v>45240</v>
      </c>
      <c r="M1425">
        <v>40940</v>
      </c>
      <c r="N1425" t="s">
        <v>5135</v>
      </c>
      <c r="O1425" s="5">
        <v>45240</v>
      </c>
      <c r="P1425" s="5">
        <v>43777</v>
      </c>
      <c r="Q1425" s="3">
        <v>771.35</v>
      </c>
      <c r="S1425">
        <f t="shared" si="66"/>
        <v>1464</v>
      </c>
      <c r="T1425">
        <f t="shared" si="67"/>
        <v>16.043835616438358</v>
      </c>
      <c r="U1425" s="6">
        <f t="shared" si="68"/>
        <v>9.8173984818505033E-2</v>
      </c>
    </row>
    <row r="1426" spans="1:21" x14ac:dyDescent="0.25">
      <c r="A1426" t="s">
        <v>5136</v>
      </c>
      <c r="B1426" t="s">
        <v>5137</v>
      </c>
      <c r="C1426" t="s">
        <v>14</v>
      </c>
      <c r="D1426">
        <v>579.85</v>
      </c>
      <c r="E1426">
        <v>618</v>
      </c>
      <c r="F1426">
        <v>576.65</v>
      </c>
      <c r="G1426" s="3">
        <v>602.45000000000005</v>
      </c>
      <c r="H1426">
        <v>594.95000000000005</v>
      </c>
      <c r="I1426">
        <v>576.4</v>
      </c>
      <c r="J1426">
        <v>751211</v>
      </c>
      <c r="K1426">
        <v>448360550.19999999</v>
      </c>
      <c r="L1426" s="1">
        <v>45240</v>
      </c>
      <c r="M1426">
        <v>27599</v>
      </c>
      <c r="N1426" t="s">
        <v>5138</v>
      </c>
      <c r="O1426" s="5">
        <v>45240</v>
      </c>
      <c r="P1426" s="5">
        <v>43777</v>
      </c>
      <c r="Q1426" s="3">
        <v>263.05</v>
      </c>
      <c r="S1426">
        <f t="shared" si="66"/>
        <v>1464</v>
      </c>
      <c r="T1426">
        <f t="shared" si="67"/>
        <v>16.043835616438358</v>
      </c>
      <c r="U1426" s="6">
        <f t="shared" si="68"/>
        <v>0.21202756655353383</v>
      </c>
    </row>
    <row r="1427" spans="1:21" x14ac:dyDescent="0.25">
      <c r="A1427" t="s">
        <v>5145</v>
      </c>
      <c r="B1427" t="s">
        <v>5146</v>
      </c>
      <c r="C1427" t="s">
        <v>14</v>
      </c>
      <c r="D1427">
        <v>841.55</v>
      </c>
      <c r="E1427">
        <v>848.6</v>
      </c>
      <c r="F1427">
        <v>837.25</v>
      </c>
      <c r="G1427" s="3">
        <v>843.45</v>
      </c>
      <c r="H1427">
        <v>842.75</v>
      </c>
      <c r="I1427">
        <v>841.35</v>
      </c>
      <c r="J1427">
        <v>108889</v>
      </c>
      <c r="K1427">
        <v>91811832.849999994</v>
      </c>
      <c r="L1427" s="1">
        <v>45240</v>
      </c>
      <c r="M1427">
        <v>6063</v>
      </c>
      <c r="N1427" t="s">
        <v>5147</v>
      </c>
      <c r="O1427" s="5">
        <v>45240</v>
      </c>
      <c r="P1427" s="5">
        <v>43777</v>
      </c>
      <c r="Q1427" s="3">
        <v>75.7</v>
      </c>
      <c r="S1427">
        <f t="shared" si="66"/>
        <v>1464</v>
      </c>
      <c r="T1427">
        <f t="shared" si="67"/>
        <v>16.043835616438358</v>
      </c>
      <c r="U1427" s="6">
        <f t="shared" si="68"/>
        <v>0.64853840166833621</v>
      </c>
    </row>
    <row r="1428" spans="1:21" x14ac:dyDescent="0.25">
      <c r="A1428" t="s">
        <v>5151</v>
      </c>
      <c r="B1428" t="s">
        <v>5152</v>
      </c>
      <c r="C1428" t="s">
        <v>14</v>
      </c>
      <c r="D1428">
        <v>43.35</v>
      </c>
      <c r="E1428">
        <v>43.9</v>
      </c>
      <c r="F1428">
        <v>43.2</v>
      </c>
      <c r="G1428" s="3">
        <v>43.4</v>
      </c>
      <c r="H1428">
        <v>43.55</v>
      </c>
      <c r="I1428">
        <v>43.4</v>
      </c>
      <c r="J1428">
        <v>23929</v>
      </c>
      <c r="K1428">
        <v>1040161.05</v>
      </c>
      <c r="L1428" s="1">
        <v>45240</v>
      </c>
      <c r="M1428">
        <v>187</v>
      </c>
      <c r="N1428" t="s">
        <v>5153</v>
      </c>
      <c r="O1428" s="5">
        <v>45240</v>
      </c>
      <c r="P1428" s="5">
        <v>43777</v>
      </c>
      <c r="Q1428" s="3">
        <v>26.95</v>
      </c>
      <c r="S1428">
        <f t="shared" si="66"/>
        <v>1464</v>
      </c>
      <c r="T1428">
        <f t="shared" si="67"/>
        <v>16.043835616438358</v>
      </c>
      <c r="U1428" s="6">
        <f t="shared" si="68"/>
        <v>0.12057515622104376</v>
      </c>
    </row>
    <row r="1429" spans="1:21" x14ac:dyDescent="0.25">
      <c r="A1429" t="s">
        <v>5154</v>
      </c>
      <c r="B1429" t="s">
        <v>5155</v>
      </c>
      <c r="C1429" t="s">
        <v>14</v>
      </c>
      <c r="D1429">
        <v>100</v>
      </c>
      <c r="E1429">
        <v>104</v>
      </c>
      <c r="F1429">
        <v>99.05</v>
      </c>
      <c r="G1429" s="3">
        <v>100.6</v>
      </c>
      <c r="H1429">
        <v>101.4</v>
      </c>
      <c r="I1429">
        <v>100</v>
      </c>
      <c r="J1429">
        <v>741834</v>
      </c>
      <c r="K1429">
        <v>75389817.650000006</v>
      </c>
      <c r="L1429" s="1">
        <v>45240</v>
      </c>
      <c r="M1429">
        <v>3661</v>
      </c>
      <c r="N1429" t="s">
        <v>5156</v>
      </c>
      <c r="O1429" s="5">
        <v>45240</v>
      </c>
      <c r="P1429" s="5">
        <v>43777</v>
      </c>
      <c r="Q1429" s="3">
        <v>44</v>
      </c>
      <c r="S1429">
        <f t="shared" si="66"/>
        <v>1464</v>
      </c>
      <c r="T1429">
        <f t="shared" si="67"/>
        <v>16.043835616438358</v>
      </c>
      <c r="U1429" s="6">
        <f t="shared" si="68"/>
        <v>0.21158183039067513</v>
      </c>
    </row>
    <row r="1430" spans="1:21" x14ac:dyDescent="0.25">
      <c r="A1430" t="s">
        <v>5157</v>
      </c>
      <c r="B1430" t="s">
        <v>5158</v>
      </c>
      <c r="C1430" t="s">
        <v>14</v>
      </c>
      <c r="D1430">
        <v>80.349999999999994</v>
      </c>
      <c r="E1430">
        <v>80.349999999999994</v>
      </c>
      <c r="F1430">
        <v>80.349999999999994</v>
      </c>
      <c r="G1430" s="3">
        <v>80.349999999999994</v>
      </c>
      <c r="H1430">
        <v>80.349999999999994</v>
      </c>
      <c r="I1430">
        <v>84.55</v>
      </c>
      <c r="J1430">
        <v>29338</v>
      </c>
      <c r="K1430">
        <v>2357308.2999999998</v>
      </c>
      <c r="L1430" s="1">
        <v>45240</v>
      </c>
      <c r="M1430">
        <v>267</v>
      </c>
      <c r="N1430" t="s">
        <v>5159</v>
      </c>
      <c r="O1430" s="5">
        <v>45240</v>
      </c>
      <c r="P1430" s="5">
        <v>43777</v>
      </c>
      <c r="Q1430" s="3">
        <v>16.8</v>
      </c>
      <c r="S1430">
        <f t="shared" si="66"/>
        <v>1464</v>
      </c>
      <c r="T1430">
        <f t="shared" si="67"/>
        <v>16.043835616438358</v>
      </c>
      <c r="U1430" s="6">
        <f t="shared" si="68"/>
        <v>0.40984894905836278</v>
      </c>
    </row>
    <row r="1431" spans="1:21" x14ac:dyDescent="0.25">
      <c r="A1431" t="s">
        <v>5160</v>
      </c>
      <c r="B1431" t="s">
        <v>5161</v>
      </c>
      <c r="C1431" t="s">
        <v>14</v>
      </c>
      <c r="D1431">
        <v>127.35</v>
      </c>
      <c r="E1431">
        <v>133</v>
      </c>
      <c r="F1431">
        <v>126.95</v>
      </c>
      <c r="G1431" s="3">
        <v>130.9</v>
      </c>
      <c r="H1431">
        <v>131.19999999999999</v>
      </c>
      <c r="I1431">
        <v>128.75</v>
      </c>
      <c r="J1431">
        <v>1789625</v>
      </c>
      <c r="K1431">
        <v>233309247.40000001</v>
      </c>
      <c r="L1431" s="1">
        <v>45240</v>
      </c>
      <c r="M1431">
        <v>14127</v>
      </c>
      <c r="N1431" t="s">
        <v>5162</v>
      </c>
      <c r="O1431" s="5">
        <v>45240</v>
      </c>
      <c r="P1431" s="5">
        <v>43777</v>
      </c>
      <c r="Q1431" s="3">
        <v>43.2</v>
      </c>
      <c r="S1431">
        <f t="shared" si="66"/>
        <v>1464</v>
      </c>
      <c r="T1431">
        <f t="shared" si="67"/>
        <v>16.043835616438358</v>
      </c>
      <c r="U1431" s="6">
        <f t="shared" si="68"/>
        <v>0.28616385146157786</v>
      </c>
    </row>
    <row r="1432" spans="1:21" x14ac:dyDescent="0.25">
      <c r="A1432" t="s">
        <v>5163</v>
      </c>
      <c r="B1432" t="s">
        <v>5164</v>
      </c>
      <c r="C1432" t="s">
        <v>14</v>
      </c>
      <c r="D1432">
        <v>104.4</v>
      </c>
      <c r="E1432">
        <v>106.4</v>
      </c>
      <c r="F1432">
        <v>103.8</v>
      </c>
      <c r="G1432" s="3">
        <v>105.15</v>
      </c>
      <c r="H1432">
        <v>106.2</v>
      </c>
      <c r="I1432">
        <v>104.35</v>
      </c>
      <c r="J1432">
        <v>335756</v>
      </c>
      <c r="K1432">
        <v>35311254.850000001</v>
      </c>
      <c r="L1432" s="1">
        <v>45240</v>
      </c>
      <c r="M1432">
        <v>3154</v>
      </c>
      <c r="N1432" t="s">
        <v>5165</v>
      </c>
      <c r="O1432" s="5">
        <v>45240</v>
      </c>
      <c r="P1432" s="5">
        <v>43777</v>
      </c>
      <c r="Q1432" s="3">
        <v>83.6</v>
      </c>
      <c r="S1432">
        <f t="shared" si="66"/>
        <v>1464</v>
      </c>
      <c r="T1432">
        <f t="shared" si="67"/>
        <v>16.043835616438358</v>
      </c>
      <c r="U1432" s="6">
        <f t="shared" si="68"/>
        <v>5.759007990292897E-2</v>
      </c>
    </row>
    <row r="1433" spans="1:21" x14ac:dyDescent="0.25">
      <c r="A1433" t="s">
        <v>5166</v>
      </c>
      <c r="B1433" t="s">
        <v>5167</v>
      </c>
      <c r="C1433" t="s">
        <v>14</v>
      </c>
      <c r="D1433">
        <v>9.9</v>
      </c>
      <c r="E1433">
        <v>9.9</v>
      </c>
      <c r="F1433">
        <v>9.5500000000000007</v>
      </c>
      <c r="G1433" s="3">
        <v>9.65</v>
      </c>
      <c r="H1433">
        <v>9.65</v>
      </c>
      <c r="I1433">
        <v>9.5500000000000007</v>
      </c>
      <c r="J1433">
        <v>8618</v>
      </c>
      <c r="K1433">
        <v>83194.25</v>
      </c>
      <c r="L1433" s="1">
        <v>45240</v>
      </c>
      <c r="M1433">
        <v>125</v>
      </c>
      <c r="N1433" t="s">
        <v>5168</v>
      </c>
      <c r="O1433" s="5">
        <v>45240</v>
      </c>
      <c r="P1433" s="5">
        <v>43777</v>
      </c>
      <c r="Q1433" s="3">
        <v>3.9</v>
      </c>
      <c r="S1433">
        <f t="shared" si="66"/>
        <v>1464</v>
      </c>
      <c r="T1433">
        <f t="shared" si="67"/>
        <v>16.043835616438358</v>
      </c>
      <c r="U1433" s="6">
        <f t="shared" si="68"/>
        <v>0.23237578345479992</v>
      </c>
    </row>
    <row r="1434" spans="1:21" x14ac:dyDescent="0.25">
      <c r="A1434" t="s">
        <v>5169</v>
      </c>
      <c r="B1434" t="s">
        <v>5170</v>
      </c>
      <c r="C1434" t="s">
        <v>14</v>
      </c>
      <c r="D1434">
        <v>13.2</v>
      </c>
      <c r="E1434">
        <v>13.5</v>
      </c>
      <c r="F1434">
        <v>12.2</v>
      </c>
      <c r="G1434" s="3">
        <v>12.9</v>
      </c>
      <c r="H1434">
        <v>12.85</v>
      </c>
      <c r="I1434">
        <v>12.9</v>
      </c>
      <c r="J1434">
        <v>260863</v>
      </c>
      <c r="K1434">
        <v>3352076.2</v>
      </c>
      <c r="L1434" s="1">
        <v>45240</v>
      </c>
      <c r="M1434">
        <v>2837</v>
      </c>
      <c r="N1434" t="s">
        <v>5171</v>
      </c>
      <c r="O1434" s="5">
        <v>45240</v>
      </c>
      <c r="P1434" s="5">
        <v>43777</v>
      </c>
      <c r="Q1434" s="3">
        <v>3.2</v>
      </c>
      <c r="S1434">
        <f t="shared" si="66"/>
        <v>1464</v>
      </c>
      <c r="T1434">
        <f t="shared" si="67"/>
        <v>16.043835616438358</v>
      </c>
      <c r="U1434" s="6">
        <f t="shared" si="68"/>
        <v>0.36311426329238738</v>
      </c>
    </row>
    <row r="1435" spans="1:21" x14ac:dyDescent="0.25">
      <c r="A1435" t="s">
        <v>5172</v>
      </c>
      <c r="B1435" t="s">
        <v>5173</v>
      </c>
      <c r="C1435" t="s">
        <v>14</v>
      </c>
      <c r="D1435">
        <v>1360.95</v>
      </c>
      <c r="E1435">
        <v>1360.95</v>
      </c>
      <c r="F1435">
        <v>1333</v>
      </c>
      <c r="G1435" s="3">
        <v>1343.75</v>
      </c>
      <c r="H1435">
        <v>1349.9</v>
      </c>
      <c r="I1435">
        <v>1350.3</v>
      </c>
      <c r="J1435">
        <v>15394</v>
      </c>
      <c r="K1435">
        <v>20670605.649999999</v>
      </c>
      <c r="L1435" s="1">
        <v>45240</v>
      </c>
      <c r="M1435">
        <v>2371</v>
      </c>
      <c r="N1435" t="s">
        <v>5174</v>
      </c>
      <c r="O1435" s="5">
        <v>45240</v>
      </c>
      <c r="P1435" s="5">
        <v>43777</v>
      </c>
      <c r="Q1435" s="3">
        <v>349.15</v>
      </c>
      <c r="S1435">
        <f t="shared" si="66"/>
        <v>1464</v>
      </c>
      <c r="T1435">
        <f t="shared" si="67"/>
        <v>16.043835616438358</v>
      </c>
      <c r="U1435" s="6">
        <f t="shared" si="68"/>
        <v>0.35052524789468098</v>
      </c>
    </row>
    <row r="1436" spans="1:21" x14ac:dyDescent="0.25">
      <c r="A1436" t="s">
        <v>5175</v>
      </c>
      <c r="B1436" t="s">
        <v>5176</v>
      </c>
      <c r="C1436" t="s">
        <v>5861</v>
      </c>
      <c r="D1436">
        <v>91.7</v>
      </c>
      <c r="E1436">
        <v>91.7</v>
      </c>
      <c r="F1436">
        <v>91.7</v>
      </c>
      <c r="G1436" s="3">
        <v>91.7</v>
      </c>
      <c r="H1436">
        <v>91.7</v>
      </c>
      <c r="I1436">
        <v>321.10000000000002</v>
      </c>
      <c r="J1436">
        <v>2154990</v>
      </c>
      <c r="K1436">
        <v>197612583</v>
      </c>
      <c r="L1436" s="1">
        <v>45240</v>
      </c>
      <c r="M1436">
        <v>1</v>
      </c>
      <c r="N1436" t="s">
        <v>5177</v>
      </c>
      <c r="O1436" s="5">
        <v>45240</v>
      </c>
      <c r="P1436" s="5">
        <v>43777</v>
      </c>
      <c r="Q1436" s="3">
        <v>126.95</v>
      </c>
      <c r="S1436">
        <f t="shared" si="66"/>
        <v>1464</v>
      </c>
      <c r="T1436">
        <f t="shared" si="67"/>
        <v>16.043835616438358</v>
      </c>
      <c r="U1436" s="6">
        <f t="shared" si="68"/>
        <v>-8.0279018958119508E-2</v>
      </c>
    </row>
    <row r="1437" spans="1:21" x14ac:dyDescent="0.25">
      <c r="A1437" t="s">
        <v>5175</v>
      </c>
      <c r="B1437" t="s">
        <v>5176</v>
      </c>
      <c r="C1437" t="s">
        <v>14</v>
      </c>
      <c r="D1437">
        <v>93.15</v>
      </c>
      <c r="E1437">
        <v>94.05</v>
      </c>
      <c r="F1437">
        <v>90.1</v>
      </c>
      <c r="G1437" s="3">
        <v>90.7</v>
      </c>
      <c r="H1437">
        <v>90.2</v>
      </c>
      <c r="I1437">
        <v>93.1</v>
      </c>
      <c r="J1437">
        <v>8589</v>
      </c>
      <c r="K1437">
        <v>790749</v>
      </c>
      <c r="L1437" s="1">
        <v>45240</v>
      </c>
      <c r="M1437">
        <v>383</v>
      </c>
      <c r="N1437" t="s">
        <v>5177</v>
      </c>
      <c r="O1437" s="5">
        <v>45240</v>
      </c>
      <c r="P1437" s="5">
        <v>43777</v>
      </c>
      <c r="Q1437" s="3">
        <v>126.95</v>
      </c>
      <c r="S1437">
        <f t="shared" si="66"/>
        <v>1464</v>
      </c>
      <c r="T1437">
        <f t="shared" si="67"/>
        <v>16.043835616438358</v>
      </c>
      <c r="U1437" s="6">
        <f t="shared" si="68"/>
        <v>-8.295700348874524E-2</v>
      </c>
    </row>
    <row r="1438" spans="1:21" x14ac:dyDescent="0.25">
      <c r="A1438" t="s">
        <v>5181</v>
      </c>
      <c r="B1438" t="s">
        <v>5182</v>
      </c>
      <c r="C1438" t="s">
        <v>14</v>
      </c>
      <c r="D1438">
        <v>160.75</v>
      </c>
      <c r="E1438">
        <v>165.65</v>
      </c>
      <c r="F1438">
        <v>158.44999999999999</v>
      </c>
      <c r="G1438" s="3">
        <v>163.95</v>
      </c>
      <c r="H1438">
        <v>164</v>
      </c>
      <c r="I1438">
        <v>160.19999999999999</v>
      </c>
      <c r="J1438">
        <v>316795</v>
      </c>
      <c r="K1438">
        <v>51835866.100000001</v>
      </c>
      <c r="L1438" s="1">
        <v>45240</v>
      </c>
      <c r="M1438">
        <v>10776</v>
      </c>
      <c r="N1438" t="s">
        <v>5183</v>
      </c>
      <c r="O1438" s="5">
        <v>45240</v>
      </c>
      <c r="P1438" s="5">
        <v>43777</v>
      </c>
      <c r="Q1438" s="3">
        <v>282.25</v>
      </c>
      <c r="S1438">
        <f t="shared" si="66"/>
        <v>1464</v>
      </c>
      <c r="T1438">
        <f t="shared" si="67"/>
        <v>16.043835616438358</v>
      </c>
      <c r="U1438" s="6">
        <f t="shared" si="68"/>
        <v>-0.13316963291845951</v>
      </c>
    </row>
    <row r="1439" spans="1:21" x14ac:dyDescent="0.25">
      <c r="A1439" t="s">
        <v>5184</v>
      </c>
      <c r="B1439" t="s">
        <v>5185</v>
      </c>
      <c r="C1439" t="s">
        <v>14</v>
      </c>
      <c r="D1439">
        <v>2920.85</v>
      </c>
      <c r="E1439">
        <v>2942.1</v>
      </c>
      <c r="F1439">
        <v>2880</v>
      </c>
      <c r="G1439" s="3">
        <v>2894.75</v>
      </c>
      <c r="H1439">
        <v>2880</v>
      </c>
      <c r="I1439">
        <v>2912.75</v>
      </c>
      <c r="J1439">
        <v>20708</v>
      </c>
      <c r="K1439">
        <v>60167727.75</v>
      </c>
      <c r="L1439" s="1">
        <v>45240</v>
      </c>
      <c r="M1439">
        <v>5964</v>
      </c>
      <c r="N1439" t="s">
        <v>5186</v>
      </c>
      <c r="O1439" s="5">
        <v>45240</v>
      </c>
      <c r="P1439" s="5">
        <v>43777</v>
      </c>
      <c r="Q1439" s="3">
        <v>1087.8499999999999</v>
      </c>
      <c r="S1439">
        <f t="shared" si="66"/>
        <v>1464</v>
      </c>
      <c r="T1439">
        <f t="shared" si="67"/>
        <v>16.043835616438358</v>
      </c>
      <c r="U1439" s="6">
        <f t="shared" si="68"/>
        <v>0.25160135624548197</v>
      </c>
    </row>
    <row r="1440" spans="1:21" x14ac:dyDescent="0.25">
      <c r="A1440" t="s">
        <v>5187</v>
      </c>
      <c r="B1440" t="s">
        <v>5188</v>
      </c>
      <c r="C1440" t="s">
        <v>14</v>
      </c>
      <c r="D1440">
        <v>148.9</v>
      </c>
      <c r="E1440">
        <v>150</v>
      </c>
      <c r="F1440">
        <v>143.35</v>
      </c>
      <c r="G1440" s="3">
        <v>147.30000000000001</v>
      </c>
      <c r="H1440">
        <v>147.9</v>
      </c>
      <c r="I1440">
        <v>146.6</v>
      </c>
      <c r="J1440">
        <v>420577</v>
      </c>
      <c r="K1440">
        <v>62059059.25</v>
      </c>
      <c r="L1440" s="1">
        <v>45240</v>
      </c>
      <c r="M1440">
        <v>4302</v>
      </c>
      <c r="N1440" t="s">
        <v>5189</v>
      </c>
      <c r="O1440" s="5">
        <v>45240</v>
      </c>
      <c r="P1440" s="5">
        <v>43777</v>
      </c>
      <c r="Q1440" s="3">
        <v>131.94999999999999</v>
      </c>
      <c r="S1440">
        <f t="shared" si="66"/>
        <v>1464</v>
      </c>
      <c r="T1440">
        <f t="shared" si="67"/>
        <v>16.043835616438358</v>
      </c>
      <c r="U1440" s="6">
        <f t="shared" si="68"/>
        <v>2.7531208973292642E-2</v>
      </c>
    </row>
    <row r="1441" spans="1:21" x14ac:dyDescent="0.25">
      <c r="A1441" t="s">
        <v>5190</v>
      </c>
      <c r="B1441" t="s">
        <v>5191</v>
      </c>
      <c r="C1441" t="s">
        <v>10</v>
      </c>
      <c r="D1441">
        <v>151.65</v>
      </c>
      <c r="E1441">
        <v>151.65</v>
      </c>
      <c r="F1441">
        <v>151.65</v>
      </c>
      <c r="G1441" s="3">
        <v>151.65</v>
      </c>
      <c r="H1441">
        <v>151.65</v>
      </c>
      <c r="I1441">
        <v>144.44999999999999</v>
      </c>
      <c r="J1441">
        <v>2498</v>
      </c>
      <c r="K1441">
        <v>378821.7</v>
      </c>
      <c r="L1441" s="1">
        <v>45240</v>
      </c>
      <c r="M1441">
        <v>17</v>
      </c>
      <c r="N1441" t="s">
        <v>5192</v>
      </c>
      <c r="O1441" s="5">
        <v>45240</v>
      </c>
      <c r="P1441" s="5">
        <v>43777</v>
      </c>
      <c r="Q1441" s="3">
        <v>4.6500000000000004</v>
      </c>
      <c r="S1441">
        <f t="shared" si="66"/>
        <v>1464</v>
      </c>
      <c r="T1441">
        <f t="shared" si="67"/>
        <v>16.043835616438358</v>
      </c>
      <c r="U1441" s="6">
        <f t="shared" si="68"/>
        <v>0.97036633063283162</v>
      </c>
    </row>
    <row r="1442" spans="1:21" x14ac:dyDescent="0.25">
      <c r="A1442" t="s">
        <v>5193</v>
      </c>
      <c r="B1442" t="s">
        <v>5194</v>
      </c>
      <c r="C1442" t="s">
        <v>14</v>
      </c>
      <c r="D1442">
        <v>547.75</v>
      </c>
      <c r="E1442">
        <v>559</v>
      </c>
      <c r="F1442">
        <v>543.54999999999995</v>
      </c>
      <c r="G1442" s="3">
        <v>551.35</v>
      </c>
      <c r="H1442">
        <v>551.29999999999995</v>
      </c>
      <c r="I1442">
        <v>547.75</v>
      </c>
      <c r="J1442">
        <v>27191</v>
      </c>
      <c r="K1442">
        <v>14972425.199999999</v>
      </c>
      <c r="L1442" s="1">
        <v>45240</v>
      </c>
      <c r="M1442">
        <v>3099</v>
      </c>
      <c r="N1442" t="s">
        <v>5195</v>
      </c>
      <c r="O1442" s="5">
        <v>45240</v>
      </c>
      <c r="P1442" s="5">
        <v>43777</v>
      </c>
      <c r="Q1442" s="3">
        <v>547.75</v>
      </c>
      <c r="S1442">
        <f t="shared" si="66"/>
        <v>1464</v>
      </c>
      <c r="T1442">
        <f t="shared" si="67"/>
        <v>16.043835616438358</v>
      </c>
      <c r="U1442" s="6">
        <f t="shared" si="68"/>
        <v>1.6335682937240747E-3</v>
      </c>
    </row>
    <row r="1443" spans="1:21" x14ac:dyDescent="0.25">
      <c r="A1443" t="s">
        <v>5196</v>
      </c>
      <c r="B1443" t="s">
        <v>5197</v>
      </c>
      <c r="C1443" t="s">
        <v>14</v>
      </c>
      <c r="D1443">
        <v>251.35</v>
      </c>
      <c r="E1443">
        <v>253.8</v>
      </c>
      <c r="F1443">
        <v>245.95</v>
      </c>
      <c r="G1443" s="3">
        <v>249</v>
      </c>
      <c r="H1443">
        <v>247.25</v>
      </c>
      <c r="I1443">
        <v>251.35</v>
      </c>
      <c r="J1443">
        <v>793966</v>
      </c>
      <c r="K1443">
        <v>198214511.80000001</v>
      </c>
      <c r="L1443" s="1">
        <v>45240</v>
      </c>
      <c r="M1443">
        <v>13269</v>
      </c>
      <c r="N1443" t="s">
        <v>5198</v>
      </c>
      <c r="O1443" s="5">
        <v>45240</v>
      </c>
      <c r="P1443" s="5">
        <v>43777</v>
      </c>
      <c r="Q1443" s="3">
        <v>13.85</v>
      </c>
      <c r="S1443">
        <f t="shared" si="66"/>
        <v>1464</v>
      </c>
      <c r="T1443">
        <f t="shared" si="67"/>
        <v>16.043835616438358</v>
      </c>
      <c r="U1443" s="6">
        <f t="shared" si="68"/>
        <v>0.78925071049115303</v>
      </c>
    </row>
    <row r="1444" spans="1:21" x14ac:dyDescent="0.25">
      <c r="A1444" t="s">
        <v>5199</v>
      </c>
      <c r="B1444" t="s">
        <v>5200</v>
      </c>
      <c r="C1444" t="s">
        <v>14</v>
      </c>
      <c r="D1444">
        <v>1170</v>
      </c>
      <c r="E1444">
        <v>1209.9000000000001</v>
      </c>
      <c r="F1444">
        <v>1161.25</v>
      </c>
      <c r="G1444" s="3">
        <v>1187.75</v>
      </c>
      <c r="H1444">
        <v>1180.0999999999999</v>
      </c>
      <c r="I1444">
        <v>1166.2</v>
      </c>
      <c r="J1444">
        <v>41178</v>
      </c>
      <c r="K1444">
        <v>48982545.899999999</v>
      </c>
      <c r="L1444" s="1">
        <v>45240</v>
      </c>
      <c r="M1444">
        <v>4726</v>
      </c>
      <c r="N1444" t="s">
        <v>5201</v>
      </c>
      <c r="O1444" s="5">
        <v>45240</v>
      </c>
      <c r="P1444" s="5">
        <v>43777</v>
      </c>
      <c r="Q1444" s="3">
        <v>5008.55</v>
      </c>
      <c r="S1444">
        <f t="shared" si="66"/>
        <v>1464</v>
      </c>
      <c r="T1444">
        <f t="shared" si="67"/>
        <v>16.043835616438358</v>
      </c>
      <c r="U1444" s="6">
        <f t="shared" si="68"/>
        <v>-0.34316780938949032</v>
      </c>
    </row>
    <row r="1445" spans="1:21" x14ac:dyDescent="0.25">
      <c r="A1445" t="s">
        <v>5202</v>
      </c>
      <c r="B1445" t="s">
        <v>5203</v>
      </c>
      <c r="C1445" t="s">
        <v>14</v>
      </c>
      <c r="D1445">
        <v>2215</v>
      </c>
      <c r="E1445">
        <v>2265.9</v>
      </c>
      <c r="F1445">
        <v>1956.75</v>
      </c>
      <c r="G1445" s="3">
        <v>2001.9</v>
      </c>
      <c r="H1445">
        <v>2046</v>
      </c>
      <c r="I1445">
        <v>2240.1999999999998</v>
      </c>
      <c r="J1445">
        <v>49563</v>
      </c>
      <c r="K1445">
        <v>101751848.45</v>
      </c>
      <c r="L1445" s="1">
        <v>45240</v>
      </c>
      <c r="M1445">
        <v>7706</v>
      </c>
      <c r="N1445" t="s">
        <v>5204</v>
      </c>
      <c r="O1445" s="5">
        <v>45240</v>
      </c>
      <c r="P1445" s="5">
        <v>43777</v>
      </c>
      <c r="Q1445" s="3">
        <v>332.8</v>
      </c>
      <c r="S1445">
        <f t="shared" si="66"/>
        <v>1464</v>
      </c>
      <c r="T1445">
        <f t="shared" si="67"/>
        <v>16.043835616438358</v>
      </c>
      <c r="U1445" s="6">
        <f t="shared" si="68"/>
        <v>0.47332665252251349</v>
      </c>
    </row>
    <row r="1446" spans="1:21" x14ac:dyDescent="0.25">
      <c r="A1446" t="s">
        <v>5205</v>
      </c>
      <c r="B1446" t="s">
        <v>5206</v>
      </c>
      <c r="C1446" t="s">
        <v>14</v>
      </c>
      <c r="D1446">
        <v>3159.95</v>
      </c>
      <c r="E1446">
        <v>3220</v>
      </c>
      <c r="F1446">
        <v>3109.8</v>
      </c>
      <c r="G1446" s="3">
        <v>3195.75</v>
      </c>
      <c r="H1446">
        <v>3200</v>
      </c>
      <c r="I1446">
        <v>3152.05</v>
      </c>
      <c r="J1446">
        <v>69419</v>
      </c>
      <c r="K1446">
        <v>219467503.59999999</v>
      </c>
      <c r="L1446" s="1">
        <v>45240</v>
      </c>
      <c r="M1446">
        <v>10110</v>
      </c>
      <c r="N1446" t="s">
        <v>5207</v>
      </c>
      <c r="O1446" s="5">
        <v>45240</v>
      </c>
      <c r="P1446" s="5">
        <v>43777</v>
      </c>
      <c r="Q1446" s="3">
        <v>438.45</v>
      </c>
      <c r="S1446">
        <f t="shared" si="66"/>
        <v>1464</v>
      </c>
      <c r="T1446">
        <f t="shared" si="67"/>
        <v>16.043835616438358</v>
      </c>
      <c r="U1446" s="6">
        <f t="shared" si="68"/>
        <v>0.52718743548134661</v>
      </c>
    </row>
    <row r="1447" spans="1:21" x14ac:dyDescent="0.25">
      <c r="A1447" t="s">
        <v>5208</v>
      </c>
      <c r="B1447" t="s">
        <v>5209</v>
      </c>
      <c r="C1447" t="s">
        <v>14</v>
      </c>
      <c r="D1447">
        <v>6.35</v>
      </c>
      <c r="E1447">
        <v>6.35</v>
      </c>
      <c r="F1447">
        <v>6.1</v>
      </c>
      <c r="G1447" s="3">
        <v>6.2</v>
      </c>
      <c r="H1447">
        <v>6.25</v>
      </c>
      <c r="I1447">
        <v>6.1</v>
      </c>
      <c r="J1447">
        <v>10861</v>
      </c>
      <c r="K1447">
        <v>67988.75</v>
      </c>
      <c r="L1447" s="1">
        <v>45240</v>
      </c>
      <c r="M1447">
        <v>46</v>
      </c>
      <c r="N1447" t="s">
        <v>5210</v>
      </c>
      <c r="O1447" s="5">
        <v>45240</v>
      </c>
      <c r="P1447" s="5">
        <v>43777</v>
      </c>
      <c r="Q1447" s="3">
        <v>9.8000000000000007</v>
      </c>
      <c r="S1447">
        <f t="shared" si="66"/>
        <v>1464</v>
      </c>
      <c r="T1447">
        <f t="shared" si="67"/>
        <v>16.043835616438358</v>
      </c>
      <c r="U1447" s="6">
        <f t="shared" si="68"/>
        <v>-0.11253227721991754</v>
      </c>
    </row>
    <row r="1448" spans="1:21" x14ac:dyDescent="0.25">
      <c r="A1448" t="s">
        <v>5211</v>
      </c>
      <c r="B1448" t="s">
        <v>5212</v>
      </c>
      <c r="C1448" t="s">
        <v>786</v>
      </c>
      <c r="D1448">
        <v>308</v>
      </c>
      <c r="E1448">
        <v>308.3</v>
      </c>
      <c r="F1448">
        <v>308</v>
      </c>
      <c r="G1448" s="3">
        <v>308.3</v>
      </c>
      <c r="H1448">
        <v>308.3</v>
      </c>
      <c r="I1448">
        <v>302.3</v>
      </c>
      <c r="J1448">
        <v>22553</v>
      </c>
      <c r="K1448">
        <v>6946783.9000000004</v>
      </c>
      <c r="L1448" s="1">
        <v>45240</v>
      </c>
      <c r="M1448">
        <v>15</v>
      </c>
      <c r="N1448" t="s">
        <v>5213</v>
      </c>
      <c r="O1448" s="5">
        <v>45240</v>
      </c>
      <c r="P1448" s="5">
        <v>43777</v>
      </c>
      <c r="Q1448" s="3">
        <v>194.85</v>
      </c>
      <c r="S1448">
        <f t="shared" si="66"/>
        <v>1464</v>
      </c>
      <c r="T1448">
        <f t="shared" si="67"/>
        <v>16.043835616438358</v>
      </c>
      <c r="U1448" s="6">
        <f t="shared" si="68"/>
        <v>0.11604896094718953</v>
      </c>
    </row>
    <row r="1449" spans="1:21" x14ac:dyDescent="0.25">
      <c r="A1449" t="s">
        <v>5214</v>
      </c>
      <c r="B1449" t="s">
        <v>5215</v>
      </c>
      <c r="C1449" t="s">
        <v>14</v>
      </c>
      <c r="D1449">
        <v>74.05</v>
      </c>
      <c r="E1449">
        <v>75.55</v>
      </c>
      <c r="F1449">
        <v>73.099999999999994</v>
      </c>
      <c r="G1449" s="3">
        <v>73.3</v>
      </c>
      <c r="H1449">
        <v>73.099999999999994</v>
      </c>
      <c r="I1449">
        <v>73.650000000000006</v>
      </c>
      <c r="J1449">
        <v>6072</v>
      </c>
      <c r="K1449">
        <v>447407.9</v>
      </c>
      <c r="L1449" s="1">
        <v>45240</v>
      </c>
      <c r="M1449">
        <v>347</v>
      </c>
      <c r="N1449" t="s">
        <v>5216</v>
      </c>
      <c r="O1449" s="5">
        <v>45240</v>
      </c>
      <c r="P1449" s="5">
        <v>43777</v>
      </c>
      <c r="Q1449" s="3">
        <v>36.4</v>
      </c>
      <c r="S1449">
        <f t="shared" si="66"/>
        <v>1464</v>
      </c>
      <c r="T1449">
        <f t="shared" si="67"/>
        <v>16.043835616438358</v>
      </c>
      <c r="U1449" s="6">
        <f t="shared" si="68"/>
        <v>0.17838294587789161</v>
      </c>
    </row>
    <row r="1450" spans="1:21" x14ac:dyDescent="0.25">
      <c r="A1450" t="s">
        <v>5217</v>
      </c>
      <c r="B1450" t="s">
        <v>5218</v>
      </c>
      <c r="C1450" t="s">
        <v>14</v>
      </c>
      <c r="D1450">
        <v>163.65</v>
      </c>
      <c r="E1450">
        <v>169.65</v>
      </c>
      <c r="F1450">
        <v>162.25</v>
      </c>
      <c r="G1450" s="3">
        <v>168.15</v>
      </c>
      <c r="H1450">
        <v>169</v>
      </c>
      <c r="I1450">
        <v>162.94999999999999</v>
      </c>
      <c r="J1450">
        <v>4851622</v>
      </c>
      <c r="K1450">
        <v>805904789</v>
      </c>
      <c r="L1450" s="1">
        <v>45240</v>
      </c>
      <c r="M1450">
        <v>29746</v>
      </c>
      <c r="N1450" t="s">
        <v>5219</v>
      </c>
      <c r="O1450" s="5">
        <v>45240</v>
      </c>
      <c r="P1450" s="5">
        <v>43777</v>
      </c>
      <c r="Q1450" s="3">
        <v>63.9</v>
      </c>
      <c r="S1450">
        <f t="shared" si="66"/>
        <v>1464</v>
      </c>
      <c r="T1450">
        <f t="shared" si="67"/>
        <v>16.043835616438358</v>
      </c>
      <c r="U1450" s="6">
        <f t="shared" si="68"/>
        <v>0.24864541786624716</v>
      </c>
    </row>
    <row r="1451" spans="1:21" x14ac:dyDescent="0.25">
      <c r="A1451" t="s">
        <v>5220</v>
      </c>
      <c r="B1451" t="s">
        <v>5221</v>
      </c>
      <c r="C1451" t="s">
        <v>14</v>
      </c>
      <c r="D1451">
        <v>2901</v>
      </c>
      <c r="E1451">
        <v>2968.8</v>
      </c>
      <c r="F1451">
        <v>2900.45</v>
      </c>
      <c r="G1451" s="3">
        <v>2951</v>
      </c>
      <c r="H1451">
        <v>2954</v>
      </c>
      <c r="I1451">
        <v>2917.45</v>
      </c>
      <c r="J1451">
        <v>23573</v>
      </c>
      <c r="K1451">
        <v>69580739.599999994</v>
      </c>
      <c r="L1451" s="1">
        <v>45240</v>
      </c>
      <c r="M1451">
        <v>6477</v>
      </c>
      <c r="N1451" t="s">
        <v>5222</v>
      </c>
      <c r="O1451" s="5">
        <v>45240</v>
      </c>
      <c r="P1451" s="5">
        <v>43777</v>
      </c>
      <c r="Q1451" s="3">
        <v>870.4</v>
      </c>
      <c r="S1451">
        <f t="shared" si="66"/>
        <v>1464</v>
      </c>
      <c r="T1451">
        <f t="shared" si="67"/>
        <v>16.043835616438358</v>
      </c>
      <c r="U1451" s="6">
        <f t="shared" si="68"/>
        <v>0.31628475723154104</v>
      </c>
    </row>
    <row r="1452" spans="1:21" x14ac:dyDescent="0.25">
      <c r="A1452" t="s">
        <v>5223</v>
      </c>
      <c r="B1452" t="s">
        <v>5224</v>
      </c>
      <c r="C1452" t="s">
        <v>14</v>
      </c>
      <c r="D1452">
        <v>380.1</v>
      </c>
      <c r="E1452">
        <v>387.05</v>
      </c>
      <c r="F1452">
        <v>380.1</v>
      </c>
      <c r="G1452" s="3">
        <v>385.6</v>
      </c>
      <c r="H1452">
        <v>385.6</v>
      </c>
      <c r="I1452">
        <v>383.65</v>
      </c>
      <c r="J1452">
        <v>155764</v>
      </c>
      <c r="K1452">
        <v>59894236.200000003</v>
      </c>
      <c r="L1452" s="1">
        <v>45240</v>
      </c>
      <c r="M1452">
        <v>2723</v>
      </c>
      <c r="N1452" t="s">
        <v>5225</v>
      </c>
      <c r="O1452" s="5">
        <v>45240</v>
      </c>
      <c r="P1452" s="5">
        <v>43777</v>
      </c>
      <c r="Q1452" s="3">
        <v>131.69999999999999</v>
      </c>
      <c r="S1452">
        <f t="shared" si="66"/>
        <v>1464</v>
      </c>
      <c r="T1452">
        <f t="shared" si="67"/>
        <v>16.043835616438358</v>
      </c>
      <c r="U1452" s="6">
        <f t="shared" si="68"/>
        <v>0.27700515626112043</v>
      </c>
    </row>
    <row r="1453" spans="1:21" x14ac:dyDescent="0.25">
      <c r="A1453" t="s">
        <v>5229</v>
      </c>
      <c r="B1453" t="s">
        <v>5230</v>
      </c>
      <c r="C1453" t="s">
        <v>14</v>
      </c>
      <c r="D1453">
        <v>364.9</v>
      </c>
      <c r="E1453">
        <v>375.6</v>
      </c>
      <c r="F1453">
        <v>363.6</v>
      </c>
      <c r="G1453" s="3">
        <v>365.6</v>
      </c>
      <c r="H1453">
        <v>365.1</v>
      </c>
      <c r="I1453">
        <v>362.65</v>
      </c>
      <c r="J1453">
        <v>275166</v>
      </c>
      <c r="K1453">
        <v>101385655</v>
      </c>
      <c r="L1453" s="1">
        <v>45240</v>
      </c>
      <c r="M1453">
        <v>13352</v>
      </c>
      <c r="N1453" t="s">
        <v>5231</v>
      </c>
      <c r="O1453" s="5">
        <v>45240</v>
      </c>
      <c r="P1453" s="5">
        <v>43777</v>
      </c>
      <c r="Q1453" s="3">
        <v>73.650000000000006</v>
      </c>
      <c r="S1453">
        <f t="shared" si="66"/>
        <v>1464</v>
      </c>
      <c r="T1453">
        <f t="shared" si="67"/>
        <v>16.043835616438358</v>
      </c>
      <c r="U1453" s="6">
        <f t="shared" si="68"/>
        <v>0.42008638384353691</v>
      </c>
    </row>
    <row r="1454" spans="1:21" x14ac:dyDescent="0.25">
      <c r="A1454" t="s">
        <v>5232</v>
      </c>
      <c r="B1454" t="s">
        <v>5233</v>
      </c>
      <c r="C1454" t="s">
        <v>14</v>
      </c>
      <c r="D1454">
        <v>193.75</v>
      </c>
      <c r="E1454">
        <v>195.45</v>
      </c>
      <c r="F1454">
        <v>192.45</v>
      </c>
      <c r="G1454" s="3">
        <v>194.05</v>
      </c>
      <c r="H1454">
        <v>193</v>
      </c>
      <c r="I1454">
        <v>194.6</v>
      </c>
      <c r="J1454">
        <v>162259</v>
      </c>
      <c r="K1454">
        <v>31419956.850000001</v>
      </c>
      <c r="L1454" s="1">
        <v>45240</v>
      </c>
      <c r="M1454">
        <v>3473</v>
      </c>
      <c r="N1454" t="s">
        <v>5234</v>
      </c>
      <c r="O1454" s="5">
        <v>45240</v>
      </c>
      <c r="P1454" s="5">
        <v>43777</v>
      </c>
      <c r="Q1454" s="3">
        <v>65</v>
      </c>
      <c r="S1454">
        <f t="shared" si="66"/>
        <v>1464</v>
      </c>
      <c r="T1454">
        <f t="shared" si="67"/>
        <v>16.043835616438358</v>
      </c>
      <c r="U1454" s="6">
        <f t="shared" si="68"/>
        <v>0.28219456610450067</v>
      </c>
    </row>
    <row r="1455" spans="1:21" x14ac:dyDescent="0.25">
      <c r="A1455" t="s">
        <v>5858</v>
      </c>
      <c r="B1455" t="s">
        <v>7798</v>
      </c>
      <c r="C1455" t="s">
        <v>5788</v>
      </c>
      <c r="D1455">
        <v>402</v>
      </c>
      <c r="E1455">
        <v>422</v>
      </c>
      <c r="F1455">
        <v>402</v>
      </c>
      <c r="G1455" s="3">
        <v>422</v>
      </c>
      <c r="H1455">
        <v>422</v>
      </c>
      <c r="I1455">
        <v>402</v>
      </c>
      <c r="J1455">
        <v>1500</v>
      </c>
      <c r="K1455">
        <v>623000</v>
      </c>
      <c r="L1455" s="1">
        <v>45240</v>
      </c>
      <c r="M1455">
        <v>3</v>
      </c>
      <c r="N1455" t="s">
        <v>5857</v>
      </c>
      <c r="O1455" s="5">
        <v>45240</v>
      </c>
      <c r="P1455" s="5">
        <v>43777</v>
      </c>
      <c r="Q1455" s="3">
        <v>40.1</v>
      </c>
      <c r="S1455">
        <f t="shared" si="66"/>
        <v>1464</v>
      </c>
      <c r="T1455">
        <f t="shared" si="67"/>
        <v>16.043835616438358</v>
      </c>
      <c r="U1455" s="6">
        <f t="shared" si="68"/>
        <v>0.63202554353497931</v>
      </c>
    </row>
    <row r="1456" spans="1:21" x14ac:dyDescent="0.25">
      <c r="A1456" t="s">
        <v>5235</v>
      </c>
      <c r="B1456" t="s">
        <v>5236</v>
      </c>
      <c r="C1456" t="s">
        <v>10</v>
      </c>
      <c r="D1456">
        <v>11.1</v>
      </c>
      <c r="E1456">
        <v>11.35</v>
      </c>
      <c r="F1456">
        <v>10.8</v>
      </c>
      <c r="G1456" s="3">
        <v>11.05</v>
      </c>
      <c r="H1456">
        <v>10.95</v>
      </c>
      <c r="I1456">
        <v>11.1</v>
      </c>
      <c r="J1456">
        <v>328565</v>
      </c>
      <c r="K1456">
        <v>3651626.9</v>
      </c>
      <c r="L1456" s="1">
        <v>45240</v>
      </c>
      <c r="M1456">
        <v>1494</v>
      </c>
      <c r="N1456" t="s">
        <v>5237</v>
      </c>
      <c r="O1456" s="5">
        <v>45240</v>
      </c>
      <c r="P1456" s="5">
        <v>43777</v>
      </c>
      <c r="Q1456" s="3">
        <v>26.95</v>
      </c>
      <c r="S1456">
        <f t="shared" si="66"/>
        <v>1464</v>
      </c>
      <c r="T1456">
        <f t="shared" si="67"/>
        <v>16.043835616438358</v>
      </c>
      <c r="U1456" s="6">
        <f t="shared" si="68"/>
        <v>-0.21621605401312483</v>
      </c>
    </row>
    <row r="1457" spans="1:21" x14ac:dyDescent="0.25">
      <c r="A1457" t="s">
        <v>5241</v>
      </c>
      <c r="B1457" t="s">
        <v>5242</v>
      </c>
      <c r="C1457" t="s">
        <v>14</v>
      </c>
      <c r="D1457">
        <v>3263.05</v>
      </c>
      <c r="E1457">
        <v>3274.95</v>
      </c>
      <c r="F1457">
        <v>3223</v>
      </c>
      <c r="G1457" s="3">
        <v>3256.35</v>
      </c>
      <c r="H1457">
        <v>3260.15</v>
      </c>
      <c r="I1457">
        <v>3283.75</v>
      </c>
      <c r="J1457">
        <v>1170763</v>
      </c>
      <c r="K1457">
        <v>3793610796</v>
      </c>
      <c r="L1457" s="1">
        <v>45240</v>
      </c>
      <c r="M1457">
        <v>60136</v>
      </c>
      <c r="N1457" t="s">
        <v>5243</v>
      </c>
      <c r="O1457" s="5">
        <v>45240</v>
      </c>
      <c r="P1457" s="5">
        <v>43777</v>
      </c>
      <c r="Q1457" s="3">
        <v>1156.75</v>
      </c>
      <c r="S1457">
        <f t="shared" si="66"/>
        <v>1464</v>
      </c>
      <c r="T1457">
        <f t="shared" si="67"/>
        <v>16.043835616438358</v>
      </c>
      <c r="U1457" s="6">
        <f t="shared" si="68"/>
        <v>0.26654624186353537</v>
      </c>
    </row>
    <row r="1458" spans="1:21" x14ac:dyDescent="0.25">
      <c r="A1458" t="s">
        <v>5247</v>
      </c>
      <c r="B1458" t="s">
        <v>5248</v>
      </c>
      <c r="C1458" t="s">
        <v>14</v>
      </c>
      <c r="D1458">
        <v>90.5</v>
      </c>
      <c r="E1458">
        <v>90.5</v>
      </c>
      <c r="F1458">
        <v>88.25</v>
      </c>
      <c r="G1458" s="3">
        <v>89.25</v>
      </c>
      <c r="H1458">
        <v>89.45</v>
      </c>
      <c r="I1458">
        <v>90</v>
      </c>
      <c r="J1458">
        <v>130697</v>
      </c>
      <c r="K1458">
        <v>11667914.15</v>
      </c>
      <c r="L1458" s="1">
        <v>45240</v>
      </c>
      <c r="M1458">
        <v>1647</v>
      </c>
      <c r="N1458" t="s">
        <v>5249</v>
      </c>
      <c r="O1458" s="5">
        <v>45240</v>
      </c>
      <c r="P1458" s="5">
        <v>43777</v>
      </c>
      <c r="Q1458" s="3">
        <v>36.15</v>
      </c>
      <c r="S1458">
        <f t="shared" si="66"/>
        <v>1464</v>
      </c>
      <c r="T1458">
        <f t="shared" si="67"/>
        <v>16.043835616438358</v>
      </c>
      <c r="U1458" s="6">
        <f t="shared" si="68"/>
        <v>0.231791006581898</v>
      </c>
    </row>
    <row r="1459" spans="1:21" x14ac:dyDescent="0.25">
      <c r="A1459" t="s">
        <v>5250</v>
      </c>
      <c r="B1459" t="s">
        <v>5251</v>
      </c>
      <c r="C1459" t="s">
        <v>14</v>
      </c>
      <c r="D1459">
        <v>284.95</v>
      </c>
      <c r="E1459">
        <v>287.45</v>
      </c>
      <c r="F1459">
        <v>278.39999999999998</v>
      </c>
      <c r="G1459" s="3">
        <v>285.95</v>
      </c>
      <c r="H1459">
        <v>286</v>
      </c>
      <c r="I1459">
        <v>285.14999999999998</v>
      </c>
      <c r="J1459">
        <v>218283</v>
      </c>
      <c r="K1459">
        <v>62015256.200000003</v>
      </c>
      <c r="L1459" s="1">
        <v>45240</v>
      </c>
      <c r="M1459">
        <v>5802</v>
      </c>
      <c r="N1459" t="s">
        <v>5252</v>
      </c>
      <c r="O1459" s="5">
        <v>45240</v>
      </c>
      <c r="P1459" s="5">
        <v>43777</v>
      </c>
      <c r="Q1459" s="3">
        <v>184.45</v>
      </c>
      <c r="S1459">
        <f t="shared" si="66"/>
        <v>1464</v>
      </c>
      <c r="T1459">
        <f t="shared" si="67"/>
        <v>16.043835616438358</v>
      </c>
      <c r="U1459" s="6">
        <f t="shared" si="68"/>
        <v>0.11081744432239216</v>
      </c>
    </row>
    <row r="1460" spans="1:21" x14ac:dyDescent="0.25">
      <c r="A1460" t="s">
        <v>5256</v>
      </c>
      <c r="B1460" t="s">
        <v>5257</v>
      </c>
      <c r="C1460" t="s">
        <v>14</v>
      </c>
      <c r="D1460">
        <v>103.65</v>
      </c>
      <c r="E1460">
        <v>110</v>
      </c>
      <c r="F1460">
        <v>101.8</v>
      </c>
      <c r="G1460" s="3">
        <v>105.9</v>
      </c>
      <c r="H1460">
        <v>105.55</v>
      </c>
      <c r="I1460">
        <v>103.75</v>
      </c>
      <c r="J1460">
        <v>49409</v>
      </c>
      <c r="K1460">
        <v>5272982.45</v>
      </c>
      <c r="L1460" s="1">
        <v>45240</v>
      </c>
      <c r="M1460">
        <v>738</v>
      </c>
      <c r="N1460" t="s">
        <v>5258</v>
      </c>
      <c r="O1460" s="5">
        <v>45240</v>
      </c>
      <c r="P1460" s="5">
        <v>43777</v>
      </c>
      <c r="Q1460" s="3">
        <v>75.25</v>
      </c>
      <c r="S1460">
        <f t="shared" si="66"/>
        <v>1464</v>
      </c>
      <c r="T1460">
        <f t="shared" si="67"/>
        <v>16.043835616438358</v>
      </c>
      <c r="U1460" s="6">
        <f t="shared" si="68"/>
        <v>8.6100014868107699E-2</v>
      </c>
    </row>
    <row r="1461" spans="1:21" x14ac:dyDescent="0.25">
      <c r="A1461" t="s">
        <v>5259</v>
      </c>
      <c r="B1461" t="s">
        <v>5260</v>
      </c>
      <c r="C1461" t="s">
        <v>14</v>
      </c>
      <c r="D1461">
        <v>2061.1999999999998</v>
      </c>
      <c r="E1461">
        <v>2068.9</v>
      </c>
      <c r="F1461">
        <v>2044.25</v>
      </c>
      <c r="G1461" s="3">
        <v>2058.1999999999998</v>
      </c>
      <c r="H1461">
        <v>2062</v>
      </c>
      <c r="I1461">
        <v>2051.1999999999998</v>
      </c>
      <c r="J1461">
        <v>206637</v>
      </c>
      <c r="K1461">
        <v>425560314.85000002</v>
      </c>
      <c r="L1461" s="1">
        <v>45240</v>
      </c>
      <c r="M1461">
        <v>21472</v>
      </c>
      <c r="N1461" t="s">
        <v>5261</v>
      </c>
      <c r="O1461" s="5">
        <v>45240</v>
      </c>
      <c r="P1461" s="5">
        <v>43777</v>
      </c>
      <c r="Q1461" s="3">
        <v>1814.65</v>
      </c>
      <c r="S1461">
        <f t="shared" si="66"/>
        <v>1464</v>
      </c>
      <c r="T1461">
        <f t="shared" si="67"/>
        <v>16.043835616438358</v>
      </c>
      <c r="U1461" s="6">
        <f t="shared" si="68"/>
        <v>3.1522335129460899E-2</v>
      </c>
    </row>
    <row r="1462" spans="1:21" x14ac:dyDescent="0.25">
      <c r="A1462" t="s">
        <v>5262</v>
      </c>
      <c r="B1462" t="s">
        <v>5263</v>
      </c>
      <c r="C1462" t="s">
        <v>14</v>
      </c>
      <c r="D1462">
        <v>760.1</v>
      </c>
      <c r="E1462">
        <v>788.3</v>
      </c>
      <c r="F1462">
        <v>760.1</v>
      </c>
      <c r="G1462" s="3">
        <v>777.65</v>
      </c>
      <c r="H1462">
        <v>777.8</v>
      </c>
      <c r="I1462">
        <v>760.1</v>
      </c>
      <c r="J1462">
        <v>766244</v>
      </c>
      <c r="K1462">
        <v>597059705.85000002</v>
      </c>
      <c r="L1462" s="1">
        <v>45240</v>
      </c>
      <c r="M1462">
        <v>27036</v>
      </c>
      <c r="N1462" t="s">
        <v>5264</v>
      </c>
      <c r="O1462" s="5">
        <v>45240</v>
      </c>
      <c r="P1462" s="5">
        <v>43777</v>
      </c>
      <c r="Q1462" s="3">
        <v>292.89999999999998</v>
      </c>
      <c r="S1462">
        <f t="shared" si="66"/>
        <v>1464</v>
      </c>
      <c r="T1462">
        <f t="shared" si="67"/>
        <v>16.043835616438358</v>
      </c>
      <c r="U1462" s="6">
        <f t="shared" si="68"/>
        <v>0.25100510179335256</v>
      </c>
    </row>
    <row r="1463" spans="1:21" x14ac:dyDescent="0.25">
      <c r="A1463" t="s">
        <v>5265</v>
      </c>
      <c r="B1463" t="s">
        <v>5266</v>
      </c>
      <c r="C1463" t="s">
        <v>14</v>
      </c>
      <c r="D1463">
        <v>124.85</v>
      </c>
      <c r="E1463">
        <v>127.95</v>
      </c>
      <c r="F1463">
        <v>123.6</v>
      </c>
      <c r="G1463" s="3">
        <v>124.4</v>
      </c>
      <c r="H1463">
        <v>124.25</v>
      </c>
      <c r="I1463">
        <v>124.1</v>
      </c>
      <c r="J1463">
        <v>4619</v>
      </c>
      <c r="K1463">
        <v>578982</v>
      </c>
      <c r="L1463" s="1">
        <v>45240</v>
      </c>
      <c r="M1463">
        <v>262</v>
      </c>
      <c r="N1463" t="s">
        <v>5267</v>
      </c>
      <c r="O1463" s="5">
        <v>45240</v>
      </c>
      <c r="P1463" s="5">
        <v>43777</v>
      </c>
      <c r="Q1463" s="3">
        <v>27.8</v>
      </c>
      <c r="S1463">
        <f t="shared" si="66"/>
        <v>1464</v>
      </c>
      <c r="T1463">
        <f t="shared" si="67"/>
        <v>16.043835616438358</v>
      </c>
      <c r="U1463" s="6">
        <f t="shared" si="68"/>
        <v>0.39159554297749377</v>
      </c>
    </row>
    <row r="1464" spans="1:21" x14ac:dyDescent="0.25">
      <c r="A1464" t="s">
        <v>5268</v>
      </c>
      <c r="B1464" t="s">
        <v>5269</v>
      </c>
      <c r="C1464" t="s">
        <v>10</v>
      </c>
      <c r="D1464">
        <v>210</v>
      </c>
      <c r="E1464">
        <v>210</v>
      </c>
      <c r="F1464">
        <v>199.5</v>
      </c>
      <c r="G1464" s="3">
        <v>199.6</v>
      </c>
      <c r="H1464">
        <v>199.5</v>
      </c>
      <c r="I1464">
        <v>210</v>
      </c>
      <c r="J1464">
        <v>5846</v>
      </c>
      <c r="K1464">
        <v>1169042.75</v>
      </c>
      <c r="L1464" s="1">
        <v>45240</v>
      </c>
      <c r="M1464">
        <v>49</v>
      </c>
      <c r="N1464" t="s">
        <v>5270</v>
      </c>
      <c r="O1464" s="5">
        <v>45240</v>
      </c>
      <c r="P1464" s="5">
        <v>43777</v>
      </c>
      <c r="Q1464" s="3">
        <v>65.2</v>
      </c>
      <c r="S1464">
        <f t="shared" si="66"/>
        <v>1464</v>
      </c>
      <c r="T1464">
        <f t="shared" si="67"/>
        <v>16.043835616438358</v>
      </c>
      <c r="U1464" s="6">
        <f t="shared" si="68"/>
        <v>0.28890644747254424</v>
      </c>
    </row>
    <row r="1465" spans="1:21" x14ac:dyDescent="0.25">
      <c r="A1465" t="s">
        <v>5274</v>
      </c>
      <c r="B1465" t="s">
        <v>5275</v>
      </c>
      <c r="C1465" t="s">
        <v>14</v>
      </c>
      <c r="D1465">
        <v>54.5</v>
      </c>
      <c r="E1465">
        <v>54.95</v>
      </c>
      <c r="F1465">
        <v>53.35</v>
      </c>
      <c r="G1465" s="3">
        <v>54.3</v>
      </c>
      <c r="H1465">
        <v>54.75</v>
      </c>
      <c r="I1465">
        <v>54.6</v>
      </c>
      <c r="J1465">
        <v>261539</v>
      </c>
      <c r="K1465">
        <v>14152336.699999999</v>
      </c>
      <c r="L1465" s="1">
        <v>45240</v>
      </c>
      <c r="M1465">
        <v>1650</v>
      </c>
      <c r="N1465" t="s">
        <v>5276</v>
      </c>
      <c r="O1465" s="5">
        <v>45240</v>
      </c>
      <c r="P1465" s="5">
        <v>43777</v>
      </c>
      <c r="Q1465" s="3">
        <v>125.45</v>
      </c>
      <c r="S1465">
        <f t="shared" si="66"/>
        <v>1464</v>
      </c>
      <c r="T1465">
        <f t="shared" si="67"/>
        <v>16.043835616438358</v>
      </c>
      <c r="U1465" s="6">
        <f t="shared" si="68"/>
        <v>-0.20341903186290811</v>
      </c>
    </row>
    <row r="1466" spans="1:21" x14ac:dyDescent="0.25">
      <c r="A1466" t="s">
        <v>5851</v>
      </c>
      <c r="B1466" t="s">
        <v>7798</v>
      </c>
      <c r="C1466" t="s">
        <v>5788</v>
      </c>
      <c r="D1466">
        <v>17.5</v>
      </c>
      <c r="E1466">
        <v>17.5</v>
      </c>
      <c r="F1466">
        <v>15.9</v>
      </c>
      <c r="G1466" s="3">
        <v>15.9</v>
      </c>
      <c r="H1466">
        <v>15.9</v>
      </c>
      <c r="I1466">
        <v>16.7</v>
      </c>
      <c r="J1466">
        <v>44000</v>
      </c>
      <c r="K1466">
        <v>760400</v>
      </c>
      <c r="L1466" s="1">
        <v>45240</v>
      </c>
      <c r="M1466">
        <v>11</v>
      </c>
      <c r="N1466" t="s">
        <v>5850</v>
      </c>
      <c r="O1466" s="5">
        <v>45240</v>
      </c>
      <c r="P1466" s="5">
        <v>43777</v>
      </c>
      <c r="Q1466" s="3">
        <v>3.8</v>
      </c>
      <c r="S1466">
        <f t="shared" si="66"/>
        <v>1464</v>
      </c>
      <c r="T1466">
        <f t="shared" si="67"/>
        <v>16.043835616438358</v>
      </c>
      <c r="U1466" s="6">
        <f t="shared" si="68"/>
        <v>0.37325384812444717</v>
      </c>
    </row>
    <row r="1467" spans="1:21" x14ac:dyDescent="0.25">
      <c r="A1467" t="s">
        <v>5280</v>
      </c>
      <c r="B1467" t="s">
        <v>5281</v>
      </c>
      <c r="C1467" t="s">
        <v>14</v>
      </c>
      <c r="D1467">
        <v>21.5</v>
      </c>
      <c r="E1467">
        <v>21.5</v>
      </c>
      <c r="F1467">
        <v>21</v>
      </c>
      <c r="G1467" s="3">
        <v>21.2</v>
      </c>
      <c r="H1467">
        <v>21.3</v>
      </c>
      <c r="I1467">
        <v>21.3</v>
      </c>
      <c r="J1467">
        <v>34813</v>
      </c>
      <c r="K1467">
        <v>738931.6</v>
      </c>
      <c r="L1467" s="1">
        <v>45240</v>
      </c>
      <c r="M1467">
        <v>200</v>
      </c>
      <c r="N1467" t="s">
        <v>5282</v>
      </c>
      <c r="O1467" s="5">
        <v>45240</v>
      </c>
      <c r="P1467" s="5">
        <v>43777</v>
      </c>
      <c r="Q1467" s="3">
        <v>6.2</v>
      </c>
      <c r="S1467">
        <f t="shared" si="66"/>
        <v>1464</v>
      </c>
      <c r="T1467">
        <f t="shared" si="67"/>
        <v>16.043835616438358</v>
      </c>
      <c r="U1467" s="6">
        <f t="shared" si="68"/>
        <v>0.31857357533380259</v>
      </c>
    </row>
    <row r="1468" spans="1:21" x14ac:dyDescent="0.25">
      <c r="A1468" t="s">
        <v>5283</v>
      </c>
      <c r="B1468" t="s">
        <v>5284</v>
      </c>
      <c r="C1468" t="s">
        <v>10</v>
      </c>
      <c r="D1468">
        <v>146.94999999999999</v>
      </c>
      <c r="E1468">
        <v>146.94999999999999</v>
      </c>
      <c r="F1468">
        <v>146.94999999999999</v>
      </c>
      <c r="G1468" s="3">
        <v>146.94999999999999</v>
      </c>
      <c r="H1468">
        <v>146.94999999999999</v>
      </c>
      <c r="I1468">
        <v>149.94999999999999</v>
      </c>
      <c r="J1468">
        <v>15609</v>
      </c>
      <c r="K1468">
        <v>2293742.5499999998</v>
      </c>
      <c r="L1468" s="1">
        <v>45240</v>
      </c>
      <c r="M1468">
        <v>100</v>
      </c>
      <c r="N1468" t="s">
        <v>5285</v>
      </c>
      <c r="O1468" s="5">
        <v>45240</v>
      </c>
      <c r="P1468" s="5">
        <v>43777</v>
      </c>
      <c r="Q1468" s="3">
        <v>16.5</v>
      </c>
      <c r="S1468">
        <f t="shared" si="66"/>
        <v>1464</v>
      </c>
      <c r="T1468">
        <f t="shared" si="67"/>
        <v>16.043835616438358</v>
      </c>
      <c r="U1468" s="6">
        <f t="shared" si="68"/>
        <v>0.5840903749234041</v>
      </c>
    </row>
    <row r="1469" spans="1:21" x14ac:dyDescent="0.25">
      <c r="A1469" t="s">
        <v>5289</v>
      </c>
      <c r="B1469" t="s">
        <v>5290</v>
      </c>
      <c r="C1469" t="s">
        <v>14</v>
      </c>
      <c r="D1469">
        <v>2476.9499999999998</v>
      </c>
      <c r="E1469">
        <v>2504.15</v>
      </c>
      <c r="F1469">
        <v>2454.0500000000002</v>
      </c>
      <c r="G1469" s="3">
        <v>2489.35</v>
      </c>
      <c r="H1469">
        <v>2491.6</v>
      </c>
      <c r="I1469">
        <v>2478.0500000000002</v>
      </c>
      <c r="J1469">
        <v>644072</v>
      </c>
      <c r="K1469">
        <v>1599685677.3</v>
      </c>
      <c r="L1469" s="1">
        <v>45240</v>
      </c>
      <c r="M1469">
        <v>39940</v>
      </c>
      <c r="N1469" t="s">
        <v>5291</v>
      </c>
      <c r="O1469" s="5">
        <v>45240</v>
      </c>
      <c r="P1469" s="5">
        <v>43777</v>
      </c>
      <c r="Q1469" s="3">
        <v>516.35</v>
      </c>
      <c r="S1469">
        <f t="shared" si="66"/>
        <v>1464</v>
      </c>
      <c r="T1469">
        <f t="shared" si="67"/>
        <v>16.043835616438358</v>
      </c>
      <c r="U1469" s="6">
        <f t="shared" si="68"/>
        <v>0.41204258818640316</v>
      </c>
    </row>
    <row r="1470" spans="1:21" x14ac:dyDescent="0.25">
      <c r="A1470" t="s">
        <v>5292</v>
      </c>
      <c r="B1470" t="s">
        <v>5293</v>
      </c>
      <c r="C1470" t="s">
        <v>14</v>
      </c>
      <c r="D1470">
        <v>266.05</v>
      </c>
      <c r="E1470">
        <v>275.95</v>
      </c>
      <c r="F1470">
        <v>266</v>
      </c>
      <c r="G1470" s="3">
        <v>269.75</v>
      </c>
      <c r="H1470">
        <v>268.60000000000002</v>
      </c>
      <c r="I1470">
        <v>266.05</v>
      </c>
      <c r="J1470">
        <v>116839</v>
      </c>
      <c r="K1470">
        <v>31625016.399999999</v>
      </c>
      <c r="L1470" s="1">
        <v>45240</v>
      </c>
      <c r="M1470">
        <v>4996</v>
      </c>
      <c r="N1470" t="s">
        <v>5294</v>
      </c>
      <c r="O1470" s="5">
        <v>45240</v>
      </c>
      <c r="P1470" s="5">
        <v>43777</v>
      </c>
      <c r="Q1470" s="3">
        <v>112.35</v>
      </c>
      <c r="S1470">
        <f t="shared" si="66"/>
        <v>1464</v>
      </c>
      <c r="T1470">
        <f t="shared" si="67"/>
        <v>16.043835616438358</v>
      </c>
      <c r="U1470" s="6">
        <f t="shared" si="68"/>
        <v>0.22444157244646501</v>
      </c>
    </row>
    <row r="1471" spans="1:21" x14ac:dyDescent="0.25">
      <c r="A1471" t="s">
        <v>5295</v>
      </c>
      <c r="B1471" t="s">
        <v>5296</v>
      </c>
      <c r="C1471" t="s">
        <v>14</v>
      </c>
      <c r="D1471">
        <v>35.9</v>
      </c>
      <c r="E1471">
        <v>36.299999999999997</v>
      </c>
      <c r="F1471">
        <v>35.549999999999997</v>
      </c>
      <c r="G1471" s="3">
        <v>36.200000000000003</v>
      </c>
      <c r="H1471">
        <v>36.299999999999997</v>
      </c>
      <c r="I1471">
        <v>35.950000000000003</v>
      </c>
      <c r="J1471">
        <v>5305827</v>
      </c>
      <c r="K1471">
        <v>190760047.15000001</v>
      </c>
      <c r="L1471" s="1">
        <v>45240</v>
      </c>
      <c r="M1471">
        <v>16246</v>
      </c>
      <c r="N1471" t="s">
        <v>5297</v>
      </c>
      <c r="O1471" s="5">
        <v>45240</v>
      </c>
      <c r="P1471" s="5">
        <v>43777</v>
      </c>
      <c r="Q1471" s="3">
        <v>63.55</v>
      </c>
      <c r="S1471">
        <f t="shared" si="66"/>
        <v>1464</v>
      </c>
      <c r="T1471">
        <f t="shared" si="67"/>
        <v>16.043835616438358</v>
      </c>
      <c r="U1471" s="6">
        <f t="shared" si="68"/>
        <v>-0.13787531037997747</v>
      </c>
    </row>
    <row r="1472" spans="1:21" x14ac:dyDescent="0.25">
      <c r="A1472" t="s">
        <v>5298</v>
      </c>
      <c r="B1472" t="s">
        <v>5299</v>
      </c>
      <c r="C1472" t="s">
        <v>14</v>
      </c>
      <c r="D1472">
        <v>120</v>
      </c>
      <c r="E1472">
        <v>122.25</v>
      </c>
      <c r="F1472">
        <v>117.1</v>
      </c>
      <c r="G1472" s="3">
        <v>117.85</v>
      </c>
      <c r="H1472">
        <v>118.25</v>
      </c>
      <c r="I1472">
        <v>121.15</v>
      </c>
      <c r="J1472">
        <v>74152</v>
      </c>
      <c r="K1472">
        <v>8840759.1500000004</v>
      </c>
      <c r="L1472" s="1">
        <v>45240</v>
      </c>
      <c r="M1472">
        <v>1480</v>
      </c>
      <c r="N1472" t="s">
        <v>5300</v>
      </c>
      <c r="O1472" s="5">
        <v>45240</v>
      </c>
      <c r="P1472" s="5">
        <v>43777</v>
      </c>
      <c r="Q1472" s="3">
        <v>54.8</v>
      </c>
      <c r="S1472">
        <f t="shared" si="66"/>
        <v>1464</v>
      </c>
      <c r="T1472">
        <f t="shared" si="67"/>
        <v>16.043835616438358</v>
      </c>
      <c r="U1472" s="6">
        <f t="shared" si="68"/>
        <v>0.19553663691713208</v>
      </c>
    </row>
    <row r="1473" spans="1:21" x14ac:dyDescent="0.25">
      <c r="A1473" t="s">
        <v>5301</v>
      </c>
      <c r="B1473" t="s">
        <v>5302</v>
      </c>
      <c r="C1473" t="s">
        <v>14</v>
      </c>
      <c r="D1473">
        <v>174.5</v>
      </c>
      <c r="E1473">
        <v>179.9</v>
      </c>
      <c r="F1473">
        <v>173.05</v>
      </c>
      <c r="G1473" s="3">
        <v>174.15</v>
      </c>
      <c r="H1473">
        <v>174.75</v>
      </c>
      <c r="I1473">
        <v>175.8</v>
      </c>
      <c r="J1473">
        <v>432968</v>
      </c>
      <c r="K1473">
        <v>76401336.400000006</v>
      </c>
      <c r="L1473" s="1">
        <v>45240</v>
      </c>
      <c r="M1473">
        <v>10856</v>
      </c>
      <c r="N1473" t="s">
        <v>5303</v>
      </c>
      <c r="O1473" s="5">
        <v>45240</v>
      </c>
      <c r="P1473" s="5">
        <v>43777</v>
      </c>
      <c r="Q1473" s="3">
        <v>7.75</v>
      </c>
      <c r="S1473">
        <f t="shared" si="66"/>
        <v>1464</v>
      </c>
      <c r="T1473">
        <f t="shared" si="67"/>
        <v>16.043835616438358</v>
      </c>
      <c r="U1473" s="6">
        <f t="shared" si="68"/>
        <v>0.85630039130417313</v>
      </c>
    </row>
    <row r="1474" spans="1:21" x14ac:dyDescent="0.25">
      <c r="A1474" t="s">
        <v>5304</v>
      </c>
      <c r="B1474" t="s">
        <v>5305</v>
      </c>
      <c r="C1474" t="s">
        <v>14</v>
      </c>
      <c r="D1474">
        <v>403.9</v>
      </c>
      <c r="E1474">
        <v>412.5</v>
      </c>
      <c r="F1474">
        <v>401.15</v>
      </c>
      <c r="G1474" s="3">
        <v>403.25</v>
      </c>
      <c r="H1474">
        <v>404.85</v>
      </c>
      <c r="I1474">
        <v>404.25</v>
      </c>
      <c r="J1474">
        <v>689133</v>
      </c>
      <c r="K1474">
        <v>280402947.94999999</v>
      </c>
      <c r="L1474" s="1">
        <v>45240</v>
      </c>
      <c r="M1474">
        <v>20946</v>
      </c>
      <c r="N1474" t="s">
        <v>5306</v>
      </c>
      <c r="O1474" s="5">
        <v>45240</v>
      </c>
      <c r="P1474" s="5">
        <v>43777</v>
      </c>
      <c r="Q1474" s="3">
        <v>100.5</v>
      </c>
      <c r="S1474">
        <f t="shared" si="66"/>
        <v>1464</v>
      </c>
      <c r="T1474">
        <f t="shared" si="67"/>
        <v>16.043835616438358</v>
      </c>
      <c r="U1474" s="6">
        <f t="shared" si="68"/>
        <v>0.36184240129282674</v>
      </c>
    </row>
    <row r="1475" spans="1:21" x14ac:dyDescent="0.25">
      <c r="A1475" t="s">
        <v>5307</v>
      </c>
      <c r="B1475" t="s">
        <v>5308</v>
      </c>
      <c r="C1475" t="s">
        <v>14</v>
      </c>
      <c r="D1475">
        <v>360.8</v>
      </c>
      <c r="E1475">
        <v>363.8</v>
      </c>
      <c r="F1475">
        <v>354.1</v>
      </c>
      <c r="G1475" s="3">
        <v>355.6</v>
      </c>
      <c r="H1475">
        <v>356.3</v>
      </c>
      <c r="I1475">
        <v>360.7</v>
      </c>
      <c r="J1475">
        <v>346931</v>
      </c>
      <c r="K1475">
        <v>124335713.75</v>
      </c>
      <c r="L1475" s="1">
        <v>45240</v>
      </c>
      <c r="M1475">
        <v>10210</v>
      </c>
      <c r="N1475" t="s">
        <v>5309</v>
      </c>
      <c r="O1475" s="5">
        <v>45240</v>
      </c>
      <c r="P1475" s="5">
        <v>43777</v>
      </c>
      <c r="Q1475" s="3">
        <v>68.05</v>
      </c>
      <c r="S1475">
        <f t="shared" ref="S1475:S1538" si="69">O1475-P1475+1</f>
        <v>1464</v>
      </c>
      <c r="T1475">
        <f t="shared" ref="T1475:T1538" si="70">(S1475/365)*4</f>
        <v>16.043835616438358</v>
      </c>
      <c r="U1475" s="6">
        <f t="shared" ref="U1475:U1538" si="71">(((G1475/Q1475)^(1/T1475))-1)*4</f>
        <v>0.43425547214317728</v>
      </c>
    </row>
    <row r="1476" spans="1:21" x14ac:dyDescent="0.25">
      <c r="A1476" t="s">
        <v>5313</v>
      </c>
      <c r="B1476" t="s">
        <v>5314</v>
      </c>
      <c r="C1476" t="s">
        <v>14</v>
      </c>
      <c r="D1476">
        <v>1294.8</v>
      </c>
      <c r="E1476">
        <v>1295</v>
      </c>
      <c r="F1476">
        <v>1280</v>
      </c>
      <c r="G1476" s="3">
        <v>1288.1500000000001</v>
      </c>
      <c r="H1476">
        <v>1295</v>
      </c>
      <c r="I1476">
        <v>1288.3499999999999</v>
      </c>
      <c r="J1476">
        <v>10183</v>
      </c>
      <c r="K1476">
        <v>13100899.050000001</v>
      </c>
      <c r="L1476" s="1">
        <v>45240</v>
      </c>
      <c r="M1476">
        <v>1050</v>
      </c>
      <c r="N1476" t="s">
        <v>5315</v>
      </c>
      <c r="O1476" s="5">
        <v>45240</v>
      </c>
      <c r="P1476" s="5">
        <v>43777</v>
      </c>
      <c r="Q1476" s="3">
        <v>494.9</v>
      </c>
      <c r="S1476">
        <f t="shared" si="69"/>
        <v>1464</v>
      </c>
      <c r="T1476">
        <f t="shared" si="70"/>
        <v>16.043835616438358</v>
      </c>
      <c r="U1476" s="6">
        <f t="shared" si="71"/>
        <v>0.24575186136100946</v>
      </c>
    </row>
    <row r="1477" spans="1:21" x14ac:dyDescent="0.25">
      <c r="A1477" t="s">
        <v>5316</v>
      </c>
      <c r="B1477" t="s">
        <v>5317</v>
      </c>
      <c r="C1477" t="s">
        <v>14</v>
      </c>
      <c r="D1477">
        <v>790</v>
      </c>
      <c r="E1477">
        <v>799.7</v>
      </c>
      <c r="F1477">
        <v>776.9</v>
      </c>
      <c r="G1477" s="3">
        <v>797.95</v>
      </c>
      <c r="H1477">
        <v>798.95</v>
      </c>
      <c r="I1477">
        <v>796.3</v>
      </c>
      <c r="J1477">
        <v>103968</v>
      </c>
      <c r="K1477">
        <v>82424968.150000006</v>
      </c>
      <c r="L1477" s="1">
        <v>45240</v>
      </c>
      <c r="M1477">
        <v>6929</v>
      </c>
      <c r="N1477" t="s">
        <v>5318</v>
      </c>
      <c r="O1477" s="5">
        <v>45240</v>
      </c>
      <c r="P1477" s="5">
        <v>43777</v>
      </c>
      <c r="Q1477" s="3">
        <v>6107.95</v>
      </c>
      <c r="S1477">
        <f t="shared" si="69"/>
        <v>1464</v>
      </c>
      <c r="T1477">
        <f t="shared" si="70"/>
        <v>16.043835616438358</v>
      </c>
      <c r="U1477" s="6">
        <f t="shared" si="71"/>
        <v>-0.47656757428450103</v>
      </c>
    </row>
    <row r="1478" spans="1:21" x14ac:dyDescent="0.25">
      <c r="A1478" t="s">
        <v>5319</v>
      </c>
      <c r="B1478" t="s">
        <v>5320</v>
      </c>
      <c r="C1478" t="s">
        <v>14</v>
      </c>
      <c r="D1478">
        <v>91.2</v>
      </c>
      <c r="E1478">
        <v>95</v>
      </c>
      <c r="F1478">
        <v>91.2</v>
      </c>
      <c r="G1478" s="3">
        <v>93.05</v>
      </c>
      <c r="H1478">
        <v>93</v>
      </c>
      <c r="I1478">
        <v>94</v>
      </c>
      <c r="J1478">
        <v>8329</v>
      </c>
      <c r="K1478">
        <v>775111.85</v>
      </c>
      <c r="L1478" s="1">
        <v>45240</v>
      </c>
      <c r="M1478">
        <v>217</v>
      </c>
      <c r="N1478" t="s">
        <v>5321</v>
      </c>
      <c r="O1478" s="5">
        <v>45240</v>
      </c>
      <c r="P1478" s="5">
        <v>43777</v>
      </c>
      <c r="Q1478" s="3">
        <v>42.9</v>
      </c>
      <c r="S1478">
        <f t="shared" si="69"/>
        <v>1464</v>
      </c>
      <c r="T1478">
        <f t="shared" si="70"/>
        <v>16.043835616438358</v>
      </c>
      <c r="U1478" s="6">
        <f t="shared" si="71"/>
        <v>0.19777119270448384</v>
      </c>
    </row>
    <row r="1479" spans="1:21" x14ac:dyDescent="0.25">
      <c r="A1479" t="s">
        <v>5322</v>
      </c>
      <c r="B1479" t="s">
        <v>5323</v>
      </c>
      <c r="C1479" t="s">
        <v>14</v>
      </c>
      <c r="D1479">
        <v>88.9</v>
      </c>
      <c r="E1479">
        <v>88.95</v>
      </c>
      <c r="F1479">
        <v>87.8</v>
      </c>
      <c r="G1479" s="3">
        <v>88</v>
      </c>
      <c r="H1479">
        <v>88</v>
      </c>
      <c r="I1479">
        <v>89.25</v>
      </c>
      <c r="J1479">
        <v>1321432</v>
      </c>
      <c r="K1479">
        <v>116631252.84999999</v>
      </c>
      <c r="L1479" s="1">
        <v>45240</v>
      </c>
      <c r="M1479">
        <v>8243</v>
      </c>
      <c r="N1479" t="s">
        <v>5324</v>
      </c>
      <c r="O1479" s="5">
        <v>45240</v>
      </c>
      <c r="P1479" s="5">
        <v>43777</v>
      </c>
      <c r="Q1479" s="3">
        <v>2.9</v>
      </c>
      <c r="S1479">
        <f t="shared" si="69"/>
        <v>1464</v>
      </c>
      <c r="T1479">
        <f t="shared" si="70"/>
        <v>16.043835616438358</v>
      </c>
      <c r="U1479" s="6">
        <f t="shared" si="71"/>
        <v>0.94808549845355738</v>
      </c>
    </row>
    <row r="1480" spans="1:21" x14ac:dyDescent="0.25">
      <c r="A1480" t="s">
        <v>5325</v>
      </c>
      <c r="B1480" t="s">
        <v>5326</v>
      </c>
      <c r="C1480" t="s">
        <v>14</v>
      </c>
      <c r="D1480">
        <v>42</v>
      </c>
      <c r="E1480">
        <v>43.3</v>
      </c>
      <c r="F1480">
        <v>41.5</v>
      </c>
      <c r="G1480" s="3">
        <v>42.85</v>
      </c>
      <c r="H1480">
        <v>42.85</v>
      </c>
      <c r="I1480">
        <v>42.15</v>
      </c>
      <c r="J1480">
        <v>8830052</v>
      </c>
      <c r="K1480">
        <v>375797888.64999998</v>
      </c>
      <c r="L1480" s="1">
        <v>45240</v>
      </c>
      <c r="M1480">
        <v>12968</v>
      </c>
      <c r="N1480" t="s">
        <v>5327</v>
      </c>
      <c r="O1480" s="5">
        <v>45240</v>
      </c>
      <c r="P1480" s="5">
        <v>43777</v>
      </c>
      <c r="Q1480" s="3">
        <v>23.3</v>
      </c>
      <c r="S1480">
        <f t="shared" si="69"/>
        <v>1464</v>
      </c>
      <c r="T1480">
        <f t="shared" si="70"/>
        <v>16.043835616438358</v>
      </c>
      <c r="U1480" s="6">
        <f t="shared" si="71"/>
        <v>0.15481785547781612</v>
      </c>
    </row>
    <row r="1481" spans="1:21" x14ac:dyDescent="0.25">
      <c r="A1481" t="s">
        <v>5328</v>
      </c>
      <c r="B1481" t="s">
        <v>5329</v>
      </c>
      <c r="C1481" t="s">
        <v>14</v>
      </c>
      <c r="D1481">
        <v>356.5</v>
      </c>
      <c r="E1481">
        <v>367.95</v>
      </c>
      <c r="F1481">
        <v>350.15</v>
      </c>
      <c r="G1481" s="3">
        <v>354.6</v>
      </c>
      <c r="H1481">
        <v>355</v>
      </c>
      <c r="I1481">
        <v>353.15</v>
      </c>
      <c r="J1481">
        <v>169255</v>
      </c>
      <c r="K1481">
        <v>60377321.899999999</v>
      </c>
      <c r="L1481" s="1">
        <v>45240</v>
      </c>
      <c r="M1481">
        <v>7501</v>
      </c>
      <c r="N1481" t="s">
        <v>5330</v>
      </c>
      <c r="O1481" s="5">
        <v>45240</v>
      </c>
      <c r="P1481" s="5">
        <v>43777</v>
      </c>
      <c r="Q1481" s="3">
        <v>121.35</v>
      </c>
      <c r="S1481">
        <f t="shared" si="69"/>
        <v>1464</v>
      </c>
      <c r="T1481">
        <f t="shared" si="70"/>
        <v>16.043835616438358</v>
      </c>
      <c r="U1481" s="6">
        <f t="shared" si="71"/>
        <v>0.27648202217445128</v>
      </c>
    </row>
    <row r="1482" spans="1:21" x14ac:dyDescent="0.25">
      <c r="A1482" t="s">
        <v>5334</v>
      </c>
      <c r="B1482" t="s">
        <v>5335</v>
      </c>
      <c r="C1482" t="s">
        <v>14</v>
      </c>
      <c r="D1482">
        <v>1645</v>
      </c>
      <c r="E1482">
        <v>1645</v>
      </c>
      <c r="F1482">
        <v>1628.8</v>
      </c>
      <c r="G1482" s="3">
        <v>1631.95</v>
      </c>
      <c r="H1482">
        <v>1634.95</v>
      </c>
      <c r="I1482">
        <v>1646.9</v>
      </c>
      <c r="J1482">
        <v>390701</v>
      </c>
      <c r="K1482">
        <v>639381817.20000005</v>
      </c>
      <c r="L1482" s="1">
        <v>45240</v>
      </c>
      <c r="M1482">
        <v>27092</v>
      </c>
      <c r="N1482" t="s">
        <v>5336</v>
      </c>
      <c r="O1482" s="5">
        <v>45240</v>
      </c>
      <c r="P1482" s="5">
        <v>43777</v>
      </c>
      <c r="Q1482" s="3">
        <v>452.4</v>
      </c>
      <c r="S1482">
        <f t="shared" si="69"/>
        <v>1464</v>
      </c>
      <c r="T1482">
        <f t="shared" si="70"/>
        <v>16.043835616438358</v>
      </c>
      <c r="U1482" s="6">
        <f t="shared" si="71"/>
        <v>0.33300170092272552</v>
      </c>
    </row>
    <row r="1483" spans="1:21" x14ac:dyDescent="0.25">
      <c r="A1483" t="s">
        <v>5340</v>
      </c>
      <c r="B1483" t="s">
        <v>5341</v>
      </c>
      <c r="C1483" t="s">
        <v>14</v>
      </c>
      <c r="D1483">
        <v>4500</v>
      </c>
      <c r="E1483">
        <v>4692</v>
      </c>
      <c r="F1483">
        <v>4499</v>
      </c>
      <c r="G1483" s="3">
        <v>4643.8500000000004</v>
      </c>
      <c r="H1483">
        <v>4652</v>
      </c>
      <c r="I1483">
        <v>4638.6499999999996</v>
      </c>
      <c r="J1483">
        <v>17890</v>
      </c>
      <c r="K1483">
        <v>82977298.25</v>
      </c>
      <c r="L1483" s="1">
        <v>45240</v>
      </c>
      <c r="M1483">
        <v>3545</v>
      </c>
      <c r="N1483" t="s">
        <v>5342</v>
      </c>
      <c r="O1483" s="5">
        <v>45240</v>
      </c>
      <c r="P1483" s="5">
        <v>43777</v>
      </c>
      <c r="Q1483" s="3">
        <v>1840.3</v>
      </c>
      <c r="S1483">
        <f t="shared" si="69"/>
        <v>1464</v>
      </c>
      <c r="T1483">
        <f t="shared" si="70"/>
        <v>16.043835616438358</v>
      </c>
      <c r="U1483" s="6">
        <f t="shared" si="71"/>
        <v>0.23755836486723947</v>
      </c>
    </row>
    <row r="1484" spans="1:21" x14ac:dyDescent="0.25">
      <c r="A1484" t="s">
        <v>5343</v>
      </c>
      <c r="B1484" t="s">
        <v>5344</v>
      </c>
      <c r="C1484" t="s">
        <v>14</v>
      </c>
      <c r="D1484">
        <v>208.8</v>
      </c>
      <c r="E1484">
        <v>211.5</v>
      </c>
      <c r="F1484">
        <v>206.65</v>
      </c>
      <c r="G1484" s="3">
        <v>209.8</v>
      </c>
      <c r="H1484">
        <v>208.55</v>
      </c>
      <c r="I1484">
        <v>208.1</v>
      </c>
      <c r="J1484">
        <v>129212</v>
      </c>
      <c r="K1484">
        <v>27057818.899999999</v>
      </c>
      <c r="L1484" s="1">
        <v>45240</v>
      </c>
      <c r="M1484">
        <v>4421</v>
      </c>
      <c r="N1484" t="s">
        <v>5345</v>
      </c>
      <c r="O1484" s="5">
        <v>45240</v>
      </c>
      <c r="P1484" s="5">
        <v>43777</v>
      </c>
      <c r="Q1484" s="3">
        <v>299.5</v>
      </c>
      <c r="S1484">
        <f t="shared" si="69"/>
        <v>1464</v>
      </c>
      <c r="T1484">
        <f t="shared" si="70"/>
        <v>16.043835616438358</v>
      </c>
      <c r="U1484" s="6">
        <f t="shared" si="71"/>
        <v>-8.7769530174182098E-2</v>
      </c>
    </row>
    <row r="1485" spans="1:21" x14ac:dyDescent="0.25">
      <c r="A1485" t="s">
        <v>5346</v>
      </c>
      <c r="B1485" t="s">
        <v>5347</v>
      </c>
      <c r="C1485" t="s">
        <v>10</v>
      </c>
      <c r="D1485">
        <v>3.8</v>
      </c>
      <c r="E1485">
        <v>3.8</v>
      </c>
      <c r="F1485">
        <v>3.8</v>
      </c>
      <c r="G1485" s="3">
        <v>3.8</v>
      </c>
      <c r="H1485">
        <v>3.8</v>
      </c>
      <c r="I1485">
        <v>3.85</v>
      </c>
      <c r="J1485">
        <v>2754</v>
      </c>
      <c r="K1485">
        <v>10465.200000000001</v>
      </c>
      <c r="L1485" s="1">
        <v>45240</v>
      </c>
      <c r="M1485">
        <v>3</v>
      </c>
      <c r="N1485" t="s">
        <v>5348</v>
      </c>
      <c r="O1485" s="5">
        <v>45240</v>
      </c>
      <c r="P1485" s="5">
        <v>43777</v>
      </c>
      <c r="Q1485" s="3">
        <v>1.4</v>
      </c>
      <c r="S1485">
        <f t="shared" si="69"/>
        <v>1464</v>
      </c>
      <c r="T1485">
        <f t="shared" si="70"/>
        <v>16.043835616438358</v>
      </c>
      <c r="U1485" s="6">
        <f t="shared" si="71"/>
        <v>0.25686042527432029</v>
      </c>
    </row>
    <row r="1486" spans="1:21" x14ac:dyDescent="0.25">
      <c r="A1486" t="s">
        <v>5349</v>
      </c>
      <c r="B1486" t="s">
        <v>5350</v>
      </c>
      <c r="C1486" t="s">
        <v>14</v>
      </c>
      <c r="D1486">
        <v>1589.9</v>
      </c>
      <c r="E1486">
        <v>1589.9</v>
      </c>
      <c r="F1486">
        <v>1560.05</v>
      </c>
      <c r="G1486" s="3">
        <v>1575.25</v>
      </c>
      <c r="H1486">
        <v>1578.7</v>
      </c>
      <c r="I1486">
        <v>1586.05</v>
      </c>
      <c r="J1486">
        <v>103919</v>
      </c>
      <c r="K1486">
        <v>163450435.25</v>
      </c>
      <c r="L1486" s="1">
        <v>45240</v>
      </c>
      <c r="M1486">
        <v>6770</v>
      </c>
      <c r="N1486" t="s">
        <v>5351</v>
      </c>
      <c r="O1486" s="5">
        <v>45240</v>
      </c>
      <c r="P1486" s="5">
        <v>43777</v>
      </c>
      <c r="Q1486" s="3">
        <v>1255.4000000000001</v>
      </c>
      <c r="S1486">
        <f t="shared" si="69"/>
        <v>1464</v>
      </c>
      <c r="T1486">
        <f t="shared" si="70"/>
        <v>16.043835616438358</v>
      </c>
      <c r="U1486" s="6">
        <f t="shared" si="71"/>
        <v>5.6987034021333649E-2</v>
      </c>
    </row>
    <row r="1487" spans="1:21" x14ac:dyDescent="0.25">
      <c r="A1487" t="s">
        <v>5355</v>
      </c>
      <c r="B1487" t="s">
        <v>5356</v>
      </c>
      <c r="C1487" t="s">
        <v>14</v>
      </c>
      <c r="D1487">
        <v>37</v>
      </c>
      <c r="E1487">
        <v>37.15</v>
      </c>
      <c r="F1487">
        <v>36.700000000000003</v>
      </c>
      <c r="G1487" s="3">
        <v>37</v>
      </c>
      <c r="H1487">
        <v>37.049999999999997</v>
      </c>
      <c r="I1487">
        <v>37.200000000000003</v>
      </c>
      <c r="J1487">
        <v>5283807</v>
      </c>
      <c r="K1487">
        <v>195168097.15000001</v>
      </c>
      <c r="L1487" s="1">
        <v>45240</v>
      </c>
      <c r="M1487">
        <v>17776</v>
      </c>
      <c r="N1487" t="s">
        <v>5357</v>
      </c>
      <c r="O1487" s="5">
        <v>45240</v>
      </c>
      <c r="P1487" s="5">
        <v>43777</v>
      </c>
      <c r="Q1487" s="3">
        <v>13.65</v>
      </c>
      <c r="S1487">
        <f t="shared" si="69"/>
        <v>1464</v>
      </c>
      <c r="T1487">
        <f t="shared" si="70"/>
        <v>16.043835616438358</v>
      </c>
      <c r="U1487" s="6">
        <f t="shared" si="71"/>
        <v>0.25650213259666632</v>
      </c>
    </row>
    <row r="1488" spans="1:21" x14ac:dyDescent="0.25">
      <c r="A1488" t="s">
        <v>5361</v>
      </c>
      <c r="B1488" t="s">
        <v>5362</v>
      </c>
      <c r="C1488" t="s">
        <v>14</v>
      </c>
      <c r="D1488">
        <v>435</v>
      </c>
      <c r="E1488">
        <v>436.3</v>
      </c>
      <c r="F1488">
        <v>431</v>
      </c>
      <c r="G1488" s="3">
        <v>432.05</v>
      </c>
      <c r="H1488">
        <v>432</v>
      </c>
      <c r="I1488">
        <v>435.65</v>
      </c>
      <c r="J1488">
        <v>43060</v>
      </c>
      <c r="K1488">
        <v>18630821.649999999</v>
      </c>
      <c r="L1488" s="1">
        <v>45240</v>
      </c>
      <c r="M1488">
        <v>2738</v>
      </c>
      <c r="N1488" t="s">
        <v>5363</v>
      </c>
      <c r="O1488" s="5">
        <v>45240</v>
      </c>
      <c r="P1488" s="5">
        <v>43777</v>
      </c>
      <c r="Q1488" s="3">
        <v>202.65</v>
      </c>
      <c r="S1488">
        <f t="shared" si="69"/>
        <v>1464</v>
      </c>
      <c r="T1488">
        <f t="shared" si="70"/>
        <v>16.043835616438358</v>
      </c>
      <c r="U1488" s="6">
        <f t="shared" si="71"/>
        <v>0.19327223504336555</v>
      </c>
    </row>
    <row r="1489" spans="1:21" x14ac:dyDescent="0.25">
      <c r="A1489" t="s">
        <v>5364</v>
      </c>
      <c r="B1489" t="s">
        <v>5365</v>
      </c>
      <c r="C1489" t="s">
        <v>10</v>
      </c>
      <c r="D1489">
        <v>105.95</v>
      </c>
      <c r="E1489">
        <v>107.65</v>
      </c>
      <c r="F1489">
        <v>104</v>
      </c>
      <c r="G1489" s="3">
        <v>104.9</v>
      </c>
      <c r="H1489">
        <v>105</v>
      </c>
      <c r="I1489">
        <v>105.35</v>
      </c>
      <c r="J1489">
        <v>119648</v>
      </c>
      <c r="K1489">
        <v>12663711.35</v>
      </c>
      <c r="L1489" s="1">
        <v>45240</v>
      </c>
      <c r="M1489">
        <v>499</v>
      </c>
      <c r="N1489" t="s">
        <v>5366</v>
      </c>
      <c r="O1489" s="5">
        <v>45240</v>
      </c>
      <c r="P1489" s="5">
        <v>43777</v>
      </c>
      <c r="Q1489" s="3">
        <v>133.35</v>
      </c>
      <c r="S1489">
        <f t="shared" si="69"/>
        <v>1464</v>
      </c>
      <c r="T1489">
        <f t="shared" si="70"/>
        <v>16.043835616438358</v>
      </c>
      <c r="U1489" s="6">
        <f t="shared" si="71"/>
        <v>-5.938331102343275E-2</v>
      </c>
    </row>
    <row r="1490" spans="1:21" x14ac:dyDescent="0.25">
      <c r="A1490" t="s">
        <v>5367</v>
      </c>
      <c r="B1490" t="s">
        <v>5368</v>
      </c>
      <c r="C1490" t="s">
        <v>14</v>
      </c>
      <c r="D1490">
        <v>90.15</v>
      </c>
      <c r="E1490">
        <v>92.7</v>
      </c>
      <c r="F1490">
        <v>88.85</v>
      </c>
      <c r="G1490" s="3">
        <v>89.45</v>
      </c>
      <c r="H1490">
        <v>89.45</v>
      </c>
      <c r="I1490">
        <v>90.15</v>
      </c>
      <c r="J1490">
        <v>522909</v>
      </c>
      <c r="K1490">
        <v>47411532.649999999</v>
      </c>
      <c r="L1490" s="1">
        <v>45240</v>
      </c>
      <c r="M1490">
        <v>5801</v>
      </c>
      <c r="N1490" t="s">
        <v>5369</v>
      </c>
      <c r="O1490" s="5">
        <v>45240</v>
      </c>
      <c r="P1490" s="5">
        <v>43777</v>
      </c>
      <c r="Q1490" s="3">
        <v>13.95</v>
      </c>
      <c r="S1490">
        <f t="shared" si="69"/>
        <v>1464</v>
      </c>
      <c r="T1490">
        <f t="shared" si="70"/>
        <v>16.043835616438358</v>
      </c>
      <c r="U1490" s="6">
        <f t="shared" si="71"/>
        <v>0.49117591701320862</v>
      </c>
    </row>
    <row r="1491" spans="1:21" x14ac:dyDescent="0.25">
      <c r="A1491" t="s">
        <v>5373</v>
      </c>
      <c r="B1491" t="s">
        <v>5374</v>
      </c>
      <c r="C1491" t="s">
        <v>14</v>
      </c>
      <c r="D1491">
        <v>553.29999999999995</v>
      </c>
      <c r="E1491">
        <v>554.9</v>
      </c>
      <c r="F1491">
        <v>549</v>
      </c>
      <c r="G1491" s="3">
        <v>553.04999999999995</v>
      </c>
      <c r="H1491">
        <v>552.25</v>
      </c>
      <c r="I1491">
        <v>550.5</v>
      </c>
      <c r="J1491">
        <v>251257</v>
      </c>
      <c r="K1491">
        <v>138765253.19999999</v>
      </c>
      <c r="L1491" s="1">
        <v>45240</v>
      </c>
      <c r="M1491">
        <v>10716</v>
      </c>
      <c r="N1491" t="s">
        <v>5375</v>
      </c>
      <c r="O1491" s="5">
        <v>45240</v>
      </c>
      <c r="P1491" s="5">
        <v>43777</v>
      </c>
      <c r="Q1491" s="3">
        <v>272.7</v>
      </c>
      <c r="S1491">
        <f t="shared" si="69"/>
        <v>1464</v>
      </c>
      <c r="T1491">
        <f t="shared" si="70"/>
        <v>16.043835616438358</v>
      </c>
      <c r="U1491" s="6">
        <f t="shared" si="71"/>
        <v>0.18022835306719909</v>
      </c>
    </row>
    <row r="1492" spans="1:21" x14ac:dyDescent="0.25">
      <c r="A1492" t="s">
        <v>5379</v>
      </c>
      <c r="B1492" t="s">
        <v>5380</v>
      </c>
      <c r="C1492" t="s">
        <v>14</v>
      </c>
      <c r="D1492">
        <v>8591.0499999999993</v>
      </c>
      <c r="E1492">
        <v>8729.9500000000007</v>
      </c>
      <c r="F1492">
        <v>8588.6</v>
      </c>
      <c r="G1492" s="3">
        <v>8710.85</v>
      </c>
      <c r="H1492">
        <v>8720</v>
      </c>
      <c r="I1492">
        <v>8627.0499999999993</v>
      </c>
      <c r="J1492">
        <v>149939</v>
      </c>
      <c r="K1492">
        <v>1301535533.3</v>
      </c>
      <c r="L1492" s="1">
        <v>45240</v>
      </c>
      <c r="M1492">
        <v>24573</v>
      </c>
      <c r="N1492" t="s">
        <v>5381</v>
      </c>
      <c r="O1492" s="5">
        <v>45240</v>
      </c>
      <c r="P1492" s="5">
        <v>43777</v>
      </c>
      <c r="Q1492" s="3">
        <v>4147.25</v>
      </c>
      <c r="S1492">
        <f t="shared" si="69"/>
        <v>1464</v>
      </c>
      <c r="T1492">
        <f t="shared" si="70"/>
        <v>16.043835616438358</v>
      </c>
      <c r="U1492" s="6">
        <f t="shared" si="71"/>
        <v>0.18937005077177993</v>
      </c>
    </row>
    <row r="1493" spans="1:21" x14ac:dyDescent="0.25">
      <c r="A1493" t="s">
        <v>5385</v>
      </c>
      <c r="B1493" t="s">
        <v>5386</v>
      </c>
      <c r="C1493" t="s">
        <v>14</v>
      </c>
      <c r="D1493">
        <v>70.55</v>
      </c>
      <c r="E1493">
        <v>70.55</v>
      </c>
      <c r="F1493">
        <v>69</v>
      </c>
      <c r="G1493" s="3">
        <v>69.25</v>
      </c>
      <c r="H1493">
        <v>69.8</v>
      </c>
      <c r="I1493">
        <v>69.650000000000006</v>
      </c>
      <c r="J1493">
        <v>17119</v>
      </c>
      <c r="K1493">
        <v>1189560.8500000001</v>
      </c>
      <c r="L1493" s="1">
        <v>45240</v>
      </c>
      <c r="M1493">
        <v>236</v>
      </c>
      <c r="N1493" t="s">
        <v>5387</v>
      </c>
      <c r="O1493" s="5">
        <v>45240</v>
      </c>
      <c r="P1493" s="5">
        <v>43777</v>
      </c>
      <c r="Q1493" s="3">
        <v>38.200000000000003</v>
      </c>
      <c r="S1493">
        <f t="shared" si="69"/>
        <v>1464</v>
      </c>
      <c r="T1493">
        <f t="shared" si="70"/>
        <v>16.043835616438358</v>
      </c>
      <c r="U1493" s="6">
        <f t="shared" si="71"/>
        <v>0.15109955416031884</v>
      </c>
    </row>
    <row r="1494" spans="1:21" x14ac:dyDescent="0.25">
      <c r="A1494" t="s">
        <v>5388</v>
      </c>
      <c r="B1494" t="s">
        <v>5389</v>
      </c>
      <c r="C1494" t="s">
        <v>10</v>
      </c>
      <c r="D1494">
        <v>5.8</v>
      </c>
      <c r="E1494">
        <v>5.8</v>
      </c>
      <c r="F1494">
        <v>5.7</v>
      </c>
      <c r="G1494" s="3">
        <v>5.8</v>
      </c>
      <c r="H1494">
        <v>5.8</v>
      </c>
      <c r="I1494">
        <v>5.55</v>
      </c>
      <c r="J1494">
        <v>42679</v>
      </c>
      <c r="K1494">
        <v>247503</v>
      </c>
      <c r="L1494" s="1">
        <v>45240</v>
      </c>
      <c r="M1494">
        <v>70</v>
      </c>
      <c r="N1494" t="s">
        <v>5390</v>
      </c>
      <c r="O1494" s="5">
        <v>45240</v>
      </c>
      <c r="P1494" s="5">
        <v>43777</v>
      </c>
      <c r="Q1494" s="3">
        <v>0.95</v>
      </c>
      <c r="S1494">
        <f t="shared" si="69"/>
        <v>1464</v>
      </c>
      <c r="T1494">
        <f t="shared" si="70"/>
        <v>16.043835616438358</v>
      </c>
      <c r="U1494" s="6">
        <f t="shared" si="71"/>
        <v>0.47746649569702448</v>
      </c>
    </row>
    <row r="1495" spans="1:21" x14ac:dyDescent="0.25">
      <c r="A1495" t="s">
        <v>5391</v>
      </c>
      <c r="B1495" t="s">
        <v>5392</v>
      </c>
      <c r="C1495" t="s">
        <v>14</v>
      </c>
      <c r="D1495">
        <v>403.05</v>
      </c>
      <c r="E1495">
        <v>410.45</v>
      </c>
      <c r="F1495">
        <v>400</v>
      </c>
      <c r="G1495" s="3">
        <v>406.55</v>
      </c>
      <c r="H1495">
        <v>405</v>
      </c>
      <c r="I1495">
        <v>404.35</v>
      </c>
      <c r="J1495">
        <v>12146</v>
      </c>
      <c r="K1495">
        <v>4931405.3</v>
      </c>
      <c r="L1495" s="1">
        <v>45240</v>
      </c>
      <c r="M1495">
        <v>2540</v>
      </c>
      <c r="N1495" t="s">
        <v>5393</v>
      </c>
      <c r="O1495" s="5">
        <v>45240</v>
      </c>
      <c r="P1495" s="5">
        <v>43777</v>
      </c>
      <c r="Q1495" s="3">
        <v>160.05000000000001</v>
      </c>
      <c r="S1495">
        <f t="shared" si="69"/>
        <v>1464</v>
      </c>
      <c r="T1495">
        <f t="shared" si="70"/>
        <v>16.043835616438358</v>
      </c>
      <c r="U1495" s="6">
        <f t="shared" si="71"/>
        <v>0.23930339218008889</v>
      </c>
    </row>
    <row r="1496" spans="1:21" x14ac:dyDescent="0.25">
      <c r="A1496" t="s">
        <v>5397</v>
      </c>
      <c r="B1496" t="s">
        <v>5398</v>
      </c>
      <c r="C1496" t="s">
        <v>14</v>
      </c>
      <c r="D1496">
        <v>150.19999999999999</v>
      </c>
      <c r="E1496">
        <v>151.69999999999999</v>
      </c>
      <c r="F1496">
        <v>146.6</v>
      </c>
      <c r="G1496" s="3">
        <v>151.05000000000001</v>
      </c>
      <c r="H1496">
        <v>151.69999999999999</v>
      </c>
      <c r="I1496">
        <v>147.85</v>
      </c>
      <c r="J1496">
        <v>5852</v>
      </c>
      <c r="K1496">
        <v>875545.9</v>
      </c>
      <c r="L1496" s="1">
        <v>45240</v>
      </c>
      <c r="M1496">
        <v>251</v>
      </c>
      <c r="N1496" t="s">
        <v>5399</v>
      </c>
      <c r="O1496" s="5">
        <v>45240</v>
      </c>
      <c r="P1496" s="5">
        <v>43777</v>
      </c>
      <c r="Q1496" s="3">
        <v>65.25</v>
      </c>
      <c r="S1496">
        <f t="shared" si="69"/>
        <v>1464</v>
      </c>
      <c r="T1496">
        <f t="shared" si="70"/>
        <v>16.043835616438358</v>
      </c>
      <c r="U1496" s="6">
        <f t="shared" si="71"/>
        <v>0.21484398862066989</v>
      </c>
    </row>
    <row r="1497" spans="1:21" x14ac:dyDescent="0.25">
      <c r="A1497" t="s">
        <v>5400</v>
      </c>
      <c r="B1497" t="s">
        <v>5401</v>
      </c>
      <c r="C1497" t="s">
        <v>10</v>
      </c>
      <c r="D1497">
        <v>29.75</v>
      </c>
      <c r="E1497">
        <v>29.75</v>
      </c>
      <c r="F1497">
        <v>29.7</v>
      </c>
      <c r="G1497" s="3">
        <v>29.75</v>
      </c>
      <c r="H1497">
        <v>29.75</v>
      </c>
      <c r="I1497">
        <v>28.35</v>
      </c>
      <c r="J1497">
        <v>33720</v>
      </c>
      <c r="K1497">
        <v>1003169.05</v>
      </c>
      <c r="L1497" s="1">
        <v>45240</v>
      </c>
      <c r="M1497">
        <v>115</v>
      </c>
      <c r="N1497" t="s">
        <v>5402</v>
      </c>
      <c r="O1497" s="5">
        <v>45240</v>
      </c>
      <c r="P1497" s="5">
        <v>43777</v>
      </c>
      <c r="Q1497" s="3">
        <v>22.85</v>
      </c>
      <c r="S1497">
        <f t="shared" si="69"/>
        <v>1464</v>
      </c>
      <c r="T1497">
        <f t="shared" si="70"/>
        <v>16.043835616438358</v>
      </c>
      <c r="U1497" s="6">
        <f t="shared" si="71"/>
        <v>6.633326583517718E-2</v>
      </c>
    </row>
    <row r="1498" spans="1:21" x14ac:dyDescent="0.25">
      <c r="A1498" t="s">
        <v>5403</v>
      </c>
      <c r="B1498" t="s">
        <v>5404</v>
      </c>
      <c r="C1498" t="s">
        <v>14</v>
      </c>
      <c r="D1498">
        <v>103.7</v>
      </c>
      <c r="E1498">
        <v>104.3</v>
      </c>
      <c r="F1498">
        <v>102.7</v>
      </c>
      <c r="G1498" s="3">
        <v>104</v>
      </c>
      <c r="H1498">
        <v>103.9</v>
      </c>
      <c r="I1498">
        <v>103.95</v>
      </c>
      <c r="J1498">
        <v>7759750</v>
      </c>
      <c r="K1498">
        <v>802789261.89999998</v>
      </c>
      <c r="L1498" s="1">
        <v>45240</v>
      </c>
      <c r="M1498">
        <v>33177</v>
      </c>
      <c r="N1498" t="s">
        <v>5405</v>
      </c>
      <c r="O1498" s="5">
        <v>45240</v>
      </c>
      <c r="P1498" s="5">
        <v>43777</v>
      </c>
      <c r="Q1498" s="3">
        <v>54.7</v>
      </c>
      <c r="S1498">
        <f t="shared" si="69"/>
        <v>1464</v>
      </c>
      <c r="T1498">
        <f t="shared" si="70"/>
        <v>16.043835616438358</v>
      </c>
      <c r="U1498" s="6">
        <f t="shared" si="71"/>
        <v>0.1634438872654318</v>
      </c>
    </row>
    <row r="1499" spans="1:21" x14ac:dyDescent="0.25">
      <c r="A1499" t="s">
        <v>5409</v>
      </c>
      <c r="B1499" t="s">
        <v>5410</v>
      </c>
      <c r="C1499" t="s">
        <v>786</v>
      </c>
      <c r="D1499">
        <v>3.2</v>
      </c>
      <c r="E1499">
        <v>3.2</v>
      </c>
      <c r="F1499">
        <v>3.05</v>
      </c>
      <c r="G1499" s="3">
        <v>3.2</v>
      </c>
      <c r="H1499">
        <v>3.2</v>
      </c>
      <c r="I1499">
        <v>3.05</v>
      </c>
      <c r="J1499">
        <v>9054632</v>
      </c>
      <c r="K1499">
        <v>28890503.949999999</v>
      </c>
      <c r="L1499" s="1">
        <v>45240</v>
      </c>
      <c r="M1499">
        <v>1064</v>
      </c>
      <c r="N1499" t="s">
        <v>5411</v>
      </c>
      <c r="O1499" s="5">
        <v>45240</v>
      </c>
      <c r="P1499" s="5">
        <v>43777</v>
      </c>
      <c r="Q1499" s="3">
        <v>0.65</v>
      </c>
      <c r="S1499">
        <f t="shared" si="69"/>
        <v>1464</v>
      </c>
      <c r="T1499">
        <f t="shared" si="70"/>
        <v>16.043835616438358</v>
      </c>
      <c r="U1499" s="6">
        <f t="shared" si="71"/>
        <v>0.41780528471548539</v>
      </c>
    </row>
    <row r="1500" spans="1:21" x14ac:dyDescent="0.25">
      <c r="A1500" t="s">
        <v>5415</v>
      </c>
      <c r="B1500" t="s">
        <v>5416</v>
      </c>
      <c r="C1500" t="s">
        <v>14</v>
      </c>
      <c r="D1500">
        <v>315.14999999999998</v>
      </c>
      <c r="E1500">
        <v>319.39999999999998</v>
      </c>
      <c r="F1500">
        <v>310.25</v>
      </c>
      <c r="G1500" s="3">
        <v>317.7</v>
      </c>
      <c r="H1500">
        <v>316.2</v>
      </c>
      <c r="I1500">
        <v>311.75</v>
      </c>
      <c r="J1500">
        <v>4069</v>
      </c>
      <c r="K1500">
        <v>1286471.55</v>
      </c>
      <c r="L1500" s="1">
        <v>45240</v>
      </c>
      <c r="M1500">
        <v>124</v>
      </c>
      <c r="N1500" t="s">
        <v>5417</v>
      </c>
      <c r="O1500" s="5">
        <v>45240</v>
      </c>
      <c r="P1500" s="5">
        <v>43777</v>
      </c>
      <c r="Q1500" s="3">
        <v>281.2</v>
      </c>
      <c r="S1500">
        <f t="shared" si="69"/>
        <v>1464</v>
      </c>
      <c r="T1500">
        <f t="shared" si="70"/>
        <v>16.043835616438358</v>
      </c>
      <c r="U1500" s="6">
        <f t="shared" si="71"/>
        <v>3.0543002892382098E-2</v>
      </c>
    </row>
    <row r="1501" spans="1:21" x14ac:dyDescent="0.25">
      <c r="A1501" t="s">
        <v>5424</v>
      </c>
      <c r="B1501" t="s">
        <v>5425</v>
      </c>
      <c r="C1501" t="s">
        <v>14</v>
      </c>
      <c r="D1501">
        <v>507</v>
      </c>
      <c r="E1501">
        <v>522</v>
      </c>
      <c r="F1501">
        <v>468.45</v>
      </c>
      <c r="G1501" s="3">
        <v>511.35</v>
      </c>
      <c r="H1501">
        <v>511</v>
      </c>
      <c r="I1501">
        <v>539.95000000000005</v>
      </c>
      <c r="J1501">
        <v>422395</v>
      </c>
      <c r="K1501">
        <v>209151771.94999999</v>
      </c>
      <c r="L1501" s="1">
        <v>45240</v>
      </c>
      <c r="M1501">
        <v>22340</v>
      </c>
      <c r="N1501" t="s">
        <v>5426</v>
      </c>
      <c r="O1501" s="5">
        <v>45240</v>
      </c>
      <c r="P1501" s="5">
        <v>43777</v>
      </c>
      <c r="Q1501" s="3">
        <v>183.5</v>
      </c>
      <c r="S1501">
        <f t="shared" si="69"/>
        <v>1464</v>
      </c>
      <c r="T1501">
        <f t="shared" si="70"/>
        <v>16.043835616438358</v>
      </c>
      <c r="U1501" s="6">
        <f t="shared" si="71"/>
        <v>0.26384711158661922</v>
      </c>
    </row>
    <row r="1502" spans="1:21" x14ac:dyDescent="0.25">
      <c r="A1502" t="s">
        <v>5433</v>
      </c>
      <c r="B1502" t="s">
        <v>5434</v>
      </c>
      <c r="C1502" t="s">
        <v>14</v>
      </c>
      <c r="D1502">
        <v>550</v>
      </c>
      <c r="E1502">
        <v>550.4</v>
      </c>
      <c r="F1502">
        <v>545</v>
      </c>
      <c r="G1502" s="3">
        <v>547.15</v>
      </c>
      <c r="H1502">
        <v>548.5</v>
      </c>
      <c r="I1502">
        <v>550.4</v>
      </c>
      <c r="J1502">
        <v>1414936</v>
      </c>
      <c r="K1502">
        <v>774164491.64999998</v>
      </c>
      <c r="L1502" s="1">
        <v>45240</v>
      </c>
      <c r="M1502">
        <v>36457</v>
      </c>
      <c r="N1502" t="s">
        <v>5435</v>
      </c>
      <c r="O1502" s="5">
        <v>45240</v>
      </c>
      <c r="P1502" s="5">
        <v>43777</v>
      </c>
      <c r="Q1502" s="3">
        <v>555.85</v>
      </c>
      <c r="S1502">
        <f t="shared" si="69"/>
        <v>1464</v>
      </c>
      <c r="T1502">
        <f t="shared" si="70"/>
        <v>16.043835616438358</v>
      </c>
      <c r="U1502" s="6">
        <f t="shared" si="71"/>
        <v>-3.9311628269738108E-3</v>
      </c>
    </row>
    <row r="1503" spans="1:21" x14ac:dyDescent="0.25">
      <c r="A1503" t="s">
        <v>5439</v>
      </c>
      <c r="B1503" t="s">
        <v>5440</v>
      </c>
      <c r="C1503" t="s">
        <v>14</v>
      </c>
      <c r="D1503">
        <v>10.85</v>
      </c>
      <c r="E1503">
        <v>11.8</v>
      </c>
      <c r="F1503">
        <v>10.7</v>
      </c>
      <c r="G1503" s="3">
        <v>11</v>
      </c>
      <c r="H1503">
        <v>11.15</v>
      </c>
      <c r="I1503">
        <v>10.7</v>
      </c>
      <c r="J1503">
        <v>34124118</v>
      </c>
      <c r="K1503">
        <v>384997683.39999998</v>
      </c>
      <c r="L1503" s="1">
        <v>45240</v>
      </c>
      <c r="M1503">
        <v>23570</v>
      </c>
      <c r="N1503" t="s">
        <v>5441</v>
      </c>
      <c r="O1503" s="5">
        <v>45240</v>
      </c>
      <c r="P1503" s="5">
        <v>43777</v>
      </c>
      <c r="Q1503" s="3">
        <v>1.8</v>
      </c>
      <c r="S1503">
        <f t="shared" si="69"/>
        <v>1464</v>
      </c>
      <c r="T1503">
        <f t="shared" si="70"/>
        <v>16.043835616438358</v>
      </c>
      <c r="U1503" s="6">
        <f t="shared" si="71"/>
        <v>0.47773369091920248</v>
      </c>
    </row>
    <row r="1504" spans="1:21" x14ac:dyDescent="0.25">
      <c r="A1504" t="s">
        <v>5442</v>
      </c>
      <c r="B1504" t="s">
        <v>5443</v>
      </c>
      <c r="C1504" t="s">
        <v>14</v>
      </c>
      <c r="D1504">
        <v>307.75</v>
      </c>
      <c r="E1504">
        <v>313.89999999999998</v>
      </c>
      <c r="F1504">
        <v>303.75</v>
      </c>
      <c r="G1504" s="3">
        <v>310.64999999999998</v>
      </c>
      <c r="H1504">
        <v>312</v>
      </c>
      <c r="I1504">
        <v>308.64999999999998</v>
      </c>
      <c r="J1504">
        <v>375375</v>
      </c>
      <c r="K1504">
        <v>115398098.40000001</v>
      </c>
      <c r="L1504" s="1">
        <v>45240</v>
      </c>
      <c r="M1504">
        <v>11721</v>
      </c>
      <c r="N1504" t="s">
        <v>5444</v>
      </c>
      <c r="O1504" s="5">
        <v>45240</v>
      </c>
      <c r="P1504" s="5">
        <v>43777</v>
      </c>
      <c r="Q1504" s="3">
        <v>30.95</v>
      </c>
      <c r="S1504">
        <f t="shared" si="69"/>
        <v>1464</v>
      </c>
      <c r="T1504">
        <f t="shared" si="70"/>
        <v>16.043835616438358</v>
      </c>
      <c r="U1504" s="6">
        <f t="shared" si="71"/>
        <v>0.6183795375522152</v>
      </c>
    </row>
    <row r="1505" spans="1:21" x14ac:dyDescent="0.25">
      <c r="A1505" t="s">
        <v>5831</v>
      </c>
      <c r="B1505" t="s">
        <v>7798</v>
      </c>
      <c r="C1505" t="s">
        <v>14</v>
      </c>
      <c r="D1505">
        <v>48.49</v>
      </c>
      <c r="E1505">
        <v>48.49</v>
      </c>
      <c r="F1505">
        <v>47.74</v>
      </c>
      <c r="G1505" s="3">
        <v>48.24</v>
      </c>
      <c r="H1505">
        <v>48.2</v>
      </c>
      <c r="I1505">
        <v>48.15</v>
      </c>
      <c r="J1505">
        <v>324919</v>
      </c>
      <c r="K1505">
        <v>15587845.939999999</v>
      </c>
      <c r="L1505" s="1">
        <v>45240</v>
      </c>
      <c r="M1505">
        <v>483</v>
      </c>
      <c r="N1505" t="s">
        <v>5830</v>
      </c>
      <c r="O1505" s="5">
        <v>45240</v>
      </c>
      <c r="P1505" s="5">
        <v>43777</v>
      </c>
      <c r="Q1505" s="3">
        <v>288.14999999999998</v>
      </c>
      <c r="S1505">
        <f t="shared" si="69"/>
        <v>1464</v>
      </c>
      <c r="T1505">
        <f t="shared" si="70"/>
        <v>16.043835616438358</v>
      </c>
      <c r="U1505" s="6">
        <f t="shared" si="71"/>
        <v>-0.42167870258603468</v>
      </c>
    </row>
    <row r="1506" spans="1:21" x14ac:dyDescent="0.25">
      <c r="A1506" t="s">
        <v>5829</v>
      </c>
      <c r="B1506" t="s">
        <v>7798</v>
      </c>
      <c r="C1506" t="s">
        <v>14</v>
      </c>
      <c r="D1506">
        <v>208.3</v>
      </c>
      <c r="E1506">
        <v>209.37</v>
      </c>
      <c r="F1506">
        <v>207.81</v>
      </c>
      <c r="G1506" s="3">
        <v>209.06</v>
      </c>
      <c r="H1506">
        <v>209.37</v>
      </c>
      <c r="I1506">
        <v>208.81</v>
      </c>
      <c r="J1506">
        <v>4451</v>
      </c>
      <c r="K1506">
        <v>927832.29</v>
      </c>
      <c r="L1506" s="1">
        <v>45240</v>
      </c>
      <c r="M1506">
        <v>62</v>
      </c>
      <c r="N1506" t="s">
        <v>5828</v>
      </c>
      <c r="O1506" s="5">
        <v>45240</v>
      </c>
      <c r="P1506" s="5">
        <v>43777</v>
      </c>
      <c r="Q1506" s="3">
        <v>1257.9100000000001</v>
      </c>
      <c r="S1506">
        <f t="shared" si="69"/>
        <v>1464</v>
      </c>
      <c r="T1506">
        <f t="shared" si="70"/>
        <v>16.043835616438358</v>
      </c>
      <c r="U1506" s="6">
        <f t="shared" si="71"/>
        <v>-0.42330491454592334</v>
      </c>
    </row>
    <row r="1507" spans="1:21" x14ac:dyDescent="0.25">
      <c r="A1507" t="s">
        <v>5827</v>
      </c>
      <c r="B1507" t="s">
        <v>7798</v>
      </c>
      <c r="C1507" t="s">
        <v>14</v>
      </c>
      <c r="D1507">
        <v>721.25</v>
      </c>
      <c r="E1507">
        <v>721.25</v>
      </c>
      <c r="F1507">
        <v>694.01</v>
      </c>
      <c r="G1507" s="3">
        <v>698.97</v>
      </c>
      <c r="H1507">
        <v>700</v>
      </c>
      <c r="I1507">
        <v>700.25</v>
      </c>
      <c r="J1507">
        <v>349</v>
      </c>
      <c r="K1507">
        <v>243355.95</v>
      </c>
      <c r="L1507" s="1">
        <v>45240</v>
      </c>
      <c r="M1507">
        <v>63</v>
      </c>
      <c r="N1507" t="s">
        <v>5826</v>
      </c>
      <c r="O1507" s="5">
        <v>45240</v>
      </c>
      <c r="P1507" s="5">
        <v>43777</v>
      </c>
      <c r="Q1507" s="3">
        <v>424.19</v>
      </c>
      <c r="S1507">
        <f t="shared" si="69"/>
        <v>1464</v>
      </c>
      <c r="T1507">
        <f t="shared" si="70"/>
        <v>16.043835616438358</v>
      </c>
      <c r="U1507" s="6">
        <f t="shared" si="71"/>
        <v>0.12647372949967295</v>
      </c>
    </row>
    <row r="1508" spans="1:21" x14ac:dyDescent="0.25">
      <c r="A1508" t="s">
        <v>5454</v>
      </c>
      <c r="B1508" t="s">
        <v>5455</v>
      </c>
      <c r="C1508" t="s">
        <v>14</v>
      </c>
      <c r="D1508">
        <v>435.9</v>
      </c>
      <c r="E1508">
        <v>441</v>
      </c>
      <c r="F1508">
        <v>432.05</v>
      </c>
      <c r="G1508" s="3">
        <v>438.8</v>
      </c>
      <c r="H1508">
        <v>440.5</v>
      </c>
      <c r="I1508">
        <v>433.6</v>
      </c>
      <c r="J1508">
        <v>92076</v>
      </c>
      <c r="K1508">
        <v>40301953.299999997</v>
      </c>
      <c r="L1508" s="1">
        <v>45240</v>
      </c>
      <c r="M1508">
        <v>4278</v>
      </c>
      <c r="N1508" t="s">
        <v>5456</v>
      </c>
      <c r="O1508" s="5">
        <v>45240</v>
      </c>
      <c r="P1508" s="5">
        <v>43777</v>
      </c>
      <c r="Q1508" s="3">
        <v>103.45</v>
      </c>
      <c r="S1508">
        <f t="shared" si="69"/>
        <v>1464</v>
      </c>
      <c r="T1508">
        <f t="shared" si="70"/>
        <v>16.043835616438358</v>
      </c>
      <c r="U1508" s="6">
        <f t="shared" si="71"/>
        <v>0.37697270003060535</v>
      </c>
    </row>
    <row r="1509" spans="1:21" x14ac:dyDescent="0.25">
      <c r="A1509" t="s">
        <v>5457</v>
      </c>
      <c r="B1509" t="s">
        <v>5458</v>
      </c>
      <c r="C1509" t="s">
        <v>10</v>
      </c>
      <c r="D1509">
        <v>218.55</v>
      </c>
      <c r="E1509">
        <v>218.55</v>
      </c>
      <c r="F1509">
        <v>218.55</v>
      </c>
      <c r="G1509" s="3">
        <v>218.55</v>
      </c>
      <c r="H1509">
        <v>218.55</v>
      </c>
      <c r="I1509">
        <v>223</v>
      </c>
      <c r="J1509">
        <v>103034</v>
      </c>
      <c r="K1509">
        <v>22518080.699999999</v>
      </c>
      <c r="L1509" s="1">
        <v>45240</v>
      </c>
      <c r="M1509">
        <v>71</v>
      </c>
      <c r="N1509" t="s">
        <v>5459</v>
      </c>
      <c r="O1509" s="5">
        <v>45240</v>
      </c>
      <c r="P1509" s="5">
        <v>43777</v>
      </c>
      <c r="Q1509" s="3">
        <v>118</v>
      </c>
      <c r="S1509">
        <f t="shared" si="69"/>
        <v>1464</v>
      </c>
      <c r="T1509">
        <f t="shared" si="70"/>
        <v>16.043835616438358</v>
      </c>
      <c r="U1509" s="6">
        <f t="shared" si="71"/>
        <v>0.156651202880707</v>
      </c>
    </row>
    <row r="1510" spans="1:21" x14ac:dyDescent="0.25">
      <c r="A1510" t="s">
        <v>5460</v>
      </c>
      <c r="B1510" t="s">
        <v>5461</v>
      </c>
      <c r="C1510" t="s">
        <v>14</v>
      </c>
      <c r="D1510">
        <v>2570</v>
      </c>
      <c r="E1510">
        <v>2599.75</v>
      </c>
      <c r="F1510">
        <v>2464</v>
      </c>
      <c r="G1510" s="3">
        <v>2495.85</v>
      </c>
      <c r="H1510">
        <v>2500</v>
      </c>
      <c r="I1510">
        <v>2579.4</v>
      </c>
      <c r="J1510">
        <v>22313</v>
      </c>
      <c r="K1510">
        <v>55920983.950000003</v>
      </c>
      <c r="L1510" s="1">
        <v>45240</v>
      </c>
      <c r="M1510">
        <v>3500</v>
      </c>
      <c r="N1510" t="s">
        <v>5462</v>
      </c>
      <c r="O1510" s="5">
        <v>45240</v>
      </c>
      <c r="P1510" s="5">
        <v>43777</v>
      </c>
      <c r="Q1510" s="3">
        <v>765.4</v>
      </c>
      <c r="S1510">
        <f t="shared" si="69"/>
        <v>1464</v>
      </c>
      <c r="T1510">
        <f t="shared" si="70"/>
        <v>16.043835616438358</v>
      </c>
      <c r="U1510" s="6">
        <f t="shared" si="71"/>
        <v>0.30581591793409579</v>
      </c>
    </row>
    <row r="1511" spans="1:21" x14ac:dyDescent="0.25">
      <c r="A1511" t="s">
        <v>5463</v>
      </c>
      <c r="B1511" t="s">
        <v>5464</v>
      </c>
      <c r="C1511" t="s">
        <v>14</v>
      </c>
      <c r="D1511">
        <v>420.5</v>
      </c>
      <c r="E1511">
        <v>425.4</v>
      </c>
      <c r="F1511">
        <v>414.4</v>
      </c>
      <c r="G1511" s="3">
        <v>422.1</v>
      </c>
      <c r="H1511">
        <v>421.4</v>
      </c>
      <c r="I1511">
        <v>424.3</v>
      </c>
      <c r="J1511">
        <v>133676</v>
      </c>
      <c r="K1511">
        <v>56322554</v>
      </c>
      <c r="L1511" s="1">
        <v>45240</v>
      </c>
      <c r="M1511">
        <v>8949</v>
      </c>
      <c r="N1511" t="s">
        <v>5465</v>
      </c>
      <c r="O1511" s="5">
        <v>45240</v>
      </c>
      <c r="P1511" s="5">
        <v>43777</v>
      </c>
      <c r="Q1511" s="3">
        <v>815.7</v>
      </c>
      <c r="S1511">
        <f t="shared" si="69"/>
        <v>1464</v>
      </c>
      <c r="T1511">
        <f t="shared" si="70"/>
        <v>16.043835616438358</v>
      </c>
      <c r="U1511" s="6">
        <f t="shared" si="71"/>
        <v>-0.16092447986738634</v>
      </c>
    </row>
    <row r="1512" spans="1:21" x14ac:dyDescent="0.25">
      <c r="A1512" t="s">
        <v>5469</v>
      </c>
      <c r="B1512" t="s">
        <v>5470</v>
      </c>
      <c r="C1512" t="s">
        <v>14</v>
      </c>
      <c r="D1512">
        <v>19.100000000000001</v>
      </c>
      <c r="E1512">
        <v>19.149999999999999</v>
      </c>
      <c r="F1512">
        <v>18.600000000000001</v>
      </c>
      <c r="G1512" s="3">
        <v>18.7</v>
      </c>
      <c r="H1512">
        <v>18.75</v>
      </c>
      <c r="I1512">
        <v>19.100000000000001</v>
      </c>
      <c r="J1512">
        <v>9774333</v>
      </c>
      <c r="K1512">
        <v>184210511.84999999</v>
      </c>
      <c r="L1512" s="1">
        <v>45240</v>
      </c>
      <c r="M1512">
        <v>9727</v>
      </c>
      <c r="N1512" t="s">
        <v>5471</v>
      </c>
      <c r="O1512" s="5">
        <v>45240</v>
      </c>
      <c r="P1512" s="5">
        <v>43777</v>
      </c>
      <c r="Q1512" s="3">
        <v>39.75</v>
      </c>
      <c r="S1512">
        <f t="shared" si="69"/>
        <v>1464</v>
      </c>
      <c r="T1512">
        <f t="shared" si="70"/>
        <v>16.043835616438358</v>
      </c>
      <c r="U1512" s="6">
        <f t="shared" si="71"/>
        <v>-0.18365660454937149</v>
      </c>
    </row>
    <row r="1513" spans="1:21" x14ac:dyDescent="0.25">
      <c r="A1513" t="s">
        <v>5478</v>
      </c>
      <c r="B1513" t="s">
        <v>5479</v>
      </c>
      <c r="C1513" t="s">
        <v>14</v>
      </c>
      <c r="D1513">
        <v>54.8</v>
      </c>
      <c r="E1513">
        <v>55.8</v>
      </c>
      <c r="F1513">
        <v>54.25</v>
      </c>
      <c r="G1513" s="3">
        <v>54.45</v>
      </c>
      <c r="H1513">
        <v>54.4</v>
      </c>
      <c r="I1513">
        <v>54.8</v>
      </c>
      <c r="J1513">
        <v>41619</v>
      </c>
      <c r="K1513">
        <v>2280006.2000000002</v>
      </c>
      <c r="L1513" s="1">
        <v>45240</v>
      </c>
      <c r="M1513">
        <v>357</v>
      </c>
      <c r="N1513" t="s">
        <v>5480</v>
      </c>
      <c r="O1513" s="5">
        <v>45240</v>
      </c>
      <c r="P1513" s="5">
        <v>43777</v>
      </c>
      <c r="Q1513" s="3">
        <v>35</v>
      </c>
      <c r="S1513">
        <f t="shared" si="69"/>
        <v>1464</v>
      </c>
      <c r="T1513">
        <f t="shared" si="70"/>
        <v>16.043835616438358</v>
      </c>
      <c r="U1513" s="6">
        <f t="shared" si="71"/>
        <v>0.11171336330963655</v>
      </c>
    </row>
    <row r="1514" spans="1:21" x14ac:dyDescent="0.25">
      <c r="A1514" t="s">
        <v>5481</v>
      </c>
      <c r="B1514" t="s">
        <v>5482</v>
      </c>
      <c r="C1514" t="s">
        <v>10</v>
      </c>
      <c r="D1514">
        <v>60.35</v>
      </c>
      <c r="E1514">
        <v>60.35</v>
      </c>
      <c r="F1514">
        <v>60.35</v>
      </c>
      <c r="G1514" s="3">
        <v>60.35</v>
      </c>
      <c r="H1514">
        <v>60.35</v>
      </c>
      <c r="I1514">
        <v>59.2</v>
      </c>
      <c r="J1514">
        <v>67648</v>
      </c>
      <c r="K1514">
        <v>4082556.8</v>
      </c>
      <c r="L1514" s="1">
        <v>45240</v>
      </c>
      <c r="M1514">
        <v>26</v>
      </c>
      <c r="N1514" t="s">
        <v>5483</v>
      </c>
      <c r="O1514" s="5">
        <v>45240</v>
      </c>
      <c r="P1514" s="5">
        <v>43777</v>
      </c>
      <c r="Q1514" s="3">
        <v>1.8</v>
      </c>
      <c r="S1514">
        <f t="shared" si="69"/>
        <v>1464</v>
      </c>
      <c r="T1514">
        <f t="shared" si="70"/>
        <v>16.043835616438358</v>
      </c>
      <c r="U1514" s="6">
        <f t="shared" si="71"/>
        <v>0.97894471067581623</v>
      </c>
    </row>
    <row r="1515" spans="1:21" x14ac:dyDescent="0.25">
      <c r="A1515" t="s">
        <v>5484</v>
      </c>
      <c r="B1515" t="s">
        <v>5485</v>
      </c>
      <c r="C1515" t="s">
        <v>14</v>
      </c>
      <c r="D1515">
        <v>457</v>
      </c>
      <c r="E1515">
        <v>471.95</v>
      </c>
      <c r="F1515">
        <v>441.15</v>
      </c>
      <c r="G1515" s="3">
        <v>469.7</v>
      </c>
      <c r="H1515">
        <v>469.85</v>
      </c>
      <c r="I1515">
        <v>455.7</v>
      </c>
      <c r="J1515">
        <v>399066</v>
      </c>
      <c r="K1515">
        <v>182850109.34999999</v>
      </c>
      <c r="L1515" s="1">
        <v>45240</v>
      </c>
      <c r="M1515">
        <v>18962</v>
      </c>
      <c r="N1515" t="s">
        <v>5486</v>
      </c>
      <c r="O1515" s="5">
        <v>45240</v>
      </c>
      <c r="P1515" s="5">
        <v>43777</v>
      </c>
      <c r="Q1515" s="3">
        <v>479.55</v>
      </c>
      <c r="S1515">
        <f t="shared" si="69"/>
        <v>1464</v>
      </c>
      <c r="T1515">
        <f t="shared" si="70"/>
        <v>16.043835616438358</v>
      </c>
      <c r="U1515" s="6">
        <f t="shared" si="71"/>
        <v>-5.1709713240586375E-3</v>
      </c>
    </row>
    <row r="1516" spans="1:21" x14ac:dyDescent="0.25">
      <c r="A1516" t="s">
        <v>5823</v>
      </c>
      <c r="B1516" t="s">
        <v>7798</v>
      </c>
      <c r="C1516" t="s">
        <v>5788</v>
      </c>
      <c r="D1516">
        <v>6.2</v>
      </c>
      <c r="E1516">
        <v>6.2</v>
      </c>
      <c r="F1516">
        <v>6.2</v>
      </c>
      <c r="G1516" s="3">
        <v>6.2</v>
      </c>
      <c r="H1516">
        <v>6.2</v>
      </c>
      <c r="I1516">
        <v>6.15</v>
      </c>
      <c r="J1516">
        <v>4000</v>
      </c>
      <c r="K1516">
        <v>24800</v>
      </c>
      <c r="L1516" s="1">
        <v>45240</v>
      </c>
      <c r="M1516">
        <v>1</v>
      </c>
      <c r="N1516" t="s">
        <v>5822</v>
      </c>
      <c r="O1516" s="5">
        <v>45240</v>
      </c>
      <c r="P1516" s="5">
        <v>43777</v>
      </c>
      <c r="Q1516" s="3">
        <v>16.25</v>
      </c>
      <c r="S1516">
        <f t="shared" si="69"/>
        <v>1464</v>
      </c>
      <c r="T1516">
        <f t="shared" si="70"/>
        <v>16.043835616438358</v>
      </c>
      <c r="U1516" s="6">
        <f t="shared" si="71"/>
        <v>-0.23315634263722984</v>
      </c>
    </row>
    <row r="1517" spans="1:21" x14ac:dyDescent="0.25">
      <c r="A1517" t="s">
        <v>5487</v>
      </c>
      <c r="B1517" t="s">
        <v>5488</v>
      </c>
      <c r="C1517" t="s">
        <v>14</v>
      </c>
      <c r="D1517">
        <v>75.05</v>
      </c>
      <c r="E1517">
        <v>76.349999999999994</v>
      </c>
      <c r="F1517">
        <v>73.099999999999994</v>
      </c>
      <c r="G1517" s="3">
        <v>73.400000000000006</v>
      </c>
      <c r="H1517">
        <v>73.599999999999994</v>
      </c>
      <c r="I1517">
        <v>75.05</v>
      </c>
      <c r="J1517">
        <v>1252630</v>
      </c>
      <c r="K1517">
        <v>93095823.400000006</v>
      </c>
      <c r="L1517" s="1">
        <v>45240</v>
      </c>
      <c r="M1517">
        <v>6584</v>
      </c>
      <c r="N1517" t="s">
        <v>5489</v>
      </c>
      <c r="O1517" s="5">
        <v>45240</v>
      </c>
      <c r="P1517" s="5">
        <v>43777</v>
      </c>
      <c r="Q1517" s="3">
        <v>13.85</v>
      </c>
      <c r="S1517">
        <f t="shared" si="69"/>
        <v>1464</v>
      </c>
      <c r="T1517">
        <f t="shared" si="70"/>
        <v>16.043835616438358</v>
      </c>
      <c r="U1517" s="6">
        <f t="shared" si="71"/>
        <v>0.43814726050888808</v>
      </c>
    </row>
    <row r="1518" spans="1:21" x14ac:dyDescent="0.25">
      <c r="A1518" t="s">
        <v>5490</v>
      </c>
      <c r="B1518" t="s">
        <v>5491</v>
      </c>
      <c r="C1518" t="s">
        <v>10</v>
      </c>
      <c r="D1518">
        <v>24.9</v>
      </c>
      <c r="E1518">
        <v>25.45</v>
      </c>
      <c r="F1518">
        <v>24.05</v>
      </c>
      <c r="G1518" s="3">
        <v>24.8</v>
      </c>
      <c r="H1518">
        <v>25.05</v>
      </c>
      <c r="I1518">
        <v>24.8</v>
      </c>
      <c r="J1518">
        <v>24278</v>
      </c>
      <c r="K1518">
        <v>604723.55000000005</v>
      </c>
      <c r="L1518" s="1">
        <v>45240</v>
      </c>
      <c r="M1518">
        <v>121</v>
      </c>
      <c r="N1518" t="s">
        <v>5492</v>
      </c>
      <c r="O1518" s="5">
        <v>45240</v>
      </c>
      <c r="P1518" s="5">
        <v>43777</v>
      </c>
      <c r="Q1518" s="3">
        <v>5.3</v>
      </c>
      <c r="S1518">
        <f t="shared" si="69"/>
        <v>1464</v>
      </c>
      <c r="T1518">
        <f t="shared" si="70"/>
        <v>16.043835616438358</v>
      </c>
      <c r="U1518" s="6">
        <f t="shared" si="71"/>
        <v>0.40384005180187543</v>
      </c>
    </row>
    <row r="1519" spans="1:21" x14ac:dyDescent="0.25">
      <c r="A1519" t="s">
        <v>5493</v>
      </c>
      <c r="B1519" t="s">
        <v>5494</v>
      </c>
      <c r="C1519" t="s">
        <v>14</v>
      </c>
      <c r="D1519">
        <v>1003.8</v>
      </c>
      <c r="E1519">
        <v>1014.25</v>
      </c>
      <c r="F1519">
        <v>993.7</v>
      </c>
      <c r="G1519" s="3">
        <v>1009.05</v>
      </c>
      <c r="H1519">
        <v>1010</v>
      </c>
      <c r="I1519">
        <v>1002.55</v>
      </c>
      <c r="J1519">
        <v>1218861</v>
      </c>
      <c r="K1519">
        <v>1230103782.6500001</v>
      </c>
      <c r="L1519" s="1">
        <v>45240</v>
      </c>
      <c r="M1519">
        <v>69329</v>
      </c>
      <c r="N1519" t="s">
        <v>5495</v>
      </c>
      <c r="O1519" s="5">
        <v>45240</v>
      </c>
      <c r="P1519" s="5">
        <v>43777</v>
      </c>
      <c r="Q1519" s="3">
        <v>741.55</v>
      </c>
      <c r="S1519">
        <f t="shared" si="69"/>
        <v>1464</v>
      </c>
      <c r="T1519">
        <f t="shared" si="70"/>
        <v>16.043835616438358</v>
      </c>
      <c r="U1519" s="6">
        <f t="shared" si="71"/>
        <v>7.7537024516451503E-2</v>
      </c>
    </row>
    <row r="1520" spans="1:21" x14ac:dyDescent="0.25">
      <c r="A1520" t="s">
        <v>5499</v>
      </c>
      <c r="B1520" t="s">
        <v>5500</v>
      </c>
      <c r="C1520" t="s">
        <v>14</v>
      </c>
      <c r="D1520">
        <v>234</v>
      </c>
      <c r="E1520">
        <v>246</v>
      </c>
      <c r="F1520">
        <v>233.9</v>
      </c>
      <c r="G1520" s="3">
        <v>245.25</v>
      </c>
      <c r="H1520">
        <v>245</v>
      </c>
      <c r="I1520">
        <v>235.2</v>
      </c>
      <c r="J1520">
        <v>17676902</v>
      </c>
      <c r="K1520">
        <v>4281076398.6500001</v>
      </c>
      <c r="L1520" s="1">
        <v>45240</v>
      </c>
      <c r="M1520">
        <v>115206</v>
      </c>
      <c r="N1520" t="s">
        <v>5501</v>
      </c>
      <c r="O1520" s="5">
        <v>45240</v>
      </c>
      <c r="P1520" s="5">
        <v>43777</v>
      </c>
      <c r="Q1520" s="3">
        <v>155.5</v>
      </c>
      <c r="S1520">
        <f t="shared" si="69"/>
        <v>1464</v>
      </c>
      <c r="T1520">
        <f t="shared" si="70"/>
        <v>16.043835616438358</v>
      </c>
      <c r="U1520" s="6">
        <f t="shared" si="71"/>
        <v>0.11522527708395724</v>
      </c>
    </row>
    <row r="1521" spans="1:21" x14ac:dyDescent="0.25">
      <c r="A1521" t="s">
        <v>5502</v>
      </c>
      <c r="B1521" t="s">
        <v>5503</v>
      </c>
      <c r="C1521" t="s">
        <v>14</v>
      </c>
      <c r="D1521">
        <v>2063.9</v>
      </c>
      <c r="E1521">
        <v>2063.9</v>
      </c>
      <c r="F1521">
        <v>2021.2</v>
      </c>
      <c r="G1521" s="3">
        <v>2034.85</v>
      </c>
      <c r="H1521">
        <v>2042</v>
      </c>
      <c r="I1521">
        <v>2045.65</v>
      </c>
      <c r="J1521">
        <v>18961</v>
      </c>
      <c r="K1521">
        <v>38575322.549999997</v>
      </c>
      <c r="L1521" s="1">
        <v>45240</v>
      </c>
      <c r="M1521">
        <v>2927</v>
      </c>
      <c r="N1521" t="s">
        <v>5504</v>
      </c>
      <c r="O1521" s="5">
        <v>45240</v>
      </c>
      <c r="P1521" s="5">
        <v>43777</v>
      </c>
      <c r="Q1521" s="3">
        <v>1884.45</v>
      </c>
      <c r="S1521">
        <f t="shared" si="69"/>
        <v>1464</v>
      </c>
      <c r="T1521">
        <f t="shared" si="70"/>
        <v>16.043835616438358</v>
      </c>
      <c r="U1521" s="6">
        <f t="shared" si="71"/>
        <v>1.9189961849017223E-2</v>
      </c>
    </row>
    <row r="1522" spans="1:21" x14ac:dyDescent="0.25">
      <c r="A1522" t="s">
        <v>5508</v>
      </c>
      <c r="B1522" t="s">
        <v>5509</v>
      </c>
      <c r="C1522" t="s">
        <v>14</v>
      </c>
      <c r="D1522">
        <v>310</v>
      </c>
      <c r="E1522">
        <v>334.75</v>
      </c>
      <c r="F1522">
        <v>303.2</v>
      </c>
      <c r="G1522" s="3">
        <v>324.8</v>
      </c>
      <c r="H1522">
        <v>326</v>
      </c>
      <c r="I1522">
        <v>289.55</v>
      </c>
      <c r="J1522">
        <v>1353237</v>
      </c>
      <c r="K1522">
        <v>437062957.89999998</v>
      </c>
      <c r="L1522" s="1">
        <v>45240</v>
      </c>
      <c r="M1522">
        <v>40169</v>
      </c>
      <c r="N1522" t="s">
        <v>5510</v>
      </c>
      <c r="O1522" s="5">
        <v>45240</v>
      </c>
      <c r="P1522" s="5">
        <v>43777</v>
      </c>
      <c r="Q1522" s="3">
        <v>24.5</v>
      </c>
      <c r="S1522">
        <f t="shared" si="69"/>
        <v>1464</v>
      </c>
      <c r="T1522">
        <f t="shared" si="70"/>
        <v>16.043835616438358</v>
      </c>
      <c r="U1522" s="6">
        <f t="shared" si="71"/>
        <v>0.69917303552391541</v>
      </c>
    </row>
    <row r="1523" spans="1:21" x14ac:dyDescent="0.25">
      <c r="A1523" t="s">
        <v>5514</v>
      </c>
      <c r="B1523" t="s">
        <v>5515</v>
      </c>
      <c r="C1523" t="s">
        <v>14</v>
      </c>
      <c r="D1523">
        <v>358.05</v>
      </c>
      <c r="E1523">
        <v>358.05</v>
      </c>
      <c r="F1523">
        <v>348.5</v>
      </c>
      <c r="G1523" s="3">
        <v>350.85</v>
      </c>
      <c r="H1523">
        <v>350</v>
      </c>
      <c r="I1523">
        <v>358.5</v>
      </c>
      <c r="J1523">
        <v>116762</v>
      </c>
      <c r="K1523">
        <v>41219169.799999997</v>
      </c>
      <c r="L1523" s="1">
        <v>45240</v>
      </c>
      <c r="M1523">
        <v>2210</v>
      </c>
      <c r="N1523" t="s">
        <v>5516</v>
      </c>
      <c r="O1523" s="5">
        <v>45240</v>
      </c>
      <c r="P1523" s="5">
        <v>43777</v>
      </c>
      <c r="Q1523" s="3">
        <v>168.5</v>
      </c>
      <c r="S1523">
        <f t="shared" si="69"/>
        <v>1464</v>
      </c>
      <c r="T1523">
        <f t="shared" si="70"/>
        <v>16.043835616438358</v>
      </c>
      <c r="U1523" s="6">
        <f t="shared" si="71"/>
        <v>0.18709869115191324</v>
      </c>
    </row>
    <row r="1524" spans="1:21" x14ac:dyDescent="0.25">
      <c r="A1524" t="s">
        <v>5517</v>
      </c>
      <c r="B1524" t="s">
        <v>5518</v>
      </c>
      <c r="C1524" t="s">
        <v>14</v>
      </c>
      <c r="D1524">
        <v>3499.8</v>
      </c>
      <c r="E1524">
        <v>3689.9</v>
      </c>
      <c r="F1524">
        <v>3459.95</v>
      </c>
      <c r="G1524" s="3">
        <v>3535.85</v>
      </c>
      <c r="H1524">
        <v>3536.8</v>
      </c>
      <c r="I1524">
        <v>3470.5</v>
      </c>
      <c r="J1524">
        <v>14096</v>
      </c>
      <c r="K1524">
        <v>50422174.75</v>
      </c>
      <c r="L1524" s="1">
        <v>45240</v>
      </c>
      <c r="M1524">
        <v>4400</v>
      </c>
      <c r="N1524" t="s">
        <v>5519</v>
      </c>
      <c r="O1524" s="5">
        <v>45240</v>
      </c>
      <c r="P1524" s="5">
        <v>43777</v>
      </c>
      <c r="Q1524" s="3">
        <v>984.75</v>
      </c>
      <c r="S1524">
        <f t="shared" si="69"/>
        <v>1464</v>
      </c>
      <c r="T1524">
        <f t="shared" si="70"/>
        <v>16.043835616438358</v>
      </c>
      <c r="U1524" s="6">
        <f t="shared" si="71"/>
        <v>0.33174794748049496</v>
      </c>
    </row>
    <row r="1525" spans="1:21" x14ac:dyDescent="0.25">
      <c r="A1525" t="s">
        <v>5520</v>
      </c>
      <c r="B1525" t="s">
        <v>5521</v>
      </c>
      <c r="C1525" t="s">
        <v>14</v>
      </c>
      <c r="D1525">
        <v>126</v>
      </c>
      <c r="E1525">
        <v>126</v>
      </c>
      <c r="F1525">
        <v>117.05</v>
      </c>
      <c r="G1525" s="3">
        <v>118</v>
      </c>
      <c r="H1525">
        <v>118.4</v>
      </c>
      <c r="I1525">
        <v>120</v>
      </c>
      <c r="J1525">
        <v>147283</v>
      </c>
      <c r="K1525">
        <v>17794571.649999999</v>
      </c>
      <c r="L1525" s="1">
        <v>45240</v>
      </c>
      <c r="M1525">
        <v>1933</v>
      </c>
      <c r="N1525" t="s">
        <v>5522</v>
      </c>
      <c r="O1525" s="5">
        <v>45240</v>
      </c>
      <c r="P1525" s="5">
        <v>43777</v>
      </c>
      <c r="Q1525" s="3">
        <v>46.65</v>
      </c>
      <c r="S1525">
        <f t="shared" si="69"/>
        <v>1464</v>
      </c>
      <c r="T1525">
        <f t="shared" si="70"/>
        <v>16.043835616438358</v>
      </c>
      <c r="U1525" s="6">
        <f t="shared" si="71"/>
        <v>0.23819139411481061</v>
      </c>
    </row>
    <row r="1526" spans="1:21" x14ac:dyDescent="0.25">
      <c r="A1526" t="s">
        <v>5523</v>
      </c>
      <c r="B1526" t="s">
        <v>5524</v>
      </c>
      <c r="C1526" t="s">
        <v>14</v>
      </c>
      <c r="D1526">
        <v>284</v>
      </c>
      <c r="E1526">
        <v>288.75</v>
      </c>
      <c r="F1526">
        <v>283.10000000000002</v>
      </c>
      <c r="G1526" s="3">
        <v>288</v>
      </c>
      <c r="H1526">
        <v>288.75</v>
      </c>
      <c r="I1526">
        <v>284.5</v>
      </c>
      <c r="J1526">
        <v>110954</v>
      </c>
      <c r="K1526">
        <v>31801810.25</v>
      </c>
      <c r="L1526" s="1">
        <v>45240</v>
      </c>
      <c r="M1526">
        <v>3174</v>
      </c>
      <c r="N1526" t="s">
        <v>5525</v>
      </c>
      <c r="O1526" s="5">
        <v>45240</v>
      </c>
      <c r="P1526" s="5">
        <v>43777</v>
      </c>
      <c r="Q1526" s="3">
        <v>235.2</v>
      </c>
      <c r="S1526">
        <f t="shared" si="69"/>
        <v>1464</v>
      </c>
      <c r="T1526">
        <f t="shared" si="70"/>
        <v>16.043835616438358</v>
      </c>
      <c r="U1526" s="6">
        <f t="shared" si="71"/>
        <v>5.0812764452932591E-2</v>
      </c>
    </row>
    <row r="1527" spans="1:21" x14ac:dyDescent="0.25">
      <c r="A1527" t="s">
        <v>5526</v>
      </c>
      <c r="B1527" t="s">
        <v>5527</v>
      </c>
      <c r="C1527" t="s">
        <v>14</v>
      </c>
      <c r="D1527">
        <v>2778</v>
      </c>
      <c r="E1527">
        <v>2819.95</v>
      </c>
      <c r="F1527">
        <v>2775</v>
      </c>
      <c r="G1527" s="3">
        <v>2808.7</v>
      </c>
      <c r="H1527">
        <v>2816</v>
      </c>
      <c r="I1527">
        <v>2770.2</v>
      </c>
      <c r="J1527">
        <v>255</v>
      </c>
      <c r="K1527">
        <v>713690.3</v>
      </c>
      <c r="L1527" s="1">
        <v>45240</v>
      </c>
      <c r="M1527">
        <v>116</v>
      </c>
      <c r="N1527" t="s">
        <v>5528</v>
      </c>
      <c r="O1527" s="5">
        <v>45240</v>
      </c>
      <c r="P1527" s="5">
        <v>43777</v>
      </c>
      <c r="Q1527" s="3">
        <v>1414.05</v>
      </c>
      <c r="S1527">
        <f t="shared" si="69"/>
        <v>1464</v>
      </c>
      <c r="T1527">
        <f t="shared" si="70"/>
        <v>16.043835616438358</v>
      </c>
      <c r="U1527" s="6">
        <f t="shared" si="71"/>
        <v>0.17480921276807404</v>
      </c>
    </row>
    <row r="1528" spans="1:21" x14ac:dyDescent="0.25">
      <c r="A1528" t="s">
        <v>5529</v>
      </c>
      <c r="B1528" t="s">
        <v>5530</v>
      </c>
      <c r="C1528" t="s">
        <v>14</v>
      </c>
      <c r="D1528">
        <v>422.85</v>
      </c>
      <c r="E1528">
        <v>426.9</v>
      </c>
      <c r="F1528">
        <v>419</v>
      </c>
      <c r="G1528" s="3">
        <v>422.65</v>
      </c>
      <c r="H1528">
        <v>423</v>
      </c>
      <c r="I1528">
        <v>422.9</v>
      </c>
      <c r="J1528">
        <v>9011</v>
      </c>
      <c r="K1528">
        <v>3812487.65</v>
      </c>
      <c r="L1528" s="1">
        <v>45240</v>
      </c>
      <c r="M1528">
        <v>1212</v>
      </c>
      <c r="N1528" t="s">
        <v>5531</v>
      </c>
      <c r="O1528" s="5">
        <v>45240</v>
      </c>
      <c r="P1528" s="5">
        <v>43777</v>
      </c>
      <c r="Q1528" s="3">
        <v>65.099999999999994</v>
      </c>
      <c r="S1528">
        <f t="shared" si="69"/>
        <v>1464</v>
      </c>
      <c r="T1528">
        <f t="shared" si="70"/>
        <v>16.043835616438358</v>
      </c>
      <c r="U1528" s="6">
        <f t="shared" si="71"/>
        <v>0.4946538904779576</v>
      </c>
    </row>
    <row r="1529" spans="1:21" x14ac:dyDescent="0.25">
      <c r="A1529" t="s">
        <v>5535</v>
      </c>
      <c r="B1529" t="s">
        <v>5536</v>
      </c>
      <c r="C1529" t="s">
        <v>10</v>
      </c>
      <c r="D1529">
        <v>1.75</v>
      </c>
      <c r="E1529">
        <v>1.75</v>
      </c>
      <c r="F1529">
        <v>1.65</v>
      </c>
      <c r="G1529" s="3">
        <v>1.7</v>
      </c>
      <c r="H1529">
        <v>1.75</v>
      </c>
      <c r="I1529">
        <v>1.7</v>
      </c>
      <c r="J1529">
        <v>93516</v>
      </c>
      <c r="K1529">
        <v>159296.5</v>
      </c>
      <c r="L1529" s="1">
        <v>45240</v>
      </c>
      <c r="M1529">
        <v>166</v>
      </c>
      <c r="N1529" t="s">
        <v>5537</v>
      </c>
      <c r="O1529" s="5">
        <v>45240</v>
      </c>
      <c r="P1529" s="5">
        <v>43777</v>
      </c>
      <c r="Q1529" s="3">
        <v>0.45</v>
      </c>
      <c r="S1529">
        <f t="shared" si="69"/>
        <v>1464</v>
      </c>
      <c r="T1529">
        <f t="shared" si="70"/>
        <v>16.043835616438358</v>
      </c>
      <c r="U1529" s="6">
        <f t="shared" si="71"/>
        <v>0.34548940130868822</v>
      </c>
    </row>
    <row r="1530" spans="1:21" x14ac:dyDescent="0.25">
      <c r="A1530" t="s">
        <v>5538</v>
      </c>
      <c r="B1530" t="s">
        <v>5539</v>
      </c>
      <c r="C1530" t="s">
        <v>10</v>
      </c>
      <c r="D1530">
        <v>3.6</v>
      </c>
      <c r="E1530">
        <v>3.6</v>
      </c>
      <c r="F1530">
        <v>3.5</v>
      </c>
      <c r="G1530" s="3">
        <v>3.6</v>
      </c>
      <c r="H1530">
        <v>3.55</v>
      </c>
      <c r="I1530">
        <v>3.55</v>
      </c>
      <c r="J1530">
        <v>2294977</v>
      </c>
      <c r="K1530">
        <v>8154099.0499999998</v>
      </c>
      <c r="L1530" s="1">
        <v>45240</v>
      </c>
      <c r="M1530">
        <v>2368</v>
      </c>
      <c r="N1530" t="s">
        <v>5540</v>
      </c>
      <c r="O1530" s="5">
        <v>45240</v>
      </c>
      <c r="P1530" s="5">
        <v>43777</v>
      </c>
      <c r="Q1530" s="3">
        <v>3.7</v>
      </c>
      <c r="S1530">
        <f t="shared" si="69"/>
        <v>1464</v>
      </c>
      <c r="T1530">
        <f t="shared" si="70"/>
        <v>16.043835616438358</v>
      </c>
      <c r="U1530" s="6">
        <f t="shared" si="71"/>
        <v>-6.8251988510561468E-3</v>
      </c>
    </row>
    <row r="1531" spans="1:21" x14ac:dyDescent="0.25">
      <c r="A1531" t="s">
        <v>5544</v>
      </c>
      <c r="B1531" t="s">
        <v>5545</v>
      </c>
      <c r="C1531" t="s">
        <v>14</v>
      </c>
      <c r="D1531">
        <v>415.45</v>
      </c>
      <c r="E1531">
        <v>417</v>
      </c>
      <c r="F1531">
        <v>398.5</v>
      </c>
      <c r="G1531" s="3">
        <v>400.55</v>
      </c>
      <c r="H1531">
        <v>400</v>
      </c>
      <c r="I1531">
        <v>413.8</v>
      </c>
      <c r="J1531">
        <v>76670</v>
      </c>
      <c r="K1531">
        <v>31050484.699999999</v>
      </c>
      <c r="L1531" s="1">
        <v>45240</v>
      </c>
      <c r="M1531">
        <v>4706</v>
      </c>
      <c r="N1531" t="s">
        <v>5546</v>
      </c>
      <c r="O1531" s="5">
        <v>45240</v>
      </c>
      <c r="P1531" s="5">
        <v>43777</v>
      </c>
      <c r="Q1531" s="3">
        <v>122.2</v>
      </c>
      <c r="S1531">
        <f t="shared" si="69"/>
        <v>1464</v>
      </c>
      <c r="T1531">
        <f t="shared" si="70"/>
        <v>16.043835616438358</v>
      </c>
      <c r="U1531" s="6">
        <f t="shared" si="71"/>
        <v>0.30720996509602383</v>
      </c>
    </row>
    <row r="1532" spans="1:21" x14ac:dyDescent="0.25">
      <c r="A1532" t="s">
        <v>5547</v>
      </c>
      <c r="B1532" t="s">
        <v>5548</v>
      </c>
      <c r="C1532" t="s">
        <v>14</v>
      </c>
      <c r="D1532">
        <v>1758.95</v>
      </c>
      <c r="E1532">
        <v>1770.2</v>
      </c>
      <c r="F1532">
        <v>1743</v>
      </c>
      <c r="G1532" s="3">
        <v>1754.35</v>
      </c>
      <c r="H1532">
        <v>1755</v>
      </c>
      <c r="I1532">
        <v>1758.75</v>
      </c>
      <c r="J1532">
        <v>12659</v>
      </c>
      <c r="K1532">
        <v>22171813.100000001</v>
      </c>
      <c r="L1532" s="1">
        <v>45240</v>
      </c>
      <c r="M1532">
        <v>3224</v>
      </c>
      <c r="N1532" t="s">
        <v>5549</v>
      </c>
      <c r="O1532" s="5">
        <v>45240</v>
      </c>
      <c r="P1532" s="5">
        <v>43777</v>
      </c>
      <c r="Q1532" s="3">
        <v>2064</v>
      </c>
      <c r="S1532">
        <f t="shared" si="69"/>
        <v>1464</v>
      </c>
      <c r="T1532">
        <f t="shared" si="70"/>
        <v>16.043835616438358</v>
      </c>
      <c r="U1532" s="6">
        <f t="shared" si="71"/>
        <v>-4.0321226467196158E-2</v>
      </c>
    </row>
    <row r="1533" spans="1:21" x14ac:dyDescent="0.25">
      <c r="A1533" t="s">
        <v>5550</v>
      </c>
      <c r="B1533" t="s">
        <v>5551</v>
      </c>
      <c r="C1533" t="s">
        <v>14</v>
      </c>
      <c r="D1533">
        <v>2442.5</v>
      </c>
      <c r="E1533">
        <v>2442.5</v>
      </c>
      <c r="F1533">
        <v>2344.9499999999998</v>
      </c>
      <c r="G1533" s="3">
        <v>2359.5</v>
      </c>
      <c r="H1533">
        <v>2350</v>
      </c>
      <c r="I1533">
        <v>2480</v>
      </c>
      <c r="J1533">
        <v>33659</v>
      </c>
      <c r="K1533">
        <v>80049616.849999994</v>
      </c>
      <c r="L1533" s="1">
        <v>45240</v>
      </c>
      <c r="M1533">
        <v>5455</v>
      </c>
      <c r="N1533" t="s">
        <v>5552</v>
      </c>
      <c r="O1533" s="5">
        <v>45240</v>
      </c>
      <c r="P1533" s="5">
        <v>43777</v>
      </c>
      <c r="Q1533" s="3">
        <v>901.2</v>
      </c>
      <c r="S1533">
        <f t="shared" si="69"/>
        <v>1464</v>
      </c>
      <c r="T1533">
        <f t="shared" si="70"/>
        <v>16.043835616438358</v>
      </c>
      <c r="U1533" s="6">
        <f t="shared" si="71"/>
        <v>0.24730585830829099</v>
      </c>
    </row>
    <row r="1534" spans="1:21" x14ac:dyDescent="0.25">
      <c r="A1534" t="s">
        <v>5559</v>
      </c>
      <c r="B1534" t="s">
        <v>5560</v>
      </c>
      <c r="C1534" t="s">
        <v>14</v>
      </c>
      <c r="D1534">
        <v>409.95</v>
      </c>
      <c r="E1534">
        <v>411.05</v>
      </c>
      <c r="F1534">
        <v>405.3</v>
      </c>
      <c r="G1534" s="3">
        <v>409.4</v>
      </c>
      <c r="H1534">
        <v>409.5</v>
      </c>
      <c r="I1534">
        <v>406.8</v>
      </c>
      <c r="J1534">
        <v>10829</v>
      </c>
      <c r="K1534">
        <v>4423144.7</v>
      </c>
      <c r="L1534" s="1">
        <v>45240</v>
      </c>
      <c r="M1534">
        <v>1197</v>
      </c>
      <c r="N1534" t="s">
        <v>5561</v>
      </c>
      <c r="O1534" s="5">
        <v>45240</v>
      </c>
      <c r="P1534" s="5">
        <v>43777</v>
      </c>
      <c r="Q1534" s="3">
        <v>63.05</v>
      </c>
      <c r="S1534">
        <f t="shared" si="69"/>
        <v>1464</v>
      </c>
      <c r="T1534">
        <f t="shared" si="70"/>
        <v>16.043835616438358</v>
      </c>
      <c r="U1534" s="6">
        <f t="shared" si="71"/>
        <v>0.49469444119601391</v>
      </c>
    </row>
    <row r="1535" spans="1:21" x14ac:dyDescent="0.25">
      <c r="A1535" t="s">
        <v>5562</v>
      </c>
      <c r="B1535" t="s">
        <v>5563</v>
      </c>
      <c r="C1535" t="s">
        <v>14</v>
      </c>
      <c r="D1535">
        <v>47.3</v>
      </c>
      <c r="E1535">
        <v>47.9</v>
      </c>
      <c r="F1535">
        <v>46.55</v>
      </c>
      <c r="G1535" s="3">
        <v>46.95</v>
      </c>
      <c r="H1535">
        <v>47.5</v>
      </c>
      <c r="I1535">
        <v>48</v>
      </c>
      <c r="J1535">
        <v>246227</v>
      </c>
      <c r="K1535">
        <v>11618567.300000001</v>
      </c>
      <c r="L1535" s="1">
        <v>45240</v>
      </c>
      <c r="M1535">
        <v>1344</v>
      </c>
      <c r="N1535" t="s">
        <v>5564</v>
      </c>
      <c r="O1535" s="5">
        <v>45240</v>
      </c>
      <c r="P1535" s="5">
        <v>43777</v>
      </c>
      <c r="Q1535" s="3">
        <v>7.35</v>
      </c>
      <c r="S1535">
        <f t="shared" si="69"/>
        <v>1464</v>
      </c>
      <c r="T1535">
        <f t="shared" si="70"/>
        <v>16.043835616438358</v>
      </c>
      <c r="U1535" s="6">
        <f t="shared" si="71"/>
        <v>0.49010743080900365</v>
      </c>
    </row>
    <row r="1536" spans="1:21" x14ac:dyDescent="0.25">
      <c r="A1536" t="s">
        <v>5565</v>
      </c>
      <c r="B1536" t="s">
        <v>5566</v>
      </c>
      <c r="C1536" t="s">
        <v>14</v>
      </c>
      <c r="D1536">
        <v>602.45000000000005</v>
      </c>
      <c r="E1536">
        <v>608.54999999999995</v>
      </c>
      <c r="F1536">
        <v>599.20000000000005</v>
      </c>
      <c r="G1536" s="3">
        <v>603.6</v>
      </c>
      <c r="H1536">
        <v>604</v>
      </c>
      <c r="I1536">
        <v>602.45000000000005</v>
      </c>
      <c r="J1536">
        <v>150879</v>
      </c>
      <c r="K1536">
        <v>91227977.549999997</v>
      </c>
      <c r="L1536" s="1">
        <v>45240</v>
      </c>
      <c r="M1536">
        <v>5495</v>
      </c>
      <c r="N1536" t="s">
        <v>5567</v>
      </c>
      <c r="O1536" s="5">
        <v>45240</v>
      </c>
      <c r="P1536" s="5">
        <v>43777</v>
      </c>
      <c r="Q1536" s="3">
        <v>434.85</v>
      </c>
      <c r="S1536">
        <f t="shared" si="69"/>
        <v>1464</v>
      </c>
      <c r="T1536">
        <f t="shared" si="70"/>
        <v>16.043835616438358</v>
      </c>
      <c r="U1536" s="6">
        <f t="shared" si="71"/>
        <v>8.2594841766853833E-2</v>
      </c>
    </row>
    <row r="1537" spans="1:21" x14ac:dyDescent="0.25">
      <c r="A1537" t="s">
        <v>5568</v>
      </c>
      <c r="B1537" t="s">
        <v>5569</v>
      </c>
      <c r="C1537" t="s">
        <v>14</v>
      </c>
      <c r="D1537">
        <v>18.350000000000001</v>
      </c>
      <c r="E1537">
        <v>18.350000000000001</v>
      </c>
      <c r="F1537">
        <v>17.5</v>
      </c>
      <c r="G1537" s="3">
        <v>17.7</v>
      </c>
      <c r="H1537">
        <v>17.7</v>
      </c>
      <c r="I1537">
        <v>18</v>
      </c>
      <c r="J1537">
        <v>63217</v>
      </c>
      <c r="K1537">
        <v>1123579.25</v>
      </c>
      <c r="L1537" s="1">
        <v>45240</v>
      </c>
      <c r="M1537">
        <v>176</v>
      </c>
      <c r="N1537" t="s">
        <v>5570</v>
      </c>
      <c r="O1537" s="5">
        <v>45240</v>
      </c>
      <c r="P1537" s="5">
        <v>43777</v>
      </c>
      <c r="Q1537" s="3">
        <v>27.05</v>
      </c>
      <c r="S1537">
        <f t="shared" si="69"/>
        <v>1464</v>
      </c>
      <c r="T1537">
        <f t="shared" si="70"/>
        <v>16.043835616438358</v>
      </c>
      <c r="U1537" s="6">
        <f t="shared" si="71"/>
        <v>-0.10435548306761255</v>
      </c>
    </row>
    <row r="1538" spans="1:21" x14ac:dyDescent="0.25">
      <c r="A1538" t="s">
        <v>5574</v>
      </c>
      <c r="B1538" t="s">
        <v>5575</v>
      </c>
      <c r="C1538" t="s">
        <v>14</v>
      </c>
      <c r="D1538">
        <v>81.400000000000006</v>
      </c>
      <c r="E1538">
        <v>82.95</v>
      </c>
      <c r="F1538">
        <v>81.400000000000006</v>
      </c>
      <c r="G1538" s="3">
        <v>81.7</v>
      </c>
      <c r="H1538">
        <v>82</v>
      </c>
      <c r="I1538">
        <v>81.7</v>
      </c>
      <c r="J1538">
        <v>164619</v>
      </c>
      <c r="K1538">
        <v>13488296.65</v>
      </c>
      <c r="L1538" s="1">
        <v>45240</v>
      </c>
      <c r="M1538">
        <v>2163</v>
      </c>
      <c r="N1538" t="s">
        <v>5576</v>
      </c>
      <c r="O1538" s="5">
        <v>45240</v>
      </c>
      <c r="P1538" s="5">
        <v>43777</v>
      </c>
      <c r="Q1538" s="3">
        <v>271.25</v>
      </c>
      <c r="S1538">
        <f t="shared" si="69"/>
        <v>1464</v>
      </c>
      <c r="T1538">
        <f t="shared" si="70"/>
        <v>16.043835616438358</v>
      </c>
      <c r="U1538" s="6">
        <f t="shared" si="71"/>
        <v>-0.28826250129620812</v>
      </c>
    </row>
    <row r="1539" spans="1:21" x14ac:dyDescent="0.25">
      <c r="A1539" t="s">
        <v>5577</v>
      </c>
      <c r="B1539" t="s">
        <v>5578</v>
      </c>
      <c r="C1539" t="s">
        <v>10</v>
      </c>
      <c r="D1539">
        <v>0.5</v>
      </c>
      <c r="E1539">
        <v>0.55000000000000004</v>
      </c>
      <c r="F1539">
        <v>0.45</v>
      </c>
      <c r="G1539" s="3">
        <v>0.5</v>
      </c>
      <c r="H1539">
        <v>0.5</v>
      </c>
      <c r="I1539">
        <v>0.5</v>
      </c>
      <c r="J1539">
        <v>19687659</v>
      </c>
      <c r="K1539">
        <v>9854680.75</v>
      </c>
      <c r="L1539" s="1">
        <v>45240</v>
      </c>
      <c r="M1539">
        <v>3259</v>
      </c>
      <c r="N1539" t="s">
        <v>5579</v>
      </c>
      <c r="O1539" s="5">
        <v>45240</v>
      </c>
      <c r="P1539" s="5">
        <v>43777</v>
      </c>
      <c r="Q1539" s="3">
        <v>0.1</v>
      </c>
      <c r="S1539">
        <f t="shared" ref="S1539:S1587" si="72">O1539-P1539+1</f>
        <v>1464</v>
      </c>
      <c r="T1539">
        <f t="shared" ref="T1539:T1587" si="73">(S1539/365)*4</f>
        <v>16.043835616438358</v>
      </c>
      <c r="U1539" s="6">
        <f t="shared" ref="U1539:U1587" si="74">(((G1539/Q1539)^(1/T1539))-1)*4</f>
        <v>0.42207655654952791</v>
      </c>
    </row>
    <row r="1540" spans="1:21" x14ac:dyDescent="0.25">
      <c r="A1540" t="s">
        <v>5580</v>
      </c>
      <c r="B1540" t="s">
        <v>5581</v>
      </c>
      <c r="C1540" t="s">
        <v>14</v>
      </c>
      <c r="D1540">
        <v>20.399999999999999</v>
      </c>
      <c r="E1540">
        <v>20.6</v>
      </c>
      <c r="F1540">
        <v>20.25</v>
      </c>
      <c r="G1540" s="3">
        <v>20.45</v>
      </c>
      <c r="H1540">
        <v>20.5</v>
      </c>
      <c r="I1540">
        <v>20.2</v>
      </c>
      <c r="J1540">
        <v>211250</v>
      </c>
      <c r="K1540">
        <v>4314415.55</v>
      </c>
      <c r="L1540" s="1">
        <v>45240</v>
      </c>
      <c r="M1540">
        <v>1304</v>
      </c>
      <c r="N1540" t="s">
        <v>5582</v>
      </c>
      <c r="O1540" s="5">
        <v>45240</v>
      </c>
      <c r="P1540" s="5">
        <v>43777</v>
      </c>
      <c r="Q1540" s="3">
        <v>318</v>
      </c>
      <c r="S1540">
        <f t="shared" si="72"/>
        <v>1464</v>
      </c>
      <c r="T1540">
        <f t="shared" si="73"/>
        <v>16.043835616438358</v>
      </c>
      <c r="U1540" s="6">
        <f t="shared" si="74"/>
        <v>-0.62883402630622465</v>
      </c>
    </row>
    <row r="1541" spans="1:21" x14ac:dyDescent="0.25">
      <c r="A1541" t="s">
        <v>5583</v>
      </c>
      <c r="B1541" t="s">
        <v>5584</v>
      </c>
      <c r="C1541" t="s">
        <v>14</v>
      </c>
      <c r="D1541">
        <v>324</v>
      </c>
      <c r="E1541">
        <v>325.8</v>
      </c>
      <c r="F1541">
        <v>311</v>
      </c>
      <c r="G1541" s="3">
        <v>313.3</v>
      </c>
      <c r="H1541">
        <v>313.5</v>
      </c>
      <c r="I1541">
        <v>322</v>
      </c>
      <c r="J1541">
        <v>221085</v>
      </c>
      <c r="K1541">
        <v>69860458.400000006</v>
      </c>
      <c r="L1541" s="1">
        <v>45240</v>
      </c>
      <c r="M1541">
        <v>7643</v>
      </c>
      <c r="N1541" t="s">
        <v>5585</v>
      </c>
      <c r="O1541" s="5">
        <v>45240</v>
      </c>
      <c r="P1541" s="5">
        <v>43777</v>
      </c>
      <c r="Q1541" s="3">
        <v>138.65</v>
      </c>
      <c r="S1541">
        <f t="shared" si="72"/>
        <v>1464</v>
      </c>
      <c r="T1541">
        <f t="shared" si="73"/>
        <v>16.043835616438358</v>
      </c>
      <c r="U1541" s="6">
        <f t="shared" si="74"/>
        <v>0.20849742852226427</v>
      </c>
    </row>
    <row r="1542" spans="1:21" x14ac:dyDescent="0.25">
      <c r="A1542" t="s">
        <v>5586</v>
      </c>
      <c r="B1542" t="s">
        <v>5587</v>
      </c>
      <c r="C1542" t="s">
        <v>14</v>
      </c>
      <c r="D1542">
        <v>17.55</v>
      </c>
      <c r="E1542">
        <v>17.600000000000001</v>
      </c>
      <c r="F1542">
        <v>17.149999999999999</v>
      </c>
      <c r="G1542" s="3">
        <v>17.2</v>
      </c>
      <c r="H1542">
        <v>17.25</v>
      </c>
      <c r="I1542">
        <v>17.600000000000001</v>
      </c>
      <c r="J1542">
        <v>855978</v>
      </c>
      <c r="K1542">
        <v>14828575.449999999</v>
      </c>
      <c r="L1542" s="1">
        <v>45240</v>
      </c>
      <c r="M1542">
        <v>2537</v>
      </c>
      <c r="N1542" t="s">
        <v>5588</v>
      </c>
      <c r="O1542" s="5">
        <v>45240</v>
      </c>
      <c r="P1542" s="5">
        <v>43777</v>
      </c>
      <c r="Q1542" s="3">
        <v>74.3</v>
      </c>
      <c r="S1542">
        <f t="shared" si="72"/>
        <v>1464</v>
      </c>
      <c r="T1542">
        <f t="shared" si="73"/>
        <v>16.043835616438358</v>
      </c>
      <c r="U1542" s="6">
        <f t="shared" si="74"/>
        <v>-0.3486603531839263</v>
      </c>
    </row>
    <row r="1543" spans="1:21" x14ac:dyDescent="0.25">
      <c r="A1543" t="s">
        <v>5589</v>
      </c>
      <c r="B1543" t="s">
        <v>5590</v>
      </c>
      <c r="C1543" t="s">
        <v>14</v>
      </c>
      <c r="D1543">
        <v>0.85</v>
      </c>
      <c r="E1543">
        <v>0.9</v>
      </c>
      <c r="F1543">
        <v>0.85</v>
      </c>
      <c r="G1543" s="3">
        <v>0.85</v>
      </c>
      <c r="H1543">
        <v>0.9</v>
      </c>
      <c r="I1543">
        <v>0.9</v>
      </c>
      <c r="J1543">
        <v>330452</v>
      </c>
      <c r="K1543">
        <v>289186.05</v>
      </c>
      <c r="L1543" s="1">
        <v>45240</v>
      </c>
      <c r="M1543">
        <v>359</v>
      </c>
      <c r="N1543" t="s">
        <v>5591</v>
      </c>
      <c r="O1543" s="5">
        <v>45240</v>
      </c>
      <c r="P1543" s="5">
        <v>43777</v>
      </c>
      <c r="Q1543" s="3">
        <v>0.15</v>
      </c>
      <c r="S1543">
        <f t="shared" si="72"/>
        <v>1464</v>
      </c>
      <c r="T1543">
        <f t="shared" si="73"/>
        <v>16.043835616438358</v>
      </c>
      <c r="U1543" s="6">
        <f t="shared" si="74"/>
        <v>0.45670951968045337</v>
      </c>
    </row>
    <row r="1544" spans="1:21" x14ac:dyDescent="0.25">
      <c r="A1544" t="s">
        <v>5595</v>
      </c>
      <c r="B1544" t="s">
        <v>5596</v>
      </c>
      <c r="C1544" t="s">
        <v>14</v>
      </c>
      <c r="D1544">
        <v>190.5</v>
      </c>
      <c r="E1544">
        <v>190.5</v>
      </c>
      <c r="F1544">
        <v>181.8</v>
      </c>
      <c r="G1544" s="3">
        <v>184.55</v>
      </c>
      <c r="H1544">
        <v>184</v>
      </c>
      <c r="I1544">
        <v>188.05</v>
      </c>
      <c r="J1544">
        <v>33986</v>
      </c>
      <c r="K1544">
        <v>6280122.4000000004</v>
      </c>
      <c r="L1544" s="1">
        <v>45240</v>
      </c>
      <c r="M1544">
        <v>966</v>
      </c>
      <c r="N1544" t="s">
        <v>5597</v>
      </c>
      <c r="O1544" s="5">
        <v>45240</v>
      </c>
      <c r="P1544" s="5">
        <v>43777</v>
      </c>
      <c r="Q1544" s="3">
        <v>53.8</v>
      </c>
      <c r="S1544">
        <f t="shared" si="72"/>
        <v>1464</v>
      </c>
      <c r="T1544">
        <f t="shared" si="73"/>
        <v>16.043835616438358</v>
      </c>
      <c r="U1544" s="6">
        <f t="shared" si="74"/>
        <v>0.31943368951104123</v>
      </c>
    </row>
    <row r="1545" spans="1:21" x14ac:dyDescent="0.25">
      <c r="A1545" t="s">
        <v>5598</v>
      </c>
      <c r="B1545" t="s">
        <v>5599</v>
      </c>
      <c r="C1545" t="s">
        <v>14</v>
      </c>
      <c r="D1545">
        <v>1684.05</v>
      </c>
      <c r="E1545">
        <v>1691.05</v>
      </c>
      <c r="F1545">
        <v>1660</v>
      </c>
      <c r="G1545" s="3">
        <v>1682</v>
      </c>
      <c r="H1545">
        <v>1688</v>
      </c>
      <c r="I1545">
        <v>1684.05</v>
      </c>
      <c r="J1545">
        <v>14487</v>
      </c>
      <c r="K1545">
        <v>24328675.899999999</v>
      </c>
      <c r="L1545" s="1">
        <v>45240</v>
      </c>
      <c r="M1545">
        <v>2425</v>
      </c>
      <c r="N1545" t="s">
        <v>5600</v>
      </c>
      <c r="O1545" s="5">
        <v>45240</v>
      </c>
      <c r="P1545" s="5">
        <v>43777</v>
      </c>
      <c r="Q1545" s="3">
        <v>1714</v>
      </c>
      <c r="S1545">
        <f t="shared" si="72"/>
        <v>1464</v>
      </c>
      <c r="T1545">
        <f t="shared" si="73"/>
        <v>16.043835616438358</v>
      </c>
      <c r="U1545" s="6">
        <f t="shared" si="74"/>
        <v>-4.6959328962410396E-3</v>
      </c>
    </row>
    <row r="1546" spans="1:21" x14ac:dyDescent="0.25">
      <c r="A1546" t="s">
        <v>5601</v>
      </c>
      <c r="B1546" t="s">
        <v>5602</v>
      </c>
      <c r="C1546" t="s">
        <v>14</v>
      </c>
      <c r="D1546">
        <v>5148</v>
      </c>
      <c r="E1546">
        <v>5380</v>
      </c>
      <c r="F1546">
        <v>5102.1000000000004</v>
      </c>
      <c r="G1546" s="3">
        <v>5229.5</v>
      </c>
      <c r="H1546">
        <v>5225</v>
      </c>
      <c r="I1546">
        <v>5126.1499999999996</v>
      </c>
      <c r="J1546">
        <v>38370</v>
      </c>
      <c r="K1546">
        <v>202388487.69999999</v>
      </c>
      <c r="L1546" s="1">
        <v>45240</v>
      </c>
      <c r="M1546">
        <v>9622</v>
      </c>
      <c r="N1546" t="s">
        <v>5603</v>
      </c>
      <c r="O1546" s="5">
        <v>45240</v>
      </c>
      <c r="P1546" s="5">
        <v>43777</v>
      </c>
      <c r="Q1546" s="3">
        <v>1019.65</v>
      </c>
      <c r="S1546">
        <f t="shared" si="72"/>
        <v>1464</v>
      </c>
      <c r="T1546">
        <f t="shared" si="73"/>
        <v>16.043835616438358</v>
      </c>
      <c r="U1546" s="6">
        <f t="shared" si="74"/>
        <v>0.42908802685923764</v>
      </c>
    </row>
    <row r="1547" spans="1:21" x14ac:dyDescent="0.25">
      <c r="A1547" t="s">
        <v>5604</v>
      </c>
      <c r="B1547" t="s">
        <v>5605</v>
      </c>
      <c r="C1547" t="s">
        <v>14</v>
      </c>
      <c r="D1547">
        <v>826.8</v>
      </c>
      <c r="E1547">
        <v>833.5</v>
      </c>
      <c r="F1547">
        <v>818.55</v>
      </c>
      <c r="G1547" s="3">
        <v>829.85</v>
      </c>
      <c r="H1547">
        <v>829.9</v>
      </c>
      <c r="I1547">
        <v>827.7</v>
      </c>
      <c r="J1547">
        <v>448677</v>
      </c>
      <c r="K1547">
        <v>371702758.19999999</v>
      </c>
      <c r="L1547" s="1">
        <v>45240</v>
      </c>
      <c r="M1547">
        <v>14916</v>
      </c>
      <c r="N1547" t="s">
        <v>5606</v>
      </c>
      <c r="O1547" s="5">
        <v>45240</v>
      </c>
      <c r="P1547" s="5">
        <v>43777</v>
      </c>
      <c r="Q1547" s="3">
        <v>693.65</v>
      </c>
      <c r="S1547">
        <f t="shared" si="72"/>
        <v>1464</v>
      </c>
      <c r="T1547">
        <f t="shared" si="73"/>
        <v>16.043835616438358</v>
      </c>
      <c r="U1547" s="6">
        <f t="shared" si="74"/>
        <v>4.4947564926427042E-2</v>
      </c>
    </row>
    <row r="1548" spans="1:21" x14ac:dyDescent="0.25">
      <c r="A1548" t="s">
        <v>5610</v>
      </c>
      <c r="B1548" t="s">
        <v>5611</v>
      </c>
      <c r="C1548" t="s">
        <v>14</v>
      </c>
      <c r="D1548">
        <v>661.15</v>
      </c>
      <c r="E1548">
        <v>667</v>
      </c>
      <c r="F1548">
        <v>654.29999999999995</v>
      </c>
      <c r="G1548" s="3">
        <v>662.55</v>
      </c>
      <c r="H1548">
        <v>662</v>
      </c>
      <c r="I1548">
        <v>659.25</v>
      </c>
      <c r="J1548">
        <v>58851</v>
      </c>
      <c r="K1548">
        <v>38858054.549999997</v>
      </c>
      <c r="L1548" s="1">
        <v>45240</v>
      </c>
      <c r="M1548">
        <v>3629</v>
      </c>
      <c r="N1548" t="s">
        <v>5612</v>
      </c>
      <c r="O1548" s="5">
        <v>45240</v>
      </c>
      <c r="P1548" s="5">
        <v>43777</v>
      </c>
      <c r="Q1548" s="3">
        <v>262.60000000000002</v>
      </c>
      <c r="S1548">
        <f t="shared" si="72"/>
        <v>1464</v>
      </c>
      <c r="T1548">
        <f t="shared" si="73"/>
        <v>16.043835616438358</v>
      </c>
      <c r="U1548" s="6">
        <f t="shared" si="74"/>
        <v>0.2375184567664812</v>
      </c>
    </row>
    <row r="1549" spans="1:21" x14ac:dyDescent="0.25">
      <c r="A1549" t="s">
        <v>5613</v>
      </c>
      <c r="B1549" t="s">
        <v>5614</v>
      </c>
      <c r="C1549" t="s">
        <v>14</v>
      </c>
      <c r="D1549">
        <v>210</v>
      </c>
      <c r="E1549">
        <v>210.2</v>
      </c>
      <c r="F1549">
        <v>206.55</v>
      </c>
      <c r="G1549" s="3">
        <v>207.7</v>
      </c>
      <c r="H1549">
        <v>207</v>
      </c>
      <c r="I1549">
        <v>209.95</v>
      </c>
      <c r="J1549">
        <v>75245</v>
      </c>
      <c r="K1549">
        <v>15650597.25</v>
      </c>
      <c r="L1549" s="1">
        <v>45240</v>
      </c>
      <c r="M1549">
        <v>3090</v>
      </c>
      <c r="N1549" t="s">
        <v>5615</v>
      </c>
      <c r="O1549" s="5">
        <v>45240</v>
      </c>
      <c r="P1549" s="5">
        <v>43777</v>
      </c>
      <c r="Q1549" s="3">
        <v>68.150000000000006</v>
      </c>
      <c r="S1549">
        <f t="shared" si="72"/>
        <v>1464</v>
      </c>
      <c r="T1549">
        <f t="shared" si="73"/>
        <v>16.043835616438358</v>
      </c>
      <c r="U1549" s="6">
        <f t="shared" si="74"/>
        <v>0.28771105387821549</v>
      </c>
    </row>
    <row r="1550" spans="1:21" x14ac:dyDescent="0.25">
      <c r="A1550" t="s">
        <v>5616</v>
      </c>
      <c r="B1550" t="s">
        <v>5617</v>
      </c>
      <c r="C1550" t="s">
        <v>14</v>
      </c>
      <c r="D1550">
        <v>3187</v>
      </c>
      <c r="E1550">
        <v>3199.95</v>
      </c>
      <c r="F1550">
        <v>3175</v>
      </c>
      <c r="G1550" s="3">
        <v>3180.55</v>
      </c>
      <c r="H1550">
        <v>3180</v>
      </c>
      <c r="I1550">
        <v>3187.65</v>
      </c>
      <c r="J1550">
        <v>3374</v>
      </c>
      <c r="K1550">
        <v>10739988.85</v>
      </c>
      <c r="L1550" s="1">
        <v>45240</v>
      </c>
      <c r="M1550">
        <v>662</v>
      </c>
      <c r="N1550" t="s">
        <v>5618</v>
      </c>
      <c r="O1550" s="5">
        <v>45240</v>
      </c>
      <c r="P1550" s="5">
        <v>43777</v>
      </c>
      <c r="Q1550" s="3">
        <v>4186.55</v>
      </c>
      <c r="S1550">
        <f t="shared" si="72"/>
        <v>1464</v>
      </c>
      <c r="T1550">
        <f t="shared" si="73"/>
        <v>16.043835616438358</v>
      </c>
      <c r="U1550" s="6">
        <f t="shared" si="74"/>
        <v>-6.7934493419947284E-2</v>
      </c>
    </row>
    <row r="1551" spans="1:21" x14ac:dyDescent="0.25">
      <c r="A1551" t="s">
        <v>5619</v>
      </c>
      <c r="B1551" t="s">
        <v>5620</v>
      </c>
      <c r="C1551" t="s">
        <v>14</v>
      </c>
      <c r="D1551">
        <v>3769.8</v>
      </c>
      <c r="E1551">
        <v>3776</v>
      </c>
      <c r="F1551">
        <v>3705</v>
      </c>
      <c r="G1551" s="3">
        <v>3757.4</v>
      </c>
      <c r="H1551">
        <v>3750</v>
      </c>
      <c r="I1551">
        <v>3751</v>
      </c>
      <c r="J1551">
        <v>8008</v>
      </c>
      <c r="K1551">
        <v>29963368.050000001</v>
      </c>
      <c r="L1551" s="1">
        <v>45240</v>
      </c>
      <c r="M1551">
        <v>2418</v>
      </c>
      <c r="N1551" t="s">
        <v>5621</v>
      </c>
      <c r="O1551" s="5">
        <v>45240</v>
      </c>
      <c r="P1551" s="5">
        <v>43777</v>
      </c>
      <c r="Q1551" s="3">
        <v>1285.2</v>
      </c>
      <c r="S1551">
        <f t="shared" si="72"/>
        <v>1464</v>
      </c>
      <c r="T1551">
        <f t="shared" si="73"/>
        <v>16.043835616438358</v>
      </c>
      <c r="U1551" s="6">
        <f t="shared" si="74"/>
        <v>0.27661567745671078</v>
      </c>
    </row>
    <row r="1552" spans="1:21" x14ac:dyDescent="0.25">
      <c r="A1552" t="s">
        <v>5622</v>
      </c>
      <c r="B1552" t="s">
        <v>5623</v>
      </c>
      <c r="C1552" t="s">
        <v>14</v>
      </c>
      <c r="D1552">
        <v>371</v>
      </c>
      <c r="E1552">
        <v>373.35</v>
      </c>
      <c r="F1552">
        <v>364</v>
      </c>
      <c r="G1552" s="3">
        <v>366.65</v>
      </c>
      <c r="H1552">
        <v>364.7</v>
      </c>
      <c r="I1552">
        <v>372.1</v>
      </c>
      <c r="J1552">
        <v>166387</v>
      </c>
      <c r="K1552">
        <v>61293413.600000001</v>
      </c>
      <c r="L1552" s="1">
        <v>45240</v>
      </c>
      <c r="M1552">
        <v>8773</v>
      </c>
      <c r="N1552" t="s">
        <v>5624</v>
      </c>
      <c r="O1552" s="5">
        <v>45240</v>
      </c>
      <c r="P1552" s="5">
        <v>43777</v>
      </c>
      <c r="Q1552" s="3">
        <v>881.1</v>
      </c>
      <c r="S1552">
        <f t="shared" si="72"/>
        <v>1464</v>
      </c>
      <c r="T1552">
        <f t="shared" si="73"/>
        <v>16.043835616438358</v>
      </c>
      <c r="U1552" s="6">
        <f t="shared" si="74"/>
        <v>-0.21272649503841246</v>
      </c>
    </row>
    <row r="1553" spans="1:21" x14ac:dyDescent="0.25">
      <c r="A1553" t="s">
        <v>5625</v>
      </c>
      <c r="B1553" t="s">
        <v>5626</v>
      </c>
      <c r="C1553" t="s">
        <v>14</v>
      </c>
      <c r="D1553">
        <v>558.5</v>
      </c>
      <c r="E1553">
        <v>562.20000000000005</v>
      </c>
      <c r="F1553">
        <v>540.04999999999995</v>
      </c>
      <c r="G1553" s="3">
        <v>544.65</v>
      </c>
      <c r="H1553">
        <v>542.1</v>
      </c>
      <c r="I1553">
        <v>556.5</v>
      </c>
      <c r="J1553">
        <v>873712</v>
      </c>
      <c r="K1553">
        <v>480066634.5</v>
      </c>
      <c r="L1553" s="1">
        <v>45240</v>
      </c>
      <c r="M1553">
        <v>32496</v>
      </c>
      <c r="N1553" t="s">
        <v>5627</v>
      </c>
      <c r="O1553" s="5">
        <v>45240</v>
      </c>
      <c r="P1553" s="5">
        <v>43777</v>
      </c>
      <c r="Q1553" s="3">
        <v>175.55</v>
      </c>
      <c r="S1553">
        <f t="shared" si="72"/>
        <v>1464</v>
      </c>
      <c r="T1553">
        <f t="shared" si="73"/>
        <v>16.043835616438358</v>
      </c>
      <c r="U1553" s="6">
        <f t="shared" si="74"/>
        <v>0.29248034719395477</v>
      </c>
    </row>
    <row r="1554" spans="1:21" x14ac:dyDescent="0.25">
      <c r="A1554" t="s">
        <v>5628</v>
      </c>
      <c r="B1554" t="s">
        <v>5629</v>
      </c>
      <c r="C1554" t="s">
        <v>10</v>
      </c>
      <c r="D1554">
        <v>174.85</v>
      </c>
      <c r="E1554">
        <v>174.85</v>
      </c>
      <c r="F1554">
        <v>169.6</v>
      </c>
      <c r="G1554" s="3">
        <v>169.6</v>
      </c>
      <c r="H1554">
        <v>169.6</v>
      </c>
      <c r="I1554">
        <v>173</v>
      </c>
      <c r="J1554">
        <v>29672</v>
      </c>
      <c r="K1554">
        <v>5116235.9000000004</v>
      </c>
      <c r="L1554" s="1">
        <v>45240</v>
      </c>
      <c r="M1554">
        <v>151</v>
      </c>
      <c r="N1554" t="s">
        <v>5630</v>
      </c>
      <c r="O1554" s="5">
        <v>45240</v>
      </c>
      <c r="P1554" s="5">
        <v>43777</v>
      </c>
      <c r="Q1554" s="3">
        <v>67.900000000000006</v>
      </c>
      <c r="S1554">
        <f t="shared" si="72"/>
        <v>1464</v>
      </c>
      <c r="T1554">
        <f t="shared" si="73"/>
        <v>16.043835616438358</v>
      </c>
      <c r="U1554" s="6">
        <f t="shared" si="74"/>
        <v>0.23486292211744164</v>
      </c>
    </row>
    <row r="1555" spans="1:21" x14ac:dyDescent="0.25">
      <c r="A1555" t="s">
        <v>5631</v>
      </c>
      <c r="B1555" t="s">
        <v>5632</v>
      </c>
      <c r="C1555" t="s">
        <v>10</v>
      </c>
      <c r="D1555">
        <v>88</v>
      </c>
      <c r="E1555">
        <v>88</v>
      </c>
      <c r="F1555">
        <v>87.9</v>
      </c>
      <c r="G1555" s="3">
        <v>87.9</v>
      </c>
      <c r="H1555">
        <v>87.9</v>
      </c>
      <c r="I1555">
        <v>88.2</v>
      </c>
      <c r="J1555">
        <v>11960</v>
      </c>
      <c r="K1555">
        <v>1052156</v>
      </c>
      <c r="L1555" s="1">
        <v>45240</v>
      </c>
      <c r="M1555">
        <v>50</v>
      </c>
      <c r="N1555" t="s">
        <v>5633</v>
      </c>
      <c r="O1555" s="5">
        <v>45240</v>
      </c>
      <c r="P1555" s="5">
        <v>43777</v>
      </c>
      <c r="Q1555" s="3">
        <v>13.8</v>
      </c>
      <c r="S1555">
        <f t="shared" si="72"/>
        <v>1464</v>
      </c>
      <c r="T1555">
        <f t="shared" si="73"/>
        <v>16.043835616438358</v>
      </c>
      <c r="U1555" s="6">
        <f t="shared" si="74"/>
        <v>0.48930941644710924</v>
      </c>
    </row>
    <row r="1556" spans="1:21" x14ac:dyDescent="0.25">
      <c r="A1556" t="s">
        <v>5637</v>
      </c>
      <c r="B1556" t="s">
        <v>5638</v>
      </c>
      <c r="C1556" t="s">
        <v>14</v>
      </c>
      <c r="D1556">
        <v>195</v>
      </c>
      <c r="E1556">
        <v>203.65</v>
      </c>
      <c r="F1556">
        <v>191.15</v>
      </c>
      <c r="G1556" s="3">
        <v>198.3</v>
      </c>
      <c r="H1556">
        <v>198</v>
      </c>
      <c r="I1556">
        <v>194.95</v>
      </c>
      <c r="J1556">
        <v>452151</v>
      </c>
      <c r="K1556">
        <v>90368651.150000006</v>
      </c>
      <c r="L1556" s="1">
        <v>45240</v>
      </c>
      <c r="M1556">
        <v>5100</v>
      </c>
      <c r="N1556" t="s">
        <v>5639</v>
      </c>
      <c r="O1556" s="5">
        <v>45240</v>
      </c>
      <c r="P1556" s="5">
        <v>43777</v>
      </c>
      <c r="Q1556" s="3">
        <v>24.9</v>
      </c>
      <c r="S1556">
        <f t="shared" si="72"/>
        <v>1464</v>
      </c>
      <c r="T1556">
        <f t="shared" si="73"/>
        <v>16.043835616438358</v>
      </c>
      <c r="U1556" s="6">
        <f t="shared" si="74"/>
        <v>0.55225227284227785</v>
      </c>
    </row>
    <row r="1557" spans="1:21" x14ac:dyDescent="0.25">
      <c r="A1557" t="s">
        <v>5640</v>
      </c>
      <c r="B1557" t="s">
        <v>5641</v>
      </c>
      <c r="C1557" t="s">
        <v>14</v>
      </c>
      <c r="D1557">
        <v>135.6</v>
      </c>
      <c r="E1557">
        <v>154.80000000000001</v>
      </c>
      <c r="F1557">
        <v>135</v>
      </c>
      <c r="G1557" s="3">
        <v>146</v>
      </c>
      <c r="H1557">
        <v>145.35</v>
      </c>
      <c r="I1557">
        <v>135.6</v>
      </c>
      <c r="J1557">
        <v>186243</v>
      </c>
      <c r="K1557">
        <v>27521101.649999999</v>
      </c>
      <c r="L1557" s="1">
        <v>45240</v>
      </c>
      <c r="M1557">
        <v>3254</v>
      </c>
      <c r="N1557" t="s">
        <v>5642</v>
      </c>
      <c r="O1557" s="5">
        <v>45240</v>
      </c>
      <c r="P1557" s="5">
        <v>43777</v>
      </c>
      <c r="Q1557" s="3">
        <v>22</v>
      </c>
      <c r="S1557">
        <f t="shared" si="72"/>
        <v>1464</v>
      </c>
      <c r="T1557">
        <f t="shared" si="73"/>
        <v>16.043835616438358</v>
      </c>
      <c r="U1557" s="6">
        <f t="shared" si="74"/>
        <v>0.50080575705074715</v>
      </c>
    </row>
    <row r="1558" spans="1:21" x14ac:dyDescent="0.25">
      <c r="A1558" t="s">
        <v>5646</v>
      </c>
      <c r="B1558" t="s">
        <v>5647</v>
      </c>
      <c r="C1558" t="s">
        <v>14</v>
      </c>
      <c r="D1558">
        <v>481.7</v>
      </c>
      <c r="E1558">
        <v>489.7</v>
      </c>
      <c r="F1558">
        <v>478.3</v>
      </c>
      <c r="G1558" s="3">
        <v>487.85</v>
      </c>
      <c r="H1558">
        <v>488</v>
      </c>
      <c r="I1558">
        <v>479.8</v>
      </c>
      <c r="J1558">
        <v>2009269</v>
      </c>
      <c r="K1558">
        <v>973361406.14999998</v>
      </c>
      <c r="L1558" s="1">
        <v>45240</v>
      </c>
      <c r="M1558">
        <v>23374</v>
      </c>
      <c r="N1558" t="s">
        <v>5648</v>
      </c>
      <c r="O1558" s="5">
        <v>45240</v>
      </c>
      <c r="P1558" s="5">
        <v>43777</v>
      </c>
      <c r="Q1558" s="3">
        <v>137.55000000000001</v>
      </c>
      <c r="S1558">
        <f t="shared" si="72"/>
        <v>1464</v>
      </c>
      <c r="T1558">
        <f t="shared" si="73"/>
        <v>16.043835616438358</v>
      </c>
      <c r="U1558" s="6">
        <f t="shared" si="74"/>
        <v>0.32842809689004149</v>
      </c>
    </row>
    <row r="1559" spans="1:21" x14ac:dyDescent="0.25">
      <c r="A1559" t="s">
        <v>5649</v>
      </c>
      <c r="B1559" t="s">
        <v>5650</v>
      </c>
      <c r="C1559" t="s">
        <v>14</v>
      </c>
      <c r="D1559">
        <v>290.5</v>
      </c>
      <c r="E1559">
        <v>310</v>
      </c>
      <c r="F1559">
        <v>280</v>
      </c>
      <c r="G1559" s="3">
        <v>308.7</v>
      </c>
      <c r="H1559">
        <v>310</v>
      </c>
      <c r="I1559">
        <v>287.95</v>
      </c>
      <c r="J1559">
        <v>972385</v>
      </c>
      <c r="K1559">
        <v>293419359.80000001</v>
      </c>
      <c r="L1559" s="1">
        <v>45240</v>
      </c>
      <c r="M1559">
        <v>22884</v>
      </c>
      <c r="N1559" t="s">
        <v>5651</v>
      </c>
      <c r="O1559" s="5">
        <v>45240</v>
      </c>
      <c r="P1559" s="5">
        <v>43777</v>
      </c>
      <c r="Q1559" s="3">
        <v>87.85</v>
      </c>
      <c r="S1559">
        <f t="shared" si="72"/>
        <v>1464</v>
      </c>
      <c r="T1559">
        <f t="shared" si="73"/>
        <v>16.043835616438358</v>
      </c>
      <c r="U1559" s="6">
        <f t="shared" si="74"/>
        <v>0.32592482041471893</v>
      </c>
    </row>
    <row r="1560" spans="1:21" x14ac:dyDescent="0.25">
      <c r="A1560" t="s">
        <v>5652</v>
      </c>
      <c r="B1560" t="s">
        <v>5653</v>
      </c>
      <c r="C1560" t="s">
        <v>10</v>
      </c>
      <c r="D1560">
        <v>685</v>
      </c>
      <c r="E1560">
        <v>685</v>
      </c>
      <c r="F1560">
        <v>650</v>
      </c>
      <c r="G1560" s="3">
        <v>654</v>
      </c>
      <c r="H1560">
        <v>654</v>
      </c>
      <c r="I1560">
        <v>660.35</v>
      </c>
      <c r="J1560">
        <v>264</v>
      </c>
      <c r="K1560">
        <v>178484.7</v>
      </c>
      <c r="L1560" s="1">
        <v>45240</v>
      </c>
      <c r="M1560">
        <v>27</v>
      </c>
      <c r="N1560" t="s">
        <v>5654</v>
      </c>
      <c r="O1560" s="5">
        <v>45240</v>
      </c>
      <c r="P1560" s="5">
        <v>43777</v>
      </c>
      <c r="Q1560" s="3">
        <v>189.6</v>
      </c>
      <c r="S1560">
        <f t="shared" si="72"/>
        <v>1464</v>
      </c>
      <c r="T1560">
        <f t="shared" si="73"/>
        <v>16.043835616438358</v>
      </c>
      <c r="U1560" s="6">
        <f t="shared" si="74"/>
        <v>0.32092648785470423</v>
      </c>
    </row>
    <row r="1561" spans="1:21" x14ac:dyDescent="0.25">
      <c r="A1561" t="s">
        <v>5655</v>
      </c>
      <c r="B1561" t="s">
        <v>5656</v>
      </c>
      <c r="C1561" t="s">
        <v>14</v>
      </c>
      <c r="D1561">
        <v>150</v>
      </c>
      <c r="E1561">
        <v>151.65</v>
      </c>
      <c r="F1561">
        <v>148.44999999999999</v>
      </c>
      <c r="G1561" s="3">
        <v>148.85</v>
      </c>
      <c r="H1561">
        <v>148.65</v>
      </c>
      <c r="I1561">
        <v>149.6</v>
      </c>
      <c r="J1561">
        <v>3247136</v>
      </c>
      <c r="K1561">
        <v>486079788.39999998</v>
      </c>
      <c r="L1561" s="1">
        <v>45240</v>
      </c>
      <c r="M1561">
        <v>20633</v>
      </c>
      <c r="N1561" t="s">
        <v>5657</v>
      </c>
      <c r="O1561" s="5">
        <v>45240</v>
      </c>
      <c r="P1561" s="5">
        <v>43777</v>
      </c>
      <c r="Q1561" s="3">
        <v>57</v>
      </c>
      <c r="S1561">
        <f t="shared" si="72"/>
        <v>1464</v>
      </c>
      <c r="T1561">
        <f t="shared" si="73"/>
        <v>16.043835616438358</v>
      </c>
      <c r="U1561" s="6">
        <f t="shared" si="74"/>
        <v>0.2466202640221784</v>
      </c>
    </row>
    <row r="1562" spans="1:21" x14ac:dyDescent="0.25">
      <c r="A1562" t="s">
        <v>5658</v>
      </c>
      <c r="B1562" t="s">
        <v>5659</v>
      </c>
      <c r="C1562" t="s">
        <v>14</v>
      </c>
      <c r="D1562">
        <v>12491.45</v>
      </c>
      <c r="E1562">
        <v>12491.45</v>
      </c>
      <c r="F1562">
        <v>12270.9</v>
      </c>
      <c r="G1562" s="3">
        <v>12343.25</v>
      </c>
      <c r="H1562">
        <v>12400</v>
      </c>
      <c r="I1562">
        <v>12352.3</v>
      </c>
      <c r="J1562">
        <v>170</v>
      </c>
      <c r="K1562">
        <v>2102836.1</v>
      </c>
      <c r="L1562" s="1">
        <v>45240</v>
      </c>
      <c r="M1562">
        <v>127</v>
      </c>
      <c r="N1562" t="s">
        <v>5660</v>
      </c>
      <c r="O1562" s="5">
        <v>45240</v>
      </c>
      <c r="P1562" s="5">
        <v>43777</v>
      </c>
      <c r="Q1562" s="3">
        <v>3110</v>
      </c>
      <c r="S1562">
        <f t="shared" si="72"/>
        <v>1464</v>
      </c>
      <c r="T1562">
        <f t="shared" si="73"/>
        <v>16.043835616438358</v>
      </c>
      <c r="U1562" s="6">
        <f t="shared" si="74"/>
        <v>0.35887666320506728</v>
      </c>
    </row>
    <row r="1563" spans="1:21" x14ac:dyDescent="0.25">
      <c r="A1563" t="s">
        <v>5661</v>
      </c>
      <c r="B1563" t="s">
        <v>5662</v>
      </c>
      <c r="C1563" t="s">
        <v>14</v>
      </c>
      <c r="D1563">
        <v>810</v>
      </c>
      <c r="E1563">
        <v>825.5</v>
      </c>
      <c r="F1563">
        <v>802.6</v>
      </c>
      <c r="G1563" s="3">
        <v>818.4</v>
      </c>
      <c r="H1563">
        <v>818</v>
      </c>
      <c r="I1563">
        <v>810.85</v>
      </c>
      <c r="J1563">
        <v>101051</v>
      </c>
      <c r="K1563">
        <v>82184791.5</v>
      </c>
      <c r="L1563" s="1">
        <v>45240</v>
      </c>
      <c r="M1563">
        <v>10500</v>
      </c>
      <c r="N1563" t="s">
        <v>5663</v>
      </c>
      <c r="O1563" s="5">
        <v>45240</v>
      </c>
      <c r="P1563" s="5">
        <v>43777</v>
      </c>
      <c r="Q1563" s="3">
        <v>385.25</v>
      </c>
      <c r="S1563">
        <f t="shared" si="72"/>
        <v>1464</v>
      </c>
      <c r="T1563">
        <f t="shared" si="73"/>
        <v>16.043835616438358</v>
      </c>
      <c r="U1563" s="6">
        <f t="shared" si="74"/>
        <v>0.19233084978703729</v>
      </c>
    </row>
    <row r="1564" spans="1:21" x14ac:dyDescent="0.25">
      <c r="A1564" t="s">
        <v>5667</v>
      </c>
      <c r="B1564" t="s">
        <v>5668</v>
      </c>
      <c r="C1564" t="s">
        <v>14</v>
      </c>
      <c r="D1564">
        <v>672</v>
      </c>
      <c r="E1564">
        <v>674.8</v>
      </c>
      <c r="F1564">
        <v>662.8</v>
      </c>
      <c r="G1564" s="3">
        <v>665.3</v>
      </c>
      <c r="H1564">
        <v>667</v>
      </c>
      <c r="I1564">
        <v>669.45</v>
      </c>
      <c r="J1564">
        <v>10876</v>
      </c>
      <c r="K1564">
        <v>7263357.1500000004</v>
      </c>
      <c r="L1564" s="1">
        <v>45240</v>
      </c>
      <c r="M1564">
        <v>1035</v>
      </c>
      <c r="N1564" t="s">
        <v>5669</v>
      </c>
      <c r="O1564" s="5">
        <v>45240</v>
      </c>
      <c r="P1564" s="5">
        <v>43777</v>
      </c>
      <c r="Q1564" s="3">
        <v>627.29999999999995</v>
      </c>
      <c r="S1564">
        <f t="shared" si="72"/>
        <v>1464</v>
      </c>
      <c r="T1564">
        <f t="shared" si="73"/>
        <v>16.043835616438358</v>
      </c>
      <c r="U1564" s="6">
        <f t="shared" si="74"/>
        <v>1.4690028736257688E-2</v>
      </c>
    </row>
    <row r="1565" spans="1:21" x14ac:dyDescent="0.25">
      <c r="A1565" t="s">
        <v>5670</v>
      </c>
      <c r="B1565" t="s">
        <v>5671</v>
      </c>
      <c r="C1565" t="s">
        <v>14</v>
      </c>
      <c r="D1565">
        <v>1592.85</v>
      </c>
      <c r="E1565">
        <v>1601.65</v>
      </c>
      <c r="F1565">
        <v>1573.65</v>
      </c>
      <c r="G1565" s="3">
        <v>1582.6</v>
      </c>
      <c r="H1565">
        <v>1581.55</v>
      </c>
      <c r="I1565">
        <v>1589.6</v>
      </c>
      <c r="J1565">
        <v>76027</v>
      </c>
      <c r="K1565">
        <v>120340531.84999999</v>
      </c>
      <c r="L1565" s="1">
        <v>45240</v>
      </c>
      <c r="M1565">
        <v>4638</v>
      </c>
      <c r="N1565" t="s">
        <v>5672</v>
      </c>
      <c r="O1565" s="5">
        <v>45240</v>
      </c>
      <c r="P1565" s="5">
        <v>43777</v>
      </c>
      <c r="Q1565" s="3">
        <v>2199.4499999999998</v>
      </c>
      <c r="S1565">
        <f t="shared" si="72"/>
        <v>1464</v>
      </c>
      <c r="T1565">
        <f t="shared" si="73"/>
        <v>16.043835616438358</v>
      </c>
      <c r="U1565" s="6">
        <f t="shared" si="74"/>
        <v>-8.1223746370493899E-2</v>
      </c>
    </row>
    <row r="1566" spans="1:21" x14ac:dyDescent="0.25">
      <c r="A1566" t="s">
        <v>5673</v>
      </c>
      <c r="B1566" t="s">
        <v>5674</v>
      </c>
      <c r="C1566" t="s">
        <v>14</v>
      </c>
      <c r="D1566">
        <v>32.5</v>
      </c>
      <c r="E1566">
        <v>32.5</v>
      </c>
      <c r="F1566">
        <v>29.3</v>
      </c>
      <c r="G1566" s="3">
        <v>29.95</v>
      </c>
      <c r="H1566">
        <v>29.3</v>
      </c>
      <c r="I1566">
        <v>30.9</v>
      </c>
      <c r="J1566">
        <v>49825</v>
      </c>
      <c r="K1566">
        <v>1541806.6</v>
      </c>
      <c r="L1566" s="1">
        <v>45240</v>
      </c>
      <c r="M1566">
        <v>496</v>
      </c>
      <c r="N1566" t="s">
        <v>5675</v>
      </c>
      <c r="O1566" s="5">
        <v>45240</v>
      </c>
      <c r="P1566" s="5">
        <v>43777</v>
      </c>
      <c r="Q1566" s="3">
        <v>14</v>
      </c>
      <c r="S1566">
        <f t="shared" si="72"/>
        <v>1464</v>
      </c>
      <c r="T1566">
        <f t="shared" si="73"/>
        <v>16.043835616438358</v>
      </c>
      <c r="U1566" s="6">
        <f t="shared" si="74"/>
        <v>0.19416384727649394</v>
      </c>
    </row>
    <row r="1567" spans="1:21" x14ac:dyDescent="0.25">
      <c r="A1567" t="s">
        <v>5679</v>
      </c>
      <c r="B1567" t="s">
        <v>5680</v>
      </c>
      <c r="C1567" t="s">
        <v>10</v>
      </c>
      <c r="D1567">
        <v>68</v>
      </c>
      <c r="E1567">
        <v>70.849999999999994</v>
      </c>
      <c r="F1567">
        <v>68</v>
      </c>
      <c r="G1567" s="3">
        <v>70.849999999999994</v>
      </c>
      <c r="H1567">
        <v>70.849999999999994</v>
      </c>
      <c r="I1567">
        <v>67.5</v>
      </c>
      <c r="J1567">
        <v>28272</v>
      </c>
      <c r="K1567">
        <v>1971778.65</v>
      </c>
      <c r="L1567" s="1">
        <v>45240</v>
      </c>
      <c r="M1567">
        <v>141</v>
      </c>
      <c r="N1567" t="s">
        <v>5681</v>
      </c>
      <c r="O1567" s="5">
        <v>45240</v>
      </c>
      <c r="P1567" s="5">
        <v>43777</v>
      </c>
      <c r="Q1567" s="3">
        <v>20.25</v>
      </c>
      <c r="S1567">
        <f t="shared" si="72"/>
        <v>1464</v>
      </c>
      <c r="T1567">
        <f t="shared" si="73"/>
        <v>16.043835616438358</v>
      </c>
      <c r="U1567" s="6">
        <f t="shared" si="74"/>
        <v>0.32475775776128035</v>
      </c>
    </row>
    <row r="1568" spans="1:21" x14ac:dyDescent="0.25">
      <c r="A1568" t="s">
        <v>5688</v>
      </c>
      <c r="B1568" t="s">
        <v>5689</v>
      </c>
      <c r="C1568" t="s">
        <v>14</v>
      </c>
      <c r="D1568">
        <v>380.3</v>
      </c>
      <c r="E1568">
        <v>381.8</v>
      </c>
      <c r="F1568">
        <v>377</v>
      </c>
      <c r="G1568" s="3">
        <v>379.3</v>
      </c>
      <c r="H1568">
        <v>379.75</v>
      </c>
      <c r="I1568">
        <v>380.85</v>
      </c>
      <c r="J1568">
        <v>5355350</v>
      </c>
      <c r="K1568">
        <v>2027215362.3</v>
      </c>
      <c r="L1568" s="1">
        <v>45240</v>
      </c>
      <c r="M1568">
        <v>95452</v>
      </c>
      <c r="N1568" t="s">
        <v>5690</v>
      </c>
      <c r="O1568" s="5">
        <v>45240</v>
      </c>
      <c r="P1568" s="5">
        <v>43777</v>
      </c>
      <c r="Q1568" s="3">
        <v>256.39999999999998</v>
      </c>
      <c r="S1568">
        <f t="shared" si="72"/>
        <v>1464</v>
      </c>
      <c r="T1568">
        <f t="shared" si="73"/>
        <v>16.043835616438358</v>
      </c>
      <c r="U1568" s="6">
        <f t="shared" si="74"/>
        <v>9.883089992609051E-2</v>
      </c>
    </row>
    <row r="1569" spans="1:21" x14ac:dyDescent="0.25">
      <c r="A1569" t="s">
        <v>5691</v>
      </c>
      <c r="B1569" t="s">
        <v>5692</v>
      </c>
      <c r="C1569" t="s">
        <v>14</v>
      </c>
      <c r="D1569">
        <v>239.3</v>
      </c>
      <c r="E1569">
        <v>257</v>
      </c>
      <c r="F1569">
        <v>237.1</v>
      </c>
      <c r="G1569" s="3">
        <v>250.5</v>
      </c>
      <c r="H1569">
        <v>252</v>
      </c>
      <c r="I1569">
        <v>239.75</v>
      </c>
      <c r="J1569">
        <v>6026110</v>
      </c>
      <c r="K1569">
        <v>1515036858.75</v>
      </c>
      <c r="L1569" s="1">
        <v>45240</v>
      </c>
      <c r="M1569">
        <v>55136</v>
      </c>
      <c r="N1569" t="s">
        <v>5693</v>
      </c>
      <c r="O1569" s="5">
        <v>45240</v>
      </c>
      <c r="P1569" s="5">
        <v>43777</v>
      </c>
      <c r="Q1569" s="3">
        <v>286.75</v>
      </c>
      <c r="S1569">
        <f t="shared" si="72"/>
        <v>1464</v>
      </c>
      <c r="T1569">
        <f t="shared" si="73"/>
        <v>16.043835616438358</v>
      </c>
      <c r="U1569" s="6">
        <f t="shared" si="74"/>
        <v>-3.3554115189035283E-2</v>
      </c>
    </row>
    <row r="1570" spans="1:21" x14ac:dyDescent="0.25">
      <c r="A1570" t="s">
        <v>5694</v>
      </c>
      <c r="B1570" t="s">
        <v>5695</v>
      </c>
      <c r="C1570" t="s">
        <v>14</v>
      </c>
      <c r="D1570">
        <v>883.7</v>
      </c>
      <c r="E1570">
        <v>925</v>
      </c>
      <c r="F1570">
        <v>882.65</v>
      </c>
      <c r="G1570" s="3">
        <v>900.65</v>
      </c>
      <c r="H1570">
        <v>900</v>
      </c>
      <c r="I1570">
        <v>892.6</v>
      </c>
      <c r="J1570">
        <v>148410</v>
      </c>
      <c r="K1570">
        <v>135201126.25</v>
      </c>
      <c r="L1570" s="1">
        <v>45240</v>
      </c>
      <c r="M1570">
        <v>12172</v>
      </c>
      <c r="N1570" t="s">
        <v>5696</v>
      </c>
      <c r="O1570" s="5">
        <v>45240</v>
      </c>
      <c r="P1570" s="5">
        <v>43777</v>
      </c>
      <c r="Q1570" s="3">
        <v>276.14999999999998</v>
      </c>
      <c r="S1570">
        <f t="shared" si="72"/>
        <v>1464</v>
      </c>
      <c r="T1570">
        <f t="shared" si="73"/>
        <v>16.043835616438358</v>
      </c>
      <c r="U1570" s="6">
        <f t="shared" si="74"/>
        <v>0.30586596270592814</v>
      </c>
    </row>
    <row r="1571" spans="1:21" x14ac:dyDescent="0.25">
      <c r="A1571" t="s">
        <v>5700</v>
      </c>
      <c r="B1571" t="s">
        <v>5701</v>
      </c>
      <c r="C1571" t="s">
        <v>10</v>
      </c>
      <c r="D1571">
        <v>108.6</v>
      </c>
      <c r="E1571">
        <v>108.6</v>
      </c>
      <c r="F1571">
        <v>108.6</v>
      </c>
      <c r="G1571" s="3">
        <v>108.6</v>
      </c>
      <c r="H1571">
        <v>108.6</v>
      </c>
      <c r="I1571">
        <v>103.45</v>
      </c>
      <c r="J1571">
        <v>65180</v>
      </c>
      <c r="K1571">
        <v>7078548</v>
      </c>
      <c r="L1571" s="1">
        <v>45240</v>
      </c>
      <c r="M1571">
        <v>51</v>
      </c>
      <c r="N1571" t="s">
        <v>5702</v>
      </c>
      <c r="O1571" s="5">
        <v>45240</v>
      </c>
      <c r="P1571" s="5">
        <v>43777</v>
      </c>
      <c r="Q1571" s="3">
        <v>0.9</v>
      </c>
      <c r="S1571">
        <f t="shared" si="72"/>
        <v>1464</v>
      </c>
      <c r="T1571">
        <f t="shared" si="73"/>
        <v>16.043835616438358</v>
      </c>
      <c r="U1571" s="6">
        <f t="shared" si="74"/>
        <v>1.3926686520434766</v>
      </c>
    </row>
    <row r="1572" spans="1:21" x14ac:dyDescent="0.25">
      <c r="A1572" t="s">
        <v>5703</v>
      </c>
      <c r="B1572" t="s">
        <v>5704</v>
      </c>
      <c r="C1572" t="s">
        <v>14</v>
      </c>
      <c r="D1572">
        <v>692.7</v>
      </c>
      <c r="E1572">
        <v>724.9</v>
      </c>
      <c r="F1572">
        <v>679.7</v>
      </c>
      <c r="G1572" s="3">
        <v>705.05</v>
      </c>
      <c r="H1572">
        <v>703.95</v>
      </c>
      <c r="I1572">
        <v>703.2</v>
      </c>
      <c r="J1572">
        <v>252013</v>
      </c>
      <c r="K1572">
        <v>177437754.5</v>
      </c>
      <c r="L1572" s="1">
        <v>45240</v>
      </c>
      <c r="M1572">
        <v>13796</v>
      </c>
      <c r="N1572" t="s">
        <v>5705</v>
      </c>
      <c r="O1572" s="5">
        <v>45240</v>
      </c>
      <c r="P1572" s="5">
        <v>43777</v>
      </c>
      <c r="Q1572" s="3">
        <v>225.65</v>
      </c>
      <c r="S1572">
        <f t="shared" si="72"/>
        <v>1464</v>
      </c>
      <c r="T1572">
        <f t="shared" si="73"/>
        <v>16.043835616438358</v>
      </c>
      <c r="U1572" s="6">
        <f t="shared" si="74"/>
        <v>0.29437074544852848</v>
      </c>
    </row>
    <row r="1573" spans="1:21" x14ac:dyDescent="0.25">
      <c r="A1573" t="s">
        <v>5706</v>
      </c>
      <c r="B1573" t="s">
        <v>5707</v>
      </c>
      <c r="C1573" t="s">
        <v>14</v>
      </c>
      <c r="D1573">
        <v>97.2</v>
      </c>
      <c r="E1573">
        <v>98.35</v>
      </c>
      <c r="F1573">
        <v>96.6</v>
      </c>
      <c r="G1573" s="3">
        <v>97.8</v>
      </c>
      <c r="H1573">
        <v>98.2</v>
      </c>
      <c r="I1573">
        <v>97.5</v>
      </c>
      <c r="J1573">
        <v>284437</v>
      </c>
      <c r="K1573">
        <v>27687294.899999999</v>
      </c>
      <c r="L1573" s="1">
        <v>45240</v>
      </c>
      <c r="M1573">
        <v>3267</v>
      </c>
      <c r="N1573" t="s">
        <v>5708</v>
      </c>
      <c r="O1573" s="5">
        <v>45240</v>
      </c>
      <c r="P1573" s="5">
        <v>43777</v>
      </c>
      <c r="Q1573" s="3">
        <v>53.75</v>
      </c>
      <c r="S1573">
        <f t="shared" si="72"/>
        <v>1464</v>
      </c>
      <c r="T1573">
        <f t="shared" si="73"/>
        <v>16.043835616438358</v>
      </c>
      <c r="U1573" s="6">
        <f t="shared" si="74"/>
        <v>0.15205524458724451</v>
      </c>
    </row>
    <row r="1574" spans="1:21" x14ac:dyDescent="0.25">
      <c r="A1574" t="s">
        <v>5709</v>
      </c>
      <c r="B1574" t="s">
        <v>5710</v>
      </c>
      <c r="C1574" t="s">
        <v>14</v>
      </c>
      <c r="D1574">
        <v>85</v>
      </c>
      <c r="E1574">
        <v>86.8</v>
      </c>
      <c r="F1574">
        <v>80.099999999999994</v>
      </c>
      <c r="G1574" s="3">
        <v>86.25</v>
      </c>
      <c r="H1574">
        <v>84</v>
      </c>
      <c r="I1574">
        <v>88.4</v>
      </c>
      <c r="J1574">
        <v>79878</v>
      </c>
      <c r="K1574">
        <v>6748857.0499999998</v>
      </c>
      <c r="L1574" s="1">
        <v>45240</v>
      </c>
      <c r="M1574">
        <v>1283</v>
      </c>
      <c r="N1574" t="s">
        <v>5711</v>
      </c>
      <c r="O1574" s="5">
        <v>45240</v>
      </c>
      <c r="P1574" s="5">
        <v>43777</v>
      </c>
      <c r="Q1574" s="3">
        <v>70</v>
      </c>
      <c r="S1574">
        <f t="shared" si="72"/>
        <v>1464</v>
      </c>
      <c r="T1574">
        <f t="shared" si="73"/>
        <v>16.043835616438358</v>
      </c>
      <c r="U1574" s="6">
        <f t="shared" si="74"/>
        <v>5.2386184449339623E-2</v>
      </c>
    </row>
    <row r="1575" spans="1:21" x14ac:dyDescent="0.25">
      <c r="A1575" t="s">
        <v>5712</v>
      </c>
      <c r="B1575" t="s">
        <v>5713</v>
      </c>
      <c r="C1575" t="s">
        <v>14</v>
      </c>
      <c r="D1575">
        <v>895</v>
      </c>
      <c r="E1575">
        <v>899.9</v>
      </c>
      <c r="F1575">
        <v>874.2</v>
      </c>
      <c r="G1575" s="3">
        <v>881.85</v>
      </c>
      <c r="H1575">
        <v>874.2</v>
      </c>
      <c r="I1575">
        <v>895</v>
      </c>
      <c r="J1575">
        <v>74435</v>
      </c>
      <c r="K1575">
        <v>65792805.899999999</v>
      </c>
      <c r="L1575" s="1">
        <v>45240</v>
      </c>
      <c r="M1575">
        <v>8867</v>
      </c>
      <c r="N1575" t="s">
        <v>5714</v>
      </c>
      <c r="O1575" s="5">
        <v>45240</v>
      </c>
      <c r="P1575" s="5">
        <v>43777</v>
      </c>
      <c r="Q1575" s="3">
        <v>22.55</v>
      </c>
      <c r="S1575">
        <f t="shared" si="72"/>
        <v>1464</v>
      </c>
      <c r="T1575">
        <f t="shared" si="73"/>
        <v>16.043835616438358</v>
      </c>
      <c r="U1575" s="6">
        <f t="shared" si="74"/>
        <v>1.026938844647252</v>
      </c>
    </row>
    <row r="1576" spans="1:21" x14ac:dyDescent="0.25">
      <c r="A1576" t="s">
        <v>5727</v>
      </c>
      <c r="B1576" t="s">
        <v>5728</v>
      </c>
      <c r="C1576" t="s">
        <v>14</v>
      </c>
      <c r="D1576">
        <v>18.350000000000001</v>
      </c>
      <c r="E1576">
        <v>18.55</v>
      </c>
      <c r="F1576">
        <v>18.149999999999999</v>
      </c>
      <c r="G1576" s="3">
        <v>18.3</v>
      </c>
      <c r="H1576">
        <v>18.399999999999999</v>
      </c>
      <c r="I1576">
        <v>18.350000000000001</v>
      </c>
      <c r="J1576">
        <v>188889074</v>
      </c>
      <c r="K1576">
        <v>3464554901.8499999</v>
      </c>
      <c r="L1576" s="1">
        <v>45240</v>
      </c>
      <c r="M1576">
        <v>67163</v>
      </c>
      <c r="N1576" t="s">
        <v>5729</v>
      </c>
      <c r="O1576" s="5">
        <v>45240</v>
      </c>
      <c r="P1576" s="5">
        <v>43777</v>
      </c>
      <c r="Q1576" s="3">
        <v>68.95</v>
      </c>
      <c r="S1576">
        <f t="shared" si="72"/>
        <v>1464</v>
      </c>
      <c r="T1576">
        <f t="shared" si="73"/>
        <v>16.043835616438358</v>
      </c>
      <c r="U1576" s="6">
        <f t="shared" si="74"/>
        <v>-0.3174117138502206</v>
      </c>
    </row>
    <row r="1577" spans="1:21" x14ac:dyDescent="0.25">
      <c r="A1577" t="s">
        <v>5736</v>
      </c>
      <c r="B1577" t="s">
        <v>5737</v>
      </c>
      <c r="C1577" t="s">
        <v>14</v>
      </c>
      <c r="D1577">
        <v>263.89999999999998</v>
      </c>
      <c r="E1577">
        <v>265.95</v>
      </c>
      <c r="F1577">
        <v>245.85</v>
      </c>
      <c r="G1577" s="3">
        <v>248.95</v>
      </c>
      <c r="H1577">
        <v>249.35</v>
      </c>
      <c r="I1577">
        <v>262.85000000000002</v>
      </c>
      <c r="J1577">
        <v>26360902</v>
      </c>
      <c r="K1577">
        <v>6673193917.25</v>
      </c>
      <c r="L1577" s="1">
        <v>45240</v>
      </c>
      <c r="M1577">
        <v>137548</v>
      </c>
      <c r="N1577" t="s">
        <v>5738</v>
      </c>
      <c r="O1577" s="5">
        <v>45240</v>
      </c>
      <c r="P1577" s="5">
        <v>43777</v>
      </c>
      <c r="Q1577" s="3">
        <v>287.5</v>
      </c>
      <c r="S1577">
        <f t="shared" si="72"/>
        <v>1464</v>
      </c>
      <c r="T1577">
        <f t="shared" si="73"/>
        <v>16.043835616438358</v>
      </c>
      <c r="U1577" s="6">
        <f t="shared" si="74"/>
        <v>-3.5733786141028734E-2</v>
      </c>
    </row>
    <row r="1578" spans="1:21" x14ac:dyDescent="0.25">
      <c r="A1578" t="s">
        <v>5739</v>
      </c>
      <c r="B1578" t="s">
        <v>5740</v>
      </c>
      <c r="C1578" t="s">
        <v>10</v>
      </c>
      <c r="D1578">
        <v>6.9</v>
      </c>
      <c r="E1578">
        <v>6.9</v>
      </c>
      <c r="F1578">
        <v>6.35</v>
      </c>
      <c r="G1578" s="3">
        <v>6.9</v>
      </c>
      <c r="H1578">
        <v>6.9</v>
      </c>
      <c r="I1578">
        <v>6.6</v>
      </c>
      <c r="J1578">
        <v>3934550</v>
      </c>
      <c r="K1578">
        <v>26956057.75</v>
      </c>
      <c r="L1578" s="1">
        <v>45240</v>
      </c>
      <c r="M1578">
        <v>999</v>
      </c>
      <c r="N1578" t="s">
        <v>5741</v>
      </c>
      <c r="O1578" s="5">
        <v>45240</v>
      </c>
      <c r="P1578" s="5">
        <v>43777</v>
      </c>
      <c r="Q1578" s="3">
        <v>21.7</v>
      </c>
      <c r="S1578">
        <f t="shared" si="72"/>
        <v>1464</v>
      </c>
      <c r="T1578">
        <f t="shared" si="73"/>
        <v>16.043835616438358</v>
      </c>
      <c r="U1578" s="6">
        <f t="shared" si="74"/>
        <v>-0.27570305631870662</v>
      </c>
    </row>
    <row r="1579" spans="1:21" x14ac:dyDescent="0.25">
      <c r="A1579" t="s">
        <v>5742</v>
      </c>
      <c r="B1579" t="s">
        <v>5743</v>
      </c>
      <c r="C1579" t="s">
        <v>14</v>
      </c>
      <c r="D1579">
        <v>16</v>
      </c>
      <c r="E1579">
        <v>16.399999999999999</v>
      </c>
      <c r="F1579">
        <v>15.6</v>
      </c>
      <c r="G1579" s="3">
        <v>16</v>
      </c>
      <c r="H1579">
        <v>16</v>
      </c>
      <c r="I1579">
        <v>16</v>
      </c>
      <c r="J1579">
        <v>13148486</v>
      </c>
      <c r="K1579">
        <v>210414136.40000001</v>
      </c>
      <c r="L1579" s="1">
        <v>45240</v>
      </c>
      <c r="M1579">
        <v>5472</v>
      </c>
      <c r="N1579" t="s">
        <v>5744</v>
      </c>
      <c r="O1579" s="5">
        <v>45240</v>
      </c>
      <c r="P1579" s="5">
        <v>43777</v>
      </c>
      <c r="Q1579" s="3">
        <v>6.75</v>
      </c>
      <c r="S1579">
        <f t="shared" si="72"/>
        <v>1464</v>
      </c>
      <c r="T1579">
        <f t="shared" si="73"/>
        <v>16.043835616438358</v>
      </c>
      <c r="U1579" s="6">
        <f t="shared" si="74"/>
        <v>0.22106460202709233</v>
      </c>
    </row>
    <row r="1580" spans="1:21" x14ac:dyDescent="0.25">
      <c r="A1580" t="s">
        <v>5745</v>
      </c>
      <c r="B1580" t="s">
        <v>5746</v>
      </c>
      <c r="C1580" t="s">
        <v>14</v>
      </c>
      <c r="D1580">
        <v>125</v>
      </c>
      <c r="E1580">
        <v>130.80000000000001</v>
      </c>
      <c r="F1580">
        <v>122</v>
      </c>
      <c r="G1580" s="3">
        <v>127.1</v>
      </c>
      <c r="H1580">
        <v>129</v>
      </c>
      <c r="I1580">
        <v>125.3</v>
      </c>
      <c r="J1580">
        <v>3595</v>
      </c>
      <c r="K1580">
        <v>454549.25</v>
      </c>
      <c r="L1580" s="1">
        <v>45240</v>
      </c>
      <c r="M1580">
        <v>258</v>
      </c>
      <c r="N1580" t="s">
        <v>5747</v>
      </c>
      <c r="O1580" s="5">
        <v>45240</v>
      </c>
      <c r="P1580" s="5">
        <v>43777</v>
      </c>
      <c r="Q1580" s="3">
        <v>44</v>
      </c>
      <c r="S1580">
        <f t="shared" si="72"/>
        <v>1464</v>
      </c>
      <c r="T1580">
        <f t="shared" si="73"/>
        <v>16.043835616438358</v>
      </c>
      <c r="U1580" s="6">
        <f t="shared" si="74"/>
        <v>0.27341062756917367</v>
      </c>
    </row>
    <row r="1581" spans="1:21" x14ac:dyDescent="0.25">
      <c r="A1581" t="s">
        <v>5751</v>
      </c>
      <c r="B1581" t="s">
        <v>5752</v>
      </c>
      <c r="C1581" t="s">
        <v>14</v>
      </c>
      <c r="D1581">
        <v>491.6</v>
      </c>
      <c r="E1581">
        <v>492</v>
      </c>
      <c r="F1581">
        <v>480</v>
      </c>
      <c r="G1581" s="3">
        <v>481</v>
      </c>
      <c r="H1581">
        <v>483</v>
      </c>
      <c r="I1581">
        <v>491.65</v>
      </c>
      <c r="J1581">
        <v>576199</v>
      </c>
      <c r="K1581">
        <v>278370766.10000002</v>
      </c>
      <c r="L1581" s="1">
        <v>45240</v>
      </c>
      <c r="M1581">
        <v>17800</v>
      </c>
      <c r="N1581" t="s">
        <v>5753</v>
      </c>
      <c r="O1581" s="5">
        <v>45240</v>
      </c>
      <c r="P1581" s="5">
        <v>43777</v>
      </c>
      <c r="Q1581" s="3">
        <v>189.15</v>
      </c>
      <c r="S1581">
        <f t="shared" si="72"/>
        <v>1464</v>
      </c>
      <c r="T1581">
        <f t="shared" si="73"/>
        <v>16.043835616438358</v>
      </c>
      <c r="U1581" s="6">
        <f t="shared" si="74"/>
        <v>0.23959571288163417</v>
      </c>
    </row>
    <row r="1582" spans="1:21" x14ac:dyDescent="0.25">
      <c r="A1582" t="s">
        <v>5754</v>
      </c>
      <c r="B1582" t="s">
        <v>5755</v>
      </c>
      <c r="C1582" t="s">
        <v>10</v>
      </c>
      <c r="D1582">
        <v>737</v>
      </c>
      <c r="E1582">
        <v>745</v>
      </c>
      <c r="F1582">
        <v>715</v>
      </c>
      <c r="G1582" s="3">
        <v>736.95</v>
      </c>
      <c r="H1582">
        <v>744</v>
      </c>
      <c r="I1582">
        <v>735.55</v>
      </c>
      <c r="J1582">
        <v>110449</v>
      </c>
      <c r="K1582">
        <v>80992483.599999994</v>
      </c>
      <c r="L1582" s="1">
        <v>45240</v>
      </c>
      <c r="M1582">
        <v>2873</v>
      </c>
      <c r="N1582" t="s">
        <v>5756</v>
      </c>
      <c r="O1582" s="5">
        <v>45240</v>
      </c>
      <c r="P1582" s="5">
        <v>43777</v>
      </c>
      <c r="Q1582" s="3">
        <v>64.400000000000006</v>
      </c>
      <c r="S1582">
        <f t="shared" si="72"/>
        <v>1464</v>
      </c>
      <c r="T1582">
        <f t="shared" si="73"/>
        <v>16.043835616438358</v>
      </c>
      <c r="U1582" s="6">
        <f t="shared" si="74"/>
        <v>0.65627623844788641</v>
      </c>
    </row>
    <row r="1583" spans="1:21" x14ac:dyDescent="0.25">
      <c r="A1583" t="s">
        <v>5763</v>
      </c>
      <c r="B1583" t="s">
        <v>5764</v>
      </c>
      <c r="C1583" t="s">
        <v>10</v>
      </c>
      <c r="D1583">
        <v>152.9</v>
      </c>
      <c r="E1583">
        <v>153</v>
      </c>
      <c r="F1583">
        <v>147</v>
      </c>
      <c r="G1583" s="3">
        <v>148.75</v>
      </c>
      <c r="H1583">
        <v>149</v>
      </c>
      <c r="I1583">
        <v>153.35</v>
      </c>
      <c r="J1583">
        <v>18827</v>
      </c>
      <c r="K1583">
        <v>2824337.05</v>
      </c>
      <c r="L1583" s="1">
        <v>45240</v>
      </c>
      <c r="M1583">
        <v>480</v>
      </c>
      <c r="N1583" t="s">
        <v>5765</v>
      </c>
      <c r="O1583" s="5">
        <v>45240</v>
      </c>
      <c r="P1583" s="5">
        <v>43777</v>
      </c>
      <c r="Q1583" s="3">
        <v>27.3</v>
      </c>
      <c r="S1583">
        <f t="shared" si="72"/>
        <v>1464</v>
      </c>
      <c r="T1583">
        <f t="shared" si="73"/>
        <v>16.043835616438358</v>
      </c>
      <c r="U1583" s="6">
        <f t="shared" si="74"/>
        <v>0.44582796667931124</v>
      </c>
    </row>
    <row r="1584" spans="1:21" x14ac:dyDescent="0.25">
      <c r="A1584" t="s">
        <v>5766</v>
      </c>
      <c r="B1584" t="s">
        <v>5767</v>
      </c>
      <c r="C1584" t="s">
        <v>14</v>
      </c>
      <c r="D1584">
        <v>131.69999999999999</v>
      </c>
      <c r="E1584">
        <v>132.5</v>
      </c>
      <c r="F1584">
        <v>125.2</v>
      </c>
      <c r="G1584" s="3">
        <v>128.6</v>
      </c>
      <c r="H1584">
        <v>129.9</v>
      </c>
      <c r="I1584">
        <v>127.05</v>
      </c>
      <c r="J1584">
        <v>49889</v>
      </c>
      <c r="K1584">
        <v>6371430.3499999996</v>
      </c>
      <c r="L1584" s="1">
        <v>45240</v>
      </c>
      <c r="M1584">
        <v>1467</v>
      </c>
      <c r="N1584" t="s">
        <v>5768</v>
      </c>
      <c r="O1584" s="5">
        <v>45240</v>
      </c>
      <c r="P1584" s="5">
        <v>43777</v>
      </c>
      <c r="Q1584" s="3">
        <v>187</v>
      </c>
      <c r="S1584">
        <f t="shared" si="72"/>
        <v>1464</v>
      </c>
      <c r="T1584">
        <f t="shared" si="73"/>
        <v>16.043835616438358</v>
      </c>
      <c r="U1584" s="6">
        <f t="shared" si="74"/>
        <v>-9.2263980946214019E-2</v>
      </c>
    </row>
    <row r="1585" spans="1:21" x14ac:dyDescent="0.25">
      <c r="A1585" t="s">
        <v>5772</v>
      </c>
      <c r="B1585" t="s">
        <v>5773</v>
      </c>
      <c r="C1585" t="s">
        <v>14</v>
      </c>
      <c r="D1585">
        <v>439.45</v>
      </c>
      <c r="E1585">
        <v>440</v>
      </c>
      <c r="F1585">
        <v>424.7</v>
      </c>
      <c r="G1585" s="3">
        <v>425.15</v>
      </c>
      <c r="H1585">
        <v>424.7</v>
      </c>
      <c r="I1585">
        <v>435.15</v>
      </c>
      <c r="J1585">
        <v>20705</v>
      </c>
      <c r="K1585">
        <v>8910124.3000000007</v>
      </c>
      <c r="L1585" s="1">
        <v>45240</v>
      </c>
      <c r="M1585">
        <v>1391</v>
      </c>
      <c r="N1585" t="s">
        <v>5774</v>
      </c>
      <c r="O1585" s="5">
        <v>45240</v>
      </c>
      <c r="P1585" s="5">
        <v>43777</v>
      </c>
      <c r="Q1585" s="3">
        <v>183.35</v>
      </c>
      <c r="S1585">
        <f t="shared" si="72"/>
        <v>1464</v>
      </c>
      <c r="T1585">
        <f t="shared" si="73"/>
        <v>16.043835616438358</v>
      </c>
      <c r="U1585" s="6">
        <f t="shared" si="74"/>
        <v>0.21528018310010921</v>
      </c>
    </row>
    <row r="1586" spans="1:21" x14ac:dyDescent="0.25">
      <c r="A1586" t="s">
        <v>5775</v>
      </c>
      <c r="B1586" t="s">
        <v>5776</v>
      </c>
      <c r="C1586" t="s">
        <v>14</v>
      </c>
      <c r="D1586">
        <v>156.05000000000001</v>
      </c>
      <c r="E1586">
        <v>156.5</v>
      </c>
      <c r="F1586">
        <v>153.80000000000001</v>
      </c>
      <c r="G1586" s="3">
        <v>154.44999999999999</v>
      </c>
      <c r="H1586">
        <v>154</v>
      </c>
      <c r="I1586">
        <v>156.05000000000001</v>
      </c>
      <c r="J1586">
        <v>167105</v>
      </c>
      <c r="K1586">
        <v>25866132.100000001</v>
      </c>
      <c r="L1586" s="1">
        <v>45240</v>
      </c>
      <c r="M1586">
        <v>2172</v>
      </c>
      <c r="N1586" t="s">
        <v>5777</v>
      </c>
      <c r="O1586" s="5">
        <v>45240</v>
      </c>
      <c r="P1586" s="5">
        <v>43777</v>
      </c>
      <c r="Q1586" s="3">
        <v>92.2</v>
      </c>
      <c r="S1586">
        <f t="shared" si="72"/>
        <v>1464</v>
      </c>
      <c r="T1586">
        <f t="shared" si="73"/>
        <v>16.043835616438358</v>
      </c>
      <c r="U1586" s="6">
        <f t="shared" si="74"/>
        <v>0.13071557524329691</v>
      </c>
    </row>
    <row r="1587" spans="1:21" x14ac:dyDescent="0.25">
      <c r="A1587" t="s">
        <v>5784</v>
      </c>
      <c r="B1587" t="s">
        <v>5785</v>
      </c>
      <c r="C1587" t="s">
        <v>14</v>
      </c>
      <c r="D1587">
        <v>1540</v>
      </c>
      <c r="E1587">
        <v>1543.2</v>
      </c>
      <c r="F1587">
        <v>1526.05</v>
      </c>
      <c r="G1587" s="3">
        <v>1531.75</v>
      </c>
      <c r="H1587">
        <v>1535.5</v>
      </c>
      <c r="I1587">
        <v>1533</v>
      </c>
      <c r="J1587">
        <v>27860</v>
      </c>
      <c r="K1587">
        <v>42706315.799999997</v>
      </c>
      <c r="L1587" s="1">
        <v>45240</v>
      </c>
      <c r="M1587">
        <v>2442</v>
      </c>
      <c r="N1587" t="s">
        <v>5786</v>
      </c>
      <c r="O1587" s="5">
        <v>45240</v>
      </c>
      <c r="P1587" s="5">
        <v>43777</v>
      </c>
      <c r="Q1587" s="3">
        <v>1620.7</v>
      </c>
      <c r="S1587">
        <f t="shared" si="72"/>
        <v>1464</v>
      </c>
      <c r="T1587">
        <f t="shared" si="73"/>
        <v>16.043835616438358</v>
      </c>
      <c r="U1587" s="6">
        <f t="shared" si="74"/>
        <v>-1.4048535543188301E-2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EQUITY_L</vt:lpstr>
      <vt:lpstr>cm10NOV2023bhav</vt:lpstr>
      <vt:lpstr>cm08NOV2019bhav</vt:lpstr>
      <vt:lpstr>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 b</cp:lastModifiedBy>
  <dcterms:created xsi:type="dcterms:W3CDTF">2023-11-12T03:59:11Z</dcterms:created>
  <dcterms:modified xsi:type="dcterms:W3CDTF">2023-11-12T07:41:41Z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2023-11-12T04:26:18Z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a2895b90-7ebc-45f6-a831-160c6ea5aece</vt:lpwstr>
  </property>
  <property fmtid="{D5CDD505-2E9C-101B-9397-08002B2CF9AE}" pid="8" name="MSIP_Label_defa4170-0d19-0005-0004-bc88714345d2_ContentBits">
    <vt:lpwstr>0</vt:lpwstr>
  </property>
</Properties>
</file>