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OS03\Documents\"/>
    </mc:Choice>
  </mc:AlternateContent>
  <xr:revisionPtr revIDLastSave="0" documentId="13_ncr:1_{2A01C341-674E-4BBF-A1AC-AB506B9FFCE8}" xr6:coauthVersionLast="47" xr6:coauthVersionMax="47" xr10:uidLastSave="{00000000-0000-0000-0000-000000000000}"/>
  <bookViews>
    <workbookView xWindow="-20610" yWindow="-165" windowWidth="20730" windowHeight="11160" activeTab="3" xr2:uid="{2637DA84-451D-4559-BEFD-3E4AF9836130}"/>
  </bookViews>
  <sheets>
    <sheet name="Cheat Sheet" sheetId="44" r:id="rId1"/>
    <sheet name="Excel Regex - Examples" sheetId="29" r:id="rId2"/>
    <sheet name="Regex Match" sheetId="41" r:id="rId3"/>
    <sheet name="Regex Extract" sheetId="42" r:id="rId4"/>
    <sheet name="Regex Replace" sheetId="26" r:id="rId5"/>
    <sheet name="Regex Remove" sheetId="43"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5" i="42" l="1" a="1"/>
  <c r="M5" i="42"/>
  <c r="L5" i="42" a="1"/>
  <c r="L5" i="42"/>
  <c r="C5" i="42" a="1"/>
  <c r="C5" i="42"/>
  <c r="B5" i="43" l="1" a="1"/>
  <c r="B7" i="26" a="1"/>
  <c r="C7" i="41" a="1"/>
  <c r="B7" i="41" a="1"/>
  <c r="C9" i="41" a="1"/>
  <c r="B10" i="43" a="1"/>
  <c r="C5" i="41" a="1"/>
  <c r="B8" i="43" a="1"/>
  <c r="C8" i="41" a="1"/>
  <c r="B9" i="42" a="1"/>
  <c r="B6" i="42" a="1"/>
  <c r="B5" i="26" a="1"/>
  <c r="B8" i="41" a="1"/>
  <c r="B9" i="26" a="1"/>
  <c r="B6" i="26" a="1"/>
  <c r="C6" i="41" a="1"/>
  <c r="B7" i="42" a="1"/>
  <c r="B8" i="26" a="1"/>
  <c r="B6" i="41" a="1"/>
  <c r="B8" i="42" a="1"/>
  <c r="B5" i="42" a="1"/>
  <c r="B5" i="41" a="1"/>
  <c r="B10" i="26" a="1"/>
  <c r="B6" i="43" a="1"/>
  <c r="B9" i="41" a="1"/>
  <c r="B9" i="43" a="1"/>
  <c r="B7" i="43" a="1"/>
  <c r="B7" i="43" l="1"/>
  <c r="B9" i="43"/>
  <c r="B9" i="41"/>
  <c r="B6" i="43"/>
  <c r="B10" i="26"/>
  <c r="B5" i="41"/>
  <c r="B5" i="42"/>
  <c r="B8" i="42"/>
  <c r="B6" i="41"/>
  <c r="B8" i="26"/>
  <c r="B7" i="42"/>
  <c r="C6" i="41"/>
  <c r="B6" i="26"/>
  <c r="B9" i="26"/>
  <c r="B8" i="41"/>
  <c r="B5" i="26"/>
  <c r="B6" i="42"/>
  <c r="B9" i="42"/>
  <c r="C8" i="41"/>
  <c r="B8" i="43"/>
  <c r="C5" i="41"/>
  <c r="B10" i="43"/>
  <c r="C9" i="41"/>
  <c r="B7" i="41"/>
  <c r="C7" i="41"/>
  <c r="B7" i="26"/>
  <c r="B5" i="4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<sst xmlns="http://schemas.openxmlformats.org/spreadsheetml/2006/main" count="202" uniqueCount="158">
  <si>
    <t>String</t>
  </si>
  <si>
    <t>Pattern</t>
  </si>
  <si>
    <t xml:space="preserve"> </t>
  </si>
  <si>
    <t>Author</t>
  </si>
  <si>
    <t>Ablebits.com</t>
  </si>
  <si>
    <t>Last update</t>
  </si>
  <si>
    <t>Tutorial URL</t>
  </si>
  <si>
    <t>Examples:</t>
  </si>
  <si>
    <t xml:space="preserve">• </t>
  </si>
  <si>
    <t>\b\d{7}\b</t>
  </si>
  <si>
    <t>SKU available?</t>
  </si>
  <si>
    <t>Metal shelf $49.99 MS-7009
(123).345.4567  
4988 4388 4388 4305</t>
  </si>
  <si>
    <t>Invoice</t>
  </si>
  <si>
    <t>\b\d{4} \d{4} \d{4} \d{4}\b</t>
  </si>
  <si>
    <t>Chain frame CH-1101 I/O 1034567 $10.99
+1 123.237.4567 
4111 1111 4555 1142</t>
  </si>
  <si>
    <t>20x Leaf puzzle  LP-4900
4166 6766 6766 6746
 $7.49 8(541) 754-3010</t>
  </si>
  <si>
    <t>Case sandpaper
 I/O 1033877
CS-1901</t>
  </si>
  <si>
    <t>\b[A-Z]{2}-\d{4}\b</t>
  </si>
  <si>
    <t>GL 100 Golder Units tel: 1234567899
 I/O 1038765 $25.50
Visa 4000 6200 0000 0007</t>
  </si>
  <si>
    <t>Replacement</t>
  </si>
  <si>
    <t>XXXX XXXX XXXX XXXX</t>
  </si>
  <si>
    <t>Card numbers replaced</t>
  </si>
  <si>
    <t>Card numbers removed</t>
  </si>
  <si>
    <t>Excel RegEx: using regular expressions in formulas</t>
  </si>
  <si>
    <t xml:space="preserve">Match strings using regular expressions </t>
  </si>
  <si>
    <t>Extract strings matching a regex</t>
  </si>
  <si>
    <t>Replace strings matching a regex</t>
  </si>
  <si>
    <t xml:space="preserve">Remove strings using regular expressions </t>
  </si>
  <si>
    <t>Sample Workbook to Using Regex in Excel</t>
  </si>
  <si>
    <t>The workbook shows how to use regular expressions to match, extract, replace and remove strings in Excel.</t>
  </si>
  <si>
    <t>Characters</t>
  </si>
  <si>
    <t>These are the most frequently used patterns to match certain characters.</t>
  </si>
  <si>
    <t>Character classes</t>
  </si>
  <si>
    <t>Using these patterns, you can match elements of different character sets.</t>
  </si>
  <si>
    <t>[a-z]</t>
  </si>
  <si>
    <t>Quantifiers</t>
  </si>
  <si>
    <t>Quantifiers are special expressions that specify the number of characters to match. A quantifier always applies to the character before it.</t>
  </si>
  <si>
    <t>Grouping</t>
  </si>
  <si>
    <t>Grouping constructs are used to capture a substring from the source string, so you can perform some operation with it.</t>
  </si>
  <si>
    <t>Anchors</t>
  </si>
  <si>
    <t>Anchors specify a position in the input string where to look for a match.</t>
  </si>
  <si>
    <t>Note: [^inside brackets] means "not"</t>
  </si>
  <si>
    <t>Alternation (OR) construct</t>
  </si>
  <si>
    <t>The alternation operand enables the OR logic, so you can match either this or that element.</t>
  </si>
  <si>
    <t>Look-arounds</t>
  </si>
  <si>
    <t>Lookaround constructs are helpful when you want to match something that is or isn't followed or preceded by something else. These expressions are sometimes called "zero-width assertions" or "zero-width match" because they match a position rather than actual characters.</t>
  </si>
  <si>
    <t>Description</t>
  </si>
  <si>
    <t>Example</t>
  </si>
  <si>
    <t>.</t>
  </si>
  <si>
    <t>Wildcard character: matches any single character except a line break</t>
  </si>
  <si>
    <t>.ot</t>
  </si>
  <si>
    <t>\d</t>
  </si>
  <si>
    <t>Digit character: any single digit from 0 to 9</t>
  </si>
  <si>
    <t>\D</t>
  </si>
  <si>
    <t>Any character that is NOT a digit</t>
  </si>
  <si>
    <t>\s</t>
  </si>
  <si>
    <t>Whitespace character: space, tab, new line and carriage return</t>
  </si>
  <si>
    <t>.\s.</t>
  </si>
  <si>
    <t>\S</t>
  </si>
  <si>
    <t>Any non-whitespace character</t>
  </si>
  <si>
    <t>\S+</t>
  </si>
  <si>
    <t>\w</t>
  </si>
  <si>
    <t>Word character: any ASCII letter, digit or underscore</t>
  </si>
  <si>
    <t>\w+</t>
  </si>
  <si>
    <t>\W</t>
  </si>
  <si>
    <t>Any character that is NOT an alphanumeric character or underscore</t>
  </si>
  <si>
    <t>\W+</t>
  </si>
  <si>
    <t>\t</t>
  </si>
  <si>
    <t>Tab</t>
  </si>
  <si>
    <t>\n</t>
  </si>
  <si>
    <t>New line</t>
  </si>
  <si>
    <t>\n\d+</t>
  </si>
  <si>
    <t>\</t>
  </si>
  <si>
    <t>Escapes special meaning of a character, so you can search for it</t>
  </si>
  <si>
    <t>\.</t>
  </si>
  <si>
    <t>\w+\.</t>
  </si>
  <si>
    <t>[characters]</t>
  </si>
  <si>
    <t>Matches any single character in the brackets</t>
  </si>
  <si>
    <t>d[oi]g</t>
  </si>
  <si>
    <t>[^characters]</t>
  </si>
  <si>
    <t>Matches any single character NOT in the brackets</t>
  </si>
  <si>
    <t>d[^oi]g</t>
  </si>
  <si>
    <t>[from–to]</t>
  </si>
  <si>
    <t>Matches any character in the range between the brackets</t>
  </si>
  <si>
    <t>[0-9]</t>
  </si>
  <si>
    <t>[A-Z]</t>
  </si>
  <si>
    <t>*</t>
  </si>
  <si>
    <t>Zero or more occurrences</t>
  </si>
  <si>
    <t>1a*</t>
  </si>
  <si>
    <t>+</t>
  </si>
  <si>
    <t>One or more occurrences</t>
  </si>
  <si>
    <t>po+</t>
  </si>
  <si>
    <t>?</t>
  </si>
  <si>
    <t>Zero or one occurrence</t>
  </si>
  <si>
    <t>roa?d</t>
  </si>
  <si>
    <t>*?</t>
  </si>
  <si>
    <t>Zero or more occurrences, but as fewer as possible</t>
  </si>
  <si>
    <t>1a*?</t>
  </si>
  <si>
    <t>+?</t>
  </si>
  <si>
    <t>One or more occurrences, but as fewer as possible</t>
  </si>
  <si>
    <t>po+?</t>
  </si>
  <si>
    <t>??</t>
  </si>
  <si>
    <t>Zero or one occurrence, but as fewer as possible</t>
  </si>
  <si>
    <t>roa??</t>
  </si>
  <si>
    <t>{n}</t>
  </si>
  <si>
    <t>Matches the preceding pattern n times</t>
  </si>
  <si>
    <t>\d{3}</t>
  </si>
  <si>
    <t>{n,}</t>
  </si>
  <si>
    <t>Matches the preceding pattern n or more times</t>
  </si>
  <si>
    <t>\d{3,}</t>
  </si>
  <si>
    <t>{n,m}</t>
  </si>
  <si>
    <t>Matches the preceding pattern between n and m times</t>
  </si>
  <si>
    <t>\d{3,5}</t>
  </si>
  <si>
    <t>Syntax</t>
  </si>
  <si>
    <t>(pattern)</t>
  </si>
  <si>
    <t>Capturing group: captures a matching substring and assigns it an ordinal number</t>
  </si>
  <si>
    <t>(\d+)</t>
  </si>
  <si>
    <t>(?:pattern)</t>
  </si>
  <si>
    <t>Non-capturing group: matches a group but does not capture it</t>
  </si>
  <si>
    <t>(\d+)(?: dogs)</t>
  </si>
  <si>
    <t>\1</t>
  </si>
  <si>
    <t>Contents of group 1</t>
  </si>
  <si>
    <t>(\d+)\+(\d+)=\2\+\1</t>
  </si>
  <si>
    <t>\2</t>
  </si>
  <si>
    <t>Contents of group 2</t>
  </si>
  <si>
    <t>Anchor</t>
  </si>
  <si>
    <t>^</t>
  </si>
  <si>
    <t>Start of string</t>
  </si>
  <si>
    <t>^\d+</t>
  </si>
  <si>
    <t>$</t>
  </si>
  <si>
    <t>End of string</t>
  </si>
  <si>
    <t>\d+$</t>
  </si>
  <si>
    <t>\b</t>
  </si>
  <si>
    <t>Word boundary</t>
  </si>
  <si>
    <t>\bjoy\b</t>
  </si>
  <si>
    <t>\B</t>
  </si>
  <si>
    <t>NOT a word boundary</t>
  </si>
  <si>
    <t>\Bjoy\B</t>
  </si>
  <si>
    <t>Construct</t>
  </si>
  <si>
    <t>|</t>
  </si>
  <si>
    <t>Matches any single element separated by the vertical bar</t>
  </si>
  <si>
    <t>(s|sh)ells</t>
  </si>
  <si>
    <t>(?=)</t>
  </si>
  <si>
    <t>Positive lookahead</t>
  </si>
  <si>
    <t>X(?=Y)</t>
  </si>
  <si>
    <t>(?!)</t>
  </si>
  <si>
    <t>Negative lookahead</t>
  </si>
  <si>
    <t>X(?!Y)</t>
  </si>
  <si>
    <t>(?&lt;=)</t>
  </si>
  <si>
    <t>Positive lookbehind</t>
  </si>
  <si>
    <t>(?&lt;=Y)X</t>
  </si>
  <si>
    <t>(?&lt;!)</t>
  </si>
  <si>
    <t>Negative lookbehind</t>
  </si>
  <si>
    <t>(?&lt;!Y)X</t>
  </si>
  <si>
    <t>Now that you know the essentials, let's move on to the most interesting part - using regexes on real data to parse strings and find the required information. If you need more details about the syntax, the Microsoft guide on Regular Expression Language may prove helpful.</t>
  </si>
  <si>
    <r>
      <t>Note.</t>
    </r>
    <r>
      <rPr>
        <sz val="10"/>
        <rFont val="Open Sans"/>
        <family val="2"/>
      </rPr>
      <t> In VBA RegEx flavor, lookbehinds are not supported.</t>
    </r>
  </si>
  <si>
    <t>4/26/21 General Credit Card Deposit</t>
  </si>
  <si>
    <t>ID: 5K403625ST666384R 120.00 0.00 120.00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</si>
</sst>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6" x14ac:knownFonts="1">
    <font>
      <sz val="11"/>
      <color theme="1"/>
      <name val="Calibri"/>
      <family val="2"/>
      <scheme val="minor"/>
    </font>
    <font>
      <u/>
      <sz val="11"/>
      <color theme="10"/>
      <name val="Calibri"/>
      <family val="2"/>
      <scheme val="minor"/>
    </font>
    <font>
      <sz val="11"/>
      <color theme="1"/>
      <name val="Calibri"/>
      <family val="2"/>
      <charset val="204"/>
      <scheme val="minor"/>
    </font>
    <font>
      <sz val="27"/>
      <color theme="1" tint="0.249977111117893"/>
      <name val="Calibri"/>
      <family val="2"/>
      <charset val="204"/>
      <scheme val="minor"/>
    </font>
    <font>
      <u/>
      <sz val="11"/>
      <color theme="10"/>
      <name val="Calibri"/>
      <family val="2"/>
      <charset val="204"/>
      <scheme val="minor"/>
    </font>
    <font>
      <sz val="11"/>
      <color theme="10"/>
      <name val="Calibri"/>
      <family val="2"/>
      <charset val="204"/>
      <scheme val="minor"/>
    </font>
    <font>
      <u/>
      <sz val="11"/>
      <color theme="10"/>
      <name val="Calibri"/>
      <family val="2"/>
    </font>
    <font>
      <b/>
      <sz val="11"/>
      <color theme="1"/>
      <name val="Calibri"/>
      <family val="2"/>
      <charset val="204"/>
      <scheme val="minor"/>
    </font>
    <font>
      <sz val="11"/>
      <color theme="10"/>
      <name val="Calibri"/>
      <family val="2"/>
      <scheme val="minor"/>
    </font>
    <font>
      <sz val="11"/>
      <color rgb="FF000000"/>
      <name val="Calibri"/>
      <family val="2"/>
      <scheme val="minor"/>
    </font>
    <font>
      <b/>
      <sz val="11"/>
      <color theme="1"/>
      <name val="Calibri"/>
      <family val="2"/>
      <scheme val="minor"/>
    </font>
    <font>
      <sz val="10"/>
      <name val="Open Sans"/>
      <family val="2"/>
    </font>
    <font>
      <sz val="10"/>
      <name val="Calibri"/>
      <family val="2"/>
      <scheme val="minor"/>
    </font>
    <font>
      <sz val="10"/>
      <name val="Open Sans"/>
      <family val="2"/>
    </font>
    <font>
      <b/>
      <sz val="10"/>
      <name val="Open Sans"/>
      <family val="2"/>
    </font>
    <font>
      <u/>
      <sz val="1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5" tint="0.79998168889431442"/>
        <bgColor indexed="64"/>
      </patternFill>
    </fill>
  </fills>
  <borders count="10">
    <border>
      <left/>
      <right/>
      <top/>
      <bottom/>
      <diagonal/>
    </border>
    <border>
      <left style="thin">
        <color rgb="FF757171"/>
      </left>
      <right style="thin">
        <color rgb="FF757171"/>
      </right>
      <top/>
      <bottom style="thin">
        <color rgb="FF757171"/>
      </bottom>
      <diagonal/>
    </border>
    <border>
      <left style="thin">
        <color rgb="FF757171"/>
      </left>
      <right/>
      <top/>
      <bottom style="thin">
        <color rgb="FF757171"/>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thin">
        <color theme="2" tint="-0.499984740745262"/>
      </bottom>
      <diagonal/>
    </border>
    <border>
      <left style="medium">
        <color rgb="FF3E4446"/>
      </left>
      <right style="medium">
        <color rgb="FF3E4446"/>
      </right>
      <top style="medium">
        <color rgb="FF3E4446"/>
      </top>
      <bottom style="medium">
        <color rgb="FF3E4446"/>
      </bottom>
      <diagonal/>
    </border>
    <border>
      <left style="medium">
        <color rgb="FF3E4446"/>
      </left>
      <right style="medium">
        <color rgb="FF3E4446"/>
      </right>
      <top style="medium">
        <color rgb="FF3E4446"/>
      </top>
      <bottom/>
      <diagonal/>
    </border>
    <border>
      <left style="medium">
        <color rgb="FF3E4446"/>
      </left>
      <right style="medium">
        <color rgb="FF3E4446"/>
      </right>
      <top/>
      <bottom style="medium">
        <color rgb="FF3E4446"/>
      </bottom>
      <diagonal/>
    </border>
    <border>
      <left style="medium">
        <color rgb="FF3E4446"/>
      </left>
      <right style="medium">
        <color rgb="FF3E4446"/>
      </right>
      <top/>
      <bottom/>
      <diagonal/>
    </border>
  </borders>
  <cellStyleXfs count="5">
    <xf numFmtId="0" fontId="0" fillId="0" borderId="0"/>
    <xf numFmtId="0" fontId="1" fillId="0" borderId="0" applyNumberFormat="0" applyFill="0" applyBorder="0" applyAlignment="0" applyProtection="0"/>
    <xf numFmtId="0" fontId="2" fillId="0" borderId="0"/>
    <xf numFmtId="0" fontId="4" fillId="0" borderId="0" applyNumberFormat="0" applyFill="0" applyBorder="0" applyAlignment="0" applyProtection="0"/>
    <xf numFmtId="0" fontId="6" fillId="0" borderId="0" applyNumberFormat="0" applyFill="0" applyBorder="0" applyAlignment="0" applyProtection="0"/>
  </cellStyleXfs>
  <cellXfs count="39">
    <xf numFmtId="0" fontId="0" fillId="0" borderId="0" xfId="0"/>
    <xf numFmtId="0" fontId="0" fillId="0" borderId="0" xfId="0" applyAlignment="1">
      <alignment wrapText="1"/>
    </xf>
    <xf numFmtId="0" fontId="2" fillId="2" borderId="0" xfId="2" applyFill="1"/>
    <xf numFmtId="0" fontId="2" fillId="2" borderId="0" xfId="2" applyFill="1" applyAlignment="1">
      <alignment horizontal="left"/>
    </xf>
    <xf numFmtId="0" fontId="5" fillId="2" borderId="0" xfId="3" applyFont="1" applyFill="1"/>
    <xf numFmtId="164" fontId="2" fillId="2" borderId="0" xfId="2" applyNumberFormat="1" applyFill="1" applyAlignment="1">
      <alignment horizontal="left"/>
    </xf>
    <xf numFmtId="0" fontId="7" fillId="2" borderId="0" xfId="2" applyFont="1" applyFill="1" applyAlignment="1">
      <alignment vertical="top"/>
    </xf>
    <xf numFmtId="0" fontId="2" fillId="2" borderId="0" xfId="2" applyFill="1" applyAlignment="1">
      <alignment vertical="top"/>
    </xf>
    <xf numFmtId="0" fontId="2" fillId="0" borderId="0" xfId="2"/>
    <xf numFmtId="0" fontId="0" fillId="2" borderId="0" xfId="0" applyFill="1" applyAlignment="1">
      <alignment horizontal="right"/>
    </xf>
    <xf numFmtId="49" fontId="9" fillId="0" borderId="0" xfId="0" applyNumberFormat="1" applyFont="1" applyAlignment="1">
      <alignment wrapText="1"/>
    </xf>
    <xf numFmtId="0" fontId="10" fillId="3" borderId="3" xfId="0" applyFont="1" applyFill="1" applyBorder="1"/>
    <xf numFmtId="49" fontId="9" fillId="0" borderId="1" xfId="0" quotePrefix="1" applyNumberFormat="1" applyFont="1" applyBorder="1"/>
    <xf numFmtId="49" fontId="0" fillId="0" borderId="0" xfId="0" quotePrefix="1" applyNumberFormat="1" applyAlignment="1">
      <alignment wrapText="1"/>
    </xf>
    <xf numFmtId="0" fontId="10" fillId="4" borderId="0" xfId="0" applyFont="1" applyFill="1"/>
    <xf numFmtId="0" fontId="10" fillId="4" borderId="0" xfId="0" applyFont="1" applyFill="1" applyAlignment="1">
      <alignment horizontal="left"/>
    </xf>
    <xf numFmtId="0" fontId="0" fillId="0" borderId="0" xfId="0" applyAlignment="1">
      <alignment horizontal="center"/>
    </xf>
    <xf numFmtId="49" fontId="9" fillId="0" borderId="2" xfId="0" quotePrefix="1" applyNumberFormat="1" applyFont="1" applyBorder="1"/>
    <xf numFmtId="0" fontId="10" fillId="5" borderId="4" xfId="0" applyFont="1" applyFill="1" applyBorder="1"/>
    <xf numFmtId="49" fontId="9" fillId="0" borderId="5" xfId="0" quotePrefix="1" applyNumberFormat="1" applyFont="1" applyBorder="1"/>
    <xf numFmtId="0" fontId="10" fillId="3" borderId="4" xfId="0" applyFont="1" applyFill="1" applyBorder="1"/>
    <xf numFmtId="0" fontId="8" fillId="2" borderId="0" xfId="1" applyFont="1" applyFill="1" applyAlignment="1">
      <alignment horizontal="left"/>
    </xf>
    <xf numFmtId="0" fontId="3" fillId="2" borderId="0" xfId="2" applyFont="1" applyFill="1" applyAlignment="1">
      <alignment horizontal="left"/>
    </xf>
    <xf numFmtId="0" fontId="2" fillId="2" borderId="0" xfId="2" applyFill="1" applyAlignment="1">
      <alignment vertical="top" wrapText="1"/>
    </xf>
    <xf numFmtId="0" fontId="8" fillId="0" borderId="0" xfId="1" applyFont="1" applyFill="1"/>
    <xf numFmtId="0" fontId="11" fillId="0" borderId="0" xfId="0" applyFont="1" applyFill="1" applyAlignment="1">
      <alignment horizontal="left" vertical="center" wrapText="1"/>
    </xf>
    <xf numFmtId="0" fontId="12" fillId="0" borderId="0" xfId="0" applyFont="1" applyFill="1"/>
    <xf numFmtId="0" fontId="13" fillId="0" borderId="6" xfId="0" applyFont="1" applyFill="1" applyBorder="1" applyAlignment="1">
      <alignment horizontal="left" vertical="center" wrapText="1" indent="1"/>
    </xf>
    <xf numFmtId="0" fontId="11" fillId="0" borderId="6" xfId="0" applyFont="1" applyFill="1" applyBorder="1" applyAlignment="1">
      <alignment horizontal="left" vertical="center" wrapText="1" indent="1"/>
    </xf>
    <xf numFmtId="0" fontId="11" fillId="0" borderId="7" xfId="0" applyFont="1" applyFill="1" applyBorder="1" applyAlignment="1">
      <alignment horizontal="left" vertical="center" wrapText="1" indent="1"/>
    </xf>
    <xf numFmtId="0" fontId="11" fillId="0" borderId="8" xfId="0" applyFont="1" applyFill="1" applyBorder="1" applyAlignment="1">
      <alignment horizontal="left" vertical="center" wrapText="1" indent="1"/>
    </xf>
    <xf numFmtId="0" fontId="11" fillId="0" borderId="7" xfId="0" applyFont="1" applyFill="1" applyBorder="1" applyAlignment="1">
      <alignment horizontal="left" vertical="center" wrapText="1" indent="1"/>
    </xf>
    <xf numFmtId="0" fontId="11" fillId="0" borderId="9" xfId="0" applyFont="1" applyFill="1" applyBorder="1" applyAlignment="1">
      <alignment horizontal="left" vertical="center" wrapText="1" indent="1"/>
    </xf>
    <xf numFmtId="0" fontId="11" fillId="0" borderId="9" xfId="0" applyFont="1" applyFill="1" applyBorder="1" applyAlignment="1">
      <alignment horizontal="left" vertical="center" wrapText="1" indent="1"/>
    </xf>
    <xf numFmtId="0" fontId="11" fillId="0" borderId="8" xfId="0" applyFont="1" applyFill="1" applyBorder="1" applyAlignment="1">
      <alignment horizontal="left" vertical="center" wrapText="1" indent="1"/>
    </xf>
    <xf numFmtId="0" fontId="12" fillId="0" borderId="9" xfId="0" applyFont="1" applyFill="1" applyBorder="1" applyAlignment="1">
      <alignment horizontal="left" vertical="center" wrapText="1" indent="1"/>
    </xf>
    <xf numFmtId="0" fontId="12" fillId="0" borderId="0" xfId="0" applyFont="1" applyFill="1" applyAlignment="1">
      <alignment horizontal="left" vertical="center" wrapText="1"/>
    </xf>
    <xf numFmtId="0" fontId="14" fillId="0" borderId="0" xfId="0" applyFont="1" applyFill="1" applyAlignment="1">
      <alignment horizontal="left" vertical="center" wrapText="1"/>
    </xf>
    <xf numFmtId="0" fontId="15" fillId="0" borderId="0" xfId="1" applyFont="1" applyFill="1" applyAlignment="1">
      <alignment horizontal="left" vertical="center" wrapText="1"/>
    </xf>
  </cellXfs>
  <cellStyles count="5">
    <cellStyle name="Hyperlink" xfId="1" builtinId="8"/>
    <cellStyle name="Hyperlink 2" xfId="4" xr:uid="{6A9150E6-EDB2-4287-8F4B-1DBC1768BAEA}"/>
    <cellStyle name="Hyperlink 3" xfId="3" xr:uid="{07469FEC-FD65-4E99-9FAB-C8B15CDF9903}"/>
    <cellStyle name="Normal" xfId="0" builtinId="0"/>
    <cellStyle name="Normal 3" xfId="2" xr:uid="{9D147BAB-10E7-4323-89FD-C3A3D9C00A9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ttps://www.ablebits.com" TargetMode="External"/><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hyperlink" Target="https://www.ablebits.com/excel-suite/index-2020.php?visitfrom=xls-books"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166661</xdr:colOff>
      <xdr:row>1</xdr:row>
      <xdr:rowOff>184785</xdr:rowOff>
    </xdr:to>
    <xdr:pic>
      <xdr:nvPicPr>
        <xdr:cNvPr id="2" name="Рисунок 4">
          <a:hlinkClick xmlns:r="http://schemas.openxmlformats.org/officeDocument/2006/relationships" r:id="rId1"/>
          <a:extLst>
            <a:ext uri="{FF2B5EF4-FFF2-40B4-BE49-F238E27FC236}">
              <a16:creationId xmlns:a16="http://schemas.microsoft.com/office/drawing/2014/main" id="{3D42D359-2A97-46B3-BAF9-3AA6145A0D9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14325" y="190500"/>
          <a:ext cx="1214411" cy="184785"/>
        </a:xfrm>
        <a:prstGeom prst="rect">
          <a:avLst/>
        </a:prstGeom>
      </xdr:spPr>
    </xdr:pic>
    <xdr:clientData/>
  </xdr:twoCellAnchor>
  <xdr:twoCellAnchor editAs="oneCell">
    <xdr:from>
      <xdr:col>1</xdr:col>
      <xdr:colOff>9525</xdr:colOff>
      <xdr:row>15</xdr:row>
      <xdr:rowOff>161925</xdr:rowOff>
    </xdr:from>
    <xdr:to>
      <xdr:col>2</xdr:col>
      <xdr:colOff>4984406</xdr:colOff>
      <xdr:row>21</xdr:row>
      <xdr:rowOff>70433</xdr:rowOff>
    </xdr:to>
    <xdr:pic>
      <xdr:nvPicPr>
        <xdr:cNvPr id="3" name="Рисунок 15">
          <a:hlinkClick xmlns:r="http://schemas.openxmlformats.org/officeDocument/2006/relationships" r:id="rId4"/>
          <a:extLst>
            <a:ext uri="{FF2B5EF4-FFF2-40B4-BE49-F238E27FC236}">
              <a16:creationId xmlns:a16="http://schemas.microsoft.com/office/drawing/2014/main" id="{97DC0A98-9824-4C4E-8503-82EAED2829F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23850" y="3705225"/>
          <a:ext cx="6022631" cy="105150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cs.microsoft.com/en-us/dotnet/standard/base-types/regular-expression-language-quick-reference"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ablebits.com/office-addins-blog/excel-regex-formulas/" TargetMode="External"/><Relationship Id="rId1" Type="http://schemas.openxmlformats.org/officeDocument/2006/relationships/hyperlink" Target="https://www.ablebits.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CAB4A-829F-4F27-8E7A-5C65911509A9}">
  <sheetPr codeName="Sheet4"/>
  <dimension ref="A1:C87"/>
  <sheetViews>
    <sheetView topLeftCell="A58" workbookViewId="0">
      <selection activeCell="C67" sqref="C67"/>
    </sheetView>
  </sheetViews>
  <sheetFormatPr defaultRowHeight="12.75" x14ac:dyDescent="0.2"/>
  <cols>
    <col min="1" max="3" width="48.42578125" style="26" customWidth="1"/>
    <col min="4" max="16384" width="9.140625" style="26"/>
  </cols>
  <sheetData>
    <row r="1" spans="1:3" ht="15" x14ac:dyDescent="0.2">
      <c r="A1" s="25" t="s">
        <v>30</v>
      </c>
    </row>
    <row r="3" spans="1:3" ht="30" x14ac:dyDescent="0.2">
      <c r="A3" s="25" t="s">
        <v>31</v>
      </c>
    </row>
    <row r="4" spans="1:3" ht="13.5" thickBot="1" x14ac:dyDescent="0.25"/>
    <row r="5" spans="1:3" ht="15.75" thickBot="1" x14ac:dyDescent="0.25">
      <c r="A5" s="27" t="s">
        <v>1</v>
      </c>
      <c r="B5" s="27" t="s">
        <v>46</v>
      </c>
      <c r="C5" s="27" t="s">
        <v>47</v>
      </c>
    </row>
    <row r="6" spans="1:3" ht="30.75" thickBot="1" x14ac:dyDescent="0.25">
      <c r="A6" s="28" t="s">
        <v>48</v>
      </c>
      <c r="B6" s="28" t="s">
        <v>49</v>
      </c>
      <c r="C6" s="28" t="s">
        <v>50</v>
      </c>
    </row>
    <row r="7" spans="1:3" ht="15.75" thickBot="1" x14ac:dyDescent="0.25">
      <c r="A7" s="28" t="s">
        <v>51</v>
      </c>
      <c r="B7" s="28" t="s">
        <v>52</v>
      </c>
      <c r="C7" s="28" t="s">
        <v>51</v>
      </c>
    </row>
    <row r="8" spans="1:3" ht="15.75" thickBot="1" x14ac:dyDescent="0.25">
      <c r="A8" s="28" t="s">
        <v>53</v>
      </c>
      <c r="B8" s="28" t="s">
        <v>54</v>
      </c>
      <c r="C8" s="28" t="s">
        <v>53</v>
      </c>
    </row>
    <row r="9" spans="1:3" ht="30.75" thickBot="1" x14ac:dyDescent="0.25">
      <c r="A9" s="28" t="s">
        <v>55</v>
      </c>
      <c r="B9" s="28" t="s">
        <v>56</v>
      </c>
      <c r="C9" s="28" t="s">
        <v>57</v>
      </c>
    </row>
    <row r="10" spans="1:3" ht="15.75" thickBot="1" x14ac:dyDescent="0.25">
      <c r="A10" s="28" t="s">
        <v>58</v>
      </c>
      <c r="B10" s="28" t="s">
        <v>59</v>
      </c>
      <c r="C10" s="28" t="s">
        <v>60</v>
      </c>
    </row>
    <row r="11" spans="1:3" ht="15.75" thickBot="1" x14ac:dyDescent="0.25">
      <c r="A11" s="28" t="s">
        <v>61</v>
      </c>
      <c r="B11" s="28" t="s">
        <v>62</v>
      </c>
      <c r="C11" s="28" t="s">
        <v>63</v>
      </c>
    </row>
    <row r="12" spans="1:3" ht="30.75" thickBot="1" x14ac:dyDescent="0.25">
      <c r="A12" s="28" t="s">
        <v>64</v>
      </c>
      <c r="B12" s="28" t="s">
        <v>65</v>
      </c>
      <c r="C12" s="28" t="s">
        <v>66</v>
      </c>
    </row>
    <row r="13" spans="1:3" ht="15.75" thickBot="1" x14ac:dyDescent="0.25">
      <c r="A13" s="28" t="s">
        <v>67</v>
      </c>
      <c r="B13" s="28" t="s">
        <v>68</v>
      </c>
      <c r="C13" s="28"/>
    </row>
    <row r="14" spans="1:3" x14ac:dyDescent="0.2">
      <c r="A14" s="29" t="s">
        <v>69</v>
      </c>
      <c r="B14" s="29" t="s">
        <v>70</v>
      </c>
      <c r="C14" s="29" t="s">
        <v>71</v>
      </c>
    </row>
    <row r="15" spans="1:3" ht="13.5" thickBot="1" x14ac:dyDescent="0.25">
      <c r="A15" s="30"/>
      <c r="B15" s="30"/>
      <c r="C15" s="30"/>
    </row>
    <row r="16" spans="1:3" ht="15" x14ac:dyDescent="0.2">
      <c r="A16" s="29" t="s">
        <v>72</v>
      </c>
      <c r="B16" s="29" t="s">
        <v>73</v>
      </c>
      <c r="C16" s="31" t="s">
        <v>74</v>
      </c>
    </row>
    <row r="17" spans="1:3" ht="15" x14ac:dyDescent="0.2">
      <c r="A17" s="32"/>
      <c r="B17" s="32"/>
      <c r="C17" s="33"/>
    </row>
    <row r="18" spans="1:3" ht="15" x14ac:dyDescent="0.2">
      <c r="A18" s="32"/>
      <c r="B18" s="32"/>
      <c r="C18" s="33"/>
    </row>
    <row r="19" spans="1:3" ht="15.75" thickBot="1" x14ac:dyDescent="0.25">
      <c r="A19" s="30"/>
      <c r="B19" s="30"/>
      <c r="C19" s="34" t="s">
        <v>75</v>
      </c>
    </row>
    <row r="21" spans="1:3" ht="15" x14ac:dyDescent="0.2">
      <c r="A21" s="25" t="s">
        <v>32</v>
      </c>
    </row>
    <row r="23" spans="1:3" ht="30" x14ac:dyDescent="0.2">
      <c r="A23" s="25" t="s">
        <v>33</v>
      </c>
    </row>
    <row r="24" spans="1:3" ht="13.5" thickBot="1" x14ac:dyDescent="0.25"/>
    <row r="25" spans="1:3" ht="15.75" thickBot="1" x14ac:dyDescent="0.25">
      <c r="A25" s="27" t="s">
        <v>1</v>
      </c>
      <c r="B25" s="27" t="s">
        <v>46</v>
      </c>
      <c r="C25" s="27" t="s">
        <v>47</v>
      </c>
    </row>
    <row r="26" spans="1:3" ht="15.75" thickBot="1" x14ac:dyDescent="0.25">
      <c r="A26" s="28" t="s">
        <v>76</v>
      </c>
      <c r="B26" s="28" t="s">
        <v>77</v>
      </c>
      <c r="C26" s="28" t="s">
        <v>78</v>
      </c>
    </row>
    <row r="27" spans="1:3" ht="15.75" thickBot="1" x14ac:dyDescent="0.25">
      <c r="A27" s="28" t="s">
        <v>79</v>
      </c>
      <c r="B27" s="28" t="s">
        <v>80</v>
      </c>
      <c r="C27" s="28" t="s">
        <v>81</v>
      </c>
    </row>
    <row r="28" spans="1:3" ht="15" x14ac:dyDescent="0.2">
      <c r="A28" s="29" t="s">
        <v>82</v>
      </c>
      <c r="B28" s="29" t="s">
        <v>83</v>
      </c>
      <c r="C28" s="31" t="s">
        <v>84</v>
      </c>
    </row>
    <row r="29" spans="1:3" ht="15" x14ac:dyDescent="0.2">
      <c r="A29" s="32"/>
      <c r="B29" s="32"/>
      <c r="C29" s="33" t="s">
        <v>34</v>
      </c>
    </row>
    <row r="30" spans="1:3" ht="15.75" thickBot="1" x14ac:dyDescent="0.25">
      <c r="A30" s="30"/>
      <c r="B30" s="30"/>
      <c r="C30" s="34" t="s">
        <v>85</v>
      </c>
    </row>
    <row r="32" spans="1:3" ht="15" x14ac:dyDescent="0.2">
      <c r="A32" s="25" t="s">
        <v>35</v>
      </c>
    </row>
    <row r="34" spans="1:3" ht="45" x14ac:dyDescent="0.2">
      <c r="A34" s="25" t="s">
        <v>36</v>
      </c>
    </row>
    <row r="35" spans="1:3" ht="13.5" thickBot="1" x14ac:dyDescent="0.25"/>
    <row r="36" spans="1:3" ht="15.75" thickBot="1" x14ac:dyDescent="0.25">
      <c r="A36" s="27" t="s">
        <v>1</v>
      </c>
      <c r="B36" s="27" t="s">
        <v>46</v>
      </c>
      <c r="C36" s="27" t="s">
        <v>47</v>
      </c>
    </row>
    <row r="37" spans="1:3" ht="15.75" thickBot="1" x14ac:dyDescent="0.25">
      <c r="A37" s="28" t="s">
        <v>86</v>
      </c>
      <c r="B37" s="28" t="s">
        <v>87</v>
      </c>
      <c r="C37" s="28" t="s">
        <v>88</v>
      </c>
    </row>
    <row r="38" spans="1:3" ht="15.75" thickBot="1" x14ac:dyDescent="0.25">
      <c r="A38" s="28" t="s">
        <v>89</v>
      </c>
      <c r="B38" s="28" t="s">
        <v>90</v>
      </c>
      <c r="C38" s="28" t="s">
        <v>91</v>
      </c>
    </row>
    <row r="39" spans="1:3" ht="15.75" thickBot="1" x14ac:dyDescent="0.25">
      <c r="A39" s="28" t="s">
        <v>92</v>
      </c>
      <c r="B39" s="28" t="s">
        <v>93</v>
      </c>
      <c r="C39" s="28" t="s">
        <v>94</v>
      </c>
    </row>
    <row r="40" spans="1:3" ht="15.75" thickBot="1" x14ac:dyDescent="0.25">
      <c r="A40" s="28" t="s">
        <v>95</v>
      </c>
      <c r="B40" s="28" t="s">
        <v>96</v>
      </c>
      <c r="C40" s="28" t="s">
        <v>97</v>
      </c>
    </row>
    <row r="41" spans="1:3" ht="15.75" thickBot="1" x14ac:dyDescent="0.25">
      <c r="A41" s="28" t="s">
        <v>98</v>
      </c>
      <c r="B41" s="28" t="s">
        <v>99</v>
      </c>
      <c r="C41" s="28" t="s">
        <v>100</v>
      </c>
    </row>
    <row r="42" spans="1:3" ht="15.75" thickBot="1" x14ac:dyDescent="0.25">
      <c r="A42" s="28" t="s">
        <v>101</v>
      </c>
      <c r="B42" s="28" t="s">
        <v>102</v>
      </c>
      <c r="C42" s="28" t="s">
        <v>103</v>
      </c>
    </row>
    <row r="43" spans="1:3" ht="15.75" thickBot="1" x14ac:dyDescent="0.25">
      <c r="A43" s="28" t="s">
        <v>104</v>
      </c>
      <c r="B43" s="28" t="s">
        <v>105</v>
      </c>
      <c r="C43" s="28" t="s">
        <v>106</v>
      </c>
    </row>
    <row r="44" spans="1:3" ht="15.75" thickBot="1" x14ac:dyDescent="0.25">
      <c r="A44" s="28" t="s">
        <v>107</v>
      </c>
      <c r="B44" s="28" t="s">
        <v>108</v>
      </c>
      <c r="C44" s="28" t="s">
        <v>109</v>
      </c>
    </row>
    <row r="45" spans="1:3" ht="30.75" thickBot="1" x14ac:dyDescent="0.25">
      <c r="A45" s="28" t="s">
        <v>110</v>
      </c>
      <c r="B45" s="28" t="s">
        <v>111</v>
      </c>
      <c r="C45" s="28" t="s">
        <v>112</v>
      </c>
    </row>
    <row r="47" spans="1:3" ht="15" x14ac:dyDescent="0.2">
      <c r="A47" s="25" t="s">
        <v>37</v>
      </c>
    </row>
    <row r="49" spans="1:3" ht="45" x14ac:dyDescent="0.2">
      <c r="A49" s="25" t="s">
        <v>38</v>
      </c>
    </row>
    <row r="50" spans="1:3" ht="13.5" thickBot="1" x14ac:dyDescent="0.25"/>
    <row r="51" spans="1:3" ht="15.75" thickBot="1" x14ac:dyDescent="0.25">
      <c r="A51" s="27" t="s">
        <v>113</v>
      </c>
      <c r="B51" s="27" t="s">
        <v>46</v>
      </c>
      <c r="C51" s="27" t="s">
        <v>47</v>
      </c>
    </row>
    <row r="52" spans="1:3" ht="30.75" thickBot="1" x14ac:dyDescent="0.25">
      <c r="A52" s="28" t="s">
        <v>114</v>
      </c>
      <c r="B52" s="28" t="s">
        <v>115</v>
      </c>
      <c r="C52" s="28" t="s">
        <v>116</v>
      </c>
    </row>
    <row r="53" spans="1:3" ht="30.75" thickBot="1" x14ac:dyDescent="0.25">
      <c r="A53" s="28" t="s">
        <v>117</v>
      </c>
      <c r="B53" s="28" t="s">
        <v>118</v>
      </c>
      <c r="C53" s="28" t="s">
        <v>119</v>
      </c>
    </row>
    <row r="54" spans="1:3" ht="15.75" thickBot="1" x14ac:dyDescent="0.25">
      <c r="A54" s="28" t="s">
        <v>120</v>
      </c>
      <c r="B54" s="28" t="s">
        <v>121</v>
      </c>
      <c r="C54" s="29" t="s">
        <v>122</v>
      </c>
    </row>
    <row r="55" spans="1:3" ht="15.75" thickBot="1" x14ac:dyDescent="0.25">
      <c r="A55" s="28" t="s">
        <v>123</v>
      </c>
      <c r="B55" s="28" t="s">
        <v>124</v>
      </c>
      <c r="C55" s="30"/>
    </row>
    <row r="57" spans="1:3" ht="15" x14ac:dyDescent="0.2">
      <c r="A57" s="25" t="s">
        <v>39</v>
      </c>
    </row>
    <row r="59" spans="1:3" ht="30" x14ac:dyDescent="0.2">
      <c r="A59" s="25" t="s">
        <v>40</v>
      </c>
    </row>
    <row r="60" spans="1:3" ht="13.5" thickBot="1" x14ac:dyDescent="0.25"/>
    <row r="61" spans="1:3" ht="15.75" thickBot="1" x14ac:dyDescent="0.25">
      <c r="A61" s="27" t="s">
        <v>125</v>
      </c>
      <c r="B61" s="27" t="s">
        <v>46</v>
      </c>
      <c r="C61" s="27" t="s">
        <v>47</v>
      </c>
    </row>
    <row r="62" spans="1:3" ht="15" x14ac:dyDescent="0.2">
      <c r="A62" s="29" t="s">
        <v>126</v>
      </c>
      <c r="B62" s="31" t="s">
        <v>127</v>
      </c>
      <c r="C62" s="29" t="s">
        <v>128</v>
      </c>
    </row>
    <row r="63" spans="1:3" x14ac:dyDescent="0.2">
      <c r="A63" s="32"/>
      <c r="B63" s="35"/>
      <c r="C63" s="32"/>
    </row>
    <row r="64" spans="1:3" ht="15.75" thickBot="1" x14ac:dyDescent="0.25">
      <c r="A64" s="30"/>
      <c r="B64" s="34" t="s">
        <v>41</v>
      </c>
      <c r="C64" s="30"/>
    </row>
    <row r="65" spans="1:3" ht="15.75" thickBot="1" x14ac:dyDescent="0.25">
      <c r="A65" s="28" t="s">
        <v>129</v>
      </c>
      <c r="B65" s="28" t="s">
        <v>130</v>
      </c>
      <c r="C65" s="28" t="s">
        <v>131</v>
      </c>
    </row>
    <row r="66" spans="1:3" ht="15.75" thickBot="1" x14ac:dyDescent="0.25">
      <c r="A66" s="28" t="s">
        <v>132</v>
      </c>
      <c r="B66" s="28" t="s">
        <v>133</v>
      </c>
      <c r="C66" s="28" t="s">
        <v>134</v>
      </c>
    </row>
    <row r="67" spans="1:3" ht="15.75" thickBot="1" x14ac:dyDescent="0.25">
      <c r="A67" s="28" t="s">
        <v>135</v>
      </c>
      <c r="B67" s="28" t="s">
        <v>136</v>
      </c>
      <c r="C67" s="28" t="s">
        <v>137</v>
      </c>
    </row>
    <row r="69" spans="1:3" ht="15" x14ac:dyDescent="0.2">
      <c r="A69" s="25" t="s">
        <v>42</v>
      </c>
    </row>
    <row r="71" spans="1:3" ht="30" x14ac:dyDescent="0.2">
      <c r="A71" s="25" t="s">
        <v>43</v>
      </c>
    </row>
    <row r="72" spans="1:3" ht="13.5" thickBot="1" x14ac:dyDescent="0.25"/>
    <row r="73" spans="1:3" ht="15.75" thickBot="1" x14ac:dyDescent="0.25">
      <c r="A73" s="27" t="s">
        <v>138</v>
      </c>
      <c r="B73" s="27" t="s">
        <v>46</v>
      </c>
      <c r="C73" s="27" t="s">
        <v>47</v>
      </c>
    </row>
    <row r="74" spans="1:3" ht="30.75" thickBot="1" x14ac:dyDescent="0.25">
      <c r="A74" s="28" t="s">
        <v>139</v>
      </c>
      <c r="B74" s="28" t="s">
        <v>140</v>
      </c>
      <c r="C74" s="28" t="s">
        <v>141</v>
      </c>
    </row>
    <row r="76" spans="1:3" ht="15" x14ac:dyDescent="0.2">
      <c r="A76" s="25" t="s">
        <v>44</v>
      </c>
    </row>
    <row r="78" spans="1:3" ht="90" x14ac:dyDescent="0.2">
      <c r="A78" s="25" t="s">
        <v>45</v>
      </c>
    </row>
    <row r="79" spans="1:3" x14ac:dyDescent="0.2">
      <c r="A79" s="36"/>
    </row>
    <row r="80" spans="1:3" ht="30.75" thickBot="1" x14ac:dyDescent="0.25">
      <c r="A80" s="37" t="s">
        <v>155</v>
      </c>
    </row>
    <row r="81" spans="1:3" ht="15.75" thickBot="1" x14ac:dyDescent="0.25">
      <c r="A81" s="27" t="s">
        <v>1</v>
      </c>
      <c r="B81" s="27" t="s">
        <v>46</v>
      </c>
      <c r="C81" s="27" t="s">
        <v>47</v>
      </c>
    </row>
    <row r="82" spans="1:3" ht="15.75" thickBot="1" x14ac:dyDescent="0.25">
      <c r="A82" s="28" t="s">
        <v>142</v>
      </c>
      <c r="B82" s="28" t="s">
        <v>143</v>
      </c>
      <c r="C82" s="28" t="s">
        <v>144</v>
      </c>
    </row>
    <row r="83" spans="1:3" ht="15.75" thickBot="1" x14ac:dyDescent="0.25">
      <c r="A83" s="28" t="s">
        <v>145</v>
      </c>
      <c r="B83" s="28" t="s">
        <v>146</v>
      </c>
      <c r="C83" s="28" t="s">
        <v>147</v>
      </c>
    </row>
    <row r="84" spans="1:3" ht="15.75" thickBot="1" x14ac:dyDescent="0.25">
      <c r="A84" s="28" t="s">
        <v>148</v>
      </c>
      <c r="B84" s="28" t="s">
        <v>149</v>
      </c>
      <c r="C84" s="28" t="s">
        <v>150</v>
      </c>
    </row>
    <row r="85" spans="1:3" ht="15.75" thickBot="1" x14ac:dyDescent="0.25">
      <c r="A85" s="28" t="s">
        <v>151</v>
      </c>
      <c r="B85" s="28" t="s">
        <v>152</v>
      </c>
      <c r="C85" s="28" t="s">
        <v>153</v>
      </c>
    </row>
    <row r="87" spans="1:3" ht="63.75" x14ac:dyDescent="0.2">
      <c r="A87" s="38" t="s">
        <v>154</v>
      </c>
    </row>
  </sheetData>
  <mergeCells count="10">
    <mergeCell ref="C54:C55"/>
    <mergeCell ref="A62:A64"/>
    <mergeCell ref="C62:C64"/>
    <mergeCell ref="A14:A15"/>
    <mergeCell ref="B14:B15"/>
    <mergeCell ref="C14:C15"/>
    <mergeCell ref="A16:A19"/>
    <mergeCell ref="B16:B19"/>
    <mergeCell ref="A28:A30"/>
    <mergeCell ref="B28:B30"/>
  </mergeCells>
  <hyperlinks>
    <hyperlink ref="A87" r:id="rId1" display="https://docs.microsoft.com/en-us/dotnet/standard/base-types/regular-expression-language-quick-reference" xr:uid="{909D8BEE-3F18-4689-A8CD-2C23959548E2}"/>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D2BD4-F411-4DB8-88BD-7737D5B9B9E9}">
  <sheetPr codeName="Sheet1"/>
  <dimension ref="A2:G18"/>
  <sheetViews>
    <sheetView showGridLines="0" workbookViewId="0">
      <selection activeCell="B6" sqref="B6:C6"/>
    </sheetView>
  </sheetViews>
  <sheetFormatPr defaultColWidth="9.140625" defaultRowHeight="15" x14ac:dyDescent="0.25"/>
  <cols>
    <col min="1" max="1" width="4.7109375" style="2" customWidth="1"/>
    <col min="2" max="2" width="15.7109375" style="2" customWidth="1"/>
    <col min="3" max="3" width="84.7109375" style="2" customWidth="1"/>
    <col min="4" max="16384" width="9.140625" style="2"/>
  </cols>
  <sheetData>
    <row r="2" spans="1:4" ht="18.75" customHeight="1" x14ac:dyDescent="0.25"/>
    <row r="3" spans="1:4" ht="15" customHeight="1" x14ac:dyDescent="0.25"/>
    <row r="4" spans="1:4" ht="35.25" x14ac:dyDescent="0.55000000000000004">
      <c r="B4" s="22" t="s">
        <v>28</v>
      </c>
      <c r="C4" s="22"/>
    </row>
    <row r="5" spans="1:4" ht="15.75" customHeight="1" x14ac:dyDescent="0.25"/>
    <row r="6" spans="1:4" ht="44.25" customHeight="1" x14ac:dyDescent="0.25">
      <c r="B6" s="23" t="s">
        <v>29</v>
      </c>
      <c r="C6" s="23"/>
    </row>
    <row r="7" spans="1:4" x14ac:dyDescent="0.25">
      <c r="B7" s="3" t="s">
        <v>3</v>
      </c>
      <c r="C7" s="4" t="s">
        <v>4</v>
      </c>
    </row>
    <row r="8" spans="1:4" x14ac:dyDescent="0.25">
      <c r="B8" s="3" t="s">
        <v>5</v>
      </c>
      <c r="C8" s="5">
        <v>44489</v>
      </c>
    </row>
    <row r="9" spans="1:4" x14ac:dyDescent="0.25">
      <c r="B9" s="3" t="s">
        <v>6</v>
      </c>
      <c r="C9" s="24" t="s">
        <v>23</v>
      </c>
      <c r="D9" s="24"/>
    </row>
    <row r="10" spans="1:4" x14ac:dyDescent="0.25">
      <c r="B10" s="3"/>
      <c r="C10" s="4"/>
    </row>
    <row r="11" spans="1:4" x14ac:dyDescent="0.25">
      <c r="B11" s="6" t="s">
        <v>7</v>
      </c>
      <c r="C11" s="7"/>
    </row>
    <row r="12" spans="1:4" x14ac:dyDescent="0.25">
      <c r="A12" s="9" t="s">
        <v>8</v>
      </c>
      <c r="B12" s="21" t="s">
        <v>24</v>
      </c>
      <c r="C12" s="21"/>
    </row>
    <row r="13" spans="1:4" x14ac:dyDescent="0.25">
      <c r="A13" s="9" t="s">
        <v>8</v>
      </c>
      <c r="B13" s="21" t="s">
        <v>25</v>
      </c>
      <c r="C13" s="21"/>
    </row>
    <row r="14" spans="1:4" x14ac:dyDescent="0.25">
      <c r="A14" s="9" t="s">
        <v>8</v>
      </c>
      <c r="B14" s="21" t="s">
        <v>26</v>
      </c>
      <c r="C14" s="21"/>
    </row>
    <row r="15" spans="1:4" x14ac:dyDescent="0.25">
      <c r="A15" s="9" t="s">
        <v>8</v>
      </c>
      <c r="B15" s="21" t="s">
        <v>27</v>
      </c>
      <c r="C15" s="21"/>
    </row>
    <row r="16" spans="1:4" s="8" customFormat="1" x14ac:dyDescent="0.25"/>
    <row r="18" spans="7:7" x14ac:dyDescent="0.25">
      <c r="G18" s="2" t="s">
        <v>2</v>
      </c>
    </row>
  </sheetData>
  <mergeCells count="7">
    <mergeCell ref="B14:C14"/>
    <mergeCell ref="B15:C15"/>
    <mergeCell ref="B4:C4"/>
    <mergeCell ref="B6:C6"/>
    <mergeCell ref="C9:D9"/>
    <mergeCell ref="B12:C12"/>
    <mergeCell ref="B13:C13"/>
  </mergeCells>
  <hyperlinks>
    <hyperlink ref="C7" r:id="rId1" display="https://www.Ablebits.com" xr:uid="{75D596D5-700D-4832-B91C-E24E00CCBD28}"/>
    <hyperlink ref="C9:D9" r:id="rId2" display="Excel RegEx: using regular expressions in formulas" xr:uid="{E9D9561B-F2CE-49AC-B004-FAF58F7D44E4}"/>
    <hyperlink ref="B12:C12" location="'Regex Match'!A1" display="Match strings using regular expressions " xr:uid="{721795B0-CBDC-429E-AB8C-C7FDBEAB4C93}"/>
    <hyperlink ref="B13:C13" location="'Regex Extract'!A1" display="Extract strings matching a regex" xr:uid="{E19E2002-3610-4E5B-AB64-B9DB634EF751}"/>
    <hyperlink ref="B14:C14" location="'Regex Replace'!A1" display="Replace strings matching a regex" xr:uid="{86034D59-FD9A-409D-A0ED-91FC6B1A049F}"/>
    <hyperlink ref="B15:C15" location="'Regex Remove'!A1" display="Remove strings using regular expressions " xr:uid="{64466BEA-82AC-422A-8AB2-61E7104C2EE8}"/>
  </hyperlink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96675-E4EE-4E93-8542-CA2AF897DB7E}">
  <sheetPr codeName="Sheet2"/>
  <dimension ref="A1:C9"/>
  <sheetViews>
    <sheetView workbookViewId="0">
      <selection activeCell="D5" sqref="D5"/>
    </sheetView>
  </sheetViews>
  <sheetFormatPr defaultRowHeight="15" x14ac:dyDescent="0.25"/>
  <cols>
    <col min="1" max="1" width="37.140625" customWidth="1"/>
    <col min="2" max="3" width="18.85546875" customWidth="1"/>
  </cols>
  <sheetData>
    <row r="1" spans="1:3" x14ac:dyDescent="0.25">
      <c r="A1" s="11" t="s">
        <v>1</v>
      </c>
    </row>
    <row r="2" spans="1:3" x14ac:dyDescent="0.25">
      <c r="A2" s="12" t="s">
        <v>17</v>
      </c>
    </row>
    <row r="3" spans="1:3" x14ac:dyDescent="0.25">
      <c r="A3" s="13"/>
    </row>
    <row r="4" spans="1:3" x14ac:dyDescent="0.25">
      <c r="A4" s="14" t="s">
        <v>0</v>
      </c>
      <c r="B4" s="15" t="s">
        <v>10</v>
      </c>
      <c r="C4" s="15" t="s">
        <v>10</v>
      </c>
    </row>
    <row r="5" spans="1:3" ht="45" x14ac:dyDescent="0.25">
      <c r="A5" s="10" t="s">
        <v>14</v>
      </c>
      <c r="B5" t="b" cm="1">
        <f t="array" ref="B5">RegExpMatch(A5, $A$2)</f>
        <v>1</v>
      </c>
      <c r="C5" s="16" t="str" cm="1">
        <f t="array" ref="C5">IF(RegExpMatch(A5, $A$2), "Yes", "No")</f>
        <v>Yes</v>
      </c>
    </row>
    <row r="6" spans="1:3" ht="45" x14ac:dyDescent="0.25">
      <c r="A6" s="10" t="s">
        <v>15</v>
      </c>
      <c r="B6" t="b" cm="1">
        <f t="array" ref="B6">RegExpMatch(A6, $A$2)</f>
        <v>1</v>
      </c>
      <c r="C6" s="16" t="str" cm="1">
        <f t="array" ref="C6">IF(RegExpMatch(A6, $A$2), "Yes", "No")</f>
        <v>Yes</v>
      </c>
    </row>
    <row r="7" spans="1:3" ht="45" x14ac:dyDescent="0.25">
      <c r="A7" s="10" t="s">
        <v>11</v>
      </c>
      <c r="B7" t="b" cm="1">
        <f t="array" ref="B7">RegExpMatch(A7, $A$2)</f>
        <v>1</v>
      </c>
      <c r="C7" s="16" t="str" cm="1">
        <f t="array" ref="C7">IF(RegExpMatch(A7, $A$2), "Yes", "No")</f>
        <v>Yes</v>
      </c>
    </row>
    <row r="8" spans="1:3" ht="45" x14ac:dyDescent="0.25">
      <c r="A8" s="10" t="s">
        <v>18</v>
      </c>
      <c r="B8" t="b" cm="1">
        <f t="array" ref="B8">RegExpMatch(A8, $A$2)</f>
        <v>0</v>
      </c>
      <c r="C8" s="16" t="str" cm="1">
        <f t="array" ref="C8">IF(RegExpMatch(A8, $A$2), "Yes", "No")</f>
        <v>No</v>
      </c>
    </row>
    <row r="9" spans="1:3" ht="45" x14ac:dyDescent="0.25">
      <c r="A9" s="10" t="s">
        <v>16</v>
      </c>
      <c r="B9" t="b" cm="1">
        <f t="array" ref="B9">RegExpMatch(A9, $A$2)</f>
        <v>1</v>
      </c>
      <c r="C9" s="16" t="str" cm="1">
        <f t="array" ref="C9">IF(RegExpMatch(A9, $A$2), "Yes", "No")</f>
        <v>Yes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FB7E7-E73A-4BD3-8110-225FDDBC8254}">
  <sheetPr codeName="Sheet3"/>
  <dimension ref="A1:M9"/>
  <sheetViews>
    <sheetView tabSelected="1" workbookViewId="0">
      <selection activeCell="M5" sqref="M5"/>
    </sheetView>
  </sheetViews>
  <sheetFormatPr defaultRowHeight="15" x14ac:dyDescent="0.25"/>
  <cols>
    <col min="1" max="1" width="37.140625" bestFit="1" customWidth="1"/>
    <col min="2" max="2" width="27.42578125" customWidth="1"/>
  </cols>
  <sheetData>
    <row r="1" spans="1:13" x14ac:dyDescent="0.25">
      <c r="A1" s="11" t="s">
        <v>1</v>
      </c>
    </row>
    <row r="2" spans="1:13" x14ac:dyDescent="0.25">
      <c r="A2" s="12" t="s">
        <v>9</v>
      </c>
    </row>
    <row r="3" spans="1:13" x14ac:dyDescent="0.25">
      <c r="A3" s="13"/>
    </row>
    <row r="4" spans="1:13" x14ac:dyDescent="0.25">
      <c r="A4" s="14" t="s">
        <v>0</v>
      </c>
      <c r="B4" s="15" t="s">
        <v>12</v>
      </c>
    </row>
    <row r="5" spans="1:13" ht="45" x14ac:dyDescent="0.25">
      <c r="A5" s="10" t="s">
        <v>14</v>
      </c>
      <c r="B5" t="str" cm="1">
        <f t="array" ref="B5">RegExpExtract(A5, $A$2)</f>
        <v>1034567</v>
      </c>
      <c r="C5" t="str" cm="1">
        <f t="array" ref="C5">RegExpExtract(A5,"^.*(?=\s\$)")</f>
        <v>Chain frame CH-1101 I/O 1034567</v>
      </c>
      <c r="H5" t="s">
        <v>156</v>
      </c>
      <c r="L5" t="str" cm="1">
        <f t="array" ref="L5">RegExpExtract(H5,"\d\/\d{2}\/\d{2}")</f>
        <v>4/26/21</v>
      </c>
      <c r="M5" t="str" cm="1">
        <f t="array" ref="M5">TRIM(RegExpExtract(H5,"\s\w.*$"))</f>
        <v>General Credit Card Deposit</v>
      </c>
    </row>
    <row r="6" spans="1:13" ht="45" x14ac:dyDescent="0.25">
      <c r="A6" s="10" t="s">
        <v>15</v>
      </c>
      <c r="B6" t="str" cm="1">
        <f t="array" ref="B6">RegExpExtract(A6, $A$2)</f>
        <v/>
      </c>
      <c r="H6" t="s">
        <v>157</v>
      </c>
    </row>
    <row r="7" spans="1:13" ht="45" x14ac:dyDescent="0.25">
      <c r="A7" s="10" t="s">
        <v>11</v>
      </c>
      <c r="B7" t="str" cm="1">
        <f t="array" ref="B7">RegExpExtract(A7, $A$2)</f>
        <v/>
      </c>
    </row>
    <row r="8" spans="1:13" ht="45" x14ac:dyDescent="0.25">
      <c r="A8" s="10" t="s">
        <v>18</v>
      </c>
      <c r="B8" t="str" cm="1">
        <f t="array" ref="B8">RegExpExtract(A8, $A$2)</f>
        <v>1038765</v>
      </c>
    </row>
    <row r="9" spans="1:13" ht="45" x14ac:dyDescent="0.25">
      <c r="A9" s="10" t="s">
        <v>16</v>
      </c>
      <c r="B9" t="str" cm="1">
        <f t="array" ref="B9">RegExpExtract(A9, $A$2)</f>
        <v>1033877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5809A-9026-402C-8D5A-79EED6DD14D7}">
  <sheetPr codeName="Sheet10"/>
  <dimension ref="A1:B10"/>
  <sheetViews>
    <sheetView zoomScaleNormal="100" workbookViewId="0">
      <selection activeCell="B5" sqref="B5"/>
    </sheetView>
  </sheetViews>
  <sheetFormatPr defaultRowHeight="15" x14ac:dyDescent="0.25"/>
  <cols>
    <col min="1" max="1" width="38.42578125" customWidth="1"/>
    <col min="2" max="2" width="37.42578125" customWidth="1"/>
  </cols>
  <sheetData>
    <row r="1" spans="1:2" x14ac:dyDescent="0.25">
      <c r="A1" s="11" t="s">
        <v>1</v>
      </c>
      <c r="B1" s="18" t="s">
        <v>19</v>
      </c>
    </row>
    <row r="2" spans="1:2" x14ac:dyDescent="0.25">
      <c r="A2" s="17" t="s">
        <v>13</v>
      </c>
      <c r="B2" s="19" t="s">
        <v>20</v>
      </c>
    </row>
    <row r="3" spans="1:2" x14ac:dyDescent="0.25">
      <c r="A3" s="13"/>
    </row>
    <row r="4" spans="1:2" x14ac:dyDescent="0.25">
      <c r="A4" s="14" t="s">
        <v>0</v>
      </c>
      <c r="B4" s="15" t="s">
        <v>21</v>
      </c>
    </row>
    <row r="5" spans="1:2" ht="45" x14ac:dyDescent="0.25">
      <c r="A5" s="10" t="s">
        <v>14</v>
      </c>
      <c r="B5" s="1" t="str" cm="1">
        <f t="array" ref="B5">RegExpReplace(A5, $A$2, $B$2)</f>
        <v>Chain frame CH-1101 I/O 1034567 $10.99
+1 123.237.4567 
XXXX XXXX XXXX XXXX</v>
      </c>
    </row>
    <row r="6" spans="1:2" ht="45" x14ac:dyDescent="0.25">
      <c r="A6" s="10" t="s">
        <v>15</v>
      </c>
      <c r="B6" s="1" t="str" cm="1">
        <f t="array" ref="B6">RegExpReplace(A6, $A$2, $B$2)</f>
        <v>20x Leaf puzzle  LP-4900
XXXX XXXX XXXX XXXX
 $7.49 8(541) 754-3010</v>
      </c>
    </row>
    <row r="7" spans="1:2" ht="45" x14ac:dyDescent="0.25">
      <c r="A7" s="10" t="s">
        <v>11</v>
      </c>
      <c r="B7" s="1" t="str" cm="1">
        <f t="array" ref="B7">RegExpReplace(A7, $A$2, $B$2)</f>
        <v>Metal shelf $49.99 MS-7009
(123).345.4567  
XXXX XXXX XXXX XXXX</v>
      </c>
    </row>
    <row r="8" spans="1:2" ht="45" x14ac:dyDescent="0.25">
      <c r="A8" s="10" t="s">
        <v>18</v>
      </c>
      <c r="B8" s="1" t="str" cm="1">
        <f t="array" ref="B8">RegExpReplace(A8, $A$2, $B$2)</f>
        <v>GL 100 Golder Units tel: 1234567899
 I/O 1038765 $25.50
Visa XXXX XXXX XXXX XXXX</v>
      </c>
    </row>
    <row r="9" spans="1:2" ht="45" x14ac:dyDescent="0.25">
      <c r="A9" s="10" t="s">
        <v>16</v>
      </c>
      <c r="B9" s="1" t="str" cm="1">
        <f t="array" ref="B9">RegExpReplace(A9, $A$2, $B$2)</f>
        <v>Case sandpaper
 I/O 1033877
CS-1901</v>
      </c>
    </row>
    <row r="10" spans="1:2" x14ac:dyDescent="0.25">
      <c r="B10" t="str" cm="1">
        <f t="array" ref="B10">RegExpReplace(A10, $A$2, "--")</f>
        <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8319C-25EA-4547-8497-4BB531058577}">
  <sheetPr codeName="Sheet12"/>
  <dimension ref="A1:B10"/>
  <sheetViews>
    <sheetView zoomScaleNormal="100" workbookViewId="0">
      <selection activeCell="B5" sqref="B5"/>
    </sheetView>
  </sheetViews>
  <sheetFormatPr defaultRowHeight="15" x14ac:dyDescent="0.25"/>
  <cols>
    <col min="1" max="1" width="38.42578125" customWidth="1"/>
    <col min="2" max="2" width="37.42578125" customWidth="1"/>
  </cols>
  <sheetData>
    <row r="1" spans="1:2" x14ac:dyDescent="0.25">
      <c r="A1" s="20" t="s">
        <v>1</v>
      </c>
    </row>
    <row r="2" spans="1:2" x14ac:dyDescent="0.25">
      <c r="A2" s="19" t="s">
        <v>13</v>
      </c>
    </row>
    <row r="3" spans="1:2" x14ac:dyDescent="0.25">
      <c r="A3" s="13"/>
    </row>
    <row r="4" spans="1:2" x14ac:dyDescent="0.25">
      <c r="A4" s="14" t="s">
        <v>0</v>
      </c>
      <c r="B4" s="15" t="s">
        <v>22</v>
      </c>
    </row>
    <row r="5" spans="1:2" ht="45" x14ac:dyDescent="0.25">
      <c r="A5" s="10" t="s">
        <v>14</v>
      </c>
      <c r="B5" s="1" t="str" cm="1">
        <f t="array" ref="B5">RegExpReplace(A5, $A$2, "")</f>
        <v xml:space="preserve">Chain frame CH-1101 I/O 1034567 $10.99
+1 123.237.4567 
</v>
      </c>
    </row>
    <row r="6" spans="1:2" ht="45" x14ac:dyDescent="0.25">
      <c r="A6" s="10" t="s">
        <v>15</v>
      </c>
      <c r="B6" s="1" t="str" cm="1">
        <f t="array" ref="B6">RegExpReplace(A6, $A$2, "")</f>
        <v>20x Leaf puzzle  LP-4900
 $7.49 8(541) 754-3010</v>
      </c>
    </row>
    <row r="7" spans="1:2" ht="45" x14ac:dyDescent="0.25">
      <c r="A7" s="10" t="s">
        <v>11</v>
      </c>
      <c r="B7" s="1" t="str" cm="1">
        <f t="array" ref="B7">RegExpReplace(A7, $A$2, "")</f>
        <v xml:space="preserve">Metal shelf $49.99 MS-7009
(123).345.4567  
</v>
      </c>
    </row>
    <row r="8" spans="1:2" ht="45" x14ac:dyDescent="0.25">
      <c r="A8" s="10" t="s">
        <v>18</v>
      </c>
      <c r="B8" s="1" t="str" cm="1">
        <f t="array" ref="B8">RegExpReplace(A8, $A$2, "")</f>
        <v xml:space="preserve">GL 100 Golder Units tel: 1234567899
 I/O 1038765 $25.50
Visa </v>
      </c>
    </row>
    <row r="9" spans="1:2" ht="45" x14ac:dyDescent="0.25">
      <c r="A9" s="10" t="s">
        <v>16</v>
      </c>
      <c r="B9" s="1" t="str" cm="1">
        <f t="array" ref="B9">RegExpReplace(A9, $A$2, "")</f>
        <v>Case sandpaper
 I/O 1033877
CS-1901</v>
      </c>
    </row>
    <row r="10" spans="1:2" x14ac:dyDescent="0.25">
      <c r="B10" t="str" cm="1">
        <f t="array" ref="B10">RegExpReplace(A10, $A$2, "--")</f>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Cheat Sheet</vt:lpstr>
      <vt:lpstr>Excel Regex - Examples</vt:lpstr>
      <vt:lpstr>Regex Match</vt:lpstr>
      <vt:lpstr>Regex Extract</vt:lpstr>
      <vt:lpstr>Regex Replace</vt:lpstr>
      <vt:lpstr>Regex Remove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dc:creator>
  <cp:lastModifiedBy>Dhaval Baxi</cp:lastModifiedBy>
  <cp:lastPrinted>2021-10-20T16:04:47Z</cp:lastPrinted>
  <dcterms:created xsi:type="dcterms:W3CDTF">2021-08-12T14:00:42Z</dcterms:created>
  <dcterms:modified xsi:type="dcterms:W3CDTF">2022-08-29T12:44:41Z</dcterms:modified>
</cp:coreProperties>
</file>