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GB Personal Data\personal\"/>
    </mc:Choice>
  </mc:AlternateContent>
  <xr:revisionPtr revIDLastSave="0" documentId="13_ncr:1_{E48E6D16-B23D-4CE0-92E7-B70CF0C93F97}" xr6:coauthVersionLast="47" xr6:coauthVersionMax="47" xr10:uidLastSave="{00000000-0000-0000-0000-000000000000}"/>
  <bookViews>
    <workbookView xWindow="-120" yWindow="-120" windowWidth="20730" windowHeight="11040" xr2:uid="{52AFB984-C438-4DF1-985D-18FD175C0E99}"/>
  </bookViews>
  <sheets>
    <sheet name="Sheet1" sheetId="1" r:id="rId1"/>
  </sheets>
  <functionGroups builtInGroupCount="19">
    <functionGroup name="xlwings"/>
  </functionGroups>
  <definedNames>
    <definedName name="_xleta.LAMBDA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find_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3" i="1"/>
  <c r="G23" i="1" a="1"/>
  <c r="G23" i="1" s="1"/>
  <c r="G21" i="1" a="1"/>
  <c r="G21" i="1"/>
  <c r="J4" i="1"/>
  <c r="J5" i="1" s="1"/>
  <c r="J6" i="1" s="1"/>
  <c r="D19" i="1"/>
  <c r="G3" i="1" a="1"/>
  <c r="G3" i="1" s="1"/>
  <c r="G19" i="1" s="1"/>
  <c r="E3" i="1" a="1"/>
  <c r="E3" i="1" s="1"/>
  <c r="H3" i="1" s="1" a="1"/>
  <c r="H3" i="1" s="1"/>
  <c r="I3" i="1" s="1" a="1"/>
  <c r="I3" i="1" s="1"/>
  <c r="J19" i="1" a="1"/>
  <c r="R19" i="1" l="1"/>
  <c r="J19" i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<sst xmlns="http://schemas.openxmlformats.org/spreadsheetml/2006/main" count="15" uniqueCount="15">
  <si>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Invest Date</t>
  </si>
  <si>
    <t>NAV</t>
  </si>
  <si>
    <t>Units</t>
  </si>
  <si>
    <t>Amount</t>
  </si>
  <si>
    <t>Quarters</t>
  </si>
  <si>
    <t>Current NAV</t>
  </si>
  <si>
    <t>Current Amount</t>
  </si>
  <si>
    <t>(Quarterly Compounded)</t>
  </si>
  <si>
    <t>WA Rate Annualized</t>
  </si>
  <si>
    <t>&lt;&lt;&lt; Overall Weighted Average Return - Annualized - Derived By Goal Seek</t>
  </si>
  <si>
    <t>Derived Current Amount</t>
  </si>
  <si>
    <t>Individual WA Return</t>
  </si>
  <si>
    <t>Latest NAV Date</t>
  </si>
  <si>
    <t>Failed MAP + LAMBDA - as single values are not allowed as inputs in this combination - Workaround - use range OR xlwings add-in (Python Required)</t>
  </si>
  <si>
    <t>&lt;&lt;&lt;Overall Weighted Average Return using xlwings add-in (Python required)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</si>
</sst>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/yyyy;@"/>
    <numFmt numFmtId="165" formatCode="0.0000"/>
    <numFmt numFmtId="166" formatCode="#,##0.00_)_)_);\(\ #,##0.00\ \)_);_-* &quot; - &quot;????_-;_-@_-"/>
    <numFmt numFmtId="167" formatCode="#,##0.000"/>
    <numFmt numFmtId="168" formatCode="0.000%"/>
    <numFmt numFmtId="169" formatCode="0.0000%"/>
    <numFmt numFmtId="170" formatCode="#,##0.000_)_)_);\(\ #,##0.000\ \)_);_-* &quot; - &quot;??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166" fontId="2" fillId="0" borderId="1" xfId="0" applyNumberFormat="1" applyFont="1" applyBorder="1" applyAlignment="1">
      <alignment vertical="top"/>
    </xf>
    <xf numFmtId="167" fontId="2" fillId="0" borderId="1" xfId="0" applyNumberFormat="1" applyFont="1" applyBorder="1" applyAlignment="1">
      <alignment horizontal="center" vertical="top"/>
    </xf>
    <xf numFmtId="14" fontId="0" fillId="0" borderId="0" xfId="0" applyNumberFormat="1"/>
    <xf numFmtId="168" fontId="0" fillId="0" borderId="0" xfId="1" applyNumberFormat="1" applyFont="1"/>
    <xf numFmtId="169" fontId="0" fillId="0" borderId="0" xfId="1" applyNumberFormat="1" applyFont="1"/>
    <xf numFmtId="170" fontId="2" fillId="0" borderId="1" xfId="0" applyNumberFormat="1" applyFont="1" applyBorder="1" applyAlignment="1">
      <alignment vertical="top"/>
    </xf>
    <xf numFmtId="169" fontId="2" fillId="0" borderId="1" xfId="1" applyNumberFormat="1" applyFont="1" applyBorder="1" applyAlignment="1">
      <alignment horizontal="center" vertical="top"/>
    </xf>
    <xf numFmtId="169" fontId="2" fillId="0" borderId="1" xfId="1" applyNumberFormat="1" applyFont="1" applyBorder="1" applyAlignment="1">
      <alignment vertical="top"/>
    </xf>
    <xf numFmtId="0" fontId="0" fillId="0" borderId="0" xfId="0" applyAlignment="1">
      <alignment horizontal="right"/>
    </xf>
    <xf numFmtId="169" fontId="0" fillId="0" borderId="0" xfId="1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1B7E9-CE76-4662-A5D6-F541A7728E3D}">
  <sheetPr codeName="Sheet1"/>
  <dimension ref="A1:R23"/>
  <sheetViews>
    <sheetView tabSelected="1" topLeftCell="C1" workbookViewId="0">
      <selection activeCell="R1" sqref="R1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8" bestFit="1" customWidth="1"/>
    <col min="9" max="9" width="17" style="8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8" x14ac:dyDescent="0.25">
      <c r="A1" s="1" t="s">
        <v>0</v>
      </c>
      <c r="B1" s="2" t="s">
        <v>2</v>
      </c>
      <c r="C1" s="3" t="s">
        <v>1</v>
      </c>
      <c r="D1" s="4" t="s">
        <v>3</v>
      </c>
      <c r="E1" s="1" t="s">
        <v>4</v>
      </c>
      <c r="F1" s="2" t="s">
        <v>5</v>
      </c>
      <c r="G1" s="2" t="s">
        <v>6</v>
      </c>
      <c r="H1" s="10" t="s">
        <v>11</v>
      </c>
      <c r="I1" s="10" t="s">
        <v>8</v>
      </c>
      <c r="L1" s="12" t="s">
        <v>12</v>
      </c>
      <c r="M1" s="6">
        <v>45275</v>
      </c>
      <c r="R1" s="7">
        <v>0.29780942470846566</v>
      </c>
    </row>
    <row r="2" spans="1:18" x14ac:dyDescent="0.25">
      <c r="A2" s="1"/>
      <c r="B2" s="2"/>
      <c r="C2" s="3"/>
      <c r="D2" s="4"/>
      <c r="E2" s="1"/>
      <c r="F2" s="2"/>
      <c r="G2" s="2"/>
      <c r="H2" s="10" t="s">
        <v>7</v>
      </c>
      <c r="I2" s="10"/>
      <c r="M2" s="6"/>
    </row>
    <row r="3" spans="1:18" x14ac:dyDescent="0.25">
      <c r="A3" s="1">
        <v>44425</v>
      </c>
      <c r="B3" s="2">
        <v>41.524999999999999</v>
      </c>
      <c r="C3" s="3">
        <v>963.27509999999995</v>
      </c>
      <c r="D3" s="4">
        <v>40000</v>
      </c>
      <c r="E3" s="3" cm="1">
        <f t="array" ref="E3:E17">(($M$1-A3:A17)/365)*4</f>
        <v>9.3150684931506849</v>
      </c>
      <c r="F3" s="9">
        <v>1614.4929999999999</v>
      </c>
      <c r="G3" s="4" cm="1">
        <f t="array" ref="G3:G17">ROUND(B3:B17*F3:F17,2)</f>
        <v>67041.820000000007</v>
      </c>
      <c r="H3" s="11" cm="1">
        <f t="array" ref="H3:H17">((F3:F17/C3:C17)^(1/_xlfn.ANCHORARRAY(E3)))-1</f>
        <v>5.7006708731860867E-2</v>
      </c>
      <c r="I3" s="11" cm="1">
        <f t="array" ref="I3:I17">H3:H17*4</f>
        <v>0.22802683492744347</v>
      </c>
      <c r="J3" s="7">
        <v>0.29780942564600188</v>
      </c>
      <c r="K3" t="s">
        <v>9</v>
      </c>
      <c r="R3" s="14">
        <f>D3*((1+($R$1/4))^E3)</f>
        <v>78085.527216290444</v>
      </c>
    </row>
    <row r="4" spans="1:18" x14ac:dyDescent="0.25">
      <c r="A4" s="1">
        <v>45055</v>
      </c>
      <c r="B4" s="2">
        <v>45.19</v>
      </c>
      <c r="C4" s="3">
        <v>1261.9635000000001</v>
      </c>
      <c r="D4" s="4">
        <v>57028.13</v>
      </c>
      <c r="E4" s="3">
        <v>2.4109589041095889</v>
      </c>
      <c r="F4" s="9">
        <v>1614.4929999999999</v>
      </c>
      <c r="G4" s="4">
        <v>72958.94</v>
      </c>
      <c r="H4" s="11">
        <v>0.10758298100793273</v>
      </c>
      <c r="I4" s="11">
        <v>0.43033192403173093</v>
      </c>
      <c r="J4" s="7">
        <f>J3</f>
        <v>0.29780942564600188</v>
      </c>
      <c r="R4" s="14">
        <f t="shared" ref="R4:R17" si="0">D4*((1+($R$1/4))^E4)</f>
        <v>67807.869352911526</v>
      </c>
    </row>
    <row r="5" spans="1:18" x14ac:dyDescent="0.25">
      <c r="A5" s="1">
        <v>44515</v>
      </c>
      <c r="B5" s="5">
        <v>132.726</v>
      </c>
      <c r="C5" s="3">
        <v>301.37279999999998</v>
      </c>
      <c r="D5" s="4">
        <v>40000</v>
      </c>
      <c r="E5" s="3">
        <v>8.3287671232876708</v>
      </c>
      <c r="F5" s="9">
        <v>452.59399999999999</v>
      </c>
      <c r="G5" s="4">
        <v>60070.99</v>
      </c>
      <c r="H5" s="11">
        <v>5.0035996427666207E-2</v>
      </c>
      <c r="I5" s="11">
        <v>0.20014398571066483</v>
      </c>
      <c r="J5" s="7">
        <f t="shared" ref="J5:J17" si="1">J4</f>
        <v>0.29780942564600188</v>
      </c>
      <c r="R5" s="14">
        <f t="shared" si="0"/>
        <v>72746.249155538826</v>
      </c>
    </row>
    <row r="6" spans="1:18" x14ac:dyDescent="0.25">
      <c r="A6" s="1">
        <v>45055</v>
      </c>
      <c r="B6" s="5">
        <v>158.62299999999999</v>
      </c>
      <c r="C6" s="3">
        <v>357.96890000000002</v>
      </c>
      <c r="D6" s="4">
        <v>56782.1</v>
      </c>
      <c r="E6" s="3">
        <v>2.4109589041095889</v>
      </c>
      <c r="F6" s="9">
        <v>452.59399999999999</v>
      </c>
      <c r="G6" s="4">
        <v>71791.820000000007</v>
      </c>
      <c r="H6" s="11">
        <v>0.10217409578219327</v>
      </c>
      <c r="I6" s="11">
        <v>0.4086963831287731</v>
      </c>
      <c r="J6" s="7">
        <f t="shared" si="1"/>
        <v>0.29780942564600188</v>
      </c>
      <c r="R6" s="14">
        <f t="shared" si="0"/>
        <v>67515.333544760404</v>
      </c>
    </row>
    <row r="7" spans="1:18" x14ac:dyDescent="0.25">
      <c r="A7" s="1">
        <v>45061</v>
      </c>
      <c r="B7" s="2">
        <v>19.597999999999999</v>
      </c>
      <c r="C7" s="3">
        <v>1275.6404</v>
      </c>
      <c r="D7" s="4">
        <v>25000</v>
      </c>
      <c r="E7" s="3">
        <v>2.3452054794520549</v>
      </c>
      <c r="F7" s="9">
        <v>1614.4929999999999</v>
      </c>
      <c r="G7" s="4">
        <v>31640.83</v>
      </c>
      <c r="H7" s="11">
        <v>0.10566682846586017</v>
      </c>
      <c r="I7" s="11">
        <v>0.4226673138634407</v>
      </c>
      <c r="J7" s="7">
        <f t="shared" si="1"/>
        <v>0.29780942564600188</v>
      </c>
      <c r="R7" s="14">
        <f t="shared" si="0"/>
        <v>29585.595367538608</v>
      </c>
    </row>
    <row r="8" spans="1:18" x14ac:dyDescent="0.25">
      <c r="A8" s="1">
        <v>45061</v>
      </c>
      <c r="B8" s="5">
        <v>69.391000000000005</v>
      </c>
      <c r="C8" s="3">
        <v>360.27730000000003</v>
      </c>
      <c r="D8" s="4">
        <v>25000</v>
      </c>
      <c r="E8" s="3">
        <v>2.3452054794520549</v>
      </c>
      <c r="F8" s="9">
        <v>452.59399999999999</v>
      </c>
      <c r="G8" s="4">
        <v>31405.95</v>
      </c>
      <c r="H8" s="11">
        <v>0.10215947949863557</v>
      </c>
      <c r="I8" s="11">
        <v>0.4086379179945423</v>
      </c>
      <c r="J8" s="7">
        <f t="shared" si="1"/>
        <v>0.29780942564600188</v>
      </c>
      <c r="R8" s="14">
        <f t="shared" si="0"/>
        <v>29585.595367538608</v>
      </c>
    </row>
    <row r="9" spans="1:18" x14ac:dyDescent="0.25">
      <c r="A9" s="1">
        <v>45061</v>
      </c>
      <c r="B9" s="5">
        <v>163.78100000000001</v>
      </c>
      <c r="C9" s="3">
        <v>152.6429</v>
      </c>
      <c r="D9" s="4">
        <v>25000</v>
      </c>
      <c r="E9" s="3">
        <v>2.3452054794520549</v>
      </c>
      <c r="F9" s="9">
        <v>191.785</v>
      </c>
      <c r="G9" s="4">
        <v>31410.74</v>
      </c>
      <c r="H9" s="11">
        <v>0.10223104908196912</v>
      </c>
      <c r="I9" s="11">
        <v>0.40892419632787647</v>
      </c>
      <c r="J9" s="7">
        <f t="shared" si="1"/>
        <v>0.29780942564600188</v>
      </c>
      <c r="R9" s="14">
        <f t="shared" si="0"/>
        <v>29585.595367538608</v>
      </c>
    </row>
    <row r="10" spans="1:18" x14ac:dyDescent="0.25">
      <c r="A10" s="1">
        <v>45179</v>
      </c>
      <c r="B10" s="5">
        <v>287.59800000000001</v>
      </c>
      <c r="C10" s="3">
        <v>173.85380000000001</v>
      </c>
      <c r="D10" s="4">
        <v>50000</v>
      </c>
      <c r="E10" s="3">
        <v>1.0520547945205478</v>
      </c>
      <c r="F10" s="9">
        <v>191.785</v>
      </c>
      <c r="G10" s="4">
        <v>55156.98</v>
      </c>
      <c r="H10" s="11">
        <v>9.7794700863904627E-2</v>
      </c>
      <c r="I10" s="11">
        <v>0.39117880345561851</v>
      </c>
      <c r="J10" s="7">
        <f t="shared" si="1"/>
        <v>0.29780942564600188</v>
      </c>
      <c r="R10" s="14">
        <f t="shared" si="0"/>
        <v>53923.814776057967</v>
      </c>
    </row>
    <row r="11" spans="1:18" x14ac:dyDescent="0.25">
      <c r="A11" s="1">
        <v>44428</v>
      </c>
      <c r="B11" s="2">
        <v>3936.8110000000001</v>
      </c>
      <c r="C11" s="3">
        <v>10.160500000000001</v>
      </c>
      <c r="D11" s="4">
        <v>40000</v>
      </c>
      <c r="E11" s="3">
        <v>9.2821917808219183</v>
      </c>
      <c r="F11" s="9">
        <v>15.24</v>
      </c>
      <c r="G11" s="4">
        <v>59997</v>
      </c>
      <c r="H11" s="11">
        <v>4.4644610700087295E-2</v>
      </c>
      <c r="I11" s="11">
        <v>0.17857844280034918</v>
      </c>
      <c r="J11" s="7">
        <f t="shared" si="1"/>
        <v>0.29780942564600188</v>
      </c>
      <c r="R11" s="14">
        <f t="shared" si="0"/>
        <v>77901.391550394546</v>
      </c>
    </row>
    <row r="12" spans="1:18" x14ac:dyDescent="0.25">
      <c r="A12" s="1">
        <v>45055</v>
      </c>
      <c r="B12" s="2">
        <v>662.94</v>
      </c>
      <c r="C12" s="3">
        <v>76.543899999999994</v>
      </c>
      <c r="D12" s="4">
        <v>50744</v>
      </c>
      <c r="E12" s="3">
        <v>2.4109589041095889</v>
      </c>
      <c r="F12" s="9">
        <v>95.4</v>
      </c>
      <c r="G12" s="4">
        <v>63244.480000000003</v>
      </c>
      <c r="H12" s="11">
        <v>9.564016928426633E-2</v>
      </c>
      <c r="I12" s="11">
        <v>0.38256067713706532</v>
      </c>
      <c r="J12" s="7">
        <f t="shared" si="1"/>
        <v>0.29780942564600188</v>
      </c>
      <c r="R12" s="14">
        <f t="shared" si="0"/>
        <v>60335.882001463884</v>
      </c>
    </row>
    <row r="13" spans="1:18" x14ac:dyDescent="0.25">
      <c r="A13" s="1">
        <v>45055</v>
      </c>
      <c r="B13" s="2">
        <v>1349.46</v>
      </c>
      <c r="C13" s="3">
        <v>59.283000000000001</v>
      </c>
      <c r="D13" s="4">
        <v>80000</v>
      </c>
      <c r="E13" s="3">
        <v>2.4109589041095889</v>
      </c>
      <c r="F13" s="9">
        <v>74.61</v>
      </c>
      <c r="G13" s="4">
        <v>100683.21</v>
      </c>
      <c r="H13" s="11">
        <v>0.10007438624696752</v>
      </c>
      <c r="I13" s="11">
        <v>0.40029754498787007</v>
      </c>
      <c r="J13" s="7">
        <f t="shared" si="1"/>
        <v>0.29780942564600188</v>
      </c>
      <c r="R13" s="14">
        <f t="shared" si="0"/>
        <v>95121.995903301096</v>
      </c>
    </row>
    <row r="14" spans="1:18" x14ac:dyDescent="0.25">
      <c r="A14" s="1">
        <v>45084</v>
      </c>
      <c r="B14" s="2">
        <v>562.79100000000005</v>
      </c>
      <c r="C14" s="3">
        <v>78.893900000000002</v>
      </c>
      <c r="D14" s="4">
        <v>44400.79</v>
      </c>
      <c r="E14" s="3">
        <v>2.0931506849315067</v>
      </c>
      <c r="F14" s="9">
        <v>95.4</v>
      </c>
      <c r="G14" s="4">
        <v>53690.26</v>
      </c>
      <c r="H14" s="11">
        <v>9.5006334662951941E-2</v>
      </c>
      <c r="I14" s="11">
        <v>0.38002533865180776</v>
      </c>
      <c r="J14" s="7">
        <f t="shared" si="1"/>
        <v>0.29780942564600188</v>
      </c>
      <c r="R14" s="14">
        <f t="shared" si="0"/>
        <v>51602.426993350367</v>
      </c>
    </row>
    <row r="15" spans="1:18" x14ac:dyDescent="0.25">
      <c r="A15" s="1">
        <v>45055</v>
      </c>
      <c r="B15" s="2">
        <v>272.86</v>
      </c>
      <c r="C15" s="3">
        <v>254.90010000000001</v>
      </c>
      <c r="D15" s="4">
        <v>69552.039999999994</v>
      </c>
      <c r="E15" s="3">
        <v>2.4109589041095889</v>
      </c>
      <c r="F15" s="9">
        <v>333.85610000000003</v>
      </c>
      <c r="G15" s="4">
        <v>91095.98</v>
      </c>
      <c r="H15" s="11">
        <v>0.11842516341533793</v>
      </c>
      <c r="I15" s="11">
        <v>0.47370065366135172</v>
      </c>
      <c r="J15" s="7">
        <f t="shared" si="1"/>
        <v>0.29780942564600188</v>
      </c>
      <c r="R15" s="14">
        <f t="shared" si="0"/>
        <v>82699.110799327915</v>
      </c>
    </row>
    <row r="16" spans="1:18" x14ac:dyDescent="0.25">
      <c r="A16" s="1">
        <v>45056</v>
      </c>
      <c r="B16" s="2">
        <v>172.976</v>
      </c>
      <c r="C16" s="3">
        <v>255.55009999999999</v>
      </c>
      <c r="D16" s="4">
        <v>44204.03</v>
      </c>
      <c r="E16" s="3">
        <v>2.4</v>
      </c>
      <c r="F16" s="9">
        <v>333.85610000000003</v>
      </c>
      <c r="G16" s="4">
        <v>57749.09</v>
      </c>
      <c r="H16" s="11">
        <v>0.11781008932718584</v>
      </c>
      <c r="I16" s="11">
        <v>0.47124035730874336</v>
      </c>
      <c r="J16" s="7">
        <f t="shared" si="1"/>
        <v>0.29780942564600188</v>
      </c>
      <c r="R16" s="14">
        <f t="shared" si="0"/>
        <v>52518.347827882943</v>
      </c>
    </row>
    <row r="17" spans="1:18" x14ac:dyDescent="0.25">
      <c r="A17" s="1">
        <v>45179</v>
      </c>
      <c r="B17" s="2">
        <v>164.74299999999999</v>
      </c>
      <c r="C17" s="3">
        <v>303.50299999999999</v>
      </c>
      <c r="D17" s="4">
        <v>50000</v>
      </c>
      <c r="E17" s="3">
        <v>1.0520547945205478</v>
      </c>
      <c r="F17" s="9">
        <v>333.85610000000003</v>
      </c>
      <c r="G17" s="4">
        <v>55000.46</v>
      </c>
      <c r="H17" s="11">
        <v>9.4833485248714045E-2</v>
      </c>
      <c r="I17" s="11">
        <v>0.37933394099485618</v>
      </c>
      <c r="J17" s="7">
        <f t="shared" si="1"/>
        <v>0.29780942564600188</v>
      </c>
      <c r="R17" s="14">
        <f t="shared" si="0"/>
        <v>53923.814776057967</v>
      </c>
    </row>
    <row r="18" spans="1:18" s="12" customFormat="1" x14ac:dyDescent="0.25">
      <c r="H18" s="13"/>
      <c r="I18" s="13"/>
      <c r="R18" s="14"/>
    </row>
    <row r="19" spans="1:18" s="12" customFormat="1" x14ac:dyDescent="0.25">
      <c r="D19" s="14">
        <f>SUM(D3:D17)</f>
        <v>697711.09000000008</v>
      </c>
      <c r="G19" s="14">
        <f>SUM(_xlfn.ANCHORARRAY(G3))</f>
        <v>902938.54999999993</v>
      </c>
      <c r="H19" s="13"/>
      <c r="I19" s="13"/>
      <c r="J19" s="16" cm="1">
        <f t="array" ref="J19">wa_return(D3:D17,_xlfn.ANCHORARRAY(E3),G19)</f>
        <v>0.29780942470852234</v>
      </c>
      <c r="K19" s="15" t="s">
        <v>14</v>
      </c>
      <c r="R19" s="14">
        <f>SUM(R3:R17)</f>
        <v>902938.54999995371</v>
      </c>
    </row>
    <row r="20" spans="1:18" s="12" customFormat="1" x14ac:dyDescent="0.25">
      <c r="H20" s="13"/>
      <c r="I20" s="13"/>
    </row>
    <row r="21" spans="1:18" s="12" customFormat="1" x14ac:dyDescent="0.25">
      <c r="D21" s="15" t="s">
        <v>10</v>
      </c>
      <c r="G21" s="14" cm="1">
        <f t="array" ref="G21">SUM(_xlfn.MAP(D3:D17,J3:J17,_xlfn.ANCHORARRAY(E3),_xlfn.LAMBDA(_xlpm.x,_xlpm.y,_xlpm.z,_xlpm.x*((1+(_xlpm.y/4))^_xlpm.z))))</f>
        <v>902938.55076617375</v>
      </c>
      <c r="H21" s="13"/>
      <c r="I21" s="13"/>
    </row>
    <row r="23" spans="1:18" x14ac:dyDescent="0.25">
      <c r="G23" s="14" t="e" cm="1">
        <f t="array" ref="G23">SUM(_xlfn.MAP(D3:D17,J3,_xlfn.ANCHORARRAY(E3),_xlfn.LAMBDA(_xlpm.x,_xlpm.y,_xlpm.z,_xlpm.x*((1+(_xlpm.y/4))^_xlpm.z))))</f>
        <v>#N/A</v>
      </c>
      <c r="H23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2023-12-18T04:55:07Z</dcterms:created>
  <dcterms:modified xsi:type="dcterms:W3CDTF">2023-12-18T12:53:35Z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2023-12-18T10:54:16Z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ad5621c1-7525-469f-89aa-585ef8aa946a</vt:lpwstr>
  </property>
  <property fmtid="{D5CDD505-2E9C-101B-9397-08002B2CF9AE}" pid="8" name="MSIP_Label_defa4170-0d19-0005-0004-bc88714345d2_ContentBits">
    <vt:lpwstr>0</vt:lpwstr>
  </property>
</Properties>
</file>