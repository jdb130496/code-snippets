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02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"/>
    </mc:Choice>
  </mc:AlternateContent>
  <xr:revisionPtr revIDLastSave="20" documentId="8_{4CA77991-E4DB-480C-8C25-0149AA2FF026}" xr6:coauthVersionLast="47" xr6:coauthVersionMax="47" xr10:uidLastSave="{5A5DEBCB-441C-41F4-B809-0C0332D2E56E}"/>
  <bookViews>
    <workbookView xWindow="-120" yWindow="-120" windowWidth="20730" windowHeight="11040" xr2:uid="{994047CB-AAE1-4306-B7E5-B86FCE6E6DF8}"/>
  </bookViews>
  <sheets>
    <sheet name="Tata Technologies" sheetId="3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">
          <x14:argumentDescriptions count="1">
            <x14:argumentDescription index="0">Positional argument 1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nvesting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" i="3" l="1"/>
  <c r="U2" i="3"/>
  <c r="S2" i="3"/>
  <c r="R2" i="3"/>
  <c r="S5" i="3"/>
  <c r="T5" i="3" s="1"/>
  <c r="U5" i="3" s="1"/>
  <c r="A1" i="3" a="1"/>
  <c r="A1" i="3" l="1"/>
  <c r="T2" i="3"/>
  <c r="V2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<sst xmlns="http://schemas.openxmlformats.org/spreadsheetml/2006/main" count="9" uniqueCount="9">
  <si>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STDEV</t>
  </si>
  <si>
    <t>MEAN</t>
  </si>
  <si>
    <t>COV</t>
  </si>
  <si>
    <t>MEDIAN</t>
  </si>
  <si>
    <t>COV - Median</t>
  </si>
  <si>
    <t>Days</t>
  </si>
  <si>
    <t>Years</t>
  </si>
  <si>
    <t>Quarters</t>
  </si>
  <si>
    <t>CAGR Quarterly Compounded Annualized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</si>
</sst>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m/yyyy"/>
    <numFmt numFmtId="165" formatCode="0.0000%"/>
  </numFmts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">
    <xf numFmtId="0" fontId="0" fillId="0" borderId="0" xfId="0"/>
    <xf numFmtId="164" fontId="0" fillId="0" borderId="0" xfId="0" applyNumberFormat="1"/>
    <xf numFmtId="165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FB1F0-32CF-4694-97CD-0347113CDD05}">
  <sheetPr codeName="Sheet1"/>
  <dimension ref="A1:V96"/>
  <sheetViews>
    <sheetView tabSelected="1" workbookViewId="0"/>
  </sheetViews>
  <sheetFormatPr defaultRowHeight="15" x14ac:dyDescent="0.25"/>
  <cols>
    <col min="1" max="1" width="14.42578125" bestFit="1" customWidth="1"/>
    <col min="2" max="2" width="11.85546875" style="1" bestFit="1" customWidth="1"/>
    <col min="3" max="3" width="12" bestFit="1" customWidth="1"/>
    <col min="4" max="4" width="18.42578125" style="1" bestFit="1" customWidth="1"/>
    <col min="5" max="5" width="9.85546875" bestFit="1" customWidth="1"/>
    <col min="6" max="6" width="9.5703125" bestFit="1" customWidth="1"/>
    <col min="7" max="7" width="8.85546875" bestFit="1" customWidth="1"/>
    <col min="8" max="8" width="8.5703125" bestFit="1" customWidth="1"/>
    <col min="9" max="9" width="7.7109375" bestFit="1" customWidth="1"/>
    <col min="10" max="10" width="11.140625" bestFit="1" customWidth="1"/>
    <col min="11" max="11" width="15" bestFit="1" customWidth="1"/>
    <col min="12" max="12" width="13.7109375" bestFit="1" customWidth="1"/>
    <col min="13" max="13" width="13.42578125" bestFit="1" customWidth="1"/>
    <col min="14" max="14" width="12.5703125" bestFit="1" customWidth="1"/>
    <col min="15" max="15" width="12.28515625" bestFit="1" customWidth="1"/>
    <col min="16" max="16" width="18.85546875" bestFit="1" customWidth="1"/>
    <col min="21" max="21" width="12" customWidth="1"/>
  </cols>
  <sheetData>
    <row r="1" spans="1:22" x14ac:dyDescent="0.25">
      <c r="A1" t="str" cm="1">
        <f t="array" ref="A1:P96">get_url_data_id_new("1202623","01/01/2018","19/04/2024")</f>
        <v>direction_color</v>
      </c>
      <c r="B1" s="1" t="str">
        <v>rowDate</v>
      </c>
      <c r="C1" t="str">
        <v>rowDateRaw</v>
      </c>
      <c r="D1" s="1" t="str">
        <v>rowDateTimestamp</v>
      </c>
      <c r="E1" t="str">
        <v>last_close</v>
      </c>
      <c r="F1" t="str">
        <v>last_open</v>
      </c>
      <c r="G1" t="str">
        <v>last_max</v>
      </c>
      <c r="H1" t="str">
        <v>last_min</v>
      </c>
      <c r="I1" t="str">
        <v>volume</v>
      </c>
      <c r="J1" t="str">
        <v>volumeRaw</v>
      </c>
      <c r="K1" t="str">
        <v>change_precent</v>
      </c>
      <c r="L1" t="str">
        <v>last_closeRaw</v>
      </c>
      <c r="M1" t="str">
        <v>last_openRaw</v>
      </c>
      <c r="N1" t="str">
        <v>last_maxRaw</v>
      </c>
      <c r="O1" t="str">
        <v>last_minRaw</v>
      </c>
      <c r="P1" t="str">
        <v>change_precentRaw</v>
      </c>
      <c r="R1" t="s">
        <v>0</v>
      </c>
      <c r="S1" t="s">
        <v>1</v>
      </c>
      <c r="T1" t="s">
        <v>2</v>
      </c>
      <c r="U1" t="s">
        <v>3</v>
      </c>
      <c r="V1" t="s">
        <v>4</v>
      </c>
    </row>
    <row r="2" spans="1:22" x14ac:dyDescent="0.25">
      <c r="A2" t="str">
        <v>redFont</v>
      </c>
      <c r="B2" s="1">
        <v>45401</v>
      </c>
      <c r="C2">
        <v>1713484800</v>
      </c>
      <c r="D2" s="1">
        <v>45401</v>
      </c>
      <c r="E2">
        <v>1038</v>
      </c>
      <c r="F2">
        <v>1040.25</v>
      </c>
      <c r="G2">
        <v>1044.95</v>
      </c>
      <c r="H2">
        <v>1033.55</v>
      </c>
      <c r="I2" t="str">
        <v>311.96K</v>
      </c>
      <c r="J2">
        <v>311957</v>
      </c>
      <c r="K2">
        <v>-1.07</v>
      </c>
      <c r="L2">
        <v>1038</v>
      </c>
      <c r="M2">
        <v>1040.25</v>
      </c>
      <c r="N2">
        <v>1044.949951171875</v>
      </c>
      <c r="O2">
        <v>1033.550048828125</v>
      </c>
      <c r="P2">
        <v>-1.0721944245889921</v>
      </c>
      <c r="R2">
        <f>_xlfn.STDEV.S(L2:L96)</f>
        <v>60.371201830864074</v>
      </c>
      <c r="S2">
        <f>AVERAGE(L2:L96)</f>
        <v>1128.8215801038241</v>
      </c>
      <c r="T2" s="2">
        <f>R2/S2</f>
        <v>5.3481615602451002E-2</v>
      </c>
      <c r="U2">
        <f>MEDIAN(L2:L96)</f>
        <v>1130.25</v>
      </c>
      <c r="V2" s="2">
        <f>R2/U2</f>
        <v>5.3414025066015551E-2</v>
      </c>
    </row>
    <row r="3" spans="1:22" x14ac:dyDescent="0.25">
      <c r="A3" t="str">
        <v>redFont</v>
      </c>
      <c r="B3" s="1">
        <v>45400</v>
      </c>
      <c r="C3">
        <v>1713398400</v>
      </c>
      <c r="D3" s="1">
        <v>45400</v>
      </c>
      <c r="E3">
        <v>1049.25</v>
      </c>
      <c r="F3">
        <v>1068</v>
      </c>
      <c r="G3">
        <v>1071.6500000000001</v>
      </c>
      <c r="H3">
        <v>1047.05</v>
      </c>
      <c r="I3" t="str">
        <v>809.39K</v>
      </c>
      <c r="J3">
        <v>809389</v>
      </c>
      <c r="K3">
        <v>-0.45</v>
      </c>
      <c r="L3">
        <v>1049.25</v>
      </c>
      <c r="M3">
        <v>1068</v>
      </c>
      <c r="N3">
        <v>1071.6500244140625</v>
      </c>
      <c r="O3">
        <v>1047.050048828125</v>
      </c>
      <c r="P3">
        <v>-0.45066413662239091</v>
      </c>
    </row>
    <row r="4" spans="1:22" x14ac:dyDescent="0.25">
      <c r="A4" t="str">
        <v>redFont</v>
      </c>
      <c r="B4" s="1">
        <v>45398</v>
      </c>
      <c r="C4">
        <v>1713225600</v>
      </c>
      <c r="D4" s="1">
        <v>45398</v>
      </c>
      <c r="E4">
        <v>1054</v>
      </c>
      <c r="F4">
        <v>1060</v>
      </c>
      <c r="G4">
        <v>1081.7</v>
      </c>
      <c r="H4">
        <v>1050</v>
      </c>
      <c r="I4" t="str">
        <v>1.26M</v>
      </c>
      <c r="J4">
        <v>1259361</v>
      </c>
      <c r="K4">
        <v>-1.07</v>
      </c>
      <c r="L4">
        <v>1054</v>
      </c>
      <c r="M4">
        <v>1060</v>
      </c>
      <c r="N4">
        <v>1081.699951171875</v>
      </c>
      <c r="O4">
        <v>1050</v>
      </c>
      <c r="P4">
        <v>-1.0746587541987629</v>
      </c>
      <c r="R4" t="s">
        <v>5</v>
      </c>
      <c r="S4" t="s">
        <v>6</v>
      </c>
      <c r="T4" t="s">
        <v>7</v>
      </c>
      <c r="U4" t="s">
        <v>8</v>
      </c>
    </row>
    <row r="5" spans="1:22" x14ac:dyDescent="0.25">
      <c r="A5" t="str">
        <v>redFont</v>
      </c>
      <c r="B5" s="1">
        <v>45397</v>
      </c>
      <c r="C5">
        <v>1713139200</v>
      </c>
      <c r="D5" s="1">
        <v>45397</v>
      </c>
      <c r="E5">
        <v>1065.45</v>
      </c>
      <c r="F5">
        <v>1062</v>
      </c>
      <c r="G5">
        <v>1074.3</v>
      </c>
      <c r="H5">
        <v>1050.3499999999999</v>
      </c>
      <c r="I5" t="str">
        <v>1.07M</v>
      </c>
      <c r="J5">
        <v>1068842</v>
      </c>
      <c r="K5">
        <v>-2.2799999999999998</v>
      </c>
      <c r="L5">
        <v>1065.449951171875</v>
      </c>
      <c r="M5">
        <v>1062</v>
      </c>
      <c r="N5">
        <v>1074.300048828125</v>
      </c>
      <c r="O5">
        <v>1050.3499755859375</v>
      </c>
      <c r="P5">
        <v>-2.2836726713073574</v>
      </c>
      <c r="R5">
        <f>B2-B96+1</f>
        <v>141</v>
      </c>
      <c r="S5">
        <f>R5/365</f>
        <v>0.38630136986301372</v>
      </c>
      <c r="T5">
        <f>S5*4</f>
        <v>1.5452054794520549</v>
      </c>
      <c r="U5" s="2">
        <f>(((L2/L96)^(1/T5))-1)*4</f>
        <v>-0.39823612939939546</v>
      </c>
    </row>
    <row r="6" spans="1:22" x14ac:dyDescent="0.25">
      <c r="A6" t="str">
        <v>redFont</v>
      </c>
      <c r="B6" s="1">
        <v>45394</v>
      </c>
      <c r="C6">
        <v>1712880000</v>
      </c>
      <c r="D6" s="1">
        <v>45394</v>
      </c>
      <c r="E6">
        <v>1090.3499999999999</v>
      </c>
      <c r="F6">
        <v>1099.95</v>
      </c>
      <c r="G6">
        <v>1107.4000000000001</v>
      </c>
      <c r="H6">
        <v>1088.9000000000001</v>
      </c>
      <c r="I6" t="str">
        <v>677.95K</v>
      </c>
      <c r="J6">
        <v>677949</v>
      </c>
      <c r="K6">
        <v>-1.05</v>
      </c>
      <c r="L6">
        <v>1090.3499755859375</v>
      </c>
      <c r="M6">
        <v>1099.949951171875</v>
      </c>
      <c r="N6">
        <v>1107.4000244140625</v>
      </c>
      <c r="O6">
        <v>1088.9000244140625</v>
      </c>
      <c r="P6">
        <v>-1.0481938989217068</v>
      </c>
    </row>
    <row r="7" spans="1:22" x14ac:dyDescent="0.25">
      <c r="A7" t="str">
        <v>redFont</v>
      </c>
      <c r="B7" s="1">
        <v>45392</v>
      </c>
      <c r="C7">
        <v>1712707200</v>
      </c>
      <c r="D7" s="1">
        <v>45392</v>
      </c>
      <c r="E7">
        <v>1101.9000000000001</v>
      </c>
      <c r="F7">
        <v>1110</v>
      </c>
      <c r="G7">
        <v>1118</v>
      </c>
      <c r="H7">
        <v>1098.0999999999999</v>
      </c>
      <c r="I7" t="str">
        <v>856.60K</v>
      </c>
      <c r="J7">
        <v>856601</v>
      </c>
      <c r="K7">
        <v>-0.5</v>
      </c>
      <c r="L7">
        <v>1101.9000244140625</v>
      </c>
      <c r="M7">
        <v>1110</v>
      </c>
      <c r="N7">
        <v>1118</v>
      </c>
      <c r="O7">
        <v>1098.0999755859375</v>
      </c>
      <c r="P7">
        <v>-0.50114470201923889</v>
      </c>
    </row>
    <row r="8" spans="1:22" x14ac:dyDescent="0.25">
      <c r="A8" t="str">
        <v>greenFont</v>
      </c>
      <c r="B8" s="1">
        <v>45391</v>
      </c>
      <c r="C8">
        <v>1712620800</v>
      </c>
      <c r="D8" s="1">
        <v>45391</v>
      </c>
      <c r="E8">
        <v>1107.45</v>
      </c>
      <c r="F8">
        <v>1110.9000000000001</v>
      </c>
      <c r="G8">
        <v>1129.7</v>
      </c>
      <c r="H8">
        <v>1091.0999999999999</v>
      </c>
      <c r="I8" t="str">
        <v>4.44M</v>
      </c>
      <c r="J8">
        <v>4438421</v>
      </c>
      <c r="K8">
        <v>0.5</v>
      </c>
      <c r="L8">
        <v>1107.449951171875</v>
      </c>
      <c r="M8">
        <v>1110.9000244140625</v>
      </c>
      <c r="N8">
        <v>1129.699951171875</v>
      </c>
      <c r="O8">
        <v>1091.0999755859375</v>
      </c>
      <c r="P8">
        <v>0.5036688115842165</v>
      </c>
    </row>
    <row r="9" spans="1:22" x14ac:dyDescent="0.25">
      <c r="A9" t="str">
        <v>redFont</v>
      </c>
      <c r="B9" s="1">
        <v>45390</v>
      </c>
      <c r="C9">
        <v>1712534400</v>
      </c>
      <c r="D9" s="1">
        <v>45390</v>
      </c>
      <c r="E9">
        <v>1101.9000000000001</v>
      </c>
      <c r="F9">
        <v>1130.05</v>
      </c>
      <c r="G9">
        <v>1130.6500000000001</v>
      </c>
      <c r="H9">
        <v>1100</v>
      </c>
      <c r="I9" t="str">
        <v>999.89K</v>
      </c>
      <c r="J9">
        <v>999892</v>
      </c>
      <c r="K9">
        <v>-1.76</v>
      </c>
      <c r="L9">
        <v>1101.9000244140625</v>
      </c>
      <c r="M9">
        <v>1130.050048828125</v>
      </c>
      <c r="N9">
        <v>1130.6500244140625</v>
      </c>
      <c r="O9">
        <v>1100</v>
      </c>
      <c r="P9">
        <v>-1.7607987848364004</v>
      </c>
    </row>
    <row r="10" spans="1:22" x14ac:dyDescent="0.25">
      <c r="A10" t="str">
        <v>redFont</v>
      </c>
      <c r="B10" s="1">
        <v>45387</v>
      </c>
      <c r="C10">
        <v>1712275200</v>
      </c>
      <c r="D10" s="1">
        <v>45387</v>
      </c>
      <c r="E10">
        <v>1121.6500000000001</v>
      </c>
      <c r="F10">
        <v>1133</v>
      </c>
      <c r="G10">
        <v>1137.95</v>
      </c>
      <c r="H10">
        <v>1116</v>
      </c>
      <c r="I10" t="str">
        <v>1.31M</v>
      </c>
      <c r="J10">
        <v>1309639</v>
      </c>
      <c r="K10">
        <v>-1.38</v>
      </c>
      <c r="L10">
        <v>1121.6500244140625</v>
      </c>
      <c r="M10">
        <v>1133</v>
      </c>
      <c r="N10">
        <v>1137.949951171875</v>
      </c>
      <c r="O10">
        <v>1116</v>
      </c>
      <c r="P10">
        <v>-1.3803975477105659</v>
      </c>
    </row>
    <row r="11" spans="1:22" x14ac:dyDescent="0.25">
      <c r="A11" t="str">
        <v>greenFont</v>
      </c>
      <c r="B11" s="1">
        <v>45386</v>
      </c>
      <c r="C11">
        <v>1712188800</v>
      </c>
      <c r="D11" s="1">
        <v>45386</v>
      </c>
      <c r="E11">
        <v>1137.3499999999999</v>
      </c>
      <c r="F11">
        <v>1142.95</v>
      </c>
      <c r="G11">
        <v>1147.75</v>
      </c>
      <c r="H11">
        <v>1116.1500000000001</v>
      </c>
      <c r="I11" t="str">
        <v>2.51M</v>
      </c>
      <c r="J11">
        <v>2509059</v>
      </c>
      <c r="K11">
        <v>0.28000000000000003</v>
      </c>
      <c r="L11">
        <v>1137.3499755859375</v>
      </c>
      <c r="M11">
        <v>1142.949951171875</v>
      </c>
      <c r="N11">
        <v>1147.75</v>
      </c>
      <c r="O11">
        <v>1116.1500244140625</v>
      </c>
      <c r="P11">
        <v>0.28214531613912325</v>
      </c>
    </row>
    <row r="12" spans="1:22" x14ac:dyDescent="0.25">
      <c r="A12" t="str">
        <v>greenFont</v>
      </c>
      <c r="B12" s="1">
        <v>45385</v>
      </c>
      <c r="C12">
        <v>1712102400</v>
      </c>
      <c r="D12" s="1">
        <v>45385</v>
      </c>
      <c r="E12">
        <v>1134.1500000000001</v>
      </c>
      <c r="F12">
        <v>1104.7</v>
      </c>
      <c r="G12">
        <v>1146</v>
      </c>
      <c r="H12">
        <v>1058.4000000000001</v>
      </c>
      <c r="I12" t="str">
        <v>4.91M</v>
      </c>
      <c r="J12">
        <v>4906449</v>
      </c>
      <c r="K12">
        <v>3.86</v>
      </c>
      <c r="L12">
        <v>1134.1500244140625</v>
      </c>
      <c r="M12">
        <v>1104.699951171875</v>
      </c>
      <c r="N12">
        <v>1146</v>
      </c>
      <c r="O12">
        <v>1058.4000244140625</v>
      </c>
      <c r="P12">
        <v>3.8598923456101191</v>
      </c>
    </row>
    <row r="13" spans="1:22" x14ac:dyDescent="0.25">
      <c r="A13" t="str">
        <v>greenFont</v>
      </c>
      <c r="B13" s="1">
        <v>45384</v>
      </c>
      <c r="C13">
        <v>1712016000</v>
      </c>
      <c r="D13" s="1">
        <v>45384</v>
      </c>
      <c r="E13">
        <v>1092</v>
      </c>
      <c r="F13">
        <v>1059.5</v>
      </c>
      <c r="G13">
        <v>1127</v>
      </c>
      <c r="H13">
        <v>1048.05</v>
      </c>
      <c r="I13" t="str">
        <v>5.51M</v>
      </c>
      <c r="J13">
        <v>5508984</v>
      </c>
      <c r="K13">
        <v>4.0199999999999996</v>
      </c>
      <c r="L13">
        <v>1092</v>
      </c>
      <c r="M13">
        <v>1059.5</v>
      </c>
      <c r="N13">
        <v>1127</v>
      </c>
      <c r="O13">
        <v>1048.050048828125</v>
      </c>
      <c r="P13">
        <v>4.0198084596187753</v>
      </c>
    </row>
    <row r="14" spans="1:22" x14ac:dyDescent="0.25">
      <c r="A14" t="str">
        <v>greenFont</v>
      </c>
      <c r="B14" s="1">
        <v>45383</v>
      </c>
      <c r="C14">
        <v>1711929600</v>
      </c>
      <c r="D14" s="1">
        <v>45383</v>
      </c>
      <c r="E14">
        <v>1049.8</v>
      </c>
      <c r="F14">
        <v>1040</v>
      </c>
      <c r="G14">
        <v>1057.45</v>
      </c>
      <c r="H14">
        <v>1033.5</v>
      </c>
      <c r="I14" t="str">
        <v>957.84K</v>
      </c>
      <c r="J14">
        <v>957844</v>
      </c>
      <c r="K14">
        <v>2.86</v>
      </c>
      <c r="L14">
        <v>1049.800048828125</v>
      </c>
      <c r="M14">
        <v>1040</v>
      </c>
      <c r="N14">
        <v>1057.449951171875</v>
      </c>
      <c r="O14">
        <v>1033.5</v>
      </c>
      <c r="P14">
        <v>2.8610693651470469</v>
      </c>
    </row>
    <row r="15" spans="1:22" x14ac:dyDescent="0.25">
      <c r="A15" t="str">
        <v>redFont</v>
      </c>
      <c r="B15" s="1">
        <v>45379</v>
      </c>
      <c r="C15">
        <v>1711584000</v>
      </c>
      <c r="D15" s="1">
        <v>45379</v>
      </c>
      <c r="E15">
        <v>1020.6</v>
      </c>
      <c r="F15">
        <v>1029.5</v>
      </c>
      <c r="G15">
        <v>1038.25</v>
      </c>
      <c r="H15">
        <v>1020</v>
      </c>
      <c r="I15" t="str">
        <v>886.28K</v>
      </c>
      <c r="J15">
        <v>886283</v>
      </c>
      <c r="K15">
        <v>-0.84</v>
      </c>
      <c r="L15">
        <v>1020.5999755859375</v>
      </c>
      <c r="M15">
        <v>1029.5</v>
      </c>
      <c r="N15">
        <v>1038.25</v>
      </c>
      <c r="O15">
        <v>1020</v>
      </c>
      <c r="P15">
        <v>-0.83559813388499815</v>
      </c>
    </row>
    <row r="16" spans="1:22" x14ac:dyDescent="0.25">
      <c r="A16" t="str">
        <v>greenFont</v>
      </c>
      <c r="B16" s="1">
        <v>45378</v>
      </c>
      <c r="C16">
        <v>1711497600</v>
      </c>
      <c r="D16" s="1">
        <v>45378</v>
      </c>
      <c r="E16">
        <v>1029.2</v>
      </c>
      <c r="F16">
        <v>1025.45</v>
      </c>
      <c r="G16">
        <v>1033</v>
      </c>
      <c r="H16">
        <v>1021</v>
      </c>
      <c r="I16" t="str">
        <v>988.89K</v>
      </c>
      <c r="J16">
        <v>988891</v>
      </c>
      <c r="K16">
        <v>0.71</v>
      </c>
      <c r="L16">
        <v>1029.199951171875</v>
      </c>
      <c r="M16">
        <v>1025.449951171875</v>
      </c>
      <c r="N16">
        <v>1033</v>
      </c>
      <c r="O16">
        <v>1021</v>
      </c>
      <c r="P16">
        <v>0.7094220733151696</v>
      </c>
    </row>
    <row r="17" spans="1:16" x14ac:dyDescent="0.25">
      <c r="A17" t="str">
        <v>redFont</v>
      </c>
      <c r="B17" s="1">
        <v>45377</v>
      </c>
      <c r="C17">
        <v>1711411200</v>
      </c>
      <c r="D17" s="1">
        <v>45377</v>
      </c>
      <c r="E17">
        <v>1021.95</v>
      </c>
      <c r="F17">
        <v>1032</v>
      </c>
      <c r="G17">
        <v>1036</v>
      </c>
      <c r="H17">
        <v>1020</v>
      </c>
      <c r="I17" t="str">
        <v>870.12K</v>
      </c>
      <c r="J17">
        <v>870115</v>
      </c>
      <c r="K17">
        <v>-0.97</v>
      </c>
      <c r="L17">
        <v>1021.9500122070313</v>
      </c>
      <c r="M17">
        <v>1032</v>
      </c>
      <c r="N17">
        <v>1036</v>
      </c>
      <c r="O17">
        <v>1020</v>
      </c>
      <c r="P17">
        <v>-0.9738360264504603</v>
      </c>
    </row>
    <row r="18" spans="1:16" x14ac:dyDescent="0.25">
      <c r="A18" t="str">
        <v>greenFont</v>
      </c>
      <c r="B18" s="1">
        <v>45373</v>
      </c>
      <c r="C18">
        <v>1711065600</v>
      </c>
      <c r="D18" s="1">
        <v>45373</v>
      </c>
      <c r="E18">
        <v>1032</v>
      </c>
      <c r="F18">
        <v>1031</v>
      </c>
      <c r="G18">
        <v>1037.95</v>
      </c>
      <c r="H18">
        <v>1027</v>
      </c>
      <c r="I18" t="str">
        <v>593.74K</v>
      </c>
      <c r="J18">
        <v>593736</v>
      </c>
      <c r="K18">
        <v>7.0000000000000007E-2</v>
      </c>
      <c r="L18">
        <v>1032</v>
      </c>
      <c r="M18">
        <v>1031</v>
      </c>
      <c r="N18">
        <v>1037.949951171875</v>
      </c>
      <c r="O18">
        <v>1027</v>
      </c>
      <c r="P18">
        <v>6.7870759113253257E-2</v>
      </c>
    </row>
    <row r="19" spans="1:16" x14ac:dyDescent="0.25">
      <c r="A19" t="str">
        <v>redFont</v>
      </c>
      <c r="B19" s="1">
        <v>45372</v>
      </c>
      <c r="C19">
        <v>1710979200</v>
      </c>
      <c r="D19" s="1">
        <v>45372</v>
      </c>
      <c r="E19">
        <v>1031.3</v>
      </c>
      <c r="F19">
        <v>1043</v>
      </c>
      <c r="G19">
        <v>1048</v>
      </c>
      <c r="H19">
        <v>1029.05</v>
      </c>
      <c r="I19" t="str">
        <v>783.62K</v>
      </c>
      <c r="J19">
        <v>783615</v>
      </c>
      <c r="K19">
        <v>-0.17</v>
      </c>
      <c r="L19">
        <v>1031.300048828125</v>
      </c>
      <c r="M19">
        <v>1043</v>
      </c>
      <c r="N19">
        <v>1048</v>
      </c>
      <c r="O19">
        <v>1029.050048828125</v>
      </c>
      <c r="P19">
        <v>-0.16940127944286643</v>
      </c>
    </row>
    <row r="20" spans="1:16" x14ac:dyDescent="0.25">
      <c r="A20" t="str">
        <v>redFont</v>
      </c>
      <c r="B20" s="1">
        <v>45371</v>
      </c>
      <c r="C20">
        <v>1710892800</v>
      </c>
      <c r="D20" s="1">
        <v>45371</v>
      </c>
      <c r="E20">
        <v>1033.05</v>
      </c>
      <c r="F20">
        <v>1041.8499999999999</v>
      </c>
      <c r="G20">
        <v>1047.05</v>
      </c>
      <c r="H20">
        <v>1026.5999999999999</v>
      </c>
      <c r="I20" t="str">
        <v>689.33K</v>
      </c>
      <c r="J20">
        <v>689327</v>
      </c>
      <c r="K20">
        <v>-0.86</v>
      </c>
      <c r="L20">
        <v>1033.050048828125</v>
      </c>
      <c r="M20">
        <v>1041.8499755859375</v>
      </c>
      <c r="N20">
        <v>1047.050048828125</v>
      </c>
      <c r="O20">
        <v>1026.5999755859375</v>
      </c>
      <c r="P20">
        <v>-0.86368212449308701</v>
      </c>
    </row>
    <row r="21" spans="1:16" x14ac:dyDescent="0.25">
      <c r="A21" t="str">
        <v>redFont</v>
      </c>
      <c r="B21" s="1">
        <v>45370</v>
      </c>
      <c r="C21">
        <v>1710806400</v>
      </c>
      <c r="D21" s="1">
        <v>45370</v>
      </c>
      <c r="E21">
        <v>1042.05</v>
      </c>
      <c r="F21">
        <v>1048</v>
      </c>
      <c r="G21">
        <v>1055</v>
      </c>
      <c r="H21">
        <v>1040.5</v>
      </c>
      <c r="I21" t="str">
        <v>391.91K</v>
      </c>
      <c r="J21">
        <v>391912</v>
      </c>
      <c r="K21">
        <v>-0.52</v>
      </c>
      <c r="L21">
        <v>1042.050048828125</v>
      </c>
      <c r="M21">
        <v>1048</v>
      </c>
      <c r="N21">
        <v>1055</v>
      </c>
      <c r="O21">
        <v>1040.5</v>
      </c>
      <c r="P21">
        <v>-0.51552843529265058</v>
      </c>
    </row>
    <row r="22" spans="1:16" x14ac:dyDescent="0.25">
      <c r="A22" t="str">
        <v>redFont</v>
      </c>
      <c r="B22" s="1">
        <v>45369</v>
      </c>
      <c r="C22">
        <v>1710720000</v>
      </c>
      <c r="D22" s="1">
        <v>45369</v>
      </c>
      <c r="E22">
        <v>1047.45</v>
      </c>
      <c r="F22">
        <v>1051</v>
      </c>
      <c r="G22">
        <v>1054.75</v>
      </c>
      <c r="H22">
        <v>1041.55</v>
      </c>
      <c r="I22" t="str">
        <v>521.73K</v>
      </c>
      <c r="J22">
        <v>521728</v>
      </c>
      <c r="K22">
        <v>-0.21</v>
      </c>
      <c r="L22">
        <v>1047.449951171875</v>
      </c>
      <c r="M22">
        <v>1051</v>
      </c>
      <c r="N22">
        <v>1054.75</v>
      </c>
      <c r="O22">
        <v>1041.550048828125</v>
      </c>
      <c r="P22">
        <v>-0.20960064697903749</v>
      </c>
    </row>
    <row r="23" spans="1:16" x14ac:dyDescent="0.25">
      <c r="A23" t="str">
        <v>redFont</v>
      </c>
      <c r="B23" s="1">
        <v>45366</v>
      </c>
      <c r="C23">
        <v>1710460800</v>
      </c>
      <c r="D23" s="1">
        <v>45366</v>
      </c>
      <c r="E23">
        <v>1049.6500000000001</v>
      </c>
      <c r="F23">
        <v>1052.7</v>
      </c>
      <c r="G23">
        <v>1060</v>
      </c>
      <c r="H23">
        <v>1042.25</v>
      </c>
      <c r="I23" t="str">
        <v>706.49K</v>
      </c>
      <c r="J23">
        <v>706494</v>
      </c>
      <c r="K23">
        <v>-0.24</v>
      </c>
      <c r="L23">
        <v>1049.6500244140625</v>
      </c>
      <c r="M23">
        <v>1052.699951171875</v>
      </c>
      <c r="N23">
        <v>1060</v>
      </c>
      <c r="O23">
        <v>1042.25</v>
      </c>
      <c r="P23">
        <v>-0.23760870046952082</v>
      </c>
    </row>
    <row r="24" spans="1:16" x14ac:dyDescent="0.25">
      <c r="A24" t="str">
        <v>greenFont</v>
      </c>
      <c r="B24" s="1">
        <v>45365</v>
      </c>
      <c r="C24">
        <v>1710374400</v>
      </c>
      <c r="D24" s="1">
        <v>45365</v>
      </c>
      <c r="E24">
        <v>1052.1500000000001</v>
      </c>
      <c r="F24">
        <v>1037.95</v>
      </c>
      <c r="G24">
        <v>1065</v>
      </c>
      <c r="H24">
        <v>1031.0999999999999</v>
      </c>
      <c r="I24" t="str">
        <v>962.81K</v>
      </c>
      <c r="J24">
        <v>962813</v>
      </c>
      <c r="K24">
        <v>1.42</v>
      </c>
      <c r="L24">
        <v>1052.1500244140625</v>
      </c>
      <c r="M24">
        <v>1037.949951171875</v>
      </c>
      <c r="N24">
        <v>1065</v>
      </c>
      <c r="O24">
        <v>1031.0999755859375</v>
      </c>
      <c r="P24">
        <v>1.4169428824573851</v>
      </c>
    </row>
    <row r="25" spans="1:16" x14ac:dyDescent="0.25">
      <c r="A25" t="str">
        <v>redFont</v>
      </c>
      <c r="B25" s="1">
        <v>45364</v>
      </c>
      <c r="C25">
        <v>1710288000</v>
      </c>
      <c r="D25" s="1">
        <v>45364</v>
      </c>
      <c r="E25">
        <v>1037.45</v>
      </c>
      <c r="F25">
        <v>1082.05</v>
      </c>
      <c r="G25">
        <v>1097</v>
      </c>
      <c r="H25">
        <v>1020</v>
      </c>
      <c r="I25" t="str">
        <v>1.63M</v>
      </c>
      <c r="J25">
        <v>1631514</v>
      </c>
      <c r="K25">
        <v>-2.76</v>
      </c>
      <c r="L25">
        <v>1037.449951171875</v>
      </c>
      <c r="M25">
        <v>1082.050048828125</v>
      </c>
      <c r="N25">
        <v>1097</v>
      </c>
      <c r="O25">
        <v>1020</v>
      </c>
      <c r="P25">
        <v>-2.7557787024286484</v>
      </c>
    </row>
    <row r="26" spans="1:16" x14ac:dyDescent="0.25">
      <c r="A26" t="str">
        <v>redFont</v>
      </c>
      <c r="B26" s="1">
        <v>45363</v>
      </c>
      <c r="C26">
        <v>1710201600</v>
      </c>
      <c r="D26" s="1">
        <v>45363</v>
      </c>
      <c r="E26">
        <v>1066.8499999999999</v>
      </c>
      <c r="F26">
        <v>1086.95</v>
      </c>
      <c r="G26">
        <v>1092.25</v>
      </c>
      <c r="H26">
        <v>1063.7</v>
      </c>
      <c r="I26" t="str">
        <v>904.06K</v>
      </c>
      <c r="J26">
        <v>904060</v>
      </c>
      <c r="K26">
        <v>-1.64</v>
      </c>
      <c r="L26">
        <v>1066.8499755859375</v>
      </c>
      <c r="M26">
        <v>1086.949951171875</v>
      </c>
      <c r="N26">
        <v>1092.25</v>
      </c>
      <c r="O26">
        <v>1063.699951171875</v>
      </c>
      <c r="P26">
        <v>-1.6410868416050368</v>
      </c>
    </row>
    <row r="27" spans="1:16" x14ac:dyDescent="0.25">
      <c r="A27" t="str">
        <v>redFont</v>
      </c>
      <c r="B27" s="1">
        <v>45362</v>
      </c>
      <c r="C27">
        <v>1710115200</v>
      </c>
      <c r="D27" s="1">
        <v>45362</v>
      </c>
      <c r="E27">
        <v>1084.6500000000001</v>
      </c>
      <c r="F27">
        <v>1130</v>
      </c>
      <c r="G27">
        <v>1130</v>
      </c>
      <c r="H27">
        <v>1080</v>
      </c>
      <c r="I27" t="str">
        <v>1.50M</v>
      </c>
      <c r="J27">
        <v>1504557</v>
      </c>
      <c r="K27">
        <v>-3.79</v>
      </c>
      <c r="L27">
        <v>1084.6500244140625</v>
      </c>
      <c r="M27">
        <v>1130</v>
      </c>
      <c r="N27">
        <v>1130</v>
      </c>
      <c r="O27">
        <v>1080</v>
      </c>
      <c r="P27">
        <v>-3.7919105086252083</v>
      </c>
    </row>
    <row r="28" spans="1:16" x14ac:dyDescent="0.25">
      <c r="A28" t="str">
        <v>greenFont</v>
      </c>
      <c r="B28" s="1">
        <v>45358</v>
      </c>
      <c r="C28">
        <v>1709769600</v>
      </c>
      <c r="D28" s="1">
        <v>45358</v>
      </c>
      <c r="E28">
        <v>1127.4000000000001</v>
      </c>
      <c r="F28">
        <v>1070.25</v>
      </c>
      <c r="G28">
        <v>1146.45</v>
      </c>
      <c r="H28">
        <v>1070.25</v>
      </c>
      <c r="I28" t="str">
        <v>4.51M</v>
      </c>
      <c r="J28">
        <v>4509646</v>
      </c>
      <c r="K28">
        <v>5.45</v>
      </c>
      <c r="L28">
        <v>1127.4000244140625</v>
      </c>
      <c r="M28">
        <v>1070.25</v>
      </c>
      <c r="N28">
        <v>1146.449951171875</v>
      </c>
      <c r="O28">
        <v>1070.25</v>
      </c>
      <c r="P28">
        <v>5.4482531609091396</v>
      </c>
    </row>
    <row r="29" spans="1:16" x14ac:dyDescent="0.25">
      <c r="A29" t="str">
        <v>redFont</v>
      </c>
      <c r="B29" s="1">
        <v>45357</v>
      </c>
      <c r="C29">
        <v>1709683200</v>
      </c>
      <c r="D29" s="1">
        <v>45357</v>
      </c>
      <c r="E29">
        <v>1069.1500000000001</v>
      </c>
      <c r="F29">
        <v>1075.45</v>
      </c>
      <c r="G29">
        <v>1076.2</v>
      </c>
      <c r="H29">
        <v>1058</v>
      </c>
      <c r="I29" t="str">
        <v>539.70K</v>
      </c>
      <c r="J29">
        <v>539700</v>
      </c>
      <c r="K29">
        <v>-0.59</v>
      </c>
      <c r="L29">
        <v>1069.1500244140625</v>
      </c>
      <c r="M29">
        <v>1075.449951171875</v>
      </c>
      <c r="N29">
        <v>1076.199951171875</v>
      </c>
      <c r="O29">
        <v>1058</v>
      </c>
      <c r="P29">
        <v>-0.5857945087028662</v>
      </c>
    </row>
    <row r="30" spans="1:16" x14ac:dyDescent="0.25">
      <c r="A30" t="str">
        <v>greenFont</v>
      </c>
      <c r="B30" s="1">
        <v>45356</v>
      </c>
      <c r="C30">
        <v>1709596800</v>
      </c>
      <c r="D30" s="1">
        <v>45356</v>
      </c>
      <c r="E30">
        <v>1075.45</v>
      </c>
      <c r="F30">
        <v>1087</v>
      </c>
      <c r="G30">
        <v>1100.25</v>
      </c>
      <c r="H30">
        <v>1072.0999999999999</v>
      </c>
      <c r="I30" t="str">
        <v>1.04M</v>
      </c>
      <c r="J30">
        <v>1042769</v>
      </c>
      <c r="K30">
        <v>0.24</v>
      </c>
      <c r="L30">
        <v>1075.449951171875</v>
      </c>
      <c r="M30">
        <v>1087</v>
      </c>
      <c r="N30">
        <v>1100.25</v>
      </c>
      <c r="O30">
        <v>1072.0999755859375</v>
      </c>
      <c r="P30">
        <v>0.23766676295911901</v>
      </c>
    </row>
    <row r="31" spans="1:16" x14ac:dyDescent="0.25">
      <c r="A31" t="str">
        <v>redFont</v>
      </c>
      <c r="B31" s="1">
        <v>45355</v>
      </c>
      <c r="C31">
        <v>1709510400</v>
      </c>
      <c r="D31" s="1">
        <v>45355</v>
      </c>
      <c r="E31">
        <v>1072.9000000000001</v>
      </c>
      <c r="F31">
        <v>1096.7</v>
      </c>
      <c r="G31">
        <v>1096.7</v>
      </c>
      <c r="H31">
        <v>1070</v>
      </c>
      <c r="I31" t="str">
        <v>573.20K</v>
      </c>
      <c r="J31">
        <v>573201</v>
      </c>
      <c r="K31">
        <v>-1.97</v>
      </c>
      <c r="L31">
        <v>1072.9000244140625</v>
      </c>
      <c r="M31">
        <v>1096.699951171875</v>
      </c>
      <c r="N31">
        <v>1096.699951171875</v>
      </c>
      <c r="O31">
        <v>1070</v>
      </c>
      <c r="P31">
        <v>-1.9690189336422428</v>
      </c>
    </row>
    <row r="32" spans="1:16" x14ac:dyDescent="0.25">
      <c r="A32" t="str">
        <v>greenFont</v>
      </c>
      <c r="B32" s="1">
        <v>45353</v>
      </c>
      <c r="C32">
        <v>1709337600</v>
      </c>
      <c r="D32" s="1">
        <v>45353</v>
      </c>
      <c r="E32">
        <v>1094.45</v>
      </c>
      <c r="F32">
        <v>1091.5999999999999</v>
      </c>
      <c r="G32">
        <v>1098</v>
      </c>
      <c r="H32">
        <v>1090</v>
      </c>
      <c r="I32" t="str">
        <v>156.12K</v>
      </c>
      <c r="J32">
        <v>156122</v>
      </c>
      <c r="K32">
        <v>0.56000000000000005</v>
      </c>
      <c r="L32">
        <v>1094.449951171875</v>
      </c>
      <c r="M32">
        <v>1091.5999755859375</v>
      </c>
      <c r="N32">
        <v>1098</v>
      </c>
      <c r="O32">
        <v>1090</v>
      </c>
      <c r="P32">
        <v>0.55585507369585585</v>
      </c>
    </row>
    <row r="33" spans="1:16" x14ac:dyDescent="0.25">
      <c r="A33" t="str">
        <v>greenFont</v>
      </c>
      <c r="B33" s="1">
        <v>45352</v>
      </c>
      <c r="C33">
        <v>1709251200</v>
      </c>
      <c r="D33" s="1">
        <v>45352</v>
      </c>
      <c r="E33">
        <v>1088.4000000000001</v>
      </c>
      <c r="F33">
        <v>1097.6500000000001</v>
      </c>
      <c r="G33">
        <v>1105</v>
      </c>
      <c r="H33">
        <v>1086.0999999999999</v>
      </c>
      <c r="I33" t="str">
        <v>718.13K</v>
      </c>
      <c r="J33">
        <v>718126</v>
      </c>
      <c r="K33">
        <v>0.46</v>
      </c>
      <c r="L33">
        <v>1088.4000244140625</v>
      </c>
      <c r="M33">
        <v>1097.6500244140625</v>
      </c>
      <c r="N33">
        <v>1105</v>
      </c>
      <c r="O33">
        <v>1086.0999755859375</v>
      </c>
      <c r="P33">
        <v>0.4615100505193509</v>
      </c>
    </row>
    <row r="34" spans="1:16" x14ac:dyDescent="0.25">
      <c r="A34" t="str">
        <v>greenFont</v>
      </c>
      <c r="B34" s="1">
        <v>45351</v>
      </c>
      <c r="C34">
        <v>1709164800</v>
      </c>
      <c r="D34" s="1">
        <v>45351</v>
      </c>
      <c r="E34">
        <v>1083.4000000000001</v>
      </c>
      <c r="F34">
        <v>1044.95</v>
      </c>
      <c r="G34">
        <v>1095</v>
      </c>
      <c r="H34">
        <v>1033.0999999999999</v>
      </c>
      <c r="I34" t="str">
        <v>2.11M</v>
      </c>
      <c r="J34">
        <v>2111686</v>
      </c>
      <c r="K34">
        <v>3.58</v>
      </c>
      <c r="L34">
        <v>1083.4000244140625</v>
      </c>
      <c r="M34">
        <v>1044.949951171875</v>
      </c>
      <c r="N34">
        <v>1095</v>
      </c>
      <c r="O34">
        <v>1033.0999755859375</v>
      </c>
      <c r="P34">
        <v>3.5804842478580068</v>
      </c>
    </row>
    <row r="35" spans="1:16" x14ac:dyDescent="0.25">
      <c r="A35" t="str">
        <v>redFont</v>
      </c>
      <c r="B35" s="1">
        <v>45350</v>
      </c>
      <c r="C35">
        <v>1709078400</v>
      </c>
      <c r="D35" s="1">
        <v>45350</v>
      </c>
      <c r="E35">
        <v>1045.95</v>
      </c>
      <c r="F35">
        <v>1080</v>
      </c>
      <c r="G35">
        <v>1086.5</v>
      </c>
      <c r="H35">
        <v>1043</v>
      </c>
      <c r="I35" t="str">
        <v>1.80M</v>
      </c>
      <c r="J35">
        <v>1801058</v>
      </c>
      <c r="K35">
        <v>-2.77</v>
      </c>
      <c r="L35">
        <v>1045.949951171875</v>
      </c>
      <c r="M35">
        <v>1080</v>
      </c>
      <c r="N35">
        <v>1086.5</v>
      </c>
      <c r="O35">
        <v>1043</v>
      </c>
      <c r="P35">
        <v>-2.7701648922263535</v>
      </c>
    </row>
    <row r="36" spans="1:16" x14ac:dyDescent="0.25">
      <c r="A36" t="str">
        <v>redFont</v>
      </c>
      <c r="B36" s="1">
        <v>45349</v>
      </c>
      <c r="C36">
        <v>1708992000</v>
      </c>
      <c r="D36" s="1">
        <v>45349</v>
      </c>
      <c r="E36">
        <v>1075.75</v>
      </c>
      <c r="F36">
        <v>1103.95</v>
      </c>
      <c r="G36">
        <v>1110.0999999999999</v>
      </c>
      <c r="H36">
        <v>1073.55</v>
      </c>
      <c r="I36" t="str">
        <v>1.59M</v>
      </c>
      <c r="J36">
        <v>1589007</v>
      </c>
      <c r="K36">
        <v>-2.09</v>
      </c>
      <c r="L36">
        <v>1075.75</v>
      </c>
      <c r="M36">
        <v>1103.949951171875</v>
      </c>
      <c r="N36">
        <v>1110.0999755859375</v>
      </c>
      <c r="O36">
        <v>1073.550048828125</v>
      </c>
      <c r="P36">
        <v>-2.0888279049613634</v>
      </c>
    </row>
    <row r="37" spans="1:16" x14ac:dyDescent="0.25">
      <c r="A37" t="str">
        <v>redFont</v>
      </c>
      <c r="B37" s="1">
        <v>45348</v>
      </c>
      <c r="C37">
        <v>1708905600</v>
      </c>
      <c r="D37" s="1">
        <v>45348</v>
      </c>
      <c r="E37">
        <v>1098.7</v>
      </c>
      <c r="F37">
        <v>1160.5</v>
      </c>
      <c r="G37">
        <v>1161</v>
      </c>
      <c r="H37">
        <v>1096.25</v>
      </c>
      <c r="I37" t="str">
        <v>2.76M</v>
      </c>
      <c r="J37">
        <v>2759041</v>
      </c>
      <c r="K37">
        <v>-5.33</v>
      </c>
      <c r="L37">
        <v>1098.699951171875</v>
      </c>
      <c r="M37">
        <v>1160.5</v>
      </c>
      <c r="N37">
        <v>1161</v>
      </c>
      <c r="O37">
        <v>1096.25</v>
      </c>
      <c r="P37">
        <v>-5.3252950304286948</v>
      </c>
    </row>
    <row r="38" spans="1:16" x14ac:dyDescent="0.25">
      <c r="A38" t="str">
        <v>greenFont</v>
      </c>
      <c r="B38" s="1">
        <v>45345</v>
      </c>
      <c r="C38">
        <v>1708646400</v>
      </c>
      <c r="D38" s="1">
        <v>45345</v>
      </c>
      <c r="E38">
        <v>1160.5</v>
      </c>
      <c r="F38">
        <v>1161.7</v>
      </c>
      <c r="G38">
        <v>1179</v>
      </c>
      <c r="H38">
        <v>1156.25</v>
      </c>
      <c r="I38" t="str">
        <v>942.66K</v>
      </c>
      <c r="J38">
        <v>942660</v>
      </c>
      <c r="K38">
        <v>0.32</v>
      </c>
      <c r="L38">
        <v>1160.5</v>
      </c>
      <c r="M38">
        <v>1161.699951171875</v>
      </c>
      <c r="N38">
        <v>1179</v>
      </c>
      <c r="O38">
        <v>1156.25</v>
      </c>
      <c r="P38">
        <v>0.32418413658958289</v>
      </c>
    </row>
    <row r="39" spans="1:16" x14ac:dyDescent="0.25">
      <c r="A39" t="str">
        <v>greenFont</v>
      </c>
      <c r="B39" s="1">
        <v>45344</v>
      </c>
      <c r="C39">
        <v>1708560000</v>
      </c>
      <c r="D39" s="1">
        <v>45344</v>
      </c>
      <c r="E39">
        <v>1156.75</v>
      </c>
      <c r="F39">
        <v>1159.95</v>
      </c>
      <c r="G39">
        <v>1165.05</v>
      </c>
      <c r="H39">
        <v>1142.2</v>
      </c>
      <c r="I39" t="str">
        <v>552.41K</v>
      </c>
      <c r="J39">
        <v>552410</v>
      </c>
      <c r="K39">
        <v>0.2</v>
      </c>
      <c r="L39">
        <v>1156.75</v>
      </c>
      <c r="M39">
        <v>1159.949951171875</v>
      </c>
      <c r="N39">
        <v>1165.050048828125</v>
      </c>
      <c r="O39">
        <v>1142.199951171875</v>
      </c>
      <c r="P39">
        <v>0.20356683439350015</v>
      </c>
    </row>
    <row r="40" spans="1:16" x14ac:dyDescent="0.25">
      <c r="A40" t="str">
        <v>greenFont</v>
      </c>
      <c r="B40" s="1">
        <v>45343</v>
      </c>
      <c r="C40">
        <v>1708473600</v>
      </c>
      <c r="D40" s="1">
        <v>45343</v>
      </c>
      <c r="E40">
        <v>1154.4000000000001</v>
      </c>
      <c r="F40">
        <v>1165</v>
      </c>
      <c r="G40">
        <v>1170</v>
      </c>
      <c r="H40">
        <v>1138.25</v>
      </c>
      <c r="I40" t="str">
        <v>1.19M</v>
      </c>
      <c r="J40">
        <v>1186147</v>
      </c>
      <c r="K40">
        <v>0.15</v>
      </c>
      <c r="L40">
        <v>1154.4000244140625</v>
      </c>
      <c r="M40">
        <v>1165</v>
      </c>
      <c r="N40">
        <v>1170</v>
      </c>
      <c r="O40">
        <v>1138.25</v>
      </c>
      <c r="P40">
        <v>0.1518240543906286</v>
      </c>
    </row>
    <row r="41" spans="1:16" x14ac:dyDescent="0.25">
      <c r="A41" t="str">
        <v>greenFont</v>
      </c>
      <c r="B41" s="1">
        <v>45342</v>
      </c>
      <c r="C41">
        <v>1708387200</v>
      </c>
      <c r="D41" s="1">
        <v>45342</v>
      </c>
      <c r="E41">
        <v>1152.6500000000001</v>
      </c>
      <c r="F41">
        <v>1123.75</v>
      </c>
      <c r="G41">
        <v>1167.7</v>
      </c>
      <c r="H41">
        <v>1121</v>
      </c>
      <c r="I41" t="str">
        <v>1.87M</v>
      </c>
      <c r="J41">
        <v>1872013</v>
      </c>
      <c r="K41">
        <v>2.62</v>
      </c>
      <c r="L41">
        <v>1152.6500244140625</v>
      </c>
      <c r="M41">
        <v>1123.75</v>
      </c>
      <c r="N41">
        <v>1167.699951171875</v>
      </c>
      <c r="O41">
        <v>1121</v>
      </c>
      <c r="P41">
        <v>2.6174070255119073</v>
      </c>
    </row>
    <row r="42" spans="1:16" x14ac:dyDescent="0.25">
      <c r="A42" t="str">
        <v>greenFont</v>
      </c>
      <c r="B42" s="1">
        <v>45341</v>
      </c>
      <c r="C42">
        <v>1708300800</v>
      </c>
      <c r="D42" s="1">
        <v>45341</v>
      </c>
      <c r="E42">
        <v>1123.25</v>
      </c>
      <c r="F42">
        <v>1108.7</v>
      </c>
      <c r="G42">
        <v>1133.05</v>
      </c>
      <c r="H42">
        <v>1107.25</v>
      </c>
      <c r="I42" t="str">
        <v>697.68K</v>
      </c>
      <c r="J42">
        <v>697681</v>
      </c>
      <c r="K42">
        <v>1.57</v>
      </c>
      <c r="L42">
        <v>1123.25</v>
      </c>
      <c r="M42">
        <v>1108.699951171875</v>
      </c>
      <c r="N42">
        <v>1133.050048828125</v>
      </c>
      <c r="O42">
        <v>1107.25</v>
      </c>
      <c r="P42">
        <v>1.5734525295660517</v>
      </c>
    </row>
    <row r="43" spans="1:16" x14ac:dyDescent="0.25">
      <c r="A43" t="str">
        <v>redFont</v>
      </c>
      <c r="B43" s="1">
        <v>45338</v>
      </c>
      <c r="C43">
        <v>1708041600</v>
      </c>
      <c r="D43" s="1">
        <v>45338</v>
      </c>
      <c r="E43">
        <v>1105.8499999999999</v>
      </c>
      <c r="F43">
        <v>1111.7</v>
      </c>
      <c r="G43">
        <v>1113.95</v>
      </c>
      <c r="H43">
        <v>1101.05</v>
      </c>
      <c r="I43" t="str">
        <v>377.79K</v>
      </c>
      <c r="J43">
        <v>377791</v>
      </c>
      <c r="K43">
        <v>-0.11</v>
      </c>
      <c r="L43">
        <v>1105.8499755859375</v>
      </c>
      <c r="M43">
        <v>1111.699951171875</v>
      </c>
      <c r="N43">
        <v>1113.949951171875</v>
      </c>
      <c r="O43">
        <v>1101.050048828125</v>
      </c>
      <c r="P43">
        <v>-0.11290759891295563</v>
      </c>
    </row>
    <row r="44" spans="1:16" x14ac:dyDescent="0.25">
      <c r="A44" t="str">
        <v>greenFont</v>
      </c>
      <c r="B44" s="1">
        <v>45337</v>
      </c>
      <c r="C44">
        <v>1707955200</v>
      </c>
      <c r="D44" s="1">
        <v>45337</v>
      </c>
      <c r="E44">
        <v>1107.0999999999999</v>
      </c>
      <c r="F44">
        <v>1112.95</v>
      </c>
      <c r="G44">
        <v>1119.8</v>
      </c>
      <c r="H44">
        <v>1100.8499999999999</v>
      </c>
      <c r="I44" t="str">
        <v>372.95K</v>
      </c>
      <c r="J44">
        <v>372945</v>
      </c>
      <c r="K44">
        <v>0.03</v>
      </c>
      <c r="L44">
        <v>1107.0999755859375</v>
      </c>
      <c r="M44">
        <v>1112.949951171875</v>
      </c>
      <c r="N44">
        <v>1119.800048828125</v>
      </c>
      <c r="O44">
        <v>1100.8499755859375</v>
      </c>
      <c r="P44">
        <v>2.7098549383880233E-2</v>
      </c>
    </row>
    <row r="45" spans="1:16" x14ac:dyDescent="0.25">
      <c r="A45" t="str">
        <v>greenFont</v>
      </c>
      <c r="B45" s="1">
        <v>45336</v>
      </c>
      <c r="C45">
        <v>1707868800</v>
      </c>
      <c r="D45" s="1">
        <v>45336</v>
      </c>
      <c r="E45">
        <v>1106.8</v>
      </c>
      <c r="F45">
        <v>1093</v>
      </c>
      <c r="G45">
        <v>1120</v>
      </c>
      <c r="H45">
        <v>1089.25</v>
      </c>
      <c r="I45" t="str">
        <v>443.94K</v>
      </c>
      <c r="J45">
        <v>443941</v>
      </c>
      <c r="K45">
        <v>0.21</v>
      </c>
      <c r="L45">
        <v>1106.800048828125</v>
      </c>
      <c r="M45">
        <v>1093</v>
      </c>
      <c r="N45">
        <v>1120</v>
      </c>
      <c r="O45">
        <v>1089.25</v>
      </c>
      <c r="P45">
        <v>0.21278444113800107</v>
      </c>
    </row>
    <row r="46" spans="1:16" x14ac:dyDescent="0.25">
      <c r="A46" t="str">
        <v>redFont</v>
      </c>
      <c r="B46" s="1">
        <v>45335</v>
      </c>
      <c r="C46">
        <v>1707782400</v>
      </c>
      <c r="D46" s="1">
        <v>45335</v>
      </c>
      <c r="E46">
        <v>1104.45</v>
      </c>
      <c r="F46">
        <v>1120</v>
      </c>
      <c r="G46">
        <v>1120</v>
      </c>
      <c r="H46">
        <v>1084.5999999999999</v>
      </c>
      <c r="I46" t="str">
        <v>585.32K</v>
      </c>
      <c r="J46">
        <v>585320</v>
      </c>
      <c r="K46">
        <v>-0.54</v>
      </c>
      <c r="L46">
        <v>1104.449951171875</v>
      </c>
      <c r="M46">
        <v>1120</v>
      </c>
      <c r="N46">
        <v>1120</v>
      </c>
      <c r="O46">
        <v>1084.5999755859375</v>
      </c>
      <c r="P46">
        <v>-0.5358495237180172</v>
      </c>
    </row>
    <row r="47" spans="1:16" x14ac:dyDescent="0.25">
      <c r="A47" t="str">
        <v>redFont</v>
      </c>
      <c r="B47" s="1">
        <v>45334</v>
      </c>
      <c r="C47">
        <v>1707696000</v>
      </c>
      <c r="D47" s="1">
        <v>45334</v>
      </c>
      <c r="E47">
        <v>1110.4000000000001</v>
      </c>
      <c r="F47">
        <v>1134</v>
      </c>
      <c r="G47">
        <v>1137</v>
      </c>
      <c r="H47">
        <v>1106</v>
      </c>
      <c r="I47" t="str">
        <v>618.74K</v>
      </c>
      <c r="J47">
        <v>618737</v>
      </c>
      <c r="K47">
        <v>-1.76</v>
      </c>
      <c r="L47">
        <v>1110.4000244140625</v>
      </c>
      <c r="M47">
        <v>1134</v>
      </c>
      <c r="N47">
        <v>1137</v>
      </c>
      <c r="O47">
        <v>1106</v>
      </c>
      <c r="P47">
        <v>-1.7605966163316096</v>
      </c>
    </row>
    <row r="48" spans="1:16" x14ac:dyDescent="0.25">
      <c r="A48" t="str">
        <v>greenFont</v>
      </c>
      <c r="B48" s="1">
        <v>45331</v>
      </c>
      <c r="C48">
        <v>1707436800</v>
      </c>
      <c r="D48" s="1">
        <v>45331</v>
      </c>
      <c r="E48">
        <v>1130.3</v>
      </c>
      <c r="F48">
        <v>1116.4000000000001</v>
      </c>
      <c r="G48">
        <v>1154.4000000000001</v>
      </c>
      <c r="H48">
        <v>1098.7</v>
      </c>
      <c r="I48" t="str">
        <v>1.24M</v>
      </c>
      <c r="J48">
        <v>1238596</v>
      </c>
      <c r="K48">
        <v>1.48</v>
      </c>
      <c r="L48">
        <v>1130.300048828125</v>
      </c>
      <c r="M48">
        <v>1116.4000244140625</v>
      </c>
      <c r="N48">
        <v>1154.4000244140625</v>
      </c>
      <c r="O48">
        <v>1098.699951171875</v>
      </c>
      <c r="P48">
        <v>1.4768661491897943</v>
      </c>
    </row>
    <row r="49" spans="1:16" x14ac:dyDescent="0.25">
      <c r="A49" t="str">
        <v>redFont</v>
      </c>
      <c r="B49" s="1">
        <v>45330</v>
      </c>
      <c r="C49">
        <v>1707350400</v>
      </c>
      <c r="D49" s="1">
        <v>45330</v>
      </c>
      <c r="E49">
        <v>1113.8499999999999</v>
      </c>
      <c r="F49">
        <v>1122.8</v>
      </c>
      <c r="G49">
        <v>1135.9000000000001</v>
      </c>
      <c r="H49">
        <v>1106.3499999999999</v>
      </c>
      <c r="I49" t="str">
        <v>736.69K</v>
      </c>
      <c r="J49">
        <v>736687</v>
      </c>
      <c r="K49">
        <v>0</v>
      </c>
      <c r="L49">
        <v>1113.8499755859375</v>
      </c>
      <c r="M49">
        <v>1122.800048828125</v>
      </c>
      <c r="N49">
        <v>1135.9000244140625</v>
      </c>
      <c r="O49">
        <v>1106.3499755859375</v>
      </c>
      <c r="P49">
        <v>-4.4931167095832369E-3</v>
      </c>
    </row>
    <row r="50" spans="1:16" x14ac:dyDescent="0.25">
      <c r="A50" t="str">
        <v>redFont</v>
      </c>
      <c r="B50" s="1">
        <v>45329</v>
      </c>
      <c r="C50">
        <v>1707264000</v>
      </c>
      <c r="D50" s="1">
        <v>45329</v>
      </c>
      <c r="E50">
        <v>1113.9000000000001</v>
      </c>
      <c r="F50">
        <v>1148.3</v>
      </c>
      <c r="G50">
        <v>1148.75</v>
      </c>
      <c r="H50">
        <v>1109.3499999999999</v>
      </c>
      <c r="I50" t="str">
        <v>999.99K</v>
      </c>
      <c r="J50">
        <v>999988</v>
      </c>
      <c r="K50">
        <v>-1.45</v>
      </c>
      <c r="L50">
        <v>1113.9000244140625</v>
      </c>
      <c r="M50">
        <v>1148.300048828125</v>
      </c>
      <c r="N50">
        <v>1148.75</v>
      </c>
      <c r="O50">
        <v>1109.3499755859375</v>
      </c>
      <c r="P50">
        <v>-1.4465804544072107</v>
      </c>
    </row>
    <row r="51" spans="1:16" x14ac:dyDescent="0.25">
      <c r="A51" t="str">
        <v>greenFont</v>
      </c>
      <c r="B51" s="1">
        <v>45328</v>
      </c>
      <c r="C51">
        <v>1707177600</v>
      </c>
      <c r="D51" s="1">
        <v>45328</v>
      </c>
      <c r="E51">
        <v>1130.25</v>
      </c>
      <c r="F51">
        <v>1082.5</v>
      </c>
      <c r="G51">
        <v>1163.55</v>
      </c>
      <c r="H51">
        <v>1071.05</v>
      </c>
      <c r="I51" t="str">
        <v>3.43M</v>
      </c>
      <c r="J51">
        <v>3429953</v>
      </c>
      <c r="K51">
        <v>4.4800000000000004</v>
      </c>
      <c r="L51">
        <v>1130.25</v>
      </c>
      <c r="M51">
        <v>1082.5</v>
      </c>
      <c r="N51">
        <v>1163.550048828125</v>
      </c>
      <c r="O51">
        <v>1071.050048828125</v>
      </c>
      <c r="P51">
        <v>4.4834758493182347</v>
      </c>
    </row>
    <row r="52" spans="1:16" x14ac:dyDescent="0.25">
      <c r="A52" t="str">
        <v>redFont</v>
      </c>
      <c r="B52" s="1">
        <v>45327</v>
      </c>
      <c r="C52">
        <v>1707091200</v>
      </c>
      <c r="D52" s="1">
        <v>45327</v>
      </c>
      <c r="E52">
        <v>1081.75</v>
      </c>
      <c r="F52">
        <v>1101.05</v>
      </c>
      <c r="G52">
        <v>1102.4000000000001</v>
      </c>
      <c r="H52">
        <v>1080</v>
      </c>
      <c r="I52" t="str">
        <v>845.96K</v>
      </c>
      <c r="J52">
        <v>845963</v>
      </c>
      <c r="K52">
        <v>-1.51</v>
      </c>
      <c r="L52">
        <v>1081.75</v>
      </c>
      <c r="M52">
        <v>1101.050048828125</v>
      </c>
      <c r="N52">
        <v>1102.4000244140625</v>
      </c>
      <c r="O52">
        <v>1080</v>
      </c>
      <c r="P52">
        <v>-1.5068786390188851</v>
      </c>
    </row>
    <row r="53" spans="1:16" x14ac:dyDescent="0.25">
      <c r="A53" t="str">
        <v>redFont</v>
      </c>
      <c r="B53" s="1">
        <v>45324</v>
      </c>
      <c r="C53">
        <v>1706832000</v>
      </c>
      <c r="D53" s="1">
        <v>45324</v>
      </c>
      <c r="E53">
        <v>1098.3</v>
      </c>
      <c r="F53">
        <v>1101.05</v>
      </c>
      <c r="G53">
        <v>1106</v>
      </c>
      <c r="H53">
        <v>1088.05</v>
      </c>
      <c r="I53" t="str">
        <v>873.71K</v>
      </c>
      <c r="J53">
        <v>873712</v>
      </c>
      <c r="K53">
        <v>-0.02</v>
      </c>
      <c r="L53">
        <v>1098.300048828125</v>
      </c>
      <c r="M53">
        <v>1101.050048828125</v>
      </c>
      <c r="N53">
        <v>1106</v>
      </c>
      <c r="O53">
        <v>1088.050048828125</v>
      </c>
      <c r="P53">
        <v>-1.8202200443786981E-2</v>
      </c>
    </row>
    <row r="54" spans="1:16" x14ac:dyDescent="0.25">
      <c r="A54" t="str">
        <v>redFont</v>
      </c>
      <c r="B54" s="1">
        <v>45323</v>
      </c>
      <c r="C54">
        <v>1706745600</v>
      </c>
      <c r="D54" s="1">
        <v>45323</v>
      </c>
      <c r="E54">
        <v>1098.5</v>
      </c>
      <c r="F54">
        <v>1119</v>
      </c>
      <c r="G54">
        <v>1119</v>
      </c>
      <c r="H54">
        <v>1094.0999999999999</v>
      </c>
      <c r="I54" t="str">
        <v>1.09M</v>
      </c>
      <c r="J54">
        <v>1090740</v>
      </c>
      <c r="K54">
        <v>-1.1599999999999999</v>
      </c>
      <c r="L54">
        <v>1098.5</v>
      </c>
      <c r="M54">
        <v>1119</v>
      </c>
      <c r="N54">
        <v>1119</v>
      </c>
      <c r="O54">
        <v>1094.0999755859375</v>
      </c>
      <c r="P54">
        <v>-1.1607003896606425</v>
      </c>
    </row>
    <row r="55" spans="1:16" x14ac:dyDescent="0.25">
      <c r="A55" t="str">
        <v>redFont</v>
      </c>
      <c r="B55" s="1">
        <v>45322</v>
      </c>
      <c r="C55">
        <v>1706659200</v>
      </c>
      <c r="D55" s="1">
        <v>45322</v>
      </c>
      <c r="E55">
        <v>1111.4000000000001</v>
      </c>
      <c r="F55">
        <v>1124.7</v>
      </c>
      <c r="G55">
        <v>1124.7</v>
      </c>
      <c r="H55">
        <v>1108.8</v>
      </c>
      <c r="I55" t="str">
        <v>780.69K</v>
      </c>
      <c r="J55">
        <v>780688</v>
      </c>
      <c r="K55">
        <v>-0.84</v>
      </c>
      <c r="L55">
        <v>1111.4000244140625</v>
      </c>
      <c r="M55">
        <v>1124.699951171875</v>
      </c>
      <c r="N55">
        <v>1124.699951171875</v>
      </c>
      <c r="O55">
        <v>1108.800048828125</v>
      </c>
      <c r="P55">
        <v>-0.84310580164262638</v>
      </c>
    </row>
    <row r="56" spans="1:16" x14ac:dyDescent="0.25">
      <c r="A56" t="str">
        <v>redFont</v>
      </c>
      <c r="B56" s="1">
        <v>45321</v>
      </c>
      <c r="C56">
        <v>1706572800</v>
      </c>
      <c r="D56" s="1">
        <v>45321</v>
      </c>
      <c r="E56">
        <v>1120.8499999999999</v>
      </c>
      <c r="F56">
        <v>1141.5</v>
      </c>
      <c r="G56">
        <v>1144</v>
      </c>
      <c r="H56">
        <v>1118.0999999999999</v>
      </c>
      <c r="I56" t="str">
        <v>1.12M</v>
      </c>
      <c r="J56">
        <v>1123701</v>
      </c>
      <c r="K56">
        <v>-1.56</v>
      </c>
      <c r="L56">
        <v>1120.8499755859375</v>
      </c>
      <c r="M56">
        <v>1141.5</v>
      </c>
      <c r="N56">
        <v>1144</v>
      </c>
      <c r="O56">
        <v>1118.0999755859375</v>
      </c>
      <c r="P56">
        <v>-1.5589320552080315</v>
      </c>
    </row>
    <row r="57" spans="1:16" x14ac:dyDescent="0.25">
      <c r="A57" t="str">
        <v>redFont</v>
      </c>
      <c r="B57" s="1">
        <v>45320</v>
      </c>
      <c r="C57">
        <v>1706486400</v>
      </c>
      <c r="D57" s="1">
        <v>45320</v>
      </c>
      <c r="E57">
        <v>1138.5999999999999</v>
      </c>
      <c r="F57">
        <v>1161</v>
      </c>
      <c r="G57">
        <v>1163</v>
      </c>
      <c r="H57">
        <v>1137</v>
      </c>
      <c r="I57" t="str">
        <v>1.04M</v>
      </c>
      <c r="J57">
        <v>1043648</v>
      </c>
      <c r="K57">
        <v>-0.52</v>
      </c>
      <c r="L57">
        <v>1138.5999755859375</v>
      </c>
      <c r="M57">
        <v>1161</v>
      </c>
      <c r="N57">
        <v>1163</v>
      </c>
      <c r="O57">
        <v>1137</v>
      </c>
      <c r="P57">
        <v>-0.51986134186789168</v>
      </c>
    </row>
    <row r="58" spans="1:16" x14ac:dyDescent="0.25">
      <c r="A58" t="str">
        <v>greenFont</v>
      </c>
      <c r="B58" s="1">
        <v>45316</v>
      </c>
      <c r="C58">
        <v>1706140800</v>
      </c>
      <c r="D58" s="1">
        <v>45316</v>
      </c>
      <c r="E58">
        <v>1144.55</v>
      </c>
      <c r="F58">
        <v>1146</v>
      </c>
      <c r="G58">
        <v>1151.55</v>
      </c>
      <c r="H58">
        <v>1138.5</v>
      </c>
      <c r="I58" t="str">
        <v>556.58K</v>
      </c>
      <c r="J58">
        <v>556575</v>
      </c>
      <c r="K58">
        <v>0.18</v>
      </c>
      <c r="L58">
        <v>1144.550048828125</v>
      </c>
      <c r="M58">
        <v>1146</v>
      </c>
      <c r="N58">
        <v>1151.550048828125</v>
      </c>
      <c r="O58">
        <v>1138.5</v>
      </c>
      <c r="P58">
        <v>0.17504703641221953</v>
      </c>
    </row>
    <row r="59" spans="1:16" x14ac:dyDescent="0.25">
      <c r="A59" t="str">
        <v>greenFont</v>
      </c>
      <c r="B59" s="1">
        <v>45315</v>
      </c>
      <c r="C59">
        <v>1706054400</v>
      </c>
      <c r="D59" s="1">
        <v>45315</v>
      </c>
      <c r="E59">
        <v>1142.55</v>
      </c>
      <c r="F59">
        <v>1149</v>
      </c>
      <c r="G59">
        <v>1153.9000000000001</v>
      </c>
      <c r="H59">
        <v>1139.5</v>
      </c>
      <c r="I59" t="str">
        <v>469.82K</v>
      </c>
      <c r="J59">
        <v>469822</v>
      </c>
      <c r="K59">
        <v>0.01</v>
      </c>
      <c r="L59">
        <v>1142.550048828125</v>
      </c>
      <c r="M59">
        <v>1149</v>
      </c>
      <c r="N59">
        <v>1153.9000244140625</v>
      </c>
      <c r="O59">
        <v>1139.5</v>
      </c>
      <c r="P59">
        <v>1.3132388905492854E-2</v>
      </c>
    </row>
    <row r="60" spans="1:16" x14ac:dyDescent="0.25">
      <c r="A60" t="str">
        <v>redFont</v>
      </c>
      <c r="B60" s="1">
        <v>45314</v>
      </c>
      <c r="C60">
        <v>1705968000</v>
      </c>
      <c r="D60" s="1">
        <v>45314</v>
      </c>
      <c r="E60">
        <v>1142.4000000000001</v>
      </c>
      <c r="F60">
        <v>1162.2</v>
      </c>
      <c r="G60">
        <v>1163.5</v>
      </c>
      <c r="H60">
        <v>1140</v>
      </c>
      <c r="I60" t="str">
        <v>571.92K</v>
      </c>
      <c r="J60">
        <v>571921</v>
      </c>
      <c r="K60">
        <v>-0.73</v>
      </c>
      <c r="L60">
        <v>1142.4000244140625</v>
      </c>
      <c r="M60">
        <v>1162.199951171875</v>
      </c>
      <c r="N60">
        <v>1163.5</v>
      </c>
      <c r="O60">
        <v>1140</v>
      </c>
      <c r="P60">
        <v>-0.72992909781472082</v>
      </c>
    </row>
    <row r="61" spans="1:16" x14ac:dyDescent="0.25">
      <c r="A61" t="str">
        <v>greenFont</v>
      </c>
      <c r="B61" s="1">
        <v>45311</v>
      </c>
      <c r="C61">
        <v>1705708800</v>
      </c>
      <c r="D61" s="1">
        <v>45311</v>
      </c>
      <c r="E61">
        <v>1150.8</v>
      </c>
      <c r="F61">
        <v>1143.95</v>
      </c>
      <c r="G61">
        <v>1169.05</v>
      </c>
      <c r="H61">
        <v>1142.9000000000001</v>
      </c>
      <c r="I61" t="str">
        <v>595.71K</v>
      </c>
      <c r="J61">
        <v>595708</v>
      </c>
      <c r="K61">
        <v>0.89</v>
      </c>
      <c r="L61">
        <v>1150.800048828125</v>
      </c>
      <c r="M61">
        <v>1143.949951171875</v>
      </c>
      <c r="N61">
        <v>1169.050048828125</v>
      </c>
      <c r="O61">
        <v>1142.9000244140625</v>
      </c>
      <c r="P61">
        <v>0.88984563159733765</v>
      </c>
    </row>
    <row r="62" spans="1:16" x14ac:dyDescent="0.25">
      <c r="A62" t="str">
        <v>redFont</v>
      </c>
      <c r="B62" s="1">
        <v>45310</v>
      </c>
      <c r="C62">
        <v>1705622400</v>
      </c>
      <c r="D62" s="1">
        <v>45310</v>
      </c>
      <c r="E62">
        <v>1140.6500000000001</v>
      </c>
      <c r="F62">
        <v>1157</v>
      </c>
      <c r="G62">
        <v>1157</v>
      </c>
      <c r="H62">
        <v>1140</v>
      </c>
      <c r="I62" t="str">
        <v>835.63K</v>
      </c>
      <c r="J62">
        <v>835628</v>
      </c>
      <c r="K62">
        <v>-0.85</v>
      </c>
      <c r="L62">
        <v>1140.6500244140625</v>
      </c>
      <c r="M62">
        <v>1157</v>
      </c>
      <c r="N62">
        <v>1157</v>
      </c>
      <c r="O62">
        <v>1140</v>
      </c>
      <c r="P62">
        <v>-0.84753127547663287</v>
      </c>
    </row>
    <row r="63" spans="1:16" x14ac:dyDescent="0.25">
      <c r="A63" t="str">
        <v>redFont</v>
      </c>
      <c r="B63" s="1">
        <v>45309</v>
      </c>
      <c r="C63">
        <v>1705536000</v>
      </c>
      <c r="D63" s="1">
        <v>45309</v>
      </c>
      <c r="E63">
        <v>1150.4000000000001</v>
      </c>
      <c r="F63">
        <v>1155.0999999999999</v>
      </c>
      <c r="G63">
        <v>1160.9000000000001</v>
      </c>
      <c r="H63">
        <v>1130.0999999999999</v>
      </c>
      <c r="I63" t="str">
        <v>763.69K</v>
      </c>
      <c r="J63">
        <v>763685</v>
      </c>
      <c r="K63">
        <v>-0.53</v>
      </c>
      <c r="L63">
        <v>1150.4000244140625</v>
      </c>
      <c r="M63">
        <v>1155.0999755859375</v>
      </c>
      <c r="N63">
        <v>1160.9000244140625</v>
      </c>
      <c r="O63">
        <v>1130.0999755859375</v>
      </c>
      <c r="P63">
        <v>-0.52745141253242545</v>
      </c>
    </row>
    <row r="64" spans="1:16" x14ac:dyDescent="0.25">
      <c r="A64" t="str">
        <v>redFont</v>
      </c>
      <c r="B64" s="1">
        <v>45308</v>
      </c>
      <c r="C64">
        <v>1705449600</v>
      </c>
      <c r="D64" s="1">
        <v>45308</v>
      </c>
      <c r="E64">
        <v>1156.5</v>
      </c>
      <c r="F64">
        <v>1157.9000000000001</v>
      </c>
      <c r="G64">
        <v>1166.4000000000001</v>
      </c>
      <c r="H64">
        <v>1153.25</v>
      </c>
      <c r="I64" t="str">
        <v>718.62K</v>
      </c>
      <c r="J64">
        <v>718624</v>
      </c>
      <c r="K64">
        <v>-0.57999999999999996</v>
      </c>
      <c r="L64">
        <v>1156.5</v>
      </c>
      <c r="M64">
        <v>1157.9000244140625</v>
      </c>
      <c r="N64">
        <v>1166.4000244140625</v>
      </c>
      <c r="O64">
        <v>1153.25</v>
      </c>
      <c r="P64">
        <v>-0.5845481425858422</v>
      </c>
    </row>
    <row r="65" spans="1:16" x14ac:dyDescent="0.25">
      <c r="A65" t="str">
        <v>redFont</v>
      </c>
      <c r="B65" s="1">
        <v>45307</v>
      </c>
      <c r="C65">
        <v>1705363200</v>
      </c>
      <c r="D65" s="1">
        <v>45307</v>
      </c>
      <c r="E65">
        <v>1163.3</v>
      </c>
      <c r="F65">
        <v>1171.9000000000001</v>
      </c>
      <c r="G65">
        <v>1171.9000000000001</v>
      </c>
      <c r="H65">
        <v>1160</v>
      </c>
      <c r="I65" t="str">
        <v>729.57K</v>
      </c>
      <c r="J65">
        <v>729567</v>
      </c>
      <c r="K65">
        <v>-0.72</v>
      </c>
      <c r="L65">
        <v>1163.300048828125</v>
      </c>
      <c r="M65">
        <v>1171.9000244140625</v>
      </c>
      <c r="N65">
        <v>1171.9000244140625</v>
      </c>
      <c r="O65">
        <v>1160</v>
      </c>
      <c r="P65">
        <v>-0.72113942153829746</v>
      </c>
    </row>
    <row r="66" spans="1:16" x14ac:dyDescent="0.25">
      <c r="A66" t="str">
        <v>greenFont</v>
      </c>
      <c r="B66" s="1">
        <v>45306</v>
      </c>
      <c r="C66">
        <v>1705276800</v>
      </c>
      <c r="D66" s="1">
        <v>45306</v>
      </c>
      <c r="E66">
        <v>1171.75</v>
      </c>
      <c r="F66">
        <v>1180</v>
      </c>
      <c r="G66">
        <v>1184.9000000000001</v>
      </c>
      <c r="H66">
        <v>1169.1500000000001</v>
      </c>
      <c r="I66" t="str">
        <v>757.17K</v>
      </c>
      <c r="J66">
        <v>757174</v>
      </c>
      <c r="K66">
        <v>0.37</v>
      </c>
      <c r="L66">
        <v>1171.75</v>
      </c>
      <c r="M66">
        <v>1180</v>
      </c>
      <c r="N66">
        <v>1184.9000244140625</v>
      </c>
      <c r="O66">
        <v>1169.1500244140625</v>
      </c>
      <c r="P66">
        <v>0.36832832309502028</v>
      </c>
    </row>
    <row r="67" spans="1:16" x14ac:dyDescent="0.25">
      <c r="A67" t="str">
        <v>greenFont</v>
      </c>
      <c r="B67" s="1">
        <v>45303</v>
      </c>
      <c r="C67">
        <v>1705017600</v>
      </c>
      <c r="D67" s="1">
        <v>45303</v>
      </c>
      <c r="E67">
        <v>1167.45</v>
      </c>
      <c r="F67">
        <v>1163.7</v>
      </c>
      <c r="G67">
        <v>1202</v>
      </c>
      <c r="H67">
        <v>1160.0999999999999</v>
      </c>
      <c r="I67" t="str">
        <v>2.47M</v>
      </c>
      <c r="J67">
        <v>2470848</v>
      </c>
      <c r="K67">
        <v>0.68</v>
      </c>
      <c r="L67">
        <v>1167.449951171875</v>
      </c>
      <c r="M67">
        <v>1163.699951171875</v>
      </c>
      <c r="N67">
        <v>1202</v>
      </c>
      <c r="O67">
        <v>1160.0999755859375</v>
      </c>
      <c r="P67">
        <v>0.67695548044237963</v>
      </c>
    </row>
    <row r="68" spans="1:16" x14ac:dyDescent="0.25">
      <c r="A68" t="str">
        <v>redFont</v>
      </c>
      <c r="B68" s="1">
        <v>45302</v>
      </c>
      <c r="C68">
        <v>1704931200</v>
      </c>
      <c r="D68" s="1">
        <v>45302</v>
      </c>
      <c r="E68">
        <v>1159.5999999999999</v>
      </c>
      <c r="F68">
        <v>1167.95</v>
      </c>
      <c r="G68">
        <v>1169</v>
      </c>
      <c r="H68">
        <v>1158</v>
      </c>
      <c r="I68" t="str">
        <v>636.05K</v>
      </c>
      <c r="J68">
        <v>636047</v>
      </c>
      <c r="K68">
        <v>-0.31</v>
      </c>
      <c r="L68">
        <v>1159.5999755859375</v>
      </c>
      <c r="M68">
        <v>1167.949951171875</v>
      </c>
      <c r="N68">
        <v>1169</v>
      </c>
      <c r="O68">
        <v>1158</v>
      </c>
      <c r="P68">
        <v>-0.31377815723726626</v>
      </c>
    </row>
    <row r="69" spans="1:16" x14ac:dyDescent="0.25">
      <c r="A69" t="str">
        <v>redFont</v>
      </c>
      <c r="B69" s="1">
        <v>45301</v>
      </c>
      <c r="C69">
        <v>1704844800</v>
      </c>
      <c r="D69" s="1">
        <v>45301</v>
      </c>
      <c r="E69">
        <v>1163.25</v>
      </c>
      <c r="F69">
        <v>1170.0999999999999</v>
      </c>
      <c r="G69">
        <v>1170.0999999999999</v>
      </c>
      <c r="H69">
        <v>1156</v>
      </c>
      <c r="I69" t="str">
        <v>626.90K</v>
      </c>
      <c r="J69">
        <v>626896</v>
      </c>
      <c r="K69">
        <v>-0.31</v>
      </c>
      <c r="L69">
        <v>1163.25</v>
      </c>
      <c r="M69">
        <v>1170.0999755859375</v>
      </c>
      <c r="N69">
        <v>1170.0999755859375</v>
      </c>
      <c r="O69">
        <v>1156</v>
      </c>
      <c r="P69">
        <v>-0.30852086054419814</v>
      </c>
    </row>
    <row r="70" spans="1:16" x14ac:dyDescent="0.25">
      <c r="A70" t="str">
        <v>redFont</v>
      </c>
      <c r="B70" s="1">
        <v>45300</v>
      </c>
      <c r="C70">
        <v>1704758400</v>
      </c>
      <c r="D70" s="1">
        <v>45300</v>
      </c>
      <c r="E70">
        <v>1166.8499999999999</v>
      </c>
      <c r="F70">
        <v>1178.0999999999999</v>
      </c>
      <c r="G70">
        <v>1179</v>
      </c>
      <c r="H70">
        <v>1165</v>
      </c>
      <c r="I70" t="str">
        <v>733.60K</v>
      </c>
      <c r="J70">
        <v>733601</v>
      </c>
      <c r="K70">
        <v>-0.4</v>
      </c>
      <c r="L70">
        <v>1166.8499755859375</v>
      </c>
      <c r="M70">
        <v>1178.0999755859375</v>
      </c>
      <c r="N70">
        <v>1179</v>
      </c>
      <c r="O70">
        <v>1165</v>
      </c>
      <c r="P70">
        <v>-0.39692910064553988</v>
      </c>
    </row>
    <row r="71" spans="1:16" x14ac:dyDescent="0.25">
      <c r="A71" t="str">
        <v>greenFont</v>
      </c>
      <c r="B71" s="1">
        <v>45299</v>
      </c>
      <c r="C71">
        <v>1704672000</v>
      </c>
      <c r="D71" s="1">
        <v>45299</v>
      </c>
      <c r="E71">
        <v>1171.5</v>
      </c>
      <c r="F71">
        <v>1174.7</v>
      </c>
      <c r="G71">
        <v>1179</v>
      </c>
      <c r="H71">
        <v>1168.5999999999999</v>
      </c>
      <c r="I71" t="str">
        <v>475.51K</v>
      </c>
      <c r="J71">
        <v>475513</v>
      </c>
      <c r="K71">
        <v>0.01</v>
      </c>
      <c r="L71">
        <v>1171.5</v>
      </c>
      <c r="M71">
        <v>1174.699951171875</v>
      </c>
      <c r="N71">
        <v>1179</v>
      </c>
      <c r="O71">
        <v>1168.5999755859375</v>
      </c>
      <c r="P71">
        <v>1.2807821504196829E-2</v>
      </c>
    </row>
    <row r="72" spans="1:16" x14ac:dyDescent="0.25">
      <c r="A72" t="str">
        <v>redFont</v>
      </c>
      <c r="B72" s="1">
        <v>45296</v>
      </c>
      <c r="C72">
        <v>1704412800</v>
      </c>
      <c r="D72" s="1">
        <v>45296</v>
      </c>
      <c r="E72">
        <v>1171.3499999999999</v>
      </c>
      <c r="F72">
        <v>1173.5</v>
      </c>
      <c r="G72">
        <v>1179.3499999999999</v>
      </c>
      <c r="H72">
        <v>1170</v>
      </c>
      <c r="I72" t="str">
        <v>824.12K</v>
      </c>
      <c r="J72">
        <v>824122</v>
      </c>
      <c r="K72">
        <v>0</v>
      </c>
      <c r="L72">
        <v>1171.3499755859375</v>
      </c>
      <c r="M72">
        <v>1173.5</v>
      </c>
      <c r="N72">
        <v>1179.3499755859375</v>
      </c>
      <c r="O72">
        <v>1170</v>
      </c>
      <c r="P72">
        <v>0</v>
      </c>
    </row>
    <row r="73" spans="1:16" x14ac:dyDescent="0.25">
      <c r="A73" t="str">
        <v>redFont</v>
      </c>
      <c r="B73" s="1">
        <v>45295</v>
      </c>
      <c r="C73">
        <v>1704326400</v>
      </c>
      <c r="D73" s="1">
        <v>45295</v>
      </c>
      <c r="E73">
        <v>1171.3499999999999</v>
      </c>
      <c r="F73">
        <v>1175</v>
      </c>
      <c r="G73">
        <v>1181.55</v>
      </c>
      <c r="H73">
        <v>1169.45</v>
      </c>
      <c r="I73" t="str">
        <v>706.44K</v>
      </c>
      <c r="J73">
        <v>706442</v>
      </c>
      <c r="K73">
        <v>-0.06</v>
      </c>
      <c r="L73">
        <v>1171.3499755859375</v>
      </c>
      <c r="M73">
        <v>1175</v>
      </c>
      <c r="N73">
        <v>1181.550048828125</v>
      </c>
      <c r="O73">
        <v>1169.449951171875</v>
      </c>
      <c r="P73">
        <v>-5.9730661065836625E-2</v>
      </c>
    </row>
    <row r="74" spans="1:16" x14ac:dyDescent="0.25">
      <c r="A74" t="str">
        <v>redFont</v>
      </c>
      <c r="B74" s="1">
        <v>45294</v>
      </c>
      <c r="C74">
        <v>1704240000</v>
      </c>
      <c r="D74" s="1">
        <v>45294</v>
      </c>
      <c r="E74">
        <v>1172.05</v>
      </c>
      <c r="F74">
        <v>1180</v>
      </c>
      <c r="G74">
        <v>1185</v>
      </c>
      <c r="H74">
        <v>1168</v>
      </c>
      <c r="I74" t="str">
        <v>937.01K</v>
      </c>
      <c r="J74">
        <v>937005</v>
      </c>
      <c r="K74">
        <v>-0.84</v>
      </c>
      <c r="L74">
        <v>1172.050048828125</v>
      </c>
      <c r="M74">
        <v>1180</v>
      </c>
      <c r="N74">
        <v>1185</v>
      </c>
      <c r="O74">
        <v>1168</v>
      </c>
      <c r="P74">
        <v>-0.83759065550402401</v>
      </c>
    </row>
    <row r="75" spans="1:16" x14ac:dyDescent="0.25">
      <c r="A75" t="str">
        <v>greenFont</v>
      </c>
      <c r="B75" s="1">
        <v>45293</v>
      </c>
      <c r="C75">
        <v>1704153600</v>
      </c>
      <c r="D75" s="1">
        <v>45293</v>
      </c>
      <c r="E75">
        <v>1181.95</v>
      </c>
      <c r="F75">
        <v>1184</v>
      </c>
      <c r="G75">
        <v>1188.9000000000001</v>
      </c>
      <c r="H75">
        <v>1177</v>
      </c>
      <c r="I75" t="str">
        <v>720.39K</v>
      </c>
      <c r="J75">
        <v>720393</v>
      </c>
      <c r="K75">
        <v>0.13</v>
      </c>
      <c r="L75">
        <v>1181.949951171875</v>
      </c>
      <c r="M75">
        <v>1184</v>
      </c>
      <c r="N75">
        <v>1188.9000244140625</v>
      </c>
      <c r="O75">
        <v>1177</v>
      </c>
      <c r="P75">
        <v>0.12707019035503336</v>
      </c>
    </row>
    <row r="76" spans="1:16" x14ac:dyDescent="0.25">
      <c r="A76" t="str">
        <v>greenFont</v>
      </c>
      <c r="B76" s="1">
        <v>45292</v>
      </c>
      <c r="C76">
        <v>1704067200</v>
      </c>
      <c r="D76" s="1">
        <v>45292</v>
      </c>
      <c r="E76">
        <v>1180.45</v>
      </c>
      <c r="F76">
        <v>1184</v>
      </c>
      <c r="G76">
        <v>1197.9000000000001</v>
      </c>
      <c r="H76">
        <v>1180</v>
      </c>
      <c r="I76" t="str">
        <v>794.23K</v>
      </c>
      <c r="J76">
        <v>794228</v>
      </c>
      <c r="K76">
        <v>0.03</v>
      </c>
      <c r="L76">
        <v>1180.449951171875</v>
      </c>
      <c r="M76">
        <v>1184</v>
      </c>
      <c r="N76">
        <v>1197.9000244140625</v>
      </c>
      <c r="O76">
        <v>1180</v>
      </c>
      <c r="P76">
        <v>2.5414290692525456E-2</v>
      </c>
    </row>
    <row r="77" spans="1:16" x14ac:dyDescent="0.25">
      <c r="A77" t="str">
        <v>greenFont</v>
      </c>
      <c r="B77" s="1">
        <v>45289</v>
      </c>
      <c r="C77">
        <v>1703808000</v>
      </c>
      <c r="D77" s="1">
        <v>45289</v>
      </c>
      <c r="E77">
        <v>1180.1500000000001</v>
      </c>
      <c r="F77">
        <v>1180</v>
      </c>
      <c r="G77">
        <v>1188</v>
      </c>
      <c r="H77">
        <v>1170.45</v>
      </c>
      <c r="I77" t="str">
        <v>974.33K</v>
      </c>
      <c r="J77">
        <v>974333</v>
      </c>
      <c r="K77">
        <v>0.36</v>
      </c>
      <c r="L77">
        <v>1180.1500244140625</v>
      </c>
      <c r="M77">
        <v>1180</v>
      </c>
      <c r="N77">
        <v>1188</v>
      </c>
      <c r="O77">
        <v>1170.449951171875</v>
      </c>
      <c r="P77">
        <v>0.3571642856060312</v>
      </c>
    </row>
    <row r="78" spans="1:16" x14ac:dyDescent="0.25">
      <c r="A78" t="str">
        <v>redFont</v>
      </c>
      <c r="B78" s="1">
        <v>45288</v>
      </c>
      <c r="C78">
        <v>1703721600</v>
      </c>
      <c r="D78" s="1">
        <v>45288</v>
      </c>
      <c r="E78">
        <v>1175.95</v>
      </c>
      <c r="F78">
        <v>1200</v>
      </c>
      <c r="G78">
        <v>1201.8499999999999</v>
      </c>
      <c r="H78">
        <v>1169</v>
      </c>
      <c r="I78" t="str">
        <v>1.91M</v>
      </c>
      <c r="J78">
        <v>1913710</v>
      </c>
      <c r="K78">
        <v>-1.97</v>
      </c>
      <c r="L78">
        <v>1175.949951171875</v>
      </c>
      <c r="M78">
        <v>1200</v>
      </c>
      <c r="N78">
        <v>1201.8499755859375</v>
      </c>
      <c r="O78">
        <v>1169</v>
      </c>
      <c r="P78">
        <v>-1.9714925721393739</v>
      </c>
    </row>
    <row r="79" spans="1:16" x14ac:dyDescent="0.25">
      <c r="A79" t="str">
        <v>redFont</v>
      </c>
      <c r="B79" s="1">
        <v>45287</v>
      </c>
      <c r="C79">
        <v>1703635200</v>
      </c>
      <c r="D79" s="1">
        <v>45287</v>
      </c>
      <c r="E79">
        <v>1199.5999999999999</v>
      </c>
      <c r="F79">
        <v>1208</v>
      </c>
      <c r="G79">
        <v>1212.9000000000001</v>
      </c>
      <c r="H79">
        <v>1196.2</v>
      </c>
      <c r="I79" t="str">
        <v>656.32K</v>
      </c>
      <c r="J79">
        <v>656321</v>
      </c>
      <c r="K79">
        <v>-0.26</v>
      </c>
      <c r="L79">
        <v>1199.5999755859375</v>
      </c>
      <c r="M79">
        <v>1208</v>
      </c>
      <c r="N79">
        <v>1212.9000244140625</v>
      </c>
      <c r="O79">
        <v>1196.199951171875</v>
      </c>
      <c r="P79">
        <v>-0.26190184278216588</v>
      </c>
    </row>
    <row r="80" spans="1:16" x14ac:dyDescent="0.25">
      <c r="A80" t="str">
        <v>redFont</v>
      </c>
      <c r="B80" s="1">
        <v>45286</v>
      </c>
      <c r="C80">
        <v>1703548800</v>
      </c>
      <c r="D80" s="1">
        <v>45286</v>
      </c>
      <c r="E80">
        <v>1202.75</v>
      </c>
      <c r="F80">
        <v>1210</v>
      </c>
      <c r="G80">
        <v>1217.95</v>
      </c>
      <c r="H80">
        <v>1200.5</v>
      </c>
      <c r="I80" t="str">
        <v>575.20K</v>
      </c>
      <c r="J80">
        <v>575200</v>
      </c>
      <c r="K80">
        <v>-0.5</v>
      </c>
      <c r="L80">
        <v>1202.75</v>
      </c>
      <c r="M80">
        <v>1210</v>
      </c>
      <c r="N80">
        <v>1217.949951171875</v>
      </c>
      <c r="O80">
        <v>1200.5</v>
      </c>
      <c r="P80">
        <v>-0.49638055842812823</v>
      </c>
    </row>
    <row r="81" spans="1:16" x14ac:dyDescent="0.25">
      <c r="A81" t="str">
        <v>redFont</v>
      </c>
      <c r="B81" s="1">
        <v>45282</v>
      </c>
      <c r="C81">
        <v>1703203200</v>
      </c>
      <c r="D81" s="1">
        <v>45282</v>
      </c>
      <c r="E81">
        <v>1208.75</v>
      </c>
      <c r="F81">
        <v>1214.7</v>
      </c>
      <c r="G81">
        <v>1222.5</v>
      </c>
      <c r="H81">
        <v>1205</v>
      </c>
      <c r="I81" t="str">
        <v>701.24K</v>
      </c>
      <c r="J81">
        <v>701235</v>
      </c>
      <c r="K81">
        <v>-0.01</v>
      </c>
      <c r="L81">
        <v>1208.75</v>
      </c>
      <c r="M81">
        <v>1214.699951171875</v>
      </c>
      <c r="N81">
        <v>1222.5</v>
      </c>
      <c r="O81">
        <v>1205</v>
      </c>
      <c r="P81">
        <v>-1.2409993467839891E-2</v>
      </c>
    </row>
    <row r="82" spans="1:16" x14ac:dyDescent="0.25">
      <c r="A82" t="str">
        <v>greenFont</v>
      </c>
      <c r="B82" s="1">
        <v>45281</v>
      </c>
      <c r="C82">
        <v>1703116800</v>
      </c>
      <c r="D82" s="1">
        <v>45281</v>
      </c>
      <c r="E82">
        <v>1208.9000000000001</v>
      </c>
      <c r="F82">
        <v>1165.25</v>
      </c>
      <c r="G82">
        <v>1218.5999999999999</v>
      </c>
      <c r="H82">
        <v>1165.25</v>
      </c>
      <c r="I82" t="str">
        <v>1.50M</v>
      </c>
      <c r="J82">
        <v>1504596</v>
      </c>
      <c r="K82">
        <v>0.65</v>
      </c>
      <c r="L82">
        <v>1208.9000244140625</v>
      </c>
      <c r="M82">
        <v>1165.25</v>
      </c>
      <c r="N82">
        <v>1218.5999755859375</v>
      </c>
      <c r="O82">
        <v>1165.25</v>
      </c>
      <c r="P82">
        <v>0.645214989175108</v>
      </c>
    </row>
    <row r="83" spans="1:16" x14ac:dyDescent="0.25">
      <c r="A83" t="str">
        <v>redFont</v>
      </c>
      <c r="B83" s="1">
        <v>45280</v>
      </c>
      <c r="C83">
        <v>1703030400</v>
      </c>
      <c r="D83" s="1">
        <v>45280</v>
      </c>
      <c r="E83">
        <v>1201.1500000000001</v>
      </c>
      <c r="F83">
        <v>1247.9000000000001</v>
      </c>
      <c r="G83">
        <v>1248.75</v>
      </c>
      <c r="H83">
        <v>1198</v>
      </c>
      <c r="I83" t="str">
        <v>1.60M</v>
      </c>
      <c r="J83">
        <v>1604663</v>
      </c>
      <c r="K83">
        <v>-3.25</v>
      </c>
      <c r="L83">
        <v>1201.1500244140625</v>
      </c>
      <c r="M83">
        <v>1247.9000244140625</v>
      </c>
      <c r="N83">
        <v>1248.75</v>
      </c>
      <c r="O83">
        <v>1198</v>
      </c>
      <c r="P83">
        <v>-3.2539988582977624</v>
      </c>
    </row>
    <row r="84" spans="1:16" x14ac:dyDescent="0.25">
      <c r="A84" t="str">
        <v>greenFont</v>
      </c>
      <c r="B84" s="1">
        <v>45279</v>
      </c>
      <c r="C84">
        <v>1702944000</v>
      </c>
      <c r="D84" s="1">
        <v>45279</v>
      </c>
      <c r="E84">
        <v>1241.55</v>
      </c>
      <c r="F84">
        <v>1233</v>
      </c>
      <c r="G84">
        <v>1259.8</v>
      </c>
      <c r="H84">
        <v>1224.5999999999999</v>
      </c>
      <c r="I84" t="str">
        <v>2.09M</v>
      </c>
      <c r="J84">
        <v>2086748</v>
      </c>
      <c r="K84">
        <v>1</v>
      </c>
      <c r="L84">
        <v>1241.550048828125</v>
      </c>
      <c r="M84">
        <v>1233</v>
      </c>
      <c r="N84">
        <v>1259.800048828125</v>
      </c>
      <c r="O84">
        <v>1224.5999755859375</v>
      </c>
      <c r="P84">
        <v>1.0006141003152329</v>
      </c>
    </row>
    <row r="85" spans="1:16" x14ac:dyDescent="0.25">
      <c r="A85" t="str">
        <v>redFont</v>
      </c>
      <c r="B85" s="1">
        <v>45278</v>
      </c>
      <c r="C85">
        <v>1702857600</v>
      </c>
      <c r="D85" s="1">
        <v>45278</v>
      </c>
      <c r="E85">
        <v>1229.25</v>
      </c>
      <c r="F85">
        <v>1245.6500000000001</v>
      </c>
      <c r="G85">
        <v>1249.1500000000001</v>
      </c>
      <c r="H85">
        <v>1225.5999999999999</v>
      </c>
      <c r="I85" t="str">
        <v>1.00M</v>
      </c>
      <c r="J85">
        <v>1000620</v>
      </c>
      <c r="K85">
        <v>-1.04</v>
      </c>
      <c r="L85">
        <v>1229.25</v>
      </c>
      <c r="M85">
        <v>1245.6500244140625</v>
      </c>
      <c r="N85">
        <v>1249.1500244140625</v>
      </c>
      <c r="O85">
        <v>1225.5999755859375</v>
      </c>
      <c r="P85">
        <v>-1.0425013428521059</v>
      </c>
    </row>
    <row r="86" spans="1:16" x14ac:dyDescent="0.25">
      <c r="A86" t="str">
        <v>redFont</v>
      </c>
      <c r="B86" s="1">
        <v>45275</v>
      </c>
      <c r="C86">
        <v>1702598400</v>
      </c>
      <c r="D86" s="1">
        <v>45275</v>
      </c>
      <c r="E86">
        <v>1242.2</v>
      </c>
      <c r="F86">
        <v>1255.95</v>
      </c>
      <c r="G86">
        <v>1256.7</v>
      </c>
      <c r="H86">
        <v>1240</v>
      </c>
      <c r="I86" t="str">
        <v>1.24M</v>
      </c>
      <c r="J86">
        <v>1239743</v>
      </c>
      <c r="K86">
        <v>-0.09</v>
      </c>
      <c r="L86">
        <v>1242.199951171875</v>
      </c>
      <c r="M86">
        <v>1255.949951171875</v>
      </c>
      <c r="N86">
        <v>1256.699951171875</v>
      </c>
      <c r="O86">
        <v>1240</v>
      </c>
      <c r="P86">
        <v>-8.8482072954706253E-2</v>
      </c>
    </row>
    <row r="87" spans="1:16" x14ac:dyDescent="0.25">
      <c r="A87" t="str">
        <v>redFont</v>
      </c>
      <c r="B87" s="1">
        <v>45274</v>
      </c>
      <c r="C87">
        <v>1702512000</v>
      </c>
      <c r="D87" s="1">
        <v>45274</v>
      </c>
      <c r="E87">
        <v>1243.3</v>
      </c>
      <c r="F87">
        <v>1270</v>
      </c>
      <c r="G87">
        <v>1275</v>
      </c>
      <c r="H87">
        <v>1240.1500000000001</v>
      </c>
      <c r="I87" t="str">
        <v>1.99M</v>
      </c>
      <c r="J87">
        <v>1992554</v>
      </c>
      <c r="K87">
        <v>-0.56000000000000005</v>
      </c>
      <c r="L87">
        <v>1243.300048828125</v>
      </c>
      <c r="M87">
        <v>1270</v>
      </c>
      <c r="N87">
        <v>1275</v>
      </c>
      <c r="O87">
        <v>1240.1500244140625</v>
      </c>
      <c r="P87">
        <v>-0.56383627747973297</v>
      </c>
    </row>
    <row r="88" spans="1:16" x14ac:dyDescent="0.25">
      <c r="A88" t="str">
        <v>greenFont</v>
      </c>
      <c r="B88" s="1">
        <v>45273</v>
      </c>
      <c r="C88">
        <v>1702425600</v>
      </c>
      <c r="D88" s="1">
        <v>45273</v>
      </c>
      <c r="E88">
        <v>1250.3499999999999</v>
      </c>
      <c r="F88">
        <v>1244</v>
      </c>
      <c r="G88">
        <v>1284.8</v>
      </c>
      <c r="H88">
        <v>1236.1500000000001</v>
      </c>
      <c r="I88" t="str">
        <v>4.28M</v>
      </c>
      <c r="J88">
        <v>4281933</v>
      </c>
      <c r="K88">
        <v>1.39</v>
      </c>
      <c r="L88">
        <v>1250.3499755859375</v>
      </c>
      <c r="M88">
        <v>1244</v>
      </c>
      <c r="N88">
        <v>1284.800048828125</v>
      </c>
      <c r="O88">
        <v>1236.1500244140625</v>
      </c>
      <c r="P88">
        <v>1.3865781946837623</v>
      </c>
    </row>
    <row r="89" spans="1:16" x14ac:dyDescent="0.25">
      <c r="A89" t="str">
        <v>redFont</v>
      </c>
      <c r="B89" s="1">
        <v>45272</v>
      </c>
      <c r="C89">
        <v>1702339200</v>
      </c>
      <c r="D89" s="1">
        <v>45272</v>
      </c>
      <c r="E89">
        <v>1233.25</v>
      </c>
      <c r="F89">
        <v>1254</v>
      </c>
      <c r="G89">
        <v>1263.05</v>
      </c>
      <c r="H89">
        <v>1230</v>
      </c>
      <c r="I89" t="str">
        <v>2.43M</v>
      </c>
      <c r="J89">
        <v>2426780</v>
      </c>
      <c r="K89">
        <v>-0.33</v>
      </c>
      <c r="L89">
        <v>1233.25</v>
      </c>
      <c r="M89">
        <v>1254</v>
      </c>
      <c r="N89">
        <v>1263.050048828125</v>
      </c>
      <c r="O89">
        <v>1230</v>
      </c>
      <c r="P89">
        <v>-0.33135132879410195</v>
      </c>
    </row>
    <row r="90" spans="1:16" x14ac:dyDescent="0.25">
      <c r="A90" t="str">
        <v>greenFont</v>
      </c>
      <c r="B90" s="1">
        <v>45271</v>
      </c>
      <c r="C90">
        <v>1702252800</v>
      </c>
      <c r="D90" s="1">
        <v>45271</v>
      </c>
      <c r="E90">
        <v>1237.3499999999999</v>
      </c>
      <c r="F90">
        <v>1199</v>
      </c>
      <c r="G90">
        <v>1269.7</v>
      </c>
      <c r="H90">
        <v>1193</v>
      </c>
      <c r="I90" t="str">
        <v>8.02M</v>
      </c>
      <c r="J90">
        <v>8017469</v>
      </c>
      <c r="K90">
        <v>3.76</v>
      </c>
      <c r="L90">
        <v>1237.3499755859375</v>
      </c>
      <c r="M90">
        <v>1199</v>
      </c>
      <c r="N90">
        <v>1269.699951171875</v>
      </c>
      <c r="O90">
        <v>1193</v>
      </c>
      <c r="P90">
        <v>3.756649609954378</v>
      </c>
    </row>
    <row r="91" spans="1:16" x14ac:dyDescent="0.25">
      <c r="A91" t="str">
        <v>greenFont</v>
      </c>
      <c r="B91" s="1">
        <v>45268</v>
      </c>
      <c r="C91">
        <v>1701993600</v>
      </c>
      <c r="D91" s="1">
        <v>45268</v>
      </c>
      <c r="E91">
        <v>1192.55</v>
      </c>
      <c r="F91">
        <v>1189</v>
      </c>
      <c r="G91">
        <v>1219.7</v>
      </c>
      <c r="H91">
        <v>1188.25</v>
      </c>
      <c r="I91" t="str">
        <v>2.53M</v>
      </c>
      <c r="J91">
        <v>2528210</v>
      </c>
      <c r="K91">
        <v>0.57999999999999996</v>
      </c>
      <c r="L91">
        <v>1192.550048828125</v>
      </c>
      <c r="M91">
        <v>1189</v>
      </c>
      <c r="N91">
        <v>1219.699951171875</v>
      </c>
      <c r="O91">
        <v>1188.25</v>
      </c>
      <c r="P91">
        <v>0.57772606378871594</v>
      </c>
    </row>
    <row r="92" spans="1:16" x14ac:dyDescent="0.25">
      <c r="A92" t="str">
        <v>redFont</v>
      </c>
      <c r="B92" s="1">
        <v>45267</v>
      </c>
      <c r="C92">
        <v>1701907200</v>
      </c>
      <c r="D92" s="1">
        <v>45267</v>
      </c>
      <c r="E92">
        <v>1185.7</v>
      </c>
      <c r="F92">
        <v>1192.95</v>
      </c>
      <c r="G92">
        <v>1199</v>
      </c>
      <c r="H92">
        <v>1180</v>
      </c>
      <c r="I92" t="str">
        <v>1.62M</v>
      </c>
      <c r="J92">
        <v>1624651</v>
      </c>
      <c r="K92">
        <v>-0.24</v>
      </c>
      <c r="L92">
        <v>1185.699951171875</v>
      </c>
      <c r="M92">
        <v>1192.949951171875</v>
      </c>
      <c r="N92">
        <v>1199</v>
      </c>
      <c r="O92">
        <v>1180</v>
      </c>
      <c r="P92">
        <v>-0.23559518957719816</v>
      </c>
    </row>
    <row r="93" spans="1:16" x14ac:dyDescent="0.25">
      <c r="A93" t="str">
        <v>redFont</v>
      </c>
      <c r="B93" s="1">
        <v>45266</v>
      </c>
      <c r="C93">
        <v>1701820800</v>
      </c>
      <c r="D93" s="1">
        <v>45266</v>
      </c>
      <c r="E93">
        <v>1188.5</v>
      </c>
      <c r="F93">
        <v>1202</v>
      </c>
      <c r="G93">
        <v>1207.45</v>
      </c>
      <c r="H93">
        <v>1181</v>
      </c>
      <c r="I93" t="str">
        <v>2.74M</v>
      </c>
      <c r="J93">
        <v>2735968</v>
      </c>
      <c r="K93">
        <v>-0.28000000000000003</v>
      </c>
      <c r="L93">
        <v>1188.5</v>
      </c>
      <c r="M93">
        <v>1202</v>
      </c>
      <c r="N93">
        <v>1207.449951171875</v>
      </c>
      <c r="O93">
        <v>1181</v>
      </c>
      <c r="P93">
        <v>-0.28107359605310933</v>
      </c>
    </row>
    <row r="94" spans="1:16" x14ac:dyDescent="0.25">
      <c r="A94" t="str">
        <v>redFont</v>
      </c>
      <c r="B94" s="1">
        <v>45265</v>
      </c>
      <c r="C94">
        <v>1701734400</v>
      </c>
      <c r="D94" s="1">
        <v>45265</v>
      </c>
      <c r="E94">
        <v>1191.8499999999999</v>
      </c>
      <c r="F94">
        <v>1192.6500000000001</v>
      </c>
      <c r="G94">
        <v>1221.95</v>
      </c>
      <c r="H94">
        <v>1175</v>
      </c>
      <c r="I94" t="str">
        <v>4.42M</v>
      </c>
      <c r="J94">
        <v>4422358</v>
      </c>
      <c r="K94">
        <v>-7.0000000000000007E-2</v>
      </c>
      <c r="L94">
        <v>1191.8499755859375</v>
      </c>
      <c r="M94">
        <v>1192.6500244140625</v>
      </c>
      <c r="N94">
        <v>1221.949951171875</v>
      </c>
      <c r="O94">
        <v>1175</v>
      </c>
      <c r="P94">
        <v>-6.7081609168461329E-2</v>
      </c>
    </row>
    <row r="95" spans="1:16" x14ac:dyDescent="0.25">
      <c r="A95" t="str">
        <v>redFont</v>
      </c>
      <c r="B95" s="1">
        <v>45264</v>
      </c>
      <c r="C95">
        <v>1701648000</v>
      </c>
      <c r="D95" s="1">
        <v>45264</v>
      </c>
      <c r="E95">
        <v>1192.6500000000001</v>
      </c>
      <c r="F95">
        <v>1220.5999999999999</v>
      </c>
      <c r="G95">
        <v>1234</v>
      </c>
      <c r="H95">
        <v>1151.1500000000001</v>
      </c>
      <c r="I95" t="str">
        <v>14.74M</v>
      </c>
      <c r="J95">
        <v>14740755</v>
      </c>
      <c r="K95">
        <v>-2.29</v>
      </c>
      <c r="L95">
        <v>1192.6500244140625</v>
      </c>
      <c r="M95">
        <v>1220.5999755859375</v>
      </c>
      <c r="N95">
        <v>1234</v>
      </c>
      <c r="O95">
        <v>1151.1500244140625</v>
      </c>
      <c r="P95">
        <v>-2.2898534926201264</v>
      </c>
    </row>
    <row r="96" spans="1:16" x14ac:dyDescent="0.25">
      <c r="A96" t="str">
        <v>redFont</v>
      </c>
      <c r="B96" s="1">
        <v>45261</v>
      </c>
      <c r="C96">
        <v>1701388800</v>
      </c>
      <c r="D96" s="1">
        <v>45261</v>
      </c>
      <c r="E96">
        <v>1220.5999999999999</v>
      </c>
      <c r="F96">
        <v>1339.3</v>
      </c>
      <c r="G96">
        <v>1348</v>
      </c>
      <c r="H96">
        <v>1211.5999999999999</v>
      </c>
      <c r="I96" t="str">
        <v>18.68M</v>
      </c>
      <c r="J96">
        <v>18681420</v>
      </c>
      <c r="K96">
        <v>-7.04</v>
      </c>
      <c r="L96">
        <v>1220.5999755859375</v>
      </c>
      <c r="M96">
        <v>1339.300048828125</v>
      </c>
      <c r="N96">
        <v>1348</v>
      </c>
      <c r="O96">
        <v>1211.5999755859375</v>
      </c>
      <c r="P96">
        <v>-7.037320975937738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Tata Technologies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2024-04-19T04:09:59Z</dcterms:created>
  <dcterms:modified xsi:type="dcterms:W3CDTF">2024-04-19T05:22:16Z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2024-04-19T04:10:15Z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708d9ec0-8bb0-4f7d-a7e3-7aa141903785</vt:lpwstr>
  </property>
  <property fmtid="{D5CDD505-2E9C-101B-9397-08002B2CF9AE}" pid="8" name="MSIP_Label_defa4170-0d19-0005-0004-bc88714345d2_ContentBits">
    <vt:lpwstr>0</vt:lpwstr>
  </property>
</Properties>
</file>