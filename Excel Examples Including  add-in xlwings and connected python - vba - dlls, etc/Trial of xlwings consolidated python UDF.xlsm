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4" documentId="8_{4CA77991-E4DB-480C-8C25-0149AA2FF026}" xr6:coauthVersionLast="47" xr6:coauthVersionMax="47" xr10:uidLastSave="{A11C1DA1-693B-41B0-A7D8-47D315F9930C}"/>
  <bookViews>
    <workbookView xWindow="-120" yWindow="-120" windowWidth="20730" windowHeight="11040" xr2:uid="{994047CB-AAE1-4306-B7E5-B86FCE6E6DF8}"/>
  </bookViews>
  <sheets>
    <sheet name="Tata Technologies" sheetId="3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nvesting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PYTHON_METHOD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ODIFI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 a="1"/>
  <c r="A1" i="3" s="1"/>
  <c r="R5" i="3" l="1"/>
  <c r="S5" i="3" s="1"/>
  <c r="T5" i="3" s="1"/>
  <c r="U5" i="3" s="1"/>
  <c r="U2" i="3"/>
  <c r="S2" i="3"/>
  <c r="R2" i="3"/>
  <c r="T2" i="3" l="1"/>
  <c r="V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<sst xmlns="http://schemas.openxmlformats.org/spreadsheetml/2006/main" count="9" uniqueCount="9">
  <si>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STDEV</t>
  </si>
  <si>
    <t>MEAN</t>
  </si>
  <si>
    <t>COV</t>
  </si>
  <si>
    <t>MEDIAN</t>
  </si>
  <si>
    <t>COV - Median</t>
  </si>
  <si>
    <t>Days</t>
  </si>
  <si>
    <t>Years</t>
  </si>
  <si>
    <t>Quarters</t>
  </si>
  <si>
    <t>CAGR Quarterly Compounded Annualized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</si>
</sst>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yy"/>
    <numFmt numFmtId="165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B1F0-32CF-4694-97CD-0347113CDD05}">
  <sheetPr codeName="Sheet1"/>
  <dimension ref="A1:V96"/>
  <sheetViews>
    <sheetView tabSelected="1" workbookViewId="0"/>
  </sheetViews>
  <sheetFormatPr defaultRowHeight="15" x14ac:dyDescent="0.25"/>
  <cols>
    <col min="1" max="1" width="14.42578125" bestFit="1" customWidth="1"/>
    <col min="2" max="2" width="11.85546875" style="1" bestFit="1" customWidth="1"/>
    <col min="3" max="3" width="12" bestFit="1" customWidth="1"/>
    <col min="4" max="4" width="18.4257812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7.7109375" bestFit="1" customWidth="1"/>
    <col min="10" max="10" width="11.140625" bestFit="1" customWidth="1"/>
    <col min="11" max="11" width="15" bestFit="1" customWidth="1"/>
    <col min="12" max="12" width="13.7109375" bestFit="1" customWidth="1"/>
    <col min="13" max="13" width="13.42578125" bestFit="1" customWidth="1"/>
    <col min="14" max="14" width="12.5703125" bestFit="1" customWidth="1"/>
    <col min="15" max="15" width="12.28515625" bestFit="1" customWidth="1"/>
    <col min="16" max="16" width="18.85546875" bestFit="1" customWidth="1"/>
    <col min="21" max="21" width="12" customWidth="1"/>
  </cols>
  <sheetData>
    <row r="1" spans="1:22" x14ac:dyDescent="0.25">
      <c r="A1" t="str" cm="1">
        <f t="array" ref="A1:P96">get_url_data_id_new("1202623","01/01/2018","19/04/2024")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R1" t="s">
        <v>0</v>
      </c>
      <c r="S1" t="s">
        <v>1</v>
      </c>
      <c r="T1" t="s">
        <v>2</v>
      </c>
      <c r="U1" t="s">
        <v>3</v>
      </c>
      <c r="V1" t="s">
        <v>4</v>
      </c>
    </row>
    <row r="2" spans="1:22" x14ac:dyDescent="0.25">
      <c r="A2" t="str">
        <v>redFont</v>
      </c>
      <c r="B2" s="1">
        <v>45401</v>
      </c>
      <c r="C2">
        <v>1713484800</v>
      </c>
      <c r="D2" s="1">
        <v>45401</v>
      </c>
      <c r="E2">
        <v>1039.03</v>
      </c>
      <c r="F2">
        <v>1038.3800000000001</v>
      </c>
      <c r="G2">
        <v>1043.6199999999999</v>
      </c>
      <c r="H2">
        <v>1031.44</v>
      </c>
      <c r="I2" t="str">
        <v>853.01K</v>
      </c>
      <c r="J2">
        <v>853013</v>
      </c>
      <c r="K2">
        <v>-0.82</v>
      </c>
      <c r="L2">
        <v>1039.029052734375</v>
      </c>
      <c r="M2">
        <v>1038.3800048828125</v>
      </c>
      <c r="N2">
        <v>1043.6219482421875</v>
      </c>
      <c r="O2">
        <v>1031.4410400390625</v>
      </c>
      <c r="P2">
        <v>-0.81956993552365387</v>
      </c>
      <c r="R2">
        <f>_xlfn.STDEV.S(L2:L96)</f>
        <v>60.23254991316896</v>
      </c>
      <c r="S2">
        <f>AVERAGE(L2:L96)</f>
        <v>1127.1275782534951</v>
      </c>
      <c r="T2" s="2">
        <f>R2/S2</f>
        <v>5.3438981598250307E-2</v>
      </c>
      <c r="U2">
        <f>MEDIAN(L2:L96)</f>
        <v>1128.489013671875</v>
      </c>
      <c r="V2" s="2">
        <f>R2/U2</f>
        <v>5.3374511566740404E-2</v>
      </c>
    </row>
    <row r="3" spans="1:22" x14ac:dyDescent="0.25">
      <c r="A3" t="str">
        <v>redFont</v>
      </c>
      <c r="B3" s="1">
        <v>45400</v>
      </c>
      <c r="C3">
        <v>1713398400</v>
      </c>
      <c r="D3" s="1">
        <v>45400</v>
      </c>
      <c r="E3">
        <v>1047.6099999999999</v>
      </c>
      <c r="F3">
        <v>1066.3399999999999</v>
      </c>
      <c r="G3">
        <v>1069.98</v>
      </c>
      <c r="H3">
        <v>1045.42</v>
      </c>
      <c r="I3" t="str">
        <v>809.39K</v>
      </c>
      <c r="J3">
        <v>809389</v>
      </c>
      <c r="K3">
        <v>-0.45</v>
      </c>
      <c r="L3">
        <v>1047.614990234375</v>
      </c>
      <c r="M3">
        <v>1066.3360595703125</v>
      </c>
      <c r="N3">
        <v>1069.97998046875</v>
      </c>
      <c r="O3">
        <v>1045.4189453125</v>
      </c>
      <c r="P3">
        <v>-0.45070611397836219</v>
      </c>
    </row>
    <row r="4" spans="1:22" x14ac:dyDescent="0.25">
      <c r="A4" t="str">
        <v>redFont</v>
      </c>
      <c r="B4" s="1">
        <v>45398</v>
      </c>
      <c r="C4">
        <v>1713225600</v>
      </c>
      <c r="D4" s="1">
        <v>45398</v>
      </c>
      <c r="E4">
        <v>1052.3599999999999</v>
      </c>
      <c r="F4">
        <v>1058.3499999999999</v>
      </c>
      <c r="G4">
        <v>1080.02</v>
      </c>
      <c r="H4">
        <v>1048.3599999999999</v>
      </c>
      <c r="I4" t="str">
        <v>1.26M</v>
      </c>
      <c r="J4">
        <v>1259361</v>
      </c>
      <c r="K4">
        <v>-1.07</v>
      </c>
      <c r="L4">
        <v>1052.3580322265625</v>
      </c>
      <c r="M4">
        <v>1058.3489990234375</v>
      </c>
      <c r="N4">
        <v>1080.0150146484375</v>
      </c>
      <c r="O4">
        <v>1048.364013671875</v>
      </c>
      <c r="P4">
        <v>-1.074648794983297</v>
      </c>
      <c r="R4" t="s">
        <v>5</v>
      </c>
      <c r="S4" t="s">
        <v>6</v>
      </c>
      <c r="T4" t="s">
        <v>7</v>
      </c>
      <c r="U4" t="s">
        <v>8</v>
      </c>
    </row>
    <row r="5" spans="1:22" x14ac:dyDescent="0.25">
      <c r="A5" t="str">
        <v>redFont</v>
      </c>
      <c r="B5" s="1">
        <v>45397</v>
      </c>
      <c r="C5">
        <v>1713139200</v>
      </c>
      <c r="D5" s="1">
        <v>45397</v>
      </c>
      <c r="E5">
        <v>1063.79</v>
      </c>
      <c r="F5">
        <v>1060.3399999999999</v>
      </c>
      <c r="G5">
        <v>1072.6300000000001</v>
      </c>
      <c r="H5">
        <v>1048.71</v>
      </c>
      <c r="I5" t="str">
        <v>1.07M</v>
      </c>
      <c r="J5">
        <v>1068842</v>
      </c>
      <c r="K5">
        <v>-2.2799999999999998</v>
      </c>
      <c r="L5">
        <v>1063.7900390625</v>
      </c>
      <c r="M5">
        <v>1060.344970703125</v>
      </c>
      <c r="N5">
        <v>1072.6259765625</v>
      </c>
      <c r="O5">
        <v>1048.7139892578125</v>
      </c>
      <c r="P5">
        <v>-2.2836484687710978</v>
      </c>
      <c r="R5">
        <f>B2-B96+1</f>
        <v>141</v>
      </c>
      <c r="S5">
        <f>R5/365</f>
        <v>0.38630136986301372</v>
      </c>
      <c r="T5">
        <f>S5*4</f>
        <v>1.5452054794520549</v>
      </c>
      <c r="U5" s="2">
        <f>(((L2/L96)^(1/T5))-1)*4</f>
        <v>-0.39228656904083525</v>
      </c>
    </row>
    <row r="6" spans="1:22" x14ac:dyDescent="0.25">
      <c r="A6" t="str">
        <v>redFont</v>
      </c>
      <c r="B6" s="1">
        <v>45394</v>
      </c>
      <c r="C6">
        <v>1712880000</v>
      </c>
      <c r="D6" s="1">
        <v>45394</v>
      </c>
      <c r="E6">
        <v>1088.6500000000001</v>
      </c>
      <c r="F6">
        <v>1098.24</v>
      </c>
      <c r="G6">
        <v>1105.68</v>
      </c>
      <c r="H6">
        <v>1087.2</v>
      </c>
      <c r="I6" t="str">
        <v>677.95K</v>
      </c>
      <c r="J6">
        <v>677949</v>
      </c>
      <c r="K6">
        <v>-1.05</v>
      </c>
      <c r="L6">
        <v>1088.6510009765625</v>
      </c>
      <c r="M6">
        <v>1098.2359619140625</v>
      </c>
      <c r="N6">
        <v>1105.675048828125</v>
      </c>
      <c r="O6">
        <v>1087.2030029296875</v>
      </c>
      <c r="P6">
        <v>-1.0481876738588518</v>
      </c>
    </row>
    <row r="7" spans="1:22" x14ac:dyDescent="0.25">
      <c r="A7" t="str">
        <v>redFont</v>
      </c>
      <c r="B7" s="1">
        <v>45392</v>
      </c>
      <c r="C7">
        <v>1712707200</v>
      </c>
      <c r="D7" s="1">
        <v>45392</v>
      </c>
      <c r="E7">
        <v>1100.18</v>
      </c>
      <c r="F7">
        <v>1108.27</v>
      </c>
      <c r="G7">
        <v>1116.26</v>
      </c>
      <c r="H7">
        <v>1096.3900000000001</v>
      </c>
      <c r="I7" t="str">
        <v>856.60K</v>
      </c>
      <c r="J7">
        <v>856601</v>
      </c>
      <c r="K7">
        <v>-0.5</v>
      </c>
      <c r="L7">
        <v>1100.1829833984375</v>
      </c>
      <c r="M7">
        <v>1108.27099609375</v>
      </c>
      <c r="N7">
        <v>1116.258056640625</v>
      </c>
      <c r="O7">
        <v>1096.3890380859375</v>
      </c>
      <c r="P7">
        <v>-0.50120891811847057</v>
      </c>
    </row>
    <row r="8" spans="1:22" x14ac:dyDescent="0.25">
      <c r="A8" t="str">
        <v>greenFont</v>
      </c>
      <c r="B8" s="1">
        <v>45391</v>
      </c>
      <c r="C8">
        <v>1712620800</v>
      </c>
      <c r="D8" s="1">
        <v>45391</v>
      </c>
      <c r="E8">
        <v>1105.72</v>
      </c>
      <c r="F8">
        <v>1109.17</v>
      </c>
      <c r="G8">
        <v>1127.94</v>
      </c>
      <c r="H8">
        <v>1089.4000000000001</v>
      </c>
      <c r="I8" t="str">
        <v>4.44M</v>
      </c>
      <c r="J8">
        <v>4438421</v>
      </c>
      <c r="K8">
        <v>0.5</v>
      </c>
      <c r="L8">
        <v>1105.7249755859375</v>
      </c>
      <c r="M8">
        <v>1109.1689453125</v>
      </c>
      <c r="N8">
        <v>1127.93994140625</v>
      </c>
      <c r="O8">
        <v>1089.4000244140625</v>
      </c>
      <c r="P8">
        <v>0.50373367622728771</v>
      </c>
    </row>
    <row r="9" spans="1:22" x14ac:dyDescent="0.25">
      <c r="A9" t="str">
        <v>redFont</v>
      </c>
      <c r="B9" s="1">
        <v>45390</v>
      </c>
      <c r="C9">
        <v>1712534400</v>
      </c>
      <c r="D9" s="1">
        <v>45390</v>
      </c>
      <c r="E9">
        <v>1100.18</v>
      </c>
      <c r="F9">
        <v>1128.29</v>
      </c>
      <c r="G9">
        <v>1128.8900000000001</v>
      </c>
      <c r="H9">
        <v>1098.29</v>
      </c>
      <c r="I9" t="str">
        <v>999.89K</v>
      </c>
      <c r="J9">
        <v>999892</v>
      </c>
      <c r="K9">
        <v>-1.76</v>
      </c>
      <c r="L9">
        <v>1100.1829833984375</v>
      </c>
      <c r="M9">
        <v>1128.2889404296875</v>
      </c>
      <c r="N9">
        <v>1128.887939453125</v>
      </c>
      <c r="O9">
        <v>1098.2860107421875</v>
      </c>
      <c r="P9">
        <v>-1.7607785802786651</v>
      </c>
    </row>
    <row r="10" spans="1:22" x14ac:dyDescent="0.25">
      <c r="A10" t="str">
        <v>redFont</v>
      </c>
      <c r="B10" s="1">
        <v>45387</v>
      </c>
      <c r="C10">
        <v>1712275200</v>
      </c>
      <c r="D10" s="1">
        <v>45387</v>
      </c>
      <c r="E10">
        <v>1119.9000000000001</v>
      </c>
      <c r="F10">
        <v>1131.23</v>
      </c>
      <c r="G10">
        <v>1136.18</v>
      </c>
      <c r="H10">
        <v>1114.26</v>
      </c>
      <c r="I10" t="str">
        <v>1.31M</v>
      </c>
      <c r="J10">
        <v>1309639</v>
      </c>
      <c r="K10">
        <v>-1.38</v>
      </c>
      <c r="L10">
        <v>1119.9019775390625</v>
      </c>
      <c r="M10">
        <v>1131.2349853515625</v>
      </c>
      <c r="N10">
        <v>1136.177001953125</v>
      </c>
      <c r="O10">
        <v>1114.260986328125</v>
      </c>
      <c r="P10">
        <v>-1.3804446150050711</v>
      </c>
    </row>
    <row r="11" spans="1:22" x14ac:dyDescent="0.25">
      <c r="A11" t="str">
        <v>greenFont</v>
      </c>
      <c r="B11" s="1">
        <v>45386</v>
      </c>
      <c r="C11">
        <v>1712188800</v>
      </c>
      <c r="D11" s="1">
        <v>45386</v>
      </c>
      <c r="E11">
        <v>1135.58</v>
      </c>
      <c r="F11">
        <v>1141.17</v>
      </c>
      <c r="G11">
        <v>1145.96</v>
      </c>
      <c r="H11">
        <v>1114.4100000000001</v>
      </c>
      <c r="I11" t="str">
        <v>2.51M</v>
      </c>
      <c r="J11">
        <v>2509059</v>
      </c>
      <c r="K11">
        <v>0.28000000000000003</v>
      </c>
      <c r="L11">
        <v>1135.5780029296875</v>
      </c>
      <c r="M11">
        <v>1141.1689453125</v>
      </c>
      <c r="N11">
        <v>1145.9620361328125</v>
      </c>
      <c r="O11">
        <v>1114.4110107421875</v>
      </c>
      <c r="P11">
        <v>0.28214359710933518</v>
      </c>
    </row>
    <row r="12" spans="1:22" x14ac:dyDescent="0.25">
      <c r="A12" t="str">
        <v>greenFont</v>
      </c>
      <c r="B12" s="1">
        <v>45385</v>
      </c>
      <c r="C12">
        <v>1712102400</v>
      </c>
      <c r="D12" s="1">
        <v>45385</v>
      </c>
      <c r="E12">
        <v>1132.3800000000001</v>
      </c>
      <c r="F12">
        <v>1102.98</v>
      </c>
      <c r="G12">
        <v>1144.21</v>
      </c>
      <c r="H12">
        <v>1056.75</v>
      </c>
      <c r="I12" t="str">
        <v>4.91M</v>
      </c>
      <c r="J12">
        <v>4906449</v>
      </c>
      <c r="K12">
        <v>3.86</v>
      </c>
      <c r="L12">
        <v>1132.383056640625</v>
      </c>
      <c r="M12">
        <v>1102.97900390625</v>
      </c>
      <c r="N12">
        <v>1144.2149658203125</v>
      </c>
      <c r="O12">
        <v>1056.7509765625</v>
      </c>
      <c r="P12">
        <v>3.8598685652016536</v>
      </c>
    </row>
    <row r="13" spans="1:22" x14ac:dyDescent="0.25">
      <c r="A13" t="str">
        <v>greenFont</v>
      </c>
      <c r="B13" s="1">
        <v>45384</v>
      </c>
      <c r="C13">
        <v>1712016000</v>
      </c>
      <c r="D13" s="1">
        <v>45384</v>
      </c>
      <c r="E13">
        <v>1090.3</v>
      </c>
      <c r="F13">
        <v>1057.8499999999999</v>
      </c>
      <c r="G13">
        <v>1125.24</v>
      </c>
      <c r="H13">
        <v>1046.42</v>
      </c>
      <c r="I13" t="str">
        <v>5.51M</v>
      </c>
      <c r="J13">
        <v>5508984</v>
      </c>
      <c r="K13">
        <v>4.0199999999999996</v>
      </c>
      <c r="L13">
        <v>1090.2989501953125</v>
      </c>
      <c r="M13">
        <v>1057.8489990234375</v>
      </c>
      <c r="N13">
        <v>1125.2440185546875</v>
      </c>
      <c r="O13">
        <v>1046.4169921875</v>
      </c>
      <c r="P13">
        <v>4.0198873611652814</v>
      </c>
    </row>
    <row r="14" spans="1:22" x14ac:dyDescent="0.25">
      <c r="A14" t="str">
        <v>greenFont</v>
      </c>
      <c r="B14" s="1">
        <v>45383</v>
      </c>
      <c r="C14">
        <v>1711929600</v>
      </c>
      <c r="D14" s="1">
        <v>45383</v>
      </c>
      <c r="E14">
        <v>1048.1600000000001</v>
      </c>
      <c r="F14">
        <v>1038.3800000000001</v>
      </c>
      <c r="G14">
        <v>1055.8</v>
      </c>
      <c r="H14">
        <v>1031.8900000000001</v>
      </c>
      <c r="I14" t="str">
        <v>957.84K</v>
      </c>
      <c r="J14">
        <v>957844</v>
      </c>
      <c r="K14">
        <v>2.86</v>
      </c>
      <c r="L14">
        <v>1048.1639404296875</v>
      </c>
      <c r="M14">
        <v>1038.3800048828125</v>
      </c>
      <c r="N14">
        <v>1055.802001953125</v>
      </c>
      <c r="O14">
        <v>1031.8900146484375</v>
      </c>
      <c r="P14">
        <v>2.8610053271967351</v>
      </c>
    </row>
    <row r="15" spans="1:22" x14ac:dyDescent="0.25">
      <c r="A15" t="str">
        <v>redFont</v>
      </c>
      <c r="B15" s="1">
        <v>45379</v>
      </c>
      <c r="C15">
        <v>1711584000</v>
      </c>
      <c r="D15" s="1">
        <v>45379</v>
      </c>
      <c r="E15">
        <v>1019.01</v>
      </c>
      <c r="F15">
        <v>1027.9000000000001</v>
      </c>
      <c r="G15">
        <v>1036.6300000000001</v>
      </c>
      <c r="H15">
        <v>1018.41</v>
      </c>
      <c r="I15" t="str">
        <v>886.28K</v>
      </c>
      <c r="J15">
        <v>886283</v>
      </c>
      <c r="K15">
        <v>-0.84</v>
      </c>
      <c r="L15">
        <v>1019.010009765625</v>
      </c>
      <c r="M15">
        <v>1027.89599609375</v>
      </c>
      <c r="N15">
        <v>1036.6319580078125</v>
      </c>
      <c r="O15">
        <v>1018.4110107421875</v>
      </c>
      <c r="P15">
        <v>-0.83564235291322542</v>
      </c>
    </row>
    <row r="16" spans="1:22" x14ac:dyDescent="0.25">
      <c r="A16" t="str">
        <v>greenFont</v>
      </c>
      <c r="B16" s="1">
        <v>45378</v>
      </c>
      <c r="C16">
        <v>1711497600</v>
      </c>
      <c r="D16" s="1">
        <v>45378</v>
      </c>
      <c r="E16">
        <v>1027.5999999999999</v>
      </c>
      <c r="F16">
        <v>1023.85</v>
      </c>
      <c r="G16">
        <v>1031.3900000000001</v>
      </c>
      <c r="H16">
        <v>1019.41</v>
      </c>
      <c r="I16" t="str">
        <v>988.89K</v>
      </c>
      <c r="J16">
        <v>988891</v>
      </c>
      <c r="K16">
        <v>0.71</v>
      </c>
      <c r="L16">
        <v>1027.5970458984375</v>
      </c>
      <c r="M16">
        <v>1023.8519897460938</v>
      </c>
      <c r="N16">
        <v>1031.3909912109375</v>
      </c>
      <c r="O16">
        <v>1019.4089965820313</v>
      </c>
      <c r="P16">
        <v>0.70946421857994102</v>
      </c>
    </row>
    <row r="17" spans="1:16" x14ac:dyDescent="0.25">
      <c r="A17" t="str">
        <v>redFont</v>
      </c>
      <c r="B17" s="1">
        <v>45377</v>
      </c>
      <c r="C17">
        <v>1711411200</v>
      </c>
      <c r="D17" s="1">
        <v>45377</v>
      </c>
      <c r="E17">
        <v>1020.36</v>
      </c>
      <c r="F17">
        <v>1030.3900000000001</v>
      </c>
      <c r="G17">
        <v>1034.3900000000001</v>
      </c>
      <c r="H17">
        <v>1018.41</v>
      </c>
      <c r="I17" t="str">
        <v>870.12K</v>
      </c>
      <c r="J17">
        <v>870115</v>
      </c>
      <c r="K17">
        <v>-0.97</v>
      </c>
      <c r="L17">
        <v>1020.3579711914063</v>
      </c>
      <c r="M17">
        <v>1030.3919677734375</v>
      </c>
      <c r="N17">
        <v>1034.385986328125</v>
      </c>
      <c r="O17">
        <v>1018.4110107421875</v>
      </c>
      <c r="P17">
        <v>-0.97380384318344415</v>
      </c>
    </row>
    <row r="18" spans="1:16" x14ac:dyDescent="0.25">
      <c r="A18" t="str">
        <v>greenFont</v>
      </c>
      <c r="B18" s="1">
        <v>45373</v>
      </c>
      <c r="C18">
        <v>1711065600</v>
      </c>
      <c r="D18" s="1">
        <v>45373</v>
      </c>
      <c r="E18">
        <v>1030.3900000000001</v>
      </c>
      <c r="F18">
        <v>1029.3900000000001</v>
      </c>
      <c r="G18">
        <v>1036.33</v>
      </c>
      <c r="H18">
        <v>1025.4000000000001</v>
      </c>
      <c r="I18" t="str">
        <v>593.74K</v>
      </c>
      <c r="J18">
        <v>593736</v>
      </c>
      <c r="K18">
        <v>7.0000000000000007E-2</v>
      </c>
      <c r="L18">
        <v>1030.3919677734375</v>
      </c>
      <c r="M18">
        <v>1029.39404296875</v>
      </c>
      <c r="N18">
        <v>1036.3330078125</v>
      </c>
      <c r="O18">
        <v>1025.4000244140625</v>
      </c>
      <c r="P18">
        <v>6.7881845755517478E-2</v>
      </c>
    </row>
    <row r="19" spans="1:16" x14ac:dyDescent="0.25">
      <c r="A19" t="str">
        <v>redFont</v>
      </c>
      <c r="B19" s="1">
        <v>45372</v>
      </c>
      <c r="C19">
        <v>1710979200</v>
      </c>
      <c r="D19" s="1">
        <v>45372</v>
      </c>
      <c r="E19">
        <v>1029.69</v>
      </c>
      <c r="F19">
        <v>1041.3800000000001</v>
      </c>
      <c r="G19">
        <v>1046.3699999999999</v>
      </c>
      <c r="H19">
        <v>1027.45</v>
      </c>
      <c r="I19" t="str">
        <v>783.62K</v>
      </c>
      <c r="J19">
        <v>783615</v>
      </c>
      <c r="K19">
        <v>-0.17</v>
      </c>
      <c r="L19">
        <v>1029.6929931640625</v>
      </c>
      <c r="M19">
        <v>1041.375</v>
      </c>
      <c r="N19">
        <v>1046.366943359375</v>
      </c>
      <c r="O19">
        <v>1027.447021484375</v>
      </c>
      <c r="P19">
        <v>-0.16947618013471699</v>
      </c>
    </row>
    <row r="20" spans="1:16" x14ac:dyDescent="0.25">
      <c r="A20" t="str">
        <v>redFont</v>
      </c>
      <c r="B20" s="1">
        <v>45371</v>
      </c>
      <c r="C20">
        <v>1710892800</v>
      </c>
      <c r="D20" s="1">
        <v>45371</v>
      </c>
      <c r="E20">
        <v>1031.44</v>
      </c>
      <c r="F20">
        <v>1040.23</v>
      </c>
      <c r="G20">
        <v>1045.42</v>
      </c>
      <c r="H20">
        <v>1025</v>
      </c>
      <c r="I20" t="str">
        <v>689.33K</v>
      </c>
      <c r="J20">
        <v>689327</v>
      </c>
      <c r="K20">
        <v>-0.86</v>
      </c>
      <c r="L20">
        <v>1031.4410400390625</v>
      </c>
      <c r="M20">
        <v>1040.22705078125</v>
      </c>
      <c r="N20">
        <v>1045.4189453125</v>
      </c>
      <c r="O20">
        <v>1025.0009765625</v>
      </c>
      <c r="P20">
        <v>-0.86358713952672539</v>
      </c>
    </row>
    <row r="21" spans="1:16" x14ac:dyDescent="0.25">
      <c r="A21" t="str">
        <v>redFont</v>
      </c>
      <c r="B21" s="1">
        <v>45370</v>
      </c>
      <c r="C21">
        <v>1710806400</v>
      </c>
      <c r="D21" s="1">
        <v>45370</v>
      </c>
      <c r="E21">
        <v>1040.43</v>
      </c>
      <c r="F21">
        <v>1046.3699999999999</v>
      </c>
      <c r="G21">
        <v>1053.3599999999999</v>
      </c>
      <c r="H21">
        <v>1038.8800000000001</v>
      </c>
      <c r="I21" t="str">
        <v>391.91K</v>
      </c>
      <c r="J21">
        <v>391912</v>
      </c>
      <c r="K21">
        <v>-0.52</v>
      </c>
      <c r="L21">
        <v>1040.426025390625</v>
      </c>
      <c r="M21">
        <v>1046.366943359375</v>
      </c>
      <c r="N21">
        <v>1053.35595703125</v>
      </c>
      <c r="O21">
        <v>1038.8790283203125</v>
      </c>
      <c r="P21">
        <v>-0.51557420207740068</v>
      </c>
    </row>
    <row r="22" spans="1:16" x14ac:dyDescent="0.25">
      <c r="A22" t="str">
        <v>redFont</v>
      </c>
      <c r="B22" s="1">
        <v>45369</v>
      </c>
      <c r="C22">
        <v>1710720000</v>
      </c>
      <c r="D22" s="1">
        <v>45369</v>
      </c>
      <c r="E22">
        <v>1045.82</v>
      </c>
      <c r="F22">
        <v>1049.3599999999999</v>
      </c>
      <c r="G22">
        <v>1053.1099999999999</v>
      </c>
      <c r="H22">
        <v>1039.93</v>
      </c>
      <c r="I22" t="str">
        <v>521.73K</v>
      </c>
      <c r="J22">
        <v>521728</v>
      </c>
      <c r="K22">
        <v>-0.21</v>
      </c>
      <c r="L22">
        <v>1045.8179931640625</v>
      </c>
      <c r="M22">
        <v>1049.363037109375</v>
      </c>
      <c r="N22">
        <v>1053.1070556640625</v>
      </c>
      <c r="O22">
        <v>1039.927001953125</v>
      </c>
      <c r="P22">
        <v>-0.20963645116401344</v>
      </c>
    </row>
    <row r="23" spans="1:16" x14ac:dyDescent="0.25">
      <c r="A23" t="str">
        <v>redFont</v>
      </c>
      <c r="B23" s="1">
        <v>45366</v>
      </c>
      <c r="C23">
        <v>1710460800</v>
      </c>
      <c r="D23" s="1">
        <v>45366</v>
      </c>
      <c r="E23">
        <v>1048.02</v>
      </c>
      <c r="F23">
        <v>1051.06</v>
      </c>
      <c r="G23">
        <v>1058.3499999999999</v>
      </c>
      <c r="H23">
        <v>1040.6300000000001</v>
      </c>
      <c r="I23" t="str">
        <v>706.49K</v>
      </c>
      <c r="J23">
        <v>706494</v>
      </c>
      <c r="K23">
        <v>-0.24</v>
      </c>
      <c r="L23">
        <v>1048.0150146484375</v>
      </c>
      <c r="M23">
        <v>1051.06005859375</v>
      </c>
      <c r="N23">
        <v>1058.3489990234375</v>
      </c>
      <c r="O23">
        <v>1040.6259765625</v>
      </c>
      <c r="P23">
        <v>-0.23759596160071841</v>
      </c>
    </row>
    <row r="24" spans="1:16" x14ac:dyDescent="0.25">
      <c r="A24" t="str">
        <v>greenFont</v>
      </c>
      <c r="B24" s="1">
        <v>45365</v>
      </c>
      <c r="C24">
        <v>1710374400</v>
      </c>
      <c r="D24" s="1">
        <v>45365</v>
      </c>
      <c r="E24">
        <v>1050.51</v>
      </c>
      <c r="F24">
        <v>1036.33</v>
      </c>
      <c r="G24">
        <v>1063.3399999999999</v>
      </c>
      <c r="H24">
        <v>1029.49</v>
      </c>
      <c r="I24" t="str">
        <v>962.81K</v>
      </c>
      <c r="J24">
        <v>962813</v>
      </c>
      <c r="K24">
        <v>1.42</v>
      </c>
      <c r="L24">
        <v>1050.510986328125</v>
      </c>
      <c r="M24">
        <v>1036.3330078125</v>
      </c>
      <c r="N24">
        <v>1063.3409423828125</v>
      </c>
      <c r="O24">
        <v>1029.4940185546875</v>
      </c>
      <c r="P24">
        <v>1.4169260880140737</v>
      </c>
    </row>
    <row r="25" spans="1:16" x14ac:dyDescent="0.25">
      <c r="A25" t="str">
        <v>redFont</v>
      </c>
      <c r="B25" s="1">
        <v>45364</v>
      </c>
      <c r="C25">
        <v>1710288000</v>
      </c>
      <c r="D25" s="1">
        <v>45364</v>
      </c>
      <c r="E25">
        <v>1035.83</v>
      </c>
      <c r="F25">
        <v>1080.3599999999999</v>
      </c>
      <c r="G25">
        <v>1095.29</v>
      </c>
      <c r="H25">
        <v>1018.41</v>
      </c>
      <c r="I25" t="str">
        <v>1.63M</v>
      </c>
      <c r="J25">
        <v>1631514</v>
      </c>
      <c r="K25">
        <v>-2.76</v>
      </c>
      <c r="L25">
        <v>1035.833984375</v>
      </c>
      <c r="M25">
        <v>1080.364013671875</v>
      </c>
      <c r="N25">
        <v>1095.291015625</v>
      </c>
      <c r="O25">
        <v>1018.4110107421875</v>
      </c>
      <c r="P25">
        <v>-2.7557580661057388</v>
      </c>
    </row>
    <row r="26" spans="1:16" x14ac:dyDescent="0.25">
      <c r="A26" t="str">
        <v>redFont</v>
      </c>
      <c r="B26" s="1">
        <v>45363</v>
      </c>
      <c r="C26">
        <v>1710201600</v>
      </c>
      <c r="D26" s="1">
        <v>45363</v>
      </c>
      <c r="E26">
        <v>1065.19</v>
      </c>
      <c r="F26">
        <v>1085.26</v>
      </c>
      <c r="G26">
        <v>1090.55</v>
      </c>
      <c r="H26">
        <v>1062.04</v>
      </c>
      <c r="I26" t="str">
        <v>904.06K</v>
      </c>
      <c r="J26">
        <v>904060</v>
      </c>
      <c r="K26">
        <v>-1.64</v>
      </c>
      <c r="L26">
        <v>1065.18798828125</v>
      </c>
      <c r="M26">
        <v>1085.2569580078125</v>
      </c>
      <c r="N26">
        <v>1090.5479736328125</v>
      </c>
      <c r="O26">
        <v>1062.04296875</v>
      </c>
      <c r="P26">
        <v>-1.6410553757560074</v>
      </c>
    </row>
    <row r="27" spans="1:16" x14ac:dyDescent="0.25">
      <c r="A27" t="str">
        <v>redFont</v>
      </c>
      <c r="B27" s="1">
        <v>45362</v>
      </c>
      <c r="C27">
        <v>1710115200</v>
      </c>
      <c r="D27" s="1">
        <v>45362</v>
      </c>
      <c r="E27">
        <v>1082.96</v>
      </c>
      <c r="F27">
        <v>1128.24</v>
      </c>
      <c r="G27">
        <v>1128.24</v>
      </c>
      <c r="H27">
        <v>1078.32</v>
      </c>
      <c r="I27" t="str">
        <v>1.50M</v>
      </c>
      <c r="J27">
        <v>1504557</v>
      </c>
      <c r="K27">
        <v>-3.79</v>
      </c>
      <c r="L27">
        <v>1082.9599609375</v>
      </c>
      <c r="M27">
        <v>1128.239013671875</v>
      </c>
      <c r="N27">
        <v>1128.239013671875</v>
      </c>
      <c r="O27">
        <v>1078.3170166015625</v>
      </c>
      <c r="P27">
        <v>-3.791969788129105</v>
      </c>
    </row>
    <row r="28" spans="1:16" x14ac:dyDescent="0.25">
      <c r="A28" t="str">
        <v>greenFont</v>
      </c>
      <c r="B28" s="1">
        <v>45358</v>
      </c>
      <c r="C28">
        <v>1709769600</v>
      </c>
      <c r="D28" s="1">
        <v>45358</v>
      </c>
      <c r="E28">
        <v>1125.6400000000001</v>
      </c>
      <c r="F28">
        <v>1068.58</v>
      </c>
      <c r="G28">
        <v>1144.6600000000001</v>
      </c>
      <c r="H28">
        <v>1068.58</v>
      </c>
      <c r="I28" t="str">
        <v>4.51M</v>
      </c>
      <c r="J28">
        <v>4509646</v>
      </c>
      <c r="K28">
        <v>5.45</v>
      </c>
      <c r="L28">
        <v>1125.64404296875</v>
      </c>
      <c r="M28">
        <v>1068.5830078125</v>
      </c>
      <c r="N28">
        <v>1144.6639404296875</v>
      </c>
      <c r="O28">
        <v>1068.5830078125</v>
      </c>
      <c r="P28">
        <v>5.448328377833346</v>
      </c>
    </row>
    <row r="29" spans="1:16" x14ac:dyDescent="0.25">
      <c r="A29" t="str">
        <v>redFont</v>
      </c>
      <c r="B29" s="1">
        <v>45357</v>
      </c>
      <c r="C29">
        <v>1709683200</v>
      </c>
      <c r="D29" s="1">
        <v>45357</v>
      </c>
      <c r="E29">
        <v>1067.48</v>
      </c>
      <c r="F29">
        <v>1073.77</v>
      </c>
      <c r="G29">
        <v>1074.52</v>
      </c>
      <c r="H29">
        <v>1056.3499999999999</v>
      </c>
      <c r="I29" t="str">
        <v>539.70K</v>
      </c>
      <c r="J29">
        <v>539700</v>
      </c>
      <c r="K29">
        <v>-0.59</v>
      </c>
      <c r="L29">
        <v>1067.4840087890625</v>
      </c>
      <c r="M29">
        <v>1073.7740478515625</v>
      </c>
      <c r="N29">
        <v>1074.52294921875</v>
      </c>
      <c r="O29">
        <v>1056.35205078125</v>
      </c>
      <c r="P29">
        <v>-0.58578795744647472</v>
      </c>
    </row>
    <row r="30" spans="1:16" x14ac:dyDescent="0.25">
      <c r="A30" t="str">
        <v>greenFont</v>
      </c>
      <c r="B30" s="1">
        <v>45356</v>
      </c>
      <c r="C30">
        <v>1709596800</v>
      </c>
      <c r="D30" s="1">
        <v>45356</v>
      </c>
      <c r="E30">
        <v>1073.77</v>
      </c>
      <c r="F30">
        <v>1085.31</v>
      </c>
      <c r="G30">
        <v>1098.54</v>
      </c>
      <c r="H30">
        <v>1070.43</v>
      </c>
      <c r="I30" t="str">
        <v>1.04M</v>
      </c>
      <c r="J30">
        <v>1042769</v>
      </c>
      <c r="K30">
        <v>0.24</v>
      </c>
      <c r="L30">
        <v>1073.7740478515625</v>
      </c>
      <c r="M30">
        <v>1085.3060302734375</v>
      </c>
      <c r="N30">
        <v>1098.5360107421875</v>
      </c>
      <c r="O30">
        <v>1070.4300537109375</v>
      </c>
      <c r="P30">
        <v>0.23767306706170588</v>
      </c>
    </row>
    <row r="31" spans="1:16" x14ac:dyDescent="0.25">
      <c r="A31" t="str">
        <v>redFont</v>
      </c>
      <c r="B31" s="1">
        <v>45355</v>
      </c>
      <c r="C31">
        <v>1709510400</v>
      </c>
      <c r="D31" s="1">
        <v>45355</v>
      </c>
      <c r="E31">
        <v>1071.23</v>
      </c>
      <c r="F31">
        <v>1094.99</v>
      </c>
      <c r="G31">
        <v>1094.99</v>
      </c>
      <c r="H31">
        <v>1068.33</v>
      </c>
      <c r="I31" t="str">
        <v>573.20K</v>
      </c>
      <c r="J31">
        <v>573201</v>
      </c>
      <c r="K31">
        <v>-2.12</v>
      </c>
      <c r="L31">
        <v>1071.22802734375</v>
      </c>
      <c r="M31">
        <v>1094.990966796875</v>
      </c>
      <c r="N31">
        <v>1094.990966796875</v>
      </c>
      <c r="O31">
        <v>1068.3330078125</v>
      </c>
      <c r="P31">
        <v>-2.1217894708899463</v>
      </c>
    </row>
    <row r="32" spans="1:16" x14ac:dyDescent="0.25">
      <c r="A32" t="str">
        <v>greenFont</v>
      </c>
      <c r="B32" s="1">
        <v>45353</v>
      </c>
      <c r="C32">
        <v>1709337600</v>
      </c>
      <c r="D32" s="1">
        <v>45353</v>
      </c>
      <c r="E32">
        <v>1094.45</v>
      </c>
      <c r="F32">
        <v>1091.5999999999999</v>
      </c>
      <c r="G32">
        <v>1098</v>
      </c>
      <c r="H32">
        <v>1090</v>
      </c>
      <c r="I32" t="str">
        <v>156.12K</v>
      </c>
      <c r="J32">
        <v>156122</v>
      </c>
      <c r="K32">
        <v>0.71</v>
      </c>
      <c r="L32">
        <v>1094.449951171875</v>
      </c>
      <c r="M32">
        <v>1091.5999755859375</v>
      </c>
      <c r="N32">
        <v>1098</v>
      </c>
      <c r="O32">
        <v>1090</v>
      </c>
      <c r="P32">
        <v>0.712795004515136</v>
      </c>
    </row>
    <row r="33" spans="1:16" x14ac:dyDescent="0.25">
      <c r="A33" t="str">
        <v>greenFont</v>
      </c>
      <c r="B33" s="1">
        <v>45352</v>
      </c>
      <c r="C33">
        <v>1709251200</v>
      </c>
      <c r="D33" s="1">
        <v>45352</v>
      </c>
      <c r="E33">
        <v>1086.7</v>
      </c>
      <c r="F33">
        <v>1095.94</v>
      </c>
      <c r="G33">
        <v>1103.28</v>
      </c>
      <c r="H33">
        <v>1084.4100000000001</v>
      </c>
      <c r="I33" t="str">
        <v>718.13K</v>
      </c>
      <c r="J33">
        <v>718126</v>
      </c>
      <c r="K33">
        <v>0.46</v>
      </c>
      <c r="L33">
        <v>1086.7039794921875</v>
      </c>
      <c r="M33">
        <v>1095.93994140625</v>
      </c>
      <c r="N33">
        <v>1103.2779541015625</v>
      </c>
      <c r="O33">
        <v>1084.407958984375</v>
      </c>
      <c r="P33">
        <v>0.46148542242550122</v>
      </c>
    </row>
    <row r="34" spans="1:16" x14ac:dyDescent="0.25">
      <c r="A34" t="str">
        <v>greenFont</v>
      </c>
      <c r="B34" s="1">
        <v>45351</v>
      </c>
      <c r="C34">
        <v>1709164800</v>
      </c>
      <c r="D34" s="1">
        <v>45351</v>
      </c>
      <c r="E34">
        <v>1081.71</v>
      </c>
      <c r="F34">
        <v>1043.32</v>
      </c>
      <c r="G34">
        <v>1093.29</v>
      </c>
      <c r="H34">
        <v>1031.49</v>
      </c>
      <c r="I34" t="str">
        <v>2.11M</v>
      </c>
      <c r="J34">
        <v>2111686</v>
      </c>
      <c r="K34">
        <v>3.58</v>
      </c>
      <c r="L34">
        <v>1081.7120361328125</v>
      </c>
      <c r="M34">
        <v>1043.322021484375</v>
      </c>
      <c r="N34">
        <v>1093.2939453125</v>
      </c>
      <c r="O34">
        <v>1031.489990234375</v>
      </c>
      <c r="P34">
        <v>3.5805205077831634</v>
      </c>
    </row>
    <row r="35" spans="1:16" x14ac:dyDescent="0.25">
      <c r="A35" t="str">
        <v>redFont</v>
      </c>
      <c r="B35" s="1">
        <v>45350</v>
      </c>
      <c r="C35">
        <v>1709078400</v>
      </c>
      <c r="D35" s="1">
        <v>45350</v>
      </c>
      <c r="E35">
        <v>1044.32</v>
      </c>
      <c r="F35">
        <v>1078.32</v>
      </c>
      <c r="G35">
        <v>1084.81</v>
      </c>
      <c r="H35">
        <v>1041.3800000000001</v>
      </c>
      <c r="I35" t="str">
        <v>1.80M</v>
      </c>
      <c r="J35">
        <v>1801058</v>
      </c>
      <c r="K35">
        <v>-2.77</v>
      </c>
      <c r="L35">
        <v>1044.3199462890625</v>
      </c>
      <c r="M35">
        <v>1078.3170166015625</v>
      </c>
      <c r="N35">
        <v>1084.8070068359375</v>
      </c>
      <c r="O35">
        <v>1041.375</v>
      </c>
      <c r="P35">
        <v>-2.7702028932535678</v>
      </c>
    </row>
    <row r="36" spans="1:16" x14ac:dyDescent="0.25">
      <c r="A36" t="str">
        <v>redFont</v>
      </c>
      <c r="B36" s="1">
        <v>45349</v>
      </c>
      <c r="C36">
        <v>1708992000</v>
      </c>
      <c r="D36" s="1">
        <v>45349</v>
      </c>
      <c r="E36">
        <v>1074.07</v>
      </c>
      <c r="F36">
        <v>1102.23</v>
      </c>
      <c r="G36">
        <v>1108.3699999999999</v>
      </c>
      <c r="H36">
        <v>1071.8800000000001</v>
      </c>
      <c r="I36" t="str">
        <v>1.59M</v>
      </c>
      <c r="J36">
        <v>1589007</v>
      </c>
      <c r="K36">
        <v>-2.09</v>
      </c>
      <c r="L36">
        <v>1074.073974609375</v>
      </c>
      <c r="M36">
        <v>1102.22998046875</v>
      </c>
      <c r="N36">
        <v>1108.3699951171875</v>
      </c>
      <c r="O36">
        <v>1071.876953125</v>
      </c>
      <c r="P36">
        <v>-2.0888160786493022</v>
      </c>
    </row>
    <row r="37" spans="1:16" x14ac:dyDescent="0.25">
      <c r="A37" t="str">
        <v>redFont</v>
      </c>
      <c r="B37" s="1">
        <v>45348</v>
      </c>
      <c r="C37">
        <v>1708905600</v>
      </c>
      <c r="D37" s="1">
        <v>45348</v>
      </c>
      <c r="E37">
        <v>1096.99</v>
      </c>
      <c r="F37">
        <v>1158.69</v>
      </c>
      <c r="G37">
        <v>1159.19</v>
      </c>
      <c r="H37">
        <v>1094.54</v>
      </c>
      <c r="I37" t="str">
        <v>2.76M</v>
      </c>
      <c r="J37">
        <v>2759041</v>
      </c>
      <c r="K37">
        <v>-5.33</v>
      </c>
      <c r="L37">
        <v>1096.988037109375</v>
      </c>
      <c r="M37">
        <v>1158.6920166015625</v>
      </c>
      <c r="N37">
        <v>1159.1910400390625</v>
      </c>
      <c r="O37">
        <v>1094.5419921875</v>
      </c>
      <c r="P37">
        <v>-5.3253132504671035</v>
      </c>
    </row>
    <row r="38" spans="1:16" x14ac:dyDescent="0.25">
      <c r="A38" t="str">
        <v>greenFont</v>
      </c>
      <c r="B38" s="1">
        <v>45345</v>
      </c>
      <c r="C38">
        <v>1708646400</v>
      </c>
      <c r="D38" s="1">
        <v>45345</v>
      </c>
      <c r="E38">
        <v>1158.69</v>
      </c>
      <c r="F38">
        <v>1159.8900000000001</v>
      </c>
      <c r="G38">
        <v>1177.1600000000001</v>
      </c>
      <c r="H38">
        <v>1154.45</v>
      </c>
      <c r="I38" t="str">
        <v>942.66K</v>
      </c>
      <c r="J38">
        <v>942660</v>
      </c>
      <c r="K38">
        <v>0.32</v>
      </c>
      <c r="L38">
        <v>1158.6920166015625</v>
      </c>
      <c r="M38">
        <v>1159.8900146484375</v>
      </c>
      <c r="N38">
        <v>1177.1629638671875</v>
      </c>
      <c r="O38">
        <v>1154.448974609375</v>
      </c>
      <c r="P38">
        <v>0.32417204592925269</v>
      </c>
    </row>
    <row r="39" spans="1:16" x14ac:dyDescent="0.25">
      <c r="A39" t="str">
        <v>greenFont</v>
      </c>
      <c r="B39" s="1">
        <v>45344</v>
      </c>
      <c r="C39">
        <v>1708560000</v>
      </c>
      <c r="D39" s="1">
        <v>45344</v>
      </c>
      <c r="E39">
        <v>1154.95</v>
      </c>
      <c r="F39">
        <v>1158.1400000000001</v>
      </c>
      <c r="G39">
        <v>1163.23</v>
      </c>
      <c r="H39">
        <v>1140.42</v>
      </c>
      <c r="I39" t="str">
        <v>552.41K</v>
      </c>
      <c r="J39">
        <v>552410</v>
      </c>
      <c r="K39">
        <v>0.2</v>
      </c>
      <c r="L39">
        <v>1154.947998046875</v>
      </c>
      <c r="M39">
        <v>1158.1429443359375</v>
      </c>
      <c r="N39">
        <v>1163.2349853515625</v>
      </c>
      <c r="O39">
        <v>1140.4200439453125</v>
      </c>
      <c r="P39">
        <v>0.20363039732551219</v>
      </c>
    </row>
    <row r="40" spans="1:16" x14ac:dyDescent="0.25">
      <c r="A40" t="str">
        <v>greenFont</v>
      </c>
      <c r="B40" s="1">
        <v>45343</v>
      </c>
      <c r="C40">
        <v>1708473600</v>
      </c>
      <c r="D40" s="1">
        <v>45343</v>
      </c>
      <c r="E40">
        <v>1152.5999999999999</v>
      </c>
      <c r="F40">
        <v>1163.19</v>
      </c>
      <c r="G40">
        <v>1168.18</v>
      </c>
      <c r="H40">
        <v>1136.48</v>
      </c>
      <c r="I40" t="str">
        <v>1.19M</v>
      </c>
      <c r="J40">
        <v>1186147</v>
      </c>
      <c r="K40">
        <v>0.15</v>
      </c>
      <c r="L40">
        <v>1152.6009521484375</v>
      </c>
      <c r="M40">
        <v>1163.18505859375</v>
      </c>
      <c r="N40">
        <v>1168.177001953125</v>
      </c>
      <c r="O40">
        <v>1136.47705078125</v>
      </c>
      <c r="P40">
        <v>0.15179581738934531</v>
      </c>
    </row>
    <row r="41" spans="1:16" x14ac:dyDescent="0.25">
      <c r="A41" t="str">
        <v>greenFont</v>
      </c>
      <c r="B41" s="1">
        <v>45342</v>
      </c>
      <c r="C41">
        <v>1708387200</v>
      </c>
      <c r="D41" s="1">
        <v>45342</v>
      </c>
      <c r="E41">
        <v>1150.8499999999999</v>
      </c>
      <c r="F41">
        <v>1122</v>
      </c>
      <c r="G41">
        <v>1165.8800000000001</v>
      </c>
      <c r="H41">
        <v>1119.25</v>
      </c>
      <c r="I41" t="str">
        <v>1.87M</v>
      </c>
      <c r="J41">
        <v>1872013</v>
      </c>
      <c r="K41">
        <v>2.62</v>
      </c>
      <c r="L41">
        <v>1150.85400390625</v>
      </c>
      <c r="M41">
        <v>1121.9990234375</v>
      </c>
      <c r="N41">
        <v>1165.8809814453125</v>
      </c>
      <c r="O41">
        <v>1119.2530517578125</v>
      </c>
      <c r="P41">
        <v>2.6173877758582256</v>
      </c>
    </row>
    <row r="42" spans="1:16" x14ac:dyDescent="0.25">
      <c r="A42" t="str">
        <v>greenFont</v>
      </c>
      <c r="B42" s="1">
        <v>45341</v>
      </c>
      <c r="C42">
        <v>1708300800</v>
      </c>
      <c r="D42" s="1">
        <v>45341</v>
      </c>
      <c r="E42">
        <v>1121.5</v>
      </c>
      <c r="F42">
        <v>1106.97</v>
      </c>
      <c r="G42">
        <v>1131.29</v>
      </c>
      <c r="H42">
        <v>1105.53</v>
      </c>
      <c r="I42" t="str">
        <v>697.68K</v>
      </c>
      <c r="J42">
        <v>697681</v>
      </c>
      <c r="K42">
        <v>1.57</v>
      </c>
      <c r="L42">
        <v>1121.5</v>
      </c>
      <c r="M42">
        <v>1106.9730224609375</v>
      </c>
      <c r="N42">
        <v>1131.2850341796875</v>
      </c>
      <c r="O42">
        <v>1105.5250244140625</v>
      </c>
      <c r="P42">
        <v>1.5734646116399233</v>
      </c>
    </row>
    <row r="43" spans="1:16" x14ac:dyDescent="0.25">
      <c r="A43" t="str">
        <v>redFont</v>
      </c>
      <c r="B43" s="1">
        <v>45338</v>
      </c>
      <c r="C43">
        <v>1708041600</v>
      </c>
      <c r="D43" s="1">
        <v>45338</v>
      </c>
      <c r="E43">
        <v>1104.1300000000001</v>
      </c>
      <c r="F43">
        <v>1109.97</v>
      </c>
      <c r="G43">
        <v>1112.21</v>
      </c>
      <c r="H43">
        <v>1099.33</v>
      </c>
      <c r="I43" t="str">
        <v>377.79K</v>
      </c>
      <c r="J43">
        <v>377791</v>
      </c>
      <c r="K43">
        <v>-0.11</v>
      </c>
      <c r="L43">
        <v>1104.126953125</v>
      </c>
      <c r="M43">
        <v>1109.968017578125</v>
      </c>
      <c r="N43">
        <v>1112.2139892578125</v>
      </c>
      <c r="O43">
        <v>1099.3349609375</v>
      </c>
      <c r="P43">
        <v>-0.11290710166233178</v>
      </c>
    </row>
    <row r="44" spans="1:16" x14ac:dyDescent="0.25">
      <c r="A44" t="str">
        <v>greenFont</v>
      </c>
      <c r="B44" s="1">
        <v>45337</v>
      </c>
      <c r="C44">
        <v>1707955200</v>
      </c>
      <c r="D44" s="1">
        <v>45337</v>
      </c>
      <c r="E44">
        <v>1105.3800000000001</v>
      </c>
      <c r="F44">
        <v>1111.22</v>
      </c>
      <c r="G44">
        <v>1118.06</v>
      </c>
      <c r="H44">
        <v>1099.1400000000001</v>
      </c>
      <c r="I44" t="str">
        <v>372.95K</v>
      </c>
      <c r="J44">
        <v>372945</v>
      </c>
      <c r="K44">
        <v>0.03</v>
      </c>
      <c r="L44">
        <v>1105.375</v>
      </c>
      <c r="M44">
        <v>1111.2159423828125</v>
      </c>
      <c r="N44">
        <v>1118.0550537109375</v>
      </c>
      <c r="O44">
        <v>1099.135009765625</v>
      </c>
      <c r="P44">
        <v>2.7052454477258542E-2</v>
      </c>
    </row>
    <row r="45" spans="1:16" x14ac:dyDescent="0.25">
      <c r="A45" t="str">
        <v>greenFont</v>
      </c>
      <c r="B45" s="1">
        <v>45336</v>
      </c>
      <c r="C45">
        <v>1707868800</v>
      </c>
      <c r="D45" s="1">
        <v>45336</v>
      </c>
      <c r="E45">
        <v>1105.08</v>
      </c>
      <c r="F45">
        <v>1091.3</v>
      </c>
      <c r="G45">
        <v>1118.26</v>
      </c>
      <c r="H45">
        <v>1087.55</v>
      </c>
      <c r="I45" t="str">
        <v>443.94K</v>
      </c>
      <c r="J45">
        <v>443941</v>
      </c>
      <c r="K45">
        <v>0.21</v>
      </c>
      <c r="L45">
        <v>1105.0760498046875</v>
      </c>
      <c r="M45">
        <v>1091.2969970703125</v>
      </c>
      <c r="N45">
        <v>1118.2550048828125</v>
      </c>
      <c r="O45">
        <v>1087.552978515625</v>
      </c>
      <c r="P45">
        <v>0.21283977206761104</v>
      </c>
    </row>
    <row r="46" spans="1:16" x14ac:dyDescent="0.25">
      <c r="A46" t="str">
        <v>redFont</v>
      </c>
      <c r="B46" s="1">
        <v>45335</v>
      </c>
      <c r="C46">
        <v>1707782400</v>
      </c>
      <c r="D46" s="1">
        <v>45335</v>
      </c>
      <c r="E46">
        <v>1102.73</v>
      </c>
      <c r="F46">
        <v>1118.26</v>
      </c>
      <c r="G46">
        <v>1118.26</v>
      </c>
      <c r="H46">
        <v>1082.9100000000001</v>
      </c>
      <c r="I46" t="str">
        <v>585.32K</v>
      </c>
      <c r="J46">
        <v>585320</v>
      </c>
      <c r="K46">
        <v>-0.54</v>
      </c>
      <c r="L46">
        <v>1102.72900390625</v>
      </c>
      <c r="M46">
        <v>1118.2550048828125</v>
      </c>
      <c r="N46">
        <v>1118.2550048828125</v>
      </c>
      <c r="O46">
        <v>1082.9100341796875</v>
      </c>
      <c r="P46">
        <v>-0.53587089066831095</v>
      </c>
    </row>
    <row r="47" spans="1:16" x14ac:dyDescent="0.25">
      <c r="A47" t="str">
        <v>redFont</v>
      </c>
      <c r="B47" s="1">
        <v>45334</v>
      </c>
      <c r="C47">
        <v>1707696000</v>
      </c>
      <c r="D47" s="1">
        <v>45334</v>
      </c>
      <c r="E47">
        <v>1108.67</v>
      </c>
      <c r="F47">
        <v>1132.23</v>
      </c>
      <c r="G47">
        <v>1135.23</v>
      </c>
      <c r="H47">
        <v>1104.28</v>
      </c>
      <c r="I47" t="str">
        <v>618.74K</v>
      </c>
      <c r="J47">
        <v>618737</v>
      </c>
      <c r="K47">
        <v>-1.76</v>
      </c>
      <c r="L47">
        <v>1108.6700439453125</v>
      </c>
      <c r="M47">
        <v>1132.2330322265625</v>
      </c>
      <c r="N47">
        <v>1135.22900390625</v>
      </c>
      <c r="O47">
        <v>1104.2769775390625</v>
      </c>
      <c r="P47">
        <v>-1.7605858134421115</v>
      </c>
    </row>
    <row r="48" spans="1:16" x14ac:dyDescent="0.25">
      <c r="A48" t="str">
        <v>greenFont</v>
      </c>
      <c r="B48" s="1">
        <v>45331</v>
      </c>
      <c r="C48">
        <v>1707436800</v>
      </c>
      <c r="D48" s="1">
        <v>45331</v>
      </c>
      <c r="E48">
        <v>1128.54</v>
      </c>
      <c r="F48">
        <v>1114.6600000000001</v>
      </c>
      <c r="G48">
        <v>1152.5999999999999</v>
      </c>
      <c r="H48">
        <v>1096.99</v>
      </c>
      <c r="I48" t="str">
        <v>1.24M</v>
      </c>
      <c r="J48">
        <v>1238596</v>
      </c>
      <c r="K48">
        <v>1.48</v>
      </c>
      <c r="L48">
        <v>1128.5389404296875</v>
      </c>
      <c r="M48">
        <v>1114.6610107421875</v>
      </c>
      <c r="N48">
        <v>1152.6009521484375</v>
      </c>
      <c r="O48">
        <v>1096.988037109375</v>
      </c>
      <c r="P48">
        <v>1.476821222583395</v>
      </c>
    </row>
    <row r="49" spans="1:16" x14ac:dyDescent="0.25">
      <c r="A49" t="str">
        <v>redFont</v>
      </c>
      <c r="B49" s="1">
        <v>45330</v>
      </c>
      <c r="C49">
        <v>1707350400</v>
      </c>
      <c r="D49" s="1">
        <v>45330</v>
      </c>
      <c r="E49">
        <v>1112.1099999999999</v>
      </c>
      <c r="F49">
        <v>1121.05</v>
      </c>
      <c r="G49">
        <v>1134.1300000000001</v>
      </c>
      <c r="H49">
        <v>1104.6300000000001</v>
      </c>
      <c r="I49" t="str">
        <v>736.69K</v>
      </c>
      <c r="J49">
        <v>736687</v>
      </c>
      <c r="K49">
        <v>0</v>
      </c>
      <c r="L49">
        <v>1112.114990234375</v>
      </c>
      <c r="M49">
        <v>1121.051025390625</v>
      </c>
      <c r="N49">
        <v>1134.1300048828125</v>
      </c>
      <c r="O49">
        <v>1104.6259765625</v>
      </c>
      <c r="P49">
        <v>-4.5001260035280989E-3</v>
      </c>
    </row>
    <row r="50" spans="1:16" x14ac:dyDescent="0.25">
      <c r="A50" t="str">
        <v>redFont</v>
      </c>
      <c r="B50" s="1">
        <v>45329</v>
      </c>
      <c r="C50">
        <v>1707264000</v>
      </c>
      <c r="D50" s="1">
        <v>45329</v>
      </c>
      <c r="E50">
        <v>1112.17</v>
      </c>
      <c r="F50">
        <v>1146.51</v>
      </c>
      <c r="G50">
        <v>1146.96</v>
      </c>
      <c r="H50">
        <v>1107.6199999999999</v>
      </c>
      <c r="I50" t="str">
        <v>999.99K</v>
      </c>
      <c r="J50">
        <v>999988</v>
      </c>
      <c r="K50">
        <v>-1.45</v>
      </c>
      <c r="L50">
        <v>1112.1650390625</v>
      </c>
      <c r="M50">
        <v>1146.510986328125</v>
      </c>
      <c r="N50">
        <v>1146.9599609375</v>
      </c>
      <c r="O50">
        <v>1107.6219482421875</v>
      </c>
      <c r="P50">
        <v>-1.4465337643173051</v>
      </c>
    </row>
    <row r="51" spans="1:16" x14ac:dyDescent="0.25">
      <c r="A51" t="str">
        <v>greenFont</v>
      </c>
      <c r="B51" s="1">
        <v>45328</v>
      </c>
      <c r="C51">
        <v>1707177600</v>
      </c>
      <c r="D51" s="1">
        <v>45328</v>
      </c>
      <c r="E51">
        <v>1128.49</v>
      </c>
      <c r="F51">
        <v>1080.81</v>
      </c>
      <c r="G51">
        <v>1161.74</v>
      </c>
      <c r="H51">
        <v>1069.3800000000001</v>
      </c>
      <c r="I51" t="str">
        <v>3.43M</v>
      </c>
      <c r="J51">
        <v>3429953</v>
      </c>
      <c r="K51">
        <v>4.4800000000000004</v>
      </c>
      <c r="L51">
        <v>1128.489013671875</v>
      </c>
      <c r="M51">
        <v>1080.81298828125</v>
      </c>
      <c r="N51">
        <v>1161.737060546875</v>
      </c>
      <c r="O51">
        <v>1069.3809814453125</v>
      </c>
      <c r="P51">
        <v>4.4834408014926037</v>
      </c>
    </row>
    <row r="52" spans="1:16" x14ac:dyDescent="0.25">
      <c r="A52" t="str">
        <v>redFont</v>
      </c>
      <c r="B52" s="1">
        <v>45327</v>
      </c>
      <c r="C52">
        <v>1707091200</v>
      </c>
      <c r="D52" s="1">
        <v>45327</v>
      </c>
      <c r="E52">
        <v>1080.06</v>
      </c>
      <c r="F52">
        <v>1099.33</v>
      </c>
      <c r="G52">
        <v>1100.68</v>
      </c>
      <c r="H52">
        <v>1078.32</v>
      </c>
      <c r="I52" t="str">
        <v>845.96K</v>
      </c>
      <c r="J52">
        <v>845963</v>
      </c>
      <c r="K52">
        <v>-1.51</v>
      </c>
      <c r="L52">
        <v>1080.06494140625</v>
      </c>
      <c r="M52">
        <v>1099.3349609375</v>
      </c>
      <c r="N52">
        <v>1100.6820068359375</v>
      </c>
      <c r="O52">
        <v>1078.3170166015625</v>
      </c>
      <c r="P52">
        <v>-1.5068588152381703</v>
      </c>
    </row>
    <row r="53" spans="1:16" x14ac:dyDescent="0.25">
      <c r="A53" t="str">
        <v>redFont</v>
      </c>
      <c r="B53" s="1">
        <v>45324</v>
      </c>
      <c r="C53">
        <v>1706832000</v>
      </c>
      <c r="D53" s="1">
        <v>45324</v>
      </c>
      <c r="E53">
        <v>1096.5899999999999</v>
      </c>
      <c r="F53">
        <v>1099.33</v>
      </c>
      <c r="G53">
        <v>1104.28</v>
      </c>
      <c r="H53">
        <v>1086.3499999999999</v>
      </c>
      <c r="I53" t="str">
        <v>873.71K</v>
      </c>
      <c r="J53">
        <v>873712</v>
      </c>
      <c r="K53">
        <v>-0.02</v>
      </c>
      <c r="L53">
        <v>1096.5889892578125</v>
      </c>
      <c r="M53">
        <v>1099.3349609375</v>
      </c>
      <c r="N53">
        <v>1104.2769775390625</v>
      </c>
      <c r="O53">
        <v>1086.35498046875</v>
      </c>
      <c r="P53">
        <v>-1.8230597018662989E-2</v>
      </c>
    </row>
    <row r="54" spans="1:16" x14ac:dyDescent="0.25">
      <c r="A54" t="str">
        <v>redFont</v>
      </c>
      <c r="B54" s="1">
        <v>45323</v>
      </c>
      <c r="C54">
        <v>1706745600</v>
      </c>
      <c r="D54" s="1">
        <v>45323</v>
      </c>
      <c r="E54">
        <v>1096.79</v>
      </c>
      <c r="F54">
        <v>1117.26</v>
      </c>
      <c r="G54">
        <v>1117.26</v>
      </c>
      <c r="H54">
        <v>1092.4000000000001</v>
      </c>
      <c r="I54" t="str">
        <v>1.09M</v>
      </c>
      <c r="J54">
        <v>1090740</v>
      </c>
      <c r="K54">
        <v>-1.1599999999999999</v>
      </c>
      <c r="L54">
        <v>1096.7889404296875</v>
      </c>
      <c r="M54">
        <v>1117.2569580078125</v>
      </c>
      <c r="N54">
        <v>1117.2569580078125</v>
      </c>
      <c r="O54">
        <v>1092.39501953125</v>
      </c>
      <c r="P54">
        <v>-1.1606199947197042</v>
      </c>
    </row>
    <row r="55" spans="1:16" x14ac:dyDescent="0.25">
      <c r="A55" t="str">
        <v>redFont</v>
      </c>
      <c r="B55" s="1">
        <v>45322</v>
      </c>
      <c r="C55">
        <v>1706659200</v>
      </c>
      <c r="D55" s="1">
        <v>45322</v>
      </c>
      <c r="E55">
        <v>1109.67</v>
      </c>
      <c r="F55">
        <v>1122.95</v>
      </c>
      <c r="G55">
        <v>1122.95</v>
      </c>
      <c r="H55">
        <v>1107.07</v>
      </c>
      <c r="I55" t="str">
        <v>780.69K</v>
      </c>
      <c r="J55">
        <v>780688</v>
      </c>
      <c r="K55">
        <v>-0.84</v>
      </c>
      <c r="L55">
        <v>1109.66796875</v>
      </c>
      <c r="M55">
        <v>1122.947998046875</v>
      </c>
      <c r="N55">
        <v>1122.947998046875</v>
      </c>
      <c r="O55">
        <v>1107.072021484375</v>
      </c>
      <c r="P55">
        <v>-0.84317767815264466</v>
      </c>
    </row>
    <row r="56" spans="1:16" x14ac:dyDescent="0.25">
      <c r="A56" t="str">
        <v>redFont</v>
      </c>
      <c r="B56" s="1">
        <v>45321</v>
      </c>
      <c r="C56">
        <v>1706572800</v>
      </c>
      <c r="D56" s="1">
        <v>45321</v>
      </c>
      <c r="E56">
        <v>1119.0999999999999</v>
      </c>
      <c r="F56">
        <v>1139.72</v>
      </c>
      <c r="G56">
        <v>1142.22</v>
      </c>
      <c r="H56">
        <v>1116.3599999999999</v>
      </c>
      <c r="I56" t="str">
        <v>1.12M</v>
      </c>
      <c r="J56">
        <v>1123701</v>
      </c>
      <c r="K56">
        <v>-1.56</v>
      </c>
      <c r="L56">
        <v>1119.10400390625</v>
      </c>
      <c r="M56">
        <v>1139.7220458984375</v>
      </c>
      <c r="N56">
        <v>1142.218017578125</v>
      </c>
      <c r="O56">
        <v>1116.3580322265625</v>
      </c>
      <c r="P56">
        <v>-1.5589056831942087</v>
      </c>
    </row>
    <row r="57" spans="1:16" x14ac:dyDescent="0.25">
      <c r="A57" t="str">
        <v>redFont</v>
      </c>
      <c r="B57" s="1">
        <v>45320</v>
      </c>
      <c r="C57">
        <v>1706486400</v>
      </c>
      <c r="D57" s="1">
        <v>45320</v>
      </c>
      <c r="E57">
        <v>1136.83</v>
      </c>
      <c r="F57">
        <v>1159.19</v>
      </c>
      <c r="G57">
        <v>1161.19</v>
      </c>
      <c r="H57">
        <v>1135.23</v>
      </c>
      <c r="I57" t="str">
        <v>1.04M</v>
      </c>
      <c r="J57">
        <v>1043648</v>
      </c>
      <c r="K57">
        <v>-0.52</v>
      </c>
      <c r="L57">
        <v>1136.8260498046875</v>
      </c>
      <c r="M57">
        <v>1159.1910400390625</v>
      </c>
      <c r="N57">
        <v>1161.18798828125</v>
      </c>
      <c r="O57">
        <v>1135.22900390625</v>
      </c>
      <c r="P57">
        <v>-0.51987134177716565</v>
      </c>
    </row>
    <row r="58" spans="1:16" x14ac:dyDescent="0.25">
      <c r="A58" t="str">
        <v>greenFont</v>
      </c>
      <c r="B58" s="1">
        <v>45316</v>
      </c>
      <c r="C58">
        <v>1706140800</v>
      </c>
      <c r="D58" s="1">
        <v>45316</v>
      </c>
      <c r="E58">
        <v>1142.77</v>
      </c>
      <c r="F58">
        <v>1144.21</v>
      </c>
      <c r="G58">
        <v>1149.76</v>
      </c>
      <c r="H58">
        <v>1136.73</v>
      </c>
      <c r="I58" t="str">
        <v>556.58K</v>
      </c>
      <c r="J58">
        <v>556575</v>
      </c>
      <c r="K58">
        <v>0.18</v>
      </c>
      <c r="L58">
        <v>1142.7669677734375</v>
      </c>
      <c r="M58">
        <v>1144.2149658203125</v>
      </c>
      <c r="N58">
        <v>1149.7559814453125</v>
      </c>
      <c r="O58">
        <v>1136.7259521484375</v>
      </c>
      <c r="P58">
        <v>0.17505265811666923</v>
      </c>
    </row>
    <row r="59" spans="1:16" x14ac:dyDescent="0.25">
      <c r="A59" t="str">
        <v>greenFont</v>
      </c>
      <c r="B59" s="1">
        <v>45315</v>
      </c>
      <c r="C59">
        <v>1706054400</v>
      </c>
      <c r="D59" s="1">
        <v>45315</v>
      </c>
      <c r="E59">
        <v>1140.77</v>
      </c>
      <c r="F59">
        <v>1147.21</v>
      </c>
      <c r="G59">
        <v>1152.0999999999999</v>
      </c>
      <c r="H59">
        <v>1137.72</v>
      </c>
      <c r="I59" t="str">
        <v>469.82K</v>
      </c>
      <c r="J59">
        <v>469822</v>
      </c>
      <c r="K59">
        <v>0.01</v>
      </c>
      <c r="L59">
        <v>1140.77001953125</v>
      </c>
      <c r="M59">
        <v>1147.2099609375</v>
      </c>
      <c r="N59">
        <v>1152.10205078125</v>
      </c>
      <c r="O59">
        <v>1137.7249755859375</v>
      </c>
      <c r="P59">
        <v>1.315288305524457E-2</v>
      </c>
    </row>
    <row r="60" spans="1:16" x14ac:dyDescent="0.25">
      <c r="A60" t="str">
        <v>redFont</v>
      </c>
      <c r="B60" s="1">
        <v>45314</v>
      </c>
      <c r="C60">
        <v>1705968000</v>
      </c>
      <c r="D60" s="1">
        <v>45314</v>
      </c>
      <c r="E60">
        <v>1140.6199999999999</v>
      </c>
      <c r="F60">
        <v>1160.3900000000001</v>
      </c>
      <c r="G60">
        <v>1161.69</v>
      </c>
      <c r="H60">
        <v>1138.22</v>
      </c>
      <c r="I60" t="str">
        <v>571.92K</v>
      </c>
      <c r="J60">
        <v>571921</v>
      </c>
      <c r="K60">
        <v>-0.88</v>
      </c>
      <c r="L60">
        <v>1140.6199951171875</v>
      </c>
      <c r="M60">
        <v>1160.3890380859375</v>
      </c>
      <c r="N60">
        <v>1161.68701171875</v>
      </c>
      <c r="O60">
        <v>1138.2239990234375</v>
      </c>
      <c r="P60">
        <v>-0.88460664572477066</v>
      </c>
    </row>
    <row r="61" spans="1:16" x14ac:dyDescent="0.25">
      <c r="A61" t="str">
        <v>greenFont</v>
      </c>
      <c r="B61" s="1">
        <v>45311</v>
      </c>
      <c r="C61">
        <v>1705708800</v>
      </c>
      <c r="D61" s="1">
        <v>45311</v>
      </c>
      <c r="E61">
        <v>1150.8</v>
      </c>
      <c r="F61">
        <v>1143.95</v>
      </c>
      <c r="G61">
        <v>1169.05</v>
      </c>
      <c r="H61">
        <v>1142.9000000000001</v>
      </c>
      <c r="I61" t="str">
        <v>595.71K</v>
      </c>
      <c r="J61">
        <v>595708</v>
      </c>
      <c r="K61">
        <v>1.05</v>
      </c>
      <c r="L61">
        <v>1150.800048828125</v>
      </c>
      <c r="M61">
        <v>1143.949951171875</v>
      </c>
      <c r="N61">
        <v>1169.050048828125</v>
      </c>
      <c r="O61">
        <v>1142.9000244140625</v>
      </c>
      <c r="P61">
        <v>1.0472635194811208</v>
      </c>
    </row>
    <row r="62" spans="1:16" x14ac:dyDescent="0.25">
      <c r="A62" t="str">
        <v>redFont</v>
      </c>
      <c r="B62" s="1">
        <v>45310</v>
      </c>
      <c r="C62">
        <v>1705622400</v>
      </c>
      <c r="D62" s="1">
        <v>45310</v>
      </c>
      <c r="E62">
        <v>1138.8699999999999</v>
      </c>
      <c r="F62">
        <v>1155.2</v>
      </c>
      <c r="G62">
        <v>1155.2</v>
      </c>
      <c r="H62">
        <v>1138.22</v>
      </c>
      <c r="I62" t="str">
        <v>835.63K</v>
      </c>
      <c r="J62">
        <v>835628</v>
      </c>
      <c r="K62">
        <v>-0.85</v>
      </c>
      <c r="L62">
        <v>1138.873046875</v>
      </c>
      <c r="M62">
        <v>1155.197021484375</v>
      </c>
      <c r="N62">
        <v>1155.197021484375</v>
      </c>
      <c r="O62">
        <v>1138.2239990234375</v>
      </c>
      <c r="P62">
        <v>-0.84754634117361616</v>
      </c>
    </row>
    <row r="63" spans="1:16" x14ac:dyDescent="0.25">
      <c r="A63" t="str">
        <v>redFont</v>
      </c>
      <c r="B63" s="1">
        <v>45309</v>
      </c>
      <c r="C63">
        <v>1705536000</v>
      </c>
      <c r="D63" s="1">
        <v>45309</v>
      </c>
      <c r="E63">
        <v>1148.6099999999999</v>
      </c>
      <c r="F63">
        <v>1153.3</v>
      </c>
      <c r="G63">
        <v>1159.0899999999999</v>
      </c>
      <c r="H63">
        <v>1128.3399999999999</v>
      </c>
      <c r="I63" t="str">
        <v>763.69K</v>
      </c>
      <c r="J63">
        <v>763685</v>
      </c>
      <c r="K63">
        <v>-0.53</v>
      </c>
      <c r="L63">
        <v>1148.6080322265625</v>
      </c>
      <c r="M63">
        <v>1153.300048828125</v>
      </c>
      <c r="N63">
        <v>1159.0909423828125</v>
      </c>
      <c r="O63">
        <v>1128.3389892578125</v>
      </c>
      <c r="P63">
        <v>-0.5274076711498098</v>
      </c>
    </row>
    <row r="64" spans="1:16" x14ac:dyDescent="0.25">
      <c r="A64" t="str">
        <v>redFont</v>
      </c>
      <c r="B64" s="1">
        <v>45308</v>
      </c>
      <c r="C64">
        <v>1705449600</v>
      </c>
      <c r="D64" s="1">
        <v>45308</v>
      </c>
      <c r="E64">
        <v>1154.7</v>
      </c>
      <c r="F64">
        <v>1156.0999999999999</v>
      </c>
      <c r="G64">
        <v>1164.58</v>
      </c>
      <c r="H64">
        <v>1151.45</v>
      </c>
      <c r="I64" t="str">
        <v>718.62K</v>
      </c>
      <c r="J64">
        <v>718624</v>
      </c>
      <c r="K64">
        <v>-0.57999999999999996</v>
      </c>
      <c r="L64">
        <v>1154.697998046875</v>
      </c>
      <c r="M64">
        <v>1156.095947265625</v>
      </c>
      <c r="N64">
        <v>1164.5830078125</v>
      </c>
      <c r="O64">
        <v>1151.4530029296875</v>
      </c>
      <c r="P64">
        <v>-0.58459827786074703</v>
      </c>
    </row>
    <row r="65" spans="1:16" x14ac:dyDescent="0.25">
      <c r="A65" t="str">
        <v>redFont</v>
      </c>
      <c r="B65" s="1">
        <v>45307</v>
      </c>
      <c r="C65">
        <v>1705363200</v>
      </c>
      <c r="D65" s="1">
        <v>45307</v>
      </c>
      <c r="E65">
        <v>1161.49</v>
      </c>
      <c r="F65">
        <v>1170.07</v>
      </c>
      <c r="G65">
        <v>1170.07</v>
      </c>
      <c r="H65">
        <v>1158.19</v>
      </c>
      <c r="I65" t="str">
        <v>729.57K</v>
      </c>
      <c r="J65">
        <v>729567</v>
      </c>
      <c r="K65">
        <v>-0.72</v>
      </c>
      <c r="L65">
        <v>1161.488037109375</v>
      </c>
      <c r="M65">
        <v>1170.073974609375</v>
      </c>
      <c r="N65">
        <v>1170.073974609375</v>
      </c>
      <c r="O65">
        <v>1158.1929931640625</v>
      </c>
      <c r="P65">
        <v>-0.72106508158322336</v>
      </c>
    </row>
    <row r="66" spans="1:16" x14ac:dyDescent="0.25">
      <c r="A66" t="str">
        <v>greenFont</v>
      </c>
      <c r="B66" s="1">
        <v>45306</v>
      </c>
      <c r="C66">
        <v>1705276800</v>
      </c>
      <c r="D66" s="1">
        <v>45306</v>
      </c>
      <c r="E66">
        <v>1169.92</v>
      </c>
      <c r="F66">
        <v>1178.1600000000001</v>
      </c>
      <c r="G66">
        <v>1183.05</v>
      </c>
      <c r="H66">
        <v>1167.33</v>
      </c>
      <c r="I66" t="str">
        <v>757.17K</v>
      </c>
      <c r="J66">
        <v>757174</v>
      </c>
      <c r="K66">
        <v>0.37</v>
      </c>
      <c r="L66">
        <v>1169.9239501953125</v>
      </c>
      <c r="M66">
        <v>1178.1619873046875</v>
      </c>
      <c r="N66">
        <v>1183.053955078125</v>
      </c>
      <c r="O66">
        <v>1167.3280029296875</v>
      </c>
      <c r="P66">
        <v>0.368295697209161</v>
      </c>
    </row>
    <row r="67" spans="1:16" x14ac:dyDescent="0.25">
      <c r="A67" t="str">
        <v>greenFont</v>
      </c>
      <c r="B67" s="1">
        <v>45303</v>
      </c>
      <c r="C67">
        <v>1705017600</v>
      </c>
      <c r="D67" s="1">
        <v>45303</v>
      </c>
      <c r="E67">
        <v>1165.6300000000001</v>
      </c>
      <c r="F67">
        <v>1161.8900000000001</v>
      </c>
      <c r="G67">
        <v>1200.1300000000001</v>
      </c>
      <c r="H67">
        <v>1158.29</v>
      </c>
      <c r="I67" t="str">
        <v>2.47M</v>
      </c>
      <c r="J67">
        <v>2470848</v>
      </c>
      <c r="K67">
        <v>0.68</v>
      </c>
      <c r="L67">
        <v>1165.6309814453125</v>
      </c>
      <c r="M67">
        <v>1161.886962890625</v>
      </c>
      <c r="N67">
        <v>1200.126953125</v>
      </c>
      <c r="O67">
        <v>1158.29296875</v>
      </c>
      <c r="P67">
        <v>0.67697877831947229</v>
      </c>
    </row>
    <row r="68" spans="1:16" x14ac:dyDescent="0.25">
      <c r="A68" t="str">
        <v>redFont</v>
      </c>
      <c r="B68" s="1">
        <v>45302</v>
      </c>
      <c r="C68">
        <v>1704931200</v>
      </c>
      <c r="D68" s="1">
        <v>45302</v>
      </c>
      <c r="E68">
        <v>1157.79</v>
      </c>
      <c r="F68">
        <v>1166.1300000000001</v>
      </c>
      <c r="G68">
        <v>1167.18</v>
      </c>
      <c r="H68">
        <v>1156.2</v>
      </c>
      <c r="I68" t="str">
        <v>636.05K</v>
      </c>
      <c r="J68">
        <v>636047</v>
      </c>
      <c r="K68">
        <v>-0.31</v>
      </c>
      <c r="L68">
        <v>1157.79296875</v>
      </c>
      <c r="M68">
        <v>1166.1300048828125</v>
      </c>
      <c r="N68">
        <v>1167.178955078125</v>
      </c>
      <c r="O68">
        <v>1156.196044921875</v>
      </c>
      <c r="P68">
        <v>-0.31383677544800043</v>
      </c>
    </row>
    <row r="69" spans="1:16" x14ac:dyDescent="0.25">
      <c r="A69" t="str">
        <v>redFont</v>
      </c>
      <c r="B69" s="1">
        <v>45301</v>
      </c>
      <c r="C69">
        <v>1704844800</v>
      </c>
      <c r="D69" s="1">
        <v>45301</v>
      </c>
      <c r="E69">
        <v>1161.44</v>
      </c>
      <c r="F69">
        <v>1168.28</v>
      </c>
      <c r="G69">
        <v>1168.28</v>
      </c>
      <c r="H69">
        <v>1154.2</v>
      </c>
      <c r="I69" t="str">
        <v>626.90K</v>
      </c>
      <c r="J69">
        <v>626896</v>
      </c>
      <c r="K69">
        <v>-0.31</v>
      </c>
      <c r="L69">
        <v>1161.43798828125</v>
      </c>
      <c r="M69">
        <v>1168.2769775390625</v>
      </c>
      <c r="N69">
        <v>1168.2769775390625</v>
      </c>
      <c r="O69">
        <v>1154.198974609375</v>
      </c>
      <c r="P69">
        <v>-0.3084888822668872</v>
      </c>
    </row>
    <row r="70" spans="1:16" x14ac:dyDescent="0.25">
      <c r="A70" t="str">
        <v>redFont</v>
      </c>
      <c r="B70" s="1">
        <v>45300</v>
      </c>
      <c r="C70">
        <v>1704758400</v>
      </c>
      <c r="D70" s="1">
        <v>45300</v>
      </c>
      <c r="E70">
        <v>1165.03</v>
      </c>
      <c r="F70">
        <v>1176.27</v>
      </c>
      <c r="G70">
        <v>1177.1600000000001</v>
      </c>
      <c r="H70">
        <v>1163.19</v>
      </c>
      <c r="I70" t="str">
        <v>733.60K</v>
      </c>
      <c r="J70">
        <v>733601</v>
      </c>
      <c r="K70">
        <v>-0.4</v>
      </c>
      <c r="L70">
        <v>1165.031982421875</v>
      </c>
      <c r="M70">
        <v>1176.2650146484375</v>
      </c>
      <c r="N70">
        <v>1177.1629638671875</v>
      </c>
      <c r="O70">
        <v>1163.18505859375</v>
      </c>
      <c r="P70">
        <v>-0.39695353088892504</v>
      </c>
    </row>
    <row r="71" spans="1:16" x14ac:dyDescent="0.25">
      <c r="A71" t="str">
        <v>greenFont</v>
      </c>
      <c r="B71" s="1">
        <v>45299</v>
      </c>
      <c r="C71">
        <v>1704672000</v>
      </c>
      <c r="D71" s="1">
        <v>45299</v>
      </c>
      <c r="E71">
        <v>1169.68</v>
      </c>
      <c r="F71">
        <v>1172.8699999999999</v>
      </c>
      <c r="G71">
        <v>1177.1600000000001</v>
      </c>
      <c r="H71">
        <v>1166.78</v>
      </c>
      <c r="I71" t="str">
        <v>475.51K</v>
      </c>
      <c r="J71">
        <v>475513</v>
      </c>
      <c r="K71">
        <v>0.01</v>
      </c>
      <c r="L71">
        <v>1169.675048828125</v>
      </c>
      <c r="M71">
        <v>1172.8699951171875</v>
      </c>
      <c r="N71">
        <v>1177.1629638671875</v>
      </c>
      <c r="O71">
        <v>1166.779052734375</v>
      </c>
      <c r="P71">
        <v>1.2827807095249024E-2</v>
      </c>
    </row>
    <row r="72" spans="1:16" x14ac:dyDescent="0.25">
      <c r="A72" t="str">
        <v>redFont</v>
      </c>
      <c r="B72" s="1">
        <v>45296</v>
      </c>
      <c r="C72">
        <v>1704412800</v>
      </c>
      <c r="D72" s="1">
        <v>45296</v>
      </c>
      <c r="E72">
        <v>1169.53</v>
      </c>
      <c r="F72">
        <v>1171.67</v>
      </c>
      <c r="G72">
        <v>1177.51</v>
      </c>
      <c r="H72">
        <v>1168.18</v>
      </c>
      <c r="I72" t="str">
        <v>824.12K</v>
      </c>
      <c r="J72">
        <v>824122</v>
      </c>
      <c r="K72">
        <v>0</v>
      </c>
      <c r="L72">
        <v>1169.5250244140625</v>
      </c>
      <c r="M72">
        <v>1171.6719970703125</v>
      </c>
      <c r="N72">
        <v>1177.512939453125</v>
      </c>
      <c r="O72">
        <v>1168.177001953125</v>
      </c>
      <c r="P72">
        <v>0</v>
      </c>
    </row>
    <row r="73" spans="1:16" x14ac:dyDescent="0.25">
      <c r="A73" t="str">
        <v>redFont</v>
      </c>
      <c r="B73" s="1">
        <v>45295</v>
      </c>
      <c r="C73">
        <v>1704326400</v>
      </c>
      <c r="D73" s="1">
        <v>45295</v>
      </c>
      <c r="E73">
        <v>1169.53</v>
      </c>
      <c r="F73">
        <v>1173.17</v>
      </c>
      <c r="G73">
        <v>1179.71</v>
      </c>
      <c r="H73">
        <v>1167.6300000000001</v>
      </c>
      <c r="I73" t="str">
        <v>706.44K</v>
      </c>
      <c r="J73">
        <v>706442</v>
      </c>
      <c r="K73">
        <v>-0.06</v>
      </c>
      <c r="L73">
        <v>1169.5250244140625</v>
      </c>
      <c r="M73">
        <v>1173.1689453125</v>
      </c>
      <c r="N73">
        <v>1179.708984375</v>
      </c>
      <c r="O73">
        <v>1167.6280517578125</v>
      </c>
      <c r="P73">
        <v>-5.9729984170406744E-2</v>
      </c>
    </row>
    <row r="74" spans="1:16" x14ac:dyDescent="0.25">
      <c r="A74" t="str">
        <v>redFont</v>
      </c>
      <c r="B74" s="1">
        <v>45294</v>
      </c>
      <c r="C74">
        <v>1704240000</v>
      </c>
      <c r="D74" s="1">
        <v>45294</v>
      </c>
      <c r="E74">
        <v>1170.22</v>
      </c>
      <c r="F74">
        <v>1178.1600000000001</v>
      </c>
      <c r="G74">
        <v>1183.1500000000001</v>
      </c>
      <c r="H74">
        <v>1166.18</v>
      </c>
      <c r="I74" t="str">
        <v>937.01K</v>
      </c>
      <c r="J74">
        <v>937005</v>
      </c>
      <c r="K74">
        <v>-0.84</v>
      </c>
      <c r="L74">
        <v>1170.2239990234375</v>
      </c>
      <c r="M74">
        <v>1178.1619873046875</v>
      </c>
      <c r="N74">
        <v>1183.154052734375</v>
      </c>
      <c r="O74">
        <v>1166.1800537109375</v>
      </c>
      <c r="P74">
        <v>-0.8376353109759106</v>
      </c>
    </row>
    <row r="75" spans="1:16" x14ac:dyDescent="0.25">
      <c r="A75" t="str">
        <v>greenFont</v>
      </c>
      <c r="B75" s="1">
        <v>45293</v>
      </c>
      <c r="C75">
        <v>1704153600</v>
      </c>
      <c r="D75" s="1">
        <v>45293</v>
      </c>
      <c r="E75">
        <v>1180.1099999999999</v>
      </c>
      <c r="F75">
        <v>1182.1600000000001</v>
      </c>
      <c r="G75">
        <v>1187.05</v>
      </c>
      <c r="H75">
        <v>1175.17</v>
      </c>
      <c r="I75" t="str">
        <v>720.39K</v>
      </c>
      <c r="J75">
        <v>720393</v>
      </c>
      <c r="K75">
        <v>0.13</v>
      </c>
      <c r="L75">
        <v>1180.1090087890625</v>
      </c>
      <c r="M75">
        <v>1182.155029296875</v>
      </c>
      <c r="N75">
        <v>1187.0479736328125</v>
      </c>
      <c r="O75">
        <v>1175.166015625</v>
      </c>
      <c r="P75">
        <v>0.12710274411220257</v>
      </c>
    </row>
    <row r="76" spans="1:16" x14ac:dyDescent="0.25">
      <c r="A76" t="str">
        <v>greenFont</v>
      </c>
      <c r="B76" s="1">
        <v>45292</v>
      </c>
      <c r="C76">
        <v>1704067200</v>
      </c>
      <c r="D76" s="1">
        <v>45292</v>
      </c>
      <c r="E76">
        <v>1178.6099999999999</v>
      </c>
      <c r="F76">
        <v>1182.1600000000001</v>
      </c>
      <c r="G76">
        <v>1196.03</v>
      </c>
      <c r="H76">
        <v>1178.1600000000001</v>
      </c>
      <c r="I76" t="str">
        <v>794.23K</v>
      </c>
      <c r="J76">
        <v>794228</v>
      </c>
      <c r="K76">
        <v>0.03</v>
      </c>
      <c r="L76">
        <v>1178.6109619140625</v>
      </c>
      <c r="M76">
        <v>1182.155029296875</v>
      </c>
      <c r="N76">
        <v>1196.0340576171875</v>
      </c>
      <c r="O76">
        <v>1178.1619873046875</v>
      </c>
      <c r="P76">
        <v>2.5453954759299034E-2</v>
      </c>
    </row>
    <row r="77" spans="1:16" x14ac:dyDescent="0.25">
      <c r="A77" t="str">
        <v>greenFont</v>
      </c>
      <c r="B77" s="1">
        <v>45289</v>
      </c>
      <c r="C77">
        <v>1703808000</v>
      </c>
      <c r="D77" s="1">
        <v>45289</v>
      </c>
      <c r="E77">
        <v>1178.31</v>
      </c>
      <c r="F77">
        <v>1178.1600000000001</v>
      </c>
      <c r="G77">
        <v>1186.1500000000001</v>
      </c>
      <c r="H77">
        <v>1168.6300000000001</v>
      </c>
      <c r="I77" t="str">
        <v>974.33K</v>
      </c>
      <c r="J77">
        <v>974333</v>
      </c>
      <c r="K77">
        <v>0.36</v>
      </c>
      <c r="L77">
        <v>1178.31103515625</v>
      </c>
      <c r="M77">
        <v>1178.1619873046875</v>
      </c>
      <c r="N77">
        <v>1186.1490478515625</v>
      </c>
      <c r="O77">
        <v>1168.6259765625</v>
      </c>
      <c r="P77">
        <v>0.35711853613526195</v>
      </c>
    </row>
    <row r="78" spans="1:16" x14ac:dyDescent="0.25">
      <c r="A78" t="str">
        <v>redFont</v>
      </c>
      <c r="B78" s="1">
        <v>45288</v>
      </c>
      <c r="C78">
        <v>1703721600</v>
      </c>
      <c r="D78" s="1">
        <v>45288</v>
      </c>
      <c r="E78">
        <v>1174.1199999999999</v>
      </c>
      <c r="F78">
        <v>1198.1300000000001</v>
      </c>
      <c r="G78">
        <v>1199.98</v>
      </c>
      <c r="H78">
        <v>1167.18</v>
      </c>
      <c r="I78" t="str">
        <v>1.91M</v>
      </c>
      <c r="J78">
        <v>1913710</v>
      </c>
      <c r="K78">
        <v>-1.97</v>
      </c>
      <c r="L78">
        <v>1174.1180419921875</v>
      </c>
      <c r="M78">
        <v>1198.1300048828125</v>
      </c>
      <c r="N78">
        <v>1199.97802734375</v>
      </c>
      <c r="O78">
        <v>1167.178955078125</v>
      </c>
      <c r="P78">
        <v>-1.9714707130548363</v>
      </c>
    </row>
    <row r="79" spans="1:16" x14ac:dyDescent="0.25">
      <c r="A79" t="str">
        <v>redFont</v>
      </c>
      <c r="B79" s="1">
        <v>45287</v>
      </c>
      <c r="C79">
        <v>1703635200</v>
      </c>
      <c r="D79" s="1">
        <v>45287</v>
      </c>
      <c r="E79">
        <v>1197.73</v>
      </c>
      <c r="F79">
        <v>1206.1199999999999</v>
      </c>
      <c r="G79">
        <v>1211.01</v>
      </c>
      <c r="H79">
        <v>1194.3399999999999</v>
      </c>
      <c r="I79" t="str">
        <v>656.32K</v>
      </c>
      <c r="J79">
        <v>656321</v>
      </c>
      <c r="K79">
        <v>-0.26</v>
      </c>
      <c r="L79">
        <v>1197.73095703125</v>
      </c>
      <c r="M79">
        <v>1206.1180419921875</v>
      </c>
      <c r="N79">
        <v>1211.010009765625</v>
      </c>
      <c r="O79">
        <v>1194.3360595703125</v>
      </c>
      <c r="P79">
        <v>-0.26189378359059184</v>
      </c>
    </row>
    <row r="80" spans="1:16" x14ac:dyDescent="0.25">
      <c r="A80" t="str">
        <v>redFont</v>
      </c>
      <c r="B80" s="1">
        <v>45286</v>
      </c>
      <c r="C80">
        <v>1703548800</v>
      </c>
      <c r="D80" s="1">
        <v>45286</v>
      </c>
      <c r="E80">
        <v>1200.8800000000001</v>
      </c>
      <c r="F80">
        <v>1208.1099999999999</v>
      </c>
      <c r="G80">
        <v>1216.05</v>
      </c>
      <c r="H80">
        <v>1198.6300000000001</v>
      </c>
      <c r="I80" t="str">
        <v>575.20K</v>
      </c>
      <c r="J80">
        <v>575200</v>
      </c>
      <c r="K80">
        <v>-0.5</v>
      </c>
      <c r="L80">
        <v>1200.8759765625</v>
      </c>
      <c r="M80">
        <v>1208.114990234375</v>
      </c>
      <c r="N80">
        <v>1216.052001953125</v>
      </c>
      <c r="O80">
        <v>1198.6300048828125</v>
      </c>
      <c r="P80">
        <v>-0.49640656990727094</v>
      </c>
    </row>
    <row r="81" spans="1:16" x14ac:dyDescent="0.25">
      <c r="A81" t="str">
        <v>redFont</v>
      </c>
      <c r="B81" s="1">
        <v>45282</v>
      </c>
      <c r="C81">
        <v>1703203200</v>
      </c>
      <c r="D81" s="1">
        <v>45282</v>
      </c>
      <c r="E81">
        <v>1206.8699999999999</v>
      </c>
      <c r="F81">
        <v>1212.81</v>
      </c>
      <c r="G81">
        <v>1220.5899999999999</v>
      </c>
      <c r="H81">
        <v>1203.1199999999999</v>
      </c>
      <c r="I81" t="str">
        <v>701.24K</v>
      </c>
      <c r="J81">
        <v>701235</v>
      </c>
      <c r="K81">
        <v>-0.01</v>
      </c>
      <c r="L81">
        <v>1206.866943359375</v>
      </c>
      <c r="M81">
        <v>1212.8070068359375</v>
      </c>
      <c r="N81">
        <v>1220.594970703125</v>
      </c>
      <c r="O81">
        <v>1203.123046875</v>
      </c>
      <c r="P81">
        <v>-1.2429354190376241E-2</v>
      </c>
    </row>
    <row r="82" spans="1:16" x14ac:dyDescent="0.25">
      <c r="A82" t="str">
        <v>greenFont</v>
      </c>
      <c r="B82" s="1">
        <v>45281</v>
      </c>
      <c r="C82">
        <v>1703116800</v>
      </c>
      <c r="D82" s="1">
        <v>45281</v>
      </c>
      <c r="E82">
        <v>1207.02</v>
      </c>
      <c r="F82">
        <v>1163.44</v>
      </c>
      <c r="G82">
        <v>1216.7</v>
      </c>
      <c r="H82">
        <v>1163.44</v>
      </c>
      <c r="I82" t="str">
        <v>1.50M</v>
      </c>
      <c r="J82">
        <v>1504596</v>
      </c>
      <c r="K82">
        <v>0.65</v>
      </c>
      <c r="L82">
        <v>1207.0169677734375</v>
      </c>
      <c r="M82">
        <v>1163.43505859375</v>
      </c>
      <c r="N82">
        <v>1216.7010498046875</v>
      </c>
      <c r="O82">
        <v>1163.43505859375</v>
      </c>
      <c r="P82">
        <v>0.64521389091387304</v>
      </c>
    </row>
    <row r="83" spans="1:16" x14ac:dyDescent="0.25">
      <c r="A83" t="str">
        <v>redFont</v>
      </c>
      <c r="B83" s="1">
        <v>45280</v>
      </c>
      <c r="C83">
        <v>1703030400</v>
      </c>
      <c r="D83" s="1">
        <v>45280</v>
      </c>
      <c r="E83">
        <v>1199.28</v>
      </c>
      <c r="F83">
        <v>1245.96</v>
      </c>
      <c r="G83">
        <v>1246.8</v>
      </c>
      <c r="H83">
        <v>1196.1300000000001</v>
      </c>
      <c r="I83" t="str">
        <v>1.60M</v>
      </c>
      <c r="J83">
        <v>1604663</v>
      </c>
      <c r="K83">
        <v>-3.25</v>
      </c>
      <c r="L83">
        <v>1199.279052734375</v>
      </c>
      <c r="M83">
        <v>1245.9560546875</v>
      </c>
      <c r="N83">
        <v>1246.803955078125</v>
      </c>
      <c r="O83">
        <v>1196.134033203125</v>
      </c>
      <c r="P83">
        <v>-3.253984713243828</v>
      </c>
    </row>
    <row r="84" spans="1:16" x14ac:dyDescent="0.25">
      <c r="A84" t="str">
        <v>greenFont</v>
      </c>
      <c r="B84" s="1">
        <v>45279</v>
      </c>
      <c r="C84">
        <v>1702944000</v>
      </c>
      <c r="D84" s="1">
        <v>45279</v>
      </c>
      <c r="E84">
        <v>1239.6199999999999</v>
      </c>
      <c r="F84">
        <v>1231.08</v>
      </c>
      <c r="G84">
        <v>1257.8399999999999</v>
      </c>
      <c r="H84">
        <v>1222.69</v>
      </c>
      <c r="I84" t="str">
        <v>2.09M</v>
      </c>
      <c r="J84">
        <v>2086748</v>
      </c>
      <c r="K84">
        <v>1</v>
      </c>
      <c r="L84">
        <v>1239.615966796875</v>
      </c>
      <c r="M84">
        <v>1231.0789794921875</v>
      </c>
      <c r="N84">
        <v>1257.8370361328125</v>
      </c>
      <c r="O84">
        <v>1222.6920166015625</v>
      </c>
      <c r="P84">
        <v>1.0006238109598176</v>
      </c>
    </row>
    <row r="85" spans="1:16" x14ac:dyDescent="0.25">
      <c r="A85" t="str">
        <v>redFont</v>
      </c>
      <c r="B85" s="1">
        <v>45278</v>
      </c>
      <c r="C85">
        <v>1702857600</v>
      </c>
      <c r="D85" s="1">
        <v>45278</v>
      </c>
      <c r="E85">
        <v>1227.33</v>
      </c>
      <c r="F85">
        <v>1243.71</v>
      </c>
      <c r="G85">
        <v>1247.2</v>
      </c>
      <c r="H85">
        <v>1223.69</v>
      </c>
      <c r="I85" t="str">
        <v>1.00M</v>
      </c>
      <c r="J85">
        <v>1000620</v>
      </c>
      <c r="K85">
        <v>-1.04</v>
      </c>
      <c r="L85">
        <v>1227.3349609375</v>
      </c>
      <c r="M85">
        <v>1243.708984375</v>
      </c>
      <c r="N85">
        <v>1247.2039794921875</v>
      </c>
      <c r="O85">
        <v>1223.6910400390625</v>
      </c>
      <c r="P85">
        <v>-1.0425234573437212</v>
      </c>
    </row>
    <row r="86" spans="1:16" x14ac:dyDescent="0.25">
      <c r="A86" t="str">
        <v>redFont</v>
      </c>
      <c r="B86" s="1">
        <v>45275</v>
      </c>
      <c r="C86">
        <v>1702598400</v>
      </c>
      <c r="D86" s="1">
        <v>45275</v>
      </c>
      <c r="E86">
        <v>1240.27</v>
      </c>
      <c r="F86">
        <v>1253.99</v>
      </c>
      <c r="G86">
        <v>1254.74</v>
      </c>
      <c r="H86">
        <v>1238.07</v>
      </c>
      <c r="I86" t="str">
        <v>1.24M</v>
      </c>
      <c r="J86">
        <v>1239743</v>
      </c>
      <c r="K86">
        <v>-0.09</v>
      </c>
      <c r="L86">
        <v>1240.2650146484375</v>
      </c>
      <c r="M86">
        <v>1253.9930419921875</v>
      </c>
      <c r="N86">
        <v>1254.741943359375</v>
      </c>
      <c r="O86">
        <v>1238.0679931640625</v>
      </c>
      <c r="P86">
        <v>-8.8452968882845401E-2</v>
      </c>
    </row>
    <row r="87" spans="1:16" x14ac:dyDescent="0.25">
      <c r="A87" t="str">
        <v>redFont</v>
      </c>
      <c r="B87" s="1">
        <v>45274</v>
      </c>
      <c r="C87">
        <v>1702512000</v>
      </c>
      <c r="D87" s="1">
        <v>45274</v>
      </c>
      <c r="E87">
        <v>1241.3599999999999</v>
      </c>
      <c r="F87">
        <v>1268.02</v>
      </c>
      <c r="G87">
        <v>1273.01</v>
      </c>
      <c r="H87">
        <v>1238.22</v>
      </c>
      <c r="I87" t="str">
        <v>1.99M</v>
      </c>
      <c r="J87">
        <v>1992554</v>
      </c>
      <c r="K87">
        <v>-0.56000000000000005</v>
      </c>
      <c r="L87">
        <v>1241.363037109375</v>
      </c>
      <c r="M87">
        <v>1268.02099609375</v>
      </c>
      <c r="N87">
        <v>1273.0140380859375</v>
      </c>
      <c r="O87">
        <v>1238.218017578125</v>
      </c>
      <c r="P87">
        <v>-0.56383605251596547</v>
      </c>
    </row>
    <row r="88" spans="1:16" x14ac:dyDescent="0.25">
      <c r="A88" t="str">
        <v>greenFont</v>
      </c>
      <c r="B88" s="1">
        <v>45273</v>
      </c>
      <c r="C88">
        <v>1702425600</v>
      </c>
      <c r="D88" s="1">
        <v>45273</v>
      </c>
      <c r="E88">
        <v>1248.4000000000001</v>
      </c>
      <c r="F88">
        <v>1242.06</v>
      </c>
      <c r="G88">
        <v>1282.8</v>
      </c>
      <c r="H88">
        <v>1234.22</v>
      </c>
      <c r="I88" t="str">
        <v>4.28M</v>
      </c>
      <c r="J88">
        <v>4281933</v>
      </c>
      <c r="K88">
        <v>1.39</v>
      </c>
      <c r="L88">
        <v>1248.4019775390625</v>
      </c>
      <c r="M88">
        <v>1242.06201171875</v>
      </c>
      <c r="N88">
        <v>1282.7979736328125</v>
      </c>
      <c r="O88">
        <v>1234.2239990234375</v>
      </c>
      <c r="P88">
        <v>1.3865504939156128</v>
      </c>
    </row>
    <row r="89" spans="1:16" x14ac:dyDescent="0.25">
      <c r="A89" t="str">
        <v>redFont</v>
      </c>
      <c r="B89" s="1">
        <v>45272</v>
      </c>
      <c r="C89">
        <v>1702339200</v>
      </c>
      <c r="D89" s="1">
        <v>45272</v>
      </c>
      <c r="E89">
        <v>1231.33</v>
      </c>
      <c r="F89">
        <v>1252.05</v>
      </c>
      <c r="G89">
        <v>1261.08</v>
      </c>
      <c r="H89">
        <v>1228.08</v>
      </c>
      <c r="I89" t="str">
        <v>2.43M</v>
      </c>
      <c r="J89">
        <v>2426780</v>
      </c>
      <c r="K89">
        <v>-0.33</v>
      </c>
      <c r="L89">
        <v>1231.3289794921875</v>
      </c>
      <c r="M89">
        <v>1252.0460205078125</v>
      </c>
      <c r="N89">
        <v>1261.08203125</v>
      </c>
      <c r="O89">
        <v>1228.083984375</v>
      </c>
      <c r="P89">
        <v>-0.33130522103631049</v>
      </c>
    </row>
    <row r="90" spans="1:16" x14ac:dyDescent="0.25">
      <c r="A90" t="str">
        <v>greenFont</v>
      </c>
      <c r="B90" s="1">
        <v>45271</v>
      </c>
      <c r="C90">
        <v>1702252800</v>
      </c>
      <c r="D90" s="1">
        <v>45271</v>
      </c>
      <c r="E90">
        <v>1235.42</v>
      </c>
      <c r="F90">
        <v>1197.1300000000001</v>
      </c>
      <c r="G90">
        <v>1267.72</v>
      </c>
      <c r="H90">
        <v>1191.1400000000001</v>
      </c>
      <c r="I90" t="str">
        <v>8.02M</v>
      </c>
      <c r="J90">
        <v>8017469</v>
      </c>
      <c r="K90">
        <v>3.76</v>
      </c>
      <c r="L90">
        <v>1235.4219970703125</v>
      </c>
      <c r="M90">
        <v>1197.1319580078125</v>
      </c>
      <c r="N90">
        <v>1267.7220458984375</v>
      </c>
      <c r="O90">
        <v>1191.1409912109375</v>
      </c>
      <c r="P90">
        <v>3.7566373037770902</v>
      </c>
    </row>
    <row r="91" spans="1:16" x14ac:dyDescent="0.25">
      <c r="A91" t="str">
        <v>greenFont</v>
      </c>
      <c r="B91" s="1">
        <v>45268</v>
      </c>
      <c r="C91">
        <v>1701993600</v>
      </c>
      <c r="D91" s="1">
        <v>45268</v>
      </c>
      <c r="E91">
        <v>1190.69</v>
      </c>
      <c r="F91">
        <v>1187.1500000000001</v>
      </c>
      <c r="G91">
        <v>1217.8</v>
      </c>
      <c r="H91">
        <v>1186.4000000000001</v>
      </c>
      <c r="I91" t="str">
        <v>2.53M</v>
      </c>
      <c r="J91">
        <v>2528210</v>
      </c>
      <c r="K91">
        <v>0.57999999999999996</v>
      </c>
      <c r="L91">
        <v>1190.6920166015625</v>
      </c>
      <c r="M91">
        <v>1187.14794921875</v>
      </c>
      <c r="N91">
        <v>1217.800048828125</v>
      </c>
      <c r="O91">
        <v>1186.3990478515625</v>
      </c>
      <c r="P91">
        <v>0.57768904584020575</v>
      </c>
    </row>
    <row r="92" spans="1:16" x14ac:dyDescent="0.25">
      <c r="A92" t="str">
        <v>redFont</v>
      </c>
      <c r="B92" s="1">
        <v>45267</v>
      </c>
      <c r="C92">
        <v>1701907200</v>
      </c>
      <c r="D92" s="1">
        <v>45267</v>
      </c>
      <c r="E92">
        <v>1183.8499999999999</v>
      </c>
      <c r="F92">
        <v>1191.0899999999999</v>
      </c>
      <c r="G92">
        <v>1197.1300000000001</v>
      </c>
      <c r="H92">
        <v>1178.1600000000001</v>
      </c>
      <c r="I92" t="str">
        <v>1.62M</v>
      </c>
      <c r="J92">
        <v>1624651</v>
      </c>
      <c r="K92">
        <v>-0.24</v>
      </c>
      <c r="L92">
        <v>1183.85302734375</v>
      </c>
      <c r="M92">
        <v>1191.0909423828125</v>
      </c>
      <c r="N92">
        <v>1197.1319580078125</v>
      </c>
      <c r="O92">
        <v>1178.1619873046875</v>
      </c>
      <c r="P92">
        <v>-0.23553083935636385</v>
      </c>
    </row>
    <row r="93" spans="1:16" x14ac:dyDescent="0.25">
      <c r="A93" t="str">
        <v>redFont</v>
      </c>
      <c r="B93" s="1">
        <v>45266</v>
      </c>
      <c r="C93">
        <v>1701820800</v>
      </c>
      <c r="D93" s="1">
        <v>45266</v>
      </c>
      <c r="E93">
        <v>1186.6500000000001</v>
      </c>
      <c r="F93">
        <v>1200.1300000000001</v>
      </c>
      <c r="G93">
        <v>1205.57</v>
      </c>
      <c r="H93">
        <v>1179.1600000000001</v>
      </c>
      <c r="I93" t="str">
        <v>2.74M</v>
      </c>
      <c r="J93">
        <v>2735968</v>
      </c>
      <c r="K93">
        <v>-0.28000000000000003</v>
      </c>
      <c r="L93">
        <v>1186.64794921875</v>
      </c>
      <c r="M93">
        <v>1200.126953125</v>
      </c>
      <c r="N93">
        <v>1205.5689697265625</v>
      </c>
      <c r="O93">
        <v>1179.1600341796875</v>
      </c>
      <c r="P93">
        <v>-0.28110187668302861</v>
      </c>
    </row>
    <row r="94" spans="1:16" x14ac:dyDescent="0.25">
      <c r="A94" t="str">
        <v>redFont</v>
      </c>
      <c r="B94" s="1">
        <v>45265</v>
      </c>
      <c r="C94">
        <v>1701734400</v>
      </c>
      <c r="D94" s="1">
        <v>45265</v>
      </c>
      <c r="E94">
        <v>1189.99</v>
      </c>
      <c r="F94">
        <v>1190.79</v>
      </c>
      <c r="G94">
        <v>1220.05</v>
      </c>
      <c r="H94">
        <v>1173.17</v>
      </c>
      <c r="I94" t="str">
        <v>4.42M</v>
      </c>
      <c r="J94">
        <v>4422358</v>
      </c>
      <c r="K94">
        <v>-7.0000000000000007E-2</v>
      </c>
      <c r="L94">
        <v>1189.9930419921875</v>
      </c>
      <c r="M94">
        <v>1190.7919921875</v>
      </c>
      <c r="N94">
        <v>1220.0460205078125</v>
      </c>
      <c r="O94">
        <v>1173.1689453125</v>
      </c>
      <c r="P94">
        <v>-6.7094018145420875E-2</v>
      </c>
    </row>
    <row r="95" spans="1:16" x14ac:dyDescent="0.25">
      <c r="A95" t="str">
        <v>redFont</v>
      </c>
      <c r="B95" s="1">
        <v>45264</v>
      </c>
      <c r="C95">
        <v>1701648000</v>
      </c>
      <c r="D95" s="1">
        <v>45264</v>
      </c>
      <c r="E95">
        <v>1190.79</v>
      </c>
      <c r="F95">
        <v>1218.7</v>
      </c>
      <c r="G95">
        <v>1232.08</v>
      </c>
      <c r="H95">
        <v>1149.3599999999999</v>
      </c>
      <c r="I95" t="str">
        <v>14.74M</v>
      </c>
      <c r="J95">
        <v>14740755</v>
      </c>
      <c r="K95">
        <v>-2.29</v>
      </c>
      <c r="L95">
        <v>1190.7919921875</v>
      </c>
      <c r="M95">
        <v>1218.697998046875</v>
      </c>
      <c r="N95">
        <v>1232.0770263671875</v>
      </c>
      <c r="O95">
        <v>1149.3570556640625</v>
      </c>
      <c r="P95">
        <v>-2.2898212604023369</v>
      </c>
    </row>
    <row r="96" spans="1:16" x14ac:dyDescent="0.25">
      <c r="A96" t="str">
        <v>redFont</v>
      </c>
      <c r="B96" s="1">
        <v>45261</v>
      </c>
      <c r="C96">
        <v>1701388800</v>
      </c>
      <c r="D96" s="1">
        <v>45261</v>
      </c>
      <c r="E96">
        <v>1218.7</v>
      </c>
      <c r="F96">
        <v>1337.21</v>
      </c>
      <c r="G96">
        <v>1345.9</v>
      </c>
      <c r="H96">
        <v>1209.71</v>
      </c>
      <c r="I96" t="str">
        <v>18.68M</v>
      </c>
      <c r="J96">
        <v>18681420</v>
      </c>
      <c r="K96">
        <v>-7.04</v>
      </c>
      <c r="L96">
        <v>1218.697998046875</v>
      </c>
      <c r="M96">
        <v>1337.2130126953125</v>
      </c>
      <c r="N96">
        <v>1345.9000244140625</v>
      </c>
      <c r="O96">
        <v>1209.7120361328125</v>
      </c>
      <c r="P96">
        <v>-7.0373165563789568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Tata Technologies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Dhawal</cp:lastModifiedBy>
  <dcterms:created xsi:type="dcterms:W3CDTF">2024-04-19T04:09:59Z</dcterms:created>
  <dcterms:modified xsi:type="dcterms:W3CDTF">2025-05-13T04:03:05Z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2024-04-19T04:10:15Z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708d9ec0-8bb0-4f7d-a7e3-7aa141903785</vt:lpwstr>
  </property>
  <property fmtid="{D5CDD505-2E9C-101B-9397-08002B2CF9AE}" pid="8" name="MSIP_Label_defa4170-0d19-0005-0004-bc88714345d2_ContentBits">
    <vt:lpwstr>0</vt:lpwstr>
  </property>
</Properties>
</file>