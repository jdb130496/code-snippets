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 add-in xlwings and connected python - vba - dlls, etc/"/>
    </mc:Choice>
  </mc:AlternateContent>
  <xr:revisionPtr revIDLastSave="32" documentId="8_{2B178B50-43E2-41CB-B14B-28C0ED154751}" xr6:coauthVersionLast="47" xr6:coauthVersionMax="47" xr10:uidLastSave="{BD212F29-294F-4171-A6F0-3CE4AD8170A8}"/>
  <bookViews>
    <workbookView xWindow="-120" yWindow="-120" windowWidth="20730" windowHeight="11040" xr2:uid="{B668F626-C124-440B-8D33-2C6D65FED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E4" i="1"/>
  <c r="E5" i="1" s="1"/>
  <c r="E6" i="1" s="1"/>
  <c r="E2" i="1"/>
  <c r="E7" i="1" l="1"/>
  <c r="F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<sst xmlns="http://schemas.openxmlformats.org/spreadsheetml/2006/main" count="6" uniqueCount="6">
  <si>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Current Price</t>
  </si>
  <si>
    <t>Current Date</t>
  </si>
  <si>
    <t>Historical Date</t>
  </si>
  <si>
    <t>Historical price</t>
  </si>
  <si>
    <t>Derived  Annualized Rate (Quarterly Compounded)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</si>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</sst>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B8D4-FB59-41DD-9C12-088177A95D3A}">
  <dimension ref="A1:L7"/>
  <sheetViews>
    <sheetView tabSelected="1" workbookViewId="0">
      <selection activeCell="J3" sqref="J3:L6"/>
    </sheetView>
  </sheetViews>
  <sheetFormatPr defaultRowHeight="15" x14ac:dyDescent="0.25"/>
  <cols>
    <col min="1" max="1" width="12.140625" bestFit="1" customWidth="1"/>
    <col min="2" max="2" width="12.5703125" bestFit="1" customWidth="1"/>
    <col min="3" max="3" width="14.28515625" bestFit="1" customWidth="1"/>
    <col min="4" max="4" width="14.7109375" bestFit="1" customWidth="1"/>
    <col min="5" max="5" width="17" customWidth="1"/>
  </cols>
  <sheetData>
    <row r="1" spans="1:12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12" x14ac:dyDescent="0.25">
      <c r="A2" s="1">
        <v>45344</v>
      </c>
      <c r="B2">
        <v>376</v>
      </c>
      <c r="C2" s="1">
        <v>43525</v>
      </c>
      <c r="D2">
        <v>67</v>
      </c>
      <c r="E2" s="2">
        <f>(((B2/D2)^(1/(((A2-C2+1)/365)*4)))-1)*4</f>
        <v>0.36132593061968077</v>
      </c>
    </row>
    <row r="3" spans="1:12" x14ac:dyDescent="0.25">
      <c r="J3" cm="1">
        <f t="array" ref="J3:L6">_xlfn.MAKEARRAY(4,3,_xlfn.LAMBDA(_xlpm.r,_xlpm.c,_xlpm.r*_xlpm.c))</f>
        <v>1</v>
      </c>
      <c r="K3">
        <v>2</v>
      </c>
      <c r="L3">
        <v>3</v>
      </c>
    </row>
    <row r="4" spans="1:12" x14ac:dyDescent="0.25">
      <c r="E4">
        <f>A2-C2+1</f>
        <v>1820</v>
      </c>
      <c r="J4">
        <v>2</v>
      </c>
      <c r="K4">
        <v>4</v>
      </c>
      <c r="L4">
        <v>6</v>
      </c>
    </row>
    <row r="5" spans="1:12" x14ac:dyDescent="0.25">
      <c r="E5">
        <f>E4/365</f>
        <v>4.9863013698630141</v>
      </c>
      <c r="J5">
        <v>3</v>
      </c>
      <c r="K5">
        <v>6</v>
      </c>
      <c r="L5">
        <v>9</v>
      </c>
    </row>
    <row r="6" spans="1:12" x14ac:dyDescent="0.25">
      <c r="E6">
        <f>E5*4</f>
        <v>19.945205479452056</v>
      </c>
      <c r="J6">
        <v>4</v>
      </c>
      <c r="K6">
        <v>8</v>
      </c>
      <c r="L6">
        <v>12</v>
      </c>
    </row>
    <row r="7" spans="1:12" x14ac:dyDescent="0.25">
      <c r="D7" s="3" t="s">
        <v>5</v>
      </c>
      <c r="E7" s="3">
        <f>D2*((1+(E2/4))^E6)</f>
        <v>375.99999999999937</v>
      </c>
      <c r="F7" s="3" t="b">
        <f>E7=B2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</dc:creator>
  <cp:lastModifiedBy>j b</cp:lastModifiedBy>
  <dcterms:created xsi:type="dcterms:W3CDTF">2024-02-21T05:33:03Z</dcterms:created>
  <dcterms:modified xsi:type="dcterms:W3CDTF">2024-02-22T13:08:04Z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2024-02-21T05:50:48Z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d539f4e3-8f99-4558-8b4d-a89e69d6b5e5</vt:lpwstr>
  </property>
  <property fmtid="{D5CDD505-2E9C-101B-9397-08002B2CF9AE}" pid="7" name="MSIP_Label_defa4170-0d19-0005-0004-bc88714345d2_ActionId">
    <vt:lpwstr>dc9fbb34-c11b-405b-bfff-61028cb36246</vt:lpwstr>
  </property>
  <property fmtid="{D5CDD505-2E9C-101B-9397-08002B2CF9AE}" pid="8" name="MSIP_Label_defa4170-0d19-0005-0004-bc88714345d2_ContentBits">
    <vt:lpwstr>0</vt:lpwstr>
  </property>
</Properties>
</file>