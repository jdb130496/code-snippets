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7" documentId="8_{558DD540-200D-47CC-89E0-C14C2C41B862}" xr6:coauthVersionLast="47" xr6:coauthVersionMax="47" xr10:uidLastSave="{766C3BCF-03A2-4C0D-B5F9-102F605B4382}"/>
  <bookViews>
    <workbookView xWindow="-120" yWindow="-120" windowWidth="20730" windowHeight="11040" xr2:uid="{7D253872-4A3B-45EB-8AB8-9E6EE431C355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numba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_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dd\/mm\/yyyy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43" fontId="0" fillId="0" borderId="0" xfId="1" applyFont="1" applyAlignment="1">
      <alignment vertical="top"/>
    </xf>
    <xf numFmtId="0" fontId="0" fillId="0" borderId="0" xfId="0" applyAlignment="1">
      <alignment horizontal="center" vertical="top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4C831-0117-401A-A2F7-A9B5761EB519}">
  <sheetPr codeName="Sheet1"/>
  <dimension ref="A1:M21"/>
  <sheetViews>
    <sheetView tabSelected="1" topLeftCell="B1" workbookViewId="0">
      <selection activeCell="H4" sqref="H4"/>
    </sheetView>
  </sheetViews>
  <sheetFormatPr defaultRowHeight="15" x14ac:dyDescent="0.25"/>
  <cols>
    <col min="1" max="1" width="10.7109375" style="1" bestFit="1" customWidth="1"/>
    <col min="2" max="2" width="14.7109375" style="1" customWidth="1"/>
    <col min="3" max="3" width="16" style="2" customWidth="1"/>
    <col min="4" max="4" width="12.5703125" style="3" bestFit="1" customWidth="1"/>
    <col min="5" max="5" width="23.28515625" style="1" customWidth="1"/>
    <col min="6" max="6" width="26" style="1" customWidth="1"/>
    <col min="7" max="7" width="18.85546875" style="1" customWidth="1"/>
    <col min="8" max="8" width="9.140625" style="4"/>
    <col min="9" max="9" width="29" style="1" customWidth="1"/>
    <col min="10" max="16384" width="9.140625" style="1"/>
  </cols>
  <sheetData>
    <row r="1" spans="1:13" x14ac:dyDescent="0.25">
      <c r="A1" s="1" t="str" cm="1">
        <f t="array" ref="A1:M21">process_pandas_numba("D:\\Carvart\\OneDrive - Carvart\\transaction_data.csv")</f>
        <v/>
      </c>
      <c r="B1" s="1" t="str">
        <v>Type</v>
      </c>
      <c r="C1" s="2" t="str">
        <v>Date</v>
      </c>
      <c r="D1" s="3" t="str">
        <v>Document Number</v>
      </c>
      <c r="E1" s="1" t="str">
        <v>Name</v>
      </c>
      <c r="F1" s="1" t="str">
        <v>Memo</v>
      </c>
      <c r="G1" s="1" t="str">
        <v>Account</v>
      </c>
      <c r="H1" s="4" t="str">
        <v>Clr</v>
      </c>
      <c r="I1" s="1" t="str">
        <v>Split</v>
      </c>
      <c r="J1" s="1" t="str">
        <v>Qty</v>
      </c>
      <c r="K1" s="1" t="str">
        <v>Amount</v>
      </c>
      <c r="L1" s="1" t="str">
        <v>Project: ID</v>
      </c>
      <c r="M1" s="1" t="str">
        <v>ID</v>
      </c>
    </row>
    <row r="2" spans="1:13" x14ac:dyDescent="0.25">
      <c r="A2" s="1">
        <v>432077</v>
      </c>
      <c r="B2" s="1" t="str">
        <v>Check</v>
      </c>
      <c r="C2" s="2">
        <v>45653</v>
      </c>
      <c r="D2" s="3" t="str">
        <v>W7610</v>
      </c>
      <c r="E2" s="1" t="str">
        <v>American Express Plum Card - RG</v>
      </c>
      <c r="F2" s="1" t="str">
        <v/>
      </c>
      <c r="G2" s="1" t="str">
        <v>Carvart Solutions-RG Chase Checking 2165</v>
      </c>
      <c r="H2" s="4" t="str">
        <v>F</v>
      </c>
      <c r="I2" s="1" t="str">
        <v>2351 - RG American Express Plum</v>
      </c>
      <c r="J2" s="1" t="str">
        <v/>
      </c>
      <c r="K2" s="1">
        <v>-34576.61</v>
      </c>
      <c r="L2" s="1" t="str">
        <v/>
      </c>
      <c r="M2" s="1" t="str">
        <v/>
      </c>
    </row>
    <row r="3" spans="1:13" x14ac:dyDescent="0.25">
      <c r="A3" s="1">
        <v>432078</v>
      </c>
      <c r="B3" s="1" t="str">
        <v>Check</v>
      </c>
      <c r="C3" s="2">
        <v>45653</v>
      </c>
      <c r="D3" s="3" t="str">
        <v>W1290</v>
      </c>
      <c r="E3" s="1" t="str">
        <v>American Express Plum Card - Carvart</v>
      </c>
      <c r="F3" s="1" t="str">
        <v/>
      </c>
      <c r="G3" s="1" t="str">
        <v>Carvart American Express Plum</v>
      </c>
      <c r="H3" s="4" t="str">
        <v>F</v>
      </c>
      <c r="I3" s="1" t="str">
        <v>1025 - Carvart Chase Checking 0190</v>
      </c>
      <c r="J3" s="1" t="str">
        <v/>
      </c>
      <c r="K3" s="1">
        <v>2237.41</v>
      </c>
      <c r="L3" s="1" t="str">
        <v/>
      </c>
      <c r="M3" s="1" t="str">
        <v/>
      </c>
    </row>
    <row r="4" spans="1:13" x14ac:dyDescent="0.25">
      <c r="A4" s="1">
        <v>432079</v>
      </c>
      <c r="B4" s="1" t="str">
        <v>Bill</v>
      </c>
      <c r="C4" s="2">
        <v>45656</v>
      </c>
      <c r="D4" s="3" t="str">
        <v>2412398</v>
      </c>
      <c r="E4" s="1" t="str">
        <v>TMAG, Inc-Consulting</v>
      </c>
      <c r="F4" s="1" t="str">
        <v>Kishore Mirchandani: Retainer for the month of December  2024</v>
      </c>
      <c r="G4" s="1" t="str">
        <v>Accounts Payable</v>
      </c>
      <c r="H4" s="4" t="str">
        <v>F</v>
      </c>
      <c r="I4" s="1" t="str">
        <v>7220 - General and Admin : Professional Fees Consultants</v>
      </c>
      <c r="J4" s="1" t="str">
        <v/>
      </c>
      <c r="K4" s="1">
        <v>-5000</v>
      </c>
      <c r="L4" s="1" t="str">
        <v/>
      </c>
      <c r="M4" s="1" t="str">
        <v/>
      </c>
    </row>
    <row r="5" spans="1:13" x14ac:dyDescent="0.25">
      <c r="A5" s="1">
        <v>432080</v>
      </c>
      <c r="B5" s="1" t="str">
        <v>Bill</v>
      </c>
      <c r="C5" s="2">
        <v>45656</v>
      </c>
      <c r="D5" s="3" t="str">
        <v>2412398</v>
      </c>
      <c r="E5" s="1" t="str">
        <v>TMAG, Inc-Consulting</v>
      </c>
      <c r="F5" s="1" t="str">
        <v/>
      </c>
      <c r="G5" s="1" t="str">
        <v>General and Admin : Professional Fees Consultants</v>
      </c>
      <c r="H5" s="4" t="str">
        <v>F</v>
      </c>
      <c r="I5" s="1" t="str">
        <v>2100 - Accounts Payable</v>
      </c>
      <c r="J5" s="1" t="str">
        <v/>
      </c>
      <c r="K5" s="1">
        <v>5000</v>
      </c>
      <c r="L5" s="1" t="str">
        <v/>
      </c>
      <c r="M5" s="1" t="str">
        <v/>
      </c>
    </row>
    <row r="6" spans="1:13" x14ac:dyDescent="0.25">
      <c r="A6" s="1">
        <v>432081</v>
      </c>
      <c r="B6" s="1" t="str">
        <v>Invoice</v>
      </c>
      <c r="C6" s="2">
        <v>45657</v>
      </c>
      <c r="D6" s="3" t="str">
        <v>23409</v>
      </c>
      <c r="E6" s="1" t="str">
        <v>AJD Construction</v>
      </c>
      <c r="F6" s="1" t="str">
        <v>33938 - December 2024 AIA Requisition</v>
      </c>
      <c r="G6" s="1" t="str">
        <v>Accounts receivable</v>
      </c>
      <c r="H6" s="4" t="str">
        <v>F</v>
      </c>
      <c r="I6" s="1" t="str">
        <v>4150 - Glass Walls - Total Sales : Glass Walls Sales</v>
      </c>
      <c r="J6" s="1" t="str">
        <v/>
      </c>
      <c r="K6" s="1">
        <v>86686.7</v>
      </c>
      <c r="L6" s="1" t="str">
        <v/>
      </c>
      <c r="M6" s="1" t="str">
        <v/>
      </c>
    </row>
    <row r="7" spans="1:13" x14ac:dyDescent="0.25">
      <c r="A7" s="1">
        <v>432082</v>
      </c>
      <c r="B7" s="1" t="str">
        <v>Invoice</v>
      </c>
      <c r="C7" s="2">
        <v>45657</v>
      </c>
      <c r="D7" s="3" t="str">
        <v>23409</v>
      </c>
      <c r="E7" s="1" t="str">
        <v>AJD Construction</v>
      </c>
      <c r="F7" s="1" t="str">
        <v>Carvart Glass Office Fronts with Swing Doors</v>
      </c>
      <c r="G7" s="1" t="str">
        <v>Glass Walls - Total Sales : Glass Walls Sales</v>
      </c>
      <c r="H7" s="4" t="str">
        <v>F</v>
      </c>
      <c r="I7" s="1" t="str">
        <v>1200 - Accounts receivable</v>
      </c>
      <c r="J7" s="1">
        <v>-0.25</v>
      </c>
      <c r="K7" s="1">
        <v>-71218.87</v>
      </c>
      <c r="L7" s="1" t="str">
        <v>33938 - R1 One Journal Square Jersey City</v>
      </c>
      <c r="M7" s="1" t="str">
        <v>33938</v>
      </c>
    </row>
    <row r="8" spans="1:13" x14ac:dyDescent="0.25">
      <c r="A8" s="1">
        <v>432083</v>
      </c>
      <c r="B8" s="1" t="str">
        <v>Invoice</v>
      </c>
      <c r="C8" s="2">
        <v>45657</v>
      </c>
      <c r="D8" s="3" t="str">
        <v>23409</v>
      </c>
      <c r="E8" s="1" t="str">
        <v>AJD Construction</v>
      </c>
      <c r="F8" s="1" t="str">
        <v>Carvart Glass Office Fronts with SLiding Doors</v>
      </c>
      <c r="G8" s="1" t="str">
        <v>Glass Walls - Total Sales : Glass Walls Sales</v>
      </c>
      <c r="H8" s="4" t="str">
        <v>F</v>
      </c>
      <c r="I8" s="1" t="str">
        <v>1200 - Accounts receivable</v>
      </c>
      <c r="J8" s="1">
        <v>-0.25</v>
      </c>
      <c r="K8" s="1">
        <v>-9220.9599999999991</v>
      </c>
      <c r="L8" s="1" t="str">
        <v>33938 - R1 One Journal Square Jersey City</v>
      </c>
      <c r="M8" s="1" t="str">
        <v>33938</v>
      </c>
    </row>
    <row r="9" spans="1:13" x14ac:dyDescent="0.25">
      <c r="A9" s="1">
        <v>432084</v>
      </c>
      <c r="B9" s="1" t="str">
        <v>Invoice</v>
      </c>
      <c r="C9" s="2">
        <v>45657</v>
      </c>
      <c r="D9" s="3" t="str">
        <v>23409</v>
      </c>
      <c r="E9" s="1" t="str">
        <v>AJD Construction</v>
      </c>
      <c r="F9" s="1" t="str">
        <v>Delivery + Installation</v>
      </c>
      <c r="G9" s="1" t="str">
        <v>Glass Walls - Total Sales : Glass Walls Sales</v>
      </c>
      <c r="H9" s="4" t="str">
        <v>F</v>
      </c>
      <c r="I9" s="1" t="str">
        <v>1200 - Accounts receivable</v>
      </c>
      <c r="J9" s="1">
        <v>-0.1</v>
      </c>
      <c r="K9" s="1">
        <v>-15878.73</v>
      </c>
      <c r="L9" s="1" t="str">
        <v>33938 - R1 One Journal Square Jersey City</v>
      </c>
      <c r="M9" s="1" t="str">
        <v>33938</v>
      </c>
    </row>
    <row r="10" spans="1:13" x14ac:dyDescent="0.25">
      <c r="A10" s="1">
        <v>432085</v>
      </c>
      <c r="B10" s="1" t="str">
        <v>Invoice</v>
      </c>
      <c r="C10" s="2">
        <v>45657</v>
      </c>
      <c r="D10" s="3" t="str">
        <v>23409</v>
      </c>
      <c r="E10" s="1" t="str">
        <v>AJD Construction</v>
      </c>
      <c r="F10" s="1" t="str">
        <v>Retainage - 10% Deducted to match Requisition payment amount.</v>
      </c>
      <c r="G10" s="1" t="str">
        <v>Glass Walls - Total Sales : Glass Walls Sales</v>
      </c>
      <c r="H10" s="4" t="str">
        <v>F</v>
      </c>
      <c r="I10" s="1" t="str">
        <v>1200 - Accounts receivable</v>
      </c>
      <c r="J10" s="1">
        <v>-0.1</v>
      </c>
      <c r="K10" s="1">
        <v>9631.86</v>
      </c>
      <c r="L10" s="1" t="str">
        <v>33938 - R1 One Journal Square Jersey City</v>
      </c>
      <c r="M10" s="1" t="str">
        <v>33938</v>
      </c>
    </row>
    <row r="11" spans="1:13" x14ac:dyDescent="0.25">
      <c r="A11" s="1">
        <v>432086</v>
      </c>
      <c r="B11" s="1" t="str">
        <v>Invoice</v>
      </c>
      <c r="C11" s="2">
        <v>45657</v>
      </c>
      <c r="D11" s="3" t="str">
        <v>23411</v>
      </c>
      <c r="E11" s="1" t="str">
        <v>Plaza Construction</v>
      </c>
      <c r="F11" s="1" t="str">
        <v>33692 - December 2024 AIA Requisition</v>
      </c>
      <c r="G11" s="1" t="str">
        <v>Accounts receivable</v>
      </c>
      <c r="H11" s="4" t="str">
        <v>F</v>
      </c>
      <c r="I11" s="1" t="str">
        <v>4600 - RG Glass - Total Sales : RG Glass Sales</v>
      </c>
      <c r="J11" s="1" t="str">
        <v/>
      </c>
      <c r="K11" s="1">
        <v>6750</v>
      </c>
      <c r="L11" s="1" t="str">
        <v/>
      </c>
      <c r="M11" s="1" t="str">
        <v/>
      </c>
    </row>
    <row r="12" spans="1:13" x14ac:dyDescent="0.25">
      <c r="A12" s="1">
        <v>432087</v>
      </c>
      <c r="B12" s="1" t="str">
        <v>Invoice</v>
      </c>
      <c r="C12" s="2">
        <v>45657</v>
      </c>
      <c r="D12" s="3" t="str">
        <v>23411</v>
      </c>
      <c r="E12" s="1" t="str">
        <v>Plaza Construction</v>
      </c>
      <c r="F12" s="1" t="str">
        <v>RG Glass Billing</v>
      </c>
      <c r="G12" s="1" t="str">
        <v>RG Glass - Total Sales : RG Glass Sales</v>
      </c>
      <c r="H12" s="4" t="str">
        <v>F</v>
      </c>
      <c r="I12" s="1" t="str">
        <v>1200 - Accounts receivable</v>
      </c>
      <c r="J12" s="1">
        <v>-7.1000000000000004E-3</v>
      </c>
      <c r="K12" s="1">
        <v>-6750</v>
      </c>
      <c r="L12" s="1" t="str">
        <v>33692 - 126 East 57th Street - Interior Glazing</v>
      </c>
      <c r="M12" s="1" t="str">
        <v>33692</v>
      </c>
    </row>
    <row r="13" spans="1:13" x14ac:dyDescent="0.25">
      <c r="A13" s="1">
        <v>432088</v>
      </c>
      <c r="B13" s="1" t="str">
        <v>Invoice</v>
      </c>
      <c r="C13" s="2">
        <v>45657</v>
      </c>
      <c r="D13" s="3" t="str">
        <v>23413</v>
      </c>
      <c r="E13" s="1" t="str">
        <v>AECOM NY FIRM</v>
      </c>
      <c r="F13" s="1" t="str">
        <v>34402 - December 2024 AIA Requisition</v>
      </c>
      <c r="G13" s="1" t="str">
        <v>Accounts receivable</v>
      </c>
      <c r="H13" s="4" t="str">
        <v>F</v>
      </c>
      <c r="I13" s="1" t="str">
        <v>4600 - RG Glass - Total Sales : RG Glass Sales</v>
      </c>
      <c r="J13" s="1" t="str">
        <v/>
      </c>
      <c r="K13" s="1">
        <v>145125.06</v>
      </c>
      <c r="L13" s="1" t="str">
        <v/>
      </c>
      <c r="M13" s="1" t="str">
        <v/>
      </c>
    </row>
    <row r="14" spans="1:13" x14ac:dyDescent="0.25">
      <c r="A14" s="1">
        <v>432089</v>
      </c>
      <c r="B14" s="1" t="str">
        <v>Invoice</v>
      </c>
      <c r="C14" s="2">
        <v>45657</v>
      </c>
      <c r="D14" s="3" t="str">
        <v>23413</v>
      </c>
      <c r="E14" s="1" t="str">
        <v>AECOM NY FIRM</v>
      </c>
      <c r="F14" s="1" t="str">
        <v>Deposit - Shower Partitions - Double - $ 132,225.18 Deposit - All Shower Partitions - Single - $ 29,025.04.</v>
      </c>
      <c r="G14" s="1" t="str">
        <v>RG Glass - Total Sales : RG Glass Sales</v>
      </c>
      <c r="H14" s="4" t="str">
        <v>F</v>
      </c>
      <c r="I14" s="1" t="str">
        <v>1200 - Accounts receivable</v>
      </c>
      <c r="J14" s="1">
        <v>-0.9</v>
      </c>
      <c r="K14" s="1">
        <v>-145125.06</v>
      </c>
      <c r="L14" s="1" t="str">
        <v>34402 - 7 Platt Street</v>
      </c>
      <c r="M14" s="1" t="str">
        <v>34402</v>
      </c>
    </row>
    <row r="15" spans="1:13" x14ac:dyDescent="0.25">
      <c r="A15" s="1">
        <v>432090</v>
      </c>
      <c r="B15" s="1" t="str">
        <v>Invoice</v>
      </c>
      <c r="C15" s="2">
        <v>45657</v>
      </c>
      <c r="D15" s="3" t="str">
        <v>23410</v>
      </c>
      <c r="E15" s="1" t="str">
        <v>Balfour Beatty-Gilbane Joint Venture</v>
      </c>
      <c r="F15" s="1" t="str">
        <v>30325 - December 2024 AIA Requisition</v>
      </c>
      <c r="G15" s="1" t="str">
        <v>Accounts receivable</v>
      </c>
      <c r="H15" s="4" t="str">
        <v>F</v>
      </c>
      <c r="I15" s="1" t="str">
        <v>4600 - RG Glass - Total Sales : RG Glass Sales</v>
      </c>
      <c r="J15" s="1" t="str">
        <v/>
      </c>
      <c r="K15" s="1">
        <v>7488</v>
      </c>
      <c r="L15" s="1" t="str">
        <v/>
      </c>
      <c r="M15" s="1" t="str">
        <v/>
      </c>
    </row>
    <row r="16" spans="1:13" x14ac:dyDescent="0.25">
      <c r="A16" s="1">
        <v>432091</v>
      </c>
      <c r="B16" s="1" t="str">
        <v>Invoice</v>
      </c>
      <c r="C16" s="2">
        <v>45657</v>
      </c>
      <c r="D16" s="3" t="str">
        <v>23410</v>
      </c>
      <c r="E16" s="1" t="str">
        <v>Balfour Beatty-Gilbane Joint Venture</v>
      </c>
      <c r="F16" s="1" t="str">
        <v>RG Glass Billing - FURNISH &amp; INSTALL</v>
      </c>
      <c r="G16" s="1" t="str">
        <v>RG Glass - Total Sales : RG Glass Sales</v>
      </c>
      <c r="H16" s="4" t="str">
        <v>F</v>
      </c>
      <c r="I16" s="1" t="str">
        <v>1200 - Accounts receivable</v>
      </c>
      <c r="J16" s="1">
        <v>-5.9999999999999995E-4</v>
      </c>
      <c r="K16" s="1">
        <v>-7488</v>
      </c>
      <c r="L16" s="1" t="str">
        <v>30325 - Federal Reserve Board</v>
      </c>
      <c r="M16" s="1" t="str">
        <v>30325</v>
      </c>
    </row>
    <row r="17" spans="1:13" x14ac:dyDescent="0.25">
      <c r="A17" s="1">
        <v>432092</v>
      </c>
      <c r="B17" s="1" t="str">
        <v>Invoice</v>
      </c>
      <c r="C17" s="2">
        <v>45657</v>
      </c>
      <c r="D17" s="3" t="str">
        <v>23408</v>
      </c>
      <c r="E17" s="1" t="str">
        <v>AECOM NY FIRM</v>
      </c>
      <c r="F17" s="1" t="str">
        <v>33775 - December 2024 AIA - Requisition</v>
      </c>
      <c r="G17" s="1" t="str">
        <v>Accounts receivable</v>
      </c>
      <c r="H17" s="4" t="str">
        <v>F</v>
      </c>
      <c r="I17" s="1" t="str">
        <v>4600 - RG Glass - Total Sales : RG Glass Sales</v>
      </c>
      <c r="J17" s="1" t="str">
        <v/>
      </c>
      <c r="K17" s="1">
        <v>22347</v>
      </c>
      <c r="L17" s="1" t="str">
        <v/>
      </c>
      <c r="M17" s="1" t="str">
        <v/>
      </c>
    </row>
    <row r="18" spans="1:13" x14ac:dyDescent="0.25">
      <c r="A18" s="1">
        <v>432093</v>
      </c>
      <c r="B18" s="1" t="str">
        <v>Invoice</v>
      </c>
      <c r="C18" s="2">
        <v>45657</v>
      </c>
      <c r="D18" s="3" t="str">
        <v>23408</v>
      </c>
      <c r="E18" s="1" t="str">
        <v>AECOM NY FIRM</v>
      </c>
      <c r="F18" s="1" t="str">
        <v>RG Glass Billing - Material, Fabrication, Delivery and Installation</v>
      </c>
      <c r="G18" s="1" t="str">
        <v>RG Glass - Total Sales : RG Glass Sales</v>
      </c>
      <c r="H18" s="4" t="str">
        <v>F</v>
      </c>
      <c r="I18" s="1" t="str">
        <v>1200 - Accounts receivable</v>
      </c>
      <c r="J18" s="1">
        <v>-1.6E-2</v>
      </c>
      <c r="K18" s="1">
        <v>-22347</v>
      </c>
      <c r="L18" s="1" t="str">
        <v>33775 - HSS - The River Building</v>
      </c>
      <c r="M18" s="1" t="str">
        <v>33775</v>
      </c>
    </row>
    <row r="19" spans="1:13" x14ac:dyDescent="0.25">
      <c r="A19" s="1">
        <v>432094</v>
      </c>
      <c r="B19" s="1" t="str">
        <v>Invoice</v>
      </c>
      <c r="C19" s="2">
        <v>45657</v>
      </c>
      <c r="D19" s="3" t="str">
        <v>23412</v>
      </c>
      <c r="E19" s="1" t="str">
        <v>Structure Tone, LLC</v>
      </c>
      <c r="F19" s="1" t="str">
        <v>29213 - December 2024 AIA Requisition</v>
      </c>
      <c r="G19" s="1" t="str">
        <v>Accounts receivable</v>
      </c>
      <c r="H19" s="4" t="str">
        <v>F</v>
      </c>
      <c r="I19" s="1" t="str">
        <v>4600 - RG Glass - Total Sales : RG Glass Sales</v>
      </c>
      <c r="J19" s="1" t="str">
        <v/>
      </c>
      <c r="K19" s="1">
        <v>389704.19</v>
      </c>
      <c r="L19" s="1" t="str">
        <v/>
      </c>
      <c r="M19" s="1" t="str">
        <v/>
      </c>
    </row>
    <row r="20" spans="1:13" x14ac:dyDescent="0.25">
      <c r="A20" s="1">
        <v>432095</v>
      </c>
      <c r="B20" s="1" t="str">
        <v>Invoice</v>
      </c>
      <c r="C20" s="2">
        <v>45657</v>
      </c>
      <c r="D20" s="3" t="str">
        <v>23412</v>
      </c>
      <c r="E20" s="1" t="str">
        <v>Structure Tone, LLC</v>
      </c>
      <c r="F20" s="1" t="str">
        <v>RG Glass Billing - December 2024 AIA Requisition</v>
      </c>
      <c r="G20" s="1" t="str">
        <v>RG Glass - Total Sales : RG Glass Sales</v>
      </c>
      <c r="H20" s="4" t="str">
        <v>F</v>
      </c>
      <c r="I20" s="1" t="str">
        <v>1200 - Accounts receivable</v>
      </c>
      <c r="J20" s="1">
        <v>-0.15809999999999999</v>
      </c>
      <c r="K20" s="1">
        <v>-389704.19</v>
      </c>
      <c r="L20" s="1" t="str">
        <v>29213 - Citadel - Fit Out Package 2B</v>
      </c>
      <c r="M20" s="1" t="str">
        <v>29213</v>
      </c>
    </row>
    <row r="21" spans="1:13" x14ac:dyDescent="0.25">
      <c r="A21" s="1">
        <v>432096</v>
      </c>
      <c r="B21" s="1" t="str">
        <v>Total</v>
      </c>
      <c r="C21" s="2" t="str">
        <v/>
      </c>
      <c r="D21" s="3" t="str">
        <v/>
      </c>
      <c r="E21" s="1" t="str">
        <v/>
      </c>
      <c r="F21" s="1" t="str">
        <v/>
      </c>
      <c r="G21" s="1" t="str">
        <v/>
      </c>
      <c r="H21" s="4" t="str">
        <v/>
      </c>
      <c r="I21" s="1" t="str">
        <v/>
      </c>
      <c r="J21" s="1" t="str">
        <v/>
      </c>
      <c r="K21" s="1">
        <v>-9756876.5899999999</v>
      </c>
      <c r="L21" s="1" t="str">
        <v/>
      </c>
      <c r="M21" s="1" t="str">
        <v/>
      </c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2025-01-01T10:44:34Z</dcterms:created>
  <dcterms:modified xsi:type="dcterms:W3CDTF">2025-01-01T13:16:18Z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2025-01-01T10:44:43Z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caccf1fd-f557-43f8-b744-3fd0e25f8fb6</vt:lpwstr>
  </property>
  <property fmtid="{D5CDD505-2E9C-101B-9397-08002B2CF9AE}" pid="8" name="MSIP_Label_defa4170-0d19-0005-0004-bc88714345d2_ContentBits">
    <vt:lpwstr>0</vt:lpwstr>
  </property>
</Properties>
</file>